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ccounts" sheetId="1" state="visible" r:id="rId1"/>
    <sheet xmlns:r="http://schemas.openxmlformats.org/officeDocument/2006/relationships" name="Analysis" sheetId="2" state="visible" r:id="rId2"/>
    <sheet xmlns:r="http://schemas.openxmlformats.org/officeDocument/2006/relationships" name="Sales Candence" sheetId="3" state="visible" r:id="rId3"/>
    <sheet xmlns:r="http://schemas.openxmlformats.org/officeDocument/2006/relationships" name="Parking" sheetId="4" state="visible" r:id="rId4"/>
    <sheet xmlns:r="http://schemas.openxmlformats.org/officeDocument/2006/relationships" name="RevenueForecasting" sheetId="5" state="visible" r:id="rId5"/>
    <sheet xmlns:r="http://schemas.openxmlformats.org/officeDocument/2006/relationships" name="Competition Analysis" sheetId="6" state="visible" r:id="rId6"/>
    <sheet xmlns:r="http://schemas.openxmlformats.org/officeDocument/2006/relationships" name="Employees" sheetId="7" state="visible" r:id="rId7"/>
    <sheet xmlns:r="http://schemas.openxmlformats.org/officeDocument/2006/relationships" name="Market Notes" sheetId="8" state="visible" r:id="rId8"/>
    <sheet xmlns:r="http://schemas.openxmlformats.org/officeDocument/2006/relationships" name="TAM_Conservative" sheetId="9" state="visible" r:id="rId9"/>
    <sheet xmlns:r="http://schemas.openxmlformats.org/officeDocument/2006/relationships" name="TAM_Summary" sheetId="10" state="visible" r:id="rId10"/>
    <sheet xmlns:r="http://schemas.openxmlformats.org/officeDocument/2006/relationships" name="TAM_Methodology" sheetId="11" state="visible" r:id="rId11"/>
    <sheet xmlns:r="http://schemas.openxmlformats.org/officeDocument/2006/relationships" name="WAS_Scoring_v2" sheetId="12" state="visible" r:id="rId12"/>
    <sheet xmlns:r="http://schemas.openxmlformats.org/officeDocument/2006/relationships" name="SOM_Summary_v2" sheetId="13" state="visible" r:id="rId13"/>
    <sheet xmlns:r="http://schemas.openxmlformats.org/officeDocument/2006/relationships" name="Methodology_v2" sheetId="14" state="visible" r:id="rId14"/>
  </sheets>
  <definedNames>
    <definedName name="_xlnm._FilterDatabase" localSheetId="0" hidden="1">'Accounts'!$A$1:$AP$368</definedName>
  </definedNames>
  <calcPr calcId="124519" fullCalcOnLoad="1"/>
  <pivotCaches>
    <pivotCache xmlns:r="http://schemas.openxmlformats.org/officeDocument/2006/relationships" cacheId="0" r:id="rId15"/>
  </pivotCaches>
</workbook>
</file>

<file path=xl/styles.xml><?xml version="1.0" encoding="utf-8"?>
<styleSheet xmlns="http://schemas.openxmlformats.org/spreadsheetml/2006/main">
  <numFmts count="4">
    <numFmt numFmtId="164" formatCode="&quot;$&quot;#,##0"/>
    <numFmt numFmtId="165" formatCode="&quot;$&quot;#,##0.00"/>
    <numFmt numFmtId="166" formatCode="0.0%"/>
    <numFmt numFmtId="167" formatCode="$#,##0"/>
  </numFmts>
  <fonts count="45">
    <font>
      <name val="Arial"/>
      <color rgb="FF000000"/>
      <sz val="10"/>
      <scheme val="minor"/>
    </font>
    <font>
      <name val="Arial"/>
      <b val="1"/>
      <color rgb="FF000000"/>
      <sz val="12"/>
    </font>
    <font>
      <name val="Arial"/>
      <color rgb="FF000000"/>
      <sz val="12"/>
    </font>
    <font>
      <name val="Arial"/>
      <color rgb="FF000000"/>
      <sz val="12"/>
      <u val="single"/>
    </font>
    <font>
      <name val="Arial"/>
      <color rgb="FF000000"/>
      <sz val="12"/>
      <u val="single"/>
    </font>
    <font>
      <name val="Arial"/>
      <color theme="1"/>
      <scheme val="minor"/>
    </font>
    <font>
      <name val="Arial"/>
      <color rgb="FF000000"/>
      <sz val="12"/>
      <u val="single"/>
    </font>
    <font>
      <name val="&quot;Google Sans&quot;"/>
      <color rgb="FF0A0A0A"/>
      <sz val="12"/>
    </font>
    <font>
      <name val="Minerva-modern"/>
      <color rgb="FF000000"/>
      <sz val="20"/>
    </font>
    <font>
      <name val="Arial"/>
      <color rgb="FF000000"/>
      <sz val="12"/>
      <u val="single"/>
    </font>
    <font>
      <name val="Arial"/>
      <color rgb="FF0000FF"/>
      <sz val="12"/>
      <u val="single"/>
    </font>
    <font>
      <name val="Arial"/>
      <color rgb="FF000000"/>
      <sz val="12"/>
      <u val="single"/>
    </font>
    <font>
      <name val="Arial"/>
      <color rgb="FF000000"/>
      <sz val="12"/>
      <u val="single"/>
    </font>
    <font>
      <name val="Arial"/>
      <color rgb="FF000000"/>
      <sz val="12"/>
      <u val="single"/>
    </font>
    <font>
      <name val="Arial"/>
      <color rgb="FF000000"/>
      <sz val="12"/>
      <u val="single"/>
    </font>
    <font>
      <name val="Arial"/>
      <color rgb="FF0000FF"/>
      <sz val="12"/>
      <u val="single"/>
    </font>
    <font>
      <name val="Arial"/>
      <color rgb="FF000000"/>
      <sz val="12"/>
      <u val="single"/>
    </font>
    <font>
      <name val="Arial"/>
      <color rgb="FF000000"/>
      <sz val="12"/>
      <u val="single"/>
    </font>
    <font>
      <name val="Arial"/>
      <color rgb="FF000000"/>
      <sz val="12"/>
      <u val="single"/>
    </font>
    <font>
      <name val="Arial"/>
      <color rgb="FF000000"/>
      <sz val="12"/>
      <u val="single"/>
    </font>
    <font>
      <name val="&quot;Helvetica Neue&quot;"/>
      <color rgb="FFE8E8E8"/>
      <sz val="11"/>
      <u val="single"/>
    </font>
    <font>
      <name val="Arial"/>
      <color rgb="FF000000"/>
      <scheme val="minor"/>
    </font>
    <font>
      <color rgb="FF0000FF"/>
      <u val="single"/>
    </font>
    <font>
      <name val="Roboto"/>
      <color rgb="FF70757A"/>
      <sz val="11"/>
    </font>
    <font>
      <color rgb="FF0000FF"/>
      <u val="single"/>
    </font>
    <font>
      <name val="Arial"/>
      <b val="1"/>
      <color rgb="FFFFFFFF"/>
      <sz val="12"/>
    </font>
    <font>
      <name val="Arial"/>
      <b val="1"/>
      <color theme="1"/>
      <sz val="29"/>
    </font>
    <font>
      <name val="Arial"/>
      <b val="1"/>
      <color theme="1"/>
      <sz val="12"/>
    </font>
    <font>
      <name val="Arial"/>
      <color theme="1"/>
      <sz val="12"/>
    </font>
    <font>
      <name val="Arial"/>
      <color theme="1"/>
    </font>
    <font>
      <name val="Open Sans"/>
      <color rgb="FF000000"/>
      <sz val="12"/>
    </font>
    <font>
      <name val="Arial"/>
      <color rgb="FF1155CC"/>
      <sz val="12"/>
    </font>
    <font>
      <name val="Arial"/>
      <b val="1"/>
      <color rgb="FF000000"/>
      <sz val="12"/>
      <u val="single"/>
    </font>
    <font>
      <name val="&quot;TT Hoves Pro Regular&quot;"/>
      <color rgb="FF414141"/>
      <sz val="12"/>
    </font>
    <font>
      <name val="Arial"/>
      <color rgb="FF000000"/>
      <sz val="12"/>
      <u val="single"/>
    </font>
    <font>
      <name val="Museo_sans"/>
      <color rgb="FF999999"/>
      <sz val="14"/>
    </font>
    <font>
      <name val="Open Sans"/>
      <b val="1"/>
      <color rgb="FFFFFFFF"/>
      <sz val="12"/>
    </font>
    <font>
      <name val="Arial"/>
      <b val="1"/>
      <color theme="1"/>
      <scheme val="minor"/>
    </font>
    <font>
      <name val="Arial"/>
      <b val="1"/>
      <color theme="1"/>
      <sz val="13"/>
    </font>
    <font>
      <b val="1"/>
      <color rgb="00FFFFFF"/>
    </font>
    <font>
      <b val="1"/>
      <sz val="14"/>
    </font>
    <font>
      <b val="1"/>
    </font>
    <font>
      <b val="1"/>
      <sz val="12"/>
    </font>
    <font>
      <sz val="11"/>
    </font>
    <font>
      <i val="1"/>
      <color rgb="00555555"/>
    </font>
  </fonts>
  <fills count="26">
    <fill>
      <patternFill/>
    </fill>
    <fill>
      <patternFill patternType="lightGray"/>
    </fill>
    <fill>
      <patternFill patternType="solid">
        <fgColor rgb="FFCFE2F3"/>
        <bgColor rgb="FFCFE2F3"/>
      </patternFill>
    </fill>
    <fill>
      <patternFill patternType="solid">
        <fgColor rgb="FFFFFFFF"/>
        <bgColor rgb="FFFFFFFF"/>
      </patternFill>
    </fill>
    <fill>
      <patternFill patternType="solid">
        <fgColor rgb="FF000000"/>
        <bgColor rgb="FF000000"/>
      </patternFill>
    </fill>
    <fill>
      <patternFill patternType="solid">
        <fgColor rgb="FF222222"/>
        <bgColor rgb="FF222222"/>
      </patternFill>
    </fill>
    <fill>
      <patternFill patternType="solid">
        <fgColor rgb="FF666666"/>
        <bgColor rgb="FF666666"/>
      </patternFill>
    </fill>
    <fill>
      <patternFill patternType="solid">
        <fgColor rgb="FF00FF00"/>
        <bgColor rgb="FF00FF00"/>
      </patternFill>
    </fill>
    <fill>
      <patternFill patternType="solid">
        <fgColor rgb="FFB7E1CD"/>
        <bgColor rgb="FFB7E1CD"/>
      </patternFill>
    </fill>
    <fill>
      <patternFill patternType="solid">
        <fgColor rgb="FFFFFF00"/>
        <bgColor rgb="FFFFFF00"/>
      </patternFill>
    </fill>
    <fill>
      <patternFill patternType="solid">
        <fgColor rgb="FF9900FF"/>
        <bgColor rgb="FF9900FF"/>
      </patternFill>
    </fill>
    <fill>
      <patternFill patternType="solid">
        <fgColor rgb="FFCCCCCC"/>
        <bgColor rgb="FFCCCCCC"/>
      </patternFill>
    </fill>
    <fill>
      <patternFill patternType="solid">
        <fgColor rgb="FF00FFFF"/>
        <bgColor rgb="FF00FFFF"/>
      </patternFill>
    </fill>
    <fill>
      <patternFill patternType="solid">
        <fgColor rgb="FFFF9900"/>
        <bgColor rgb="FFFF9900"/>
      </patternFill>
    </fill>
    <fill>
      <patternFill patternType="solid">
        <fgColor rgb="FFBDBDBD"/>
        <bgColor rgb="FFBDBDBD"/>
      </patternFill>
    </fill>
    <fill>
      <patternFill patternType="solid">
        <fgColor rgb="FFD9EAD3"/>
        <bgColor rgb="FFD9EAD3"/>
      </patternFill>
    </fill>
    <fill>
      <patternFill patternType="solid">
        <fgColor rgb="FF999999"/>
        <bgColor rgb="FF999999"/>
      </patternFill>
    </fill>
    <fill>
      <patternFill patternType="solid">
        <fgColor rgb="FFF3F3F3"/>
        <bgColor rgb="FFF3F3F3"/>
      </patternFill>
    </fill>
    <fill>
      <patternFill patternType="solid">
        <fgColor rgb="FFEFEFEF"/>
        <bgColor rgb="FFEFEFEF"/>
      </patternFill>
    </fill>
    <fill>
      <patternFill patternType="solid">
        <fgColor rgb="001F4E78"/>
      </patternFill>
    </fill>
    <fill>
      <patternFill patternType="solid">
        <fgColor rgb="00F2F2F2"/>
      </patternFill>
    </fill>
    <fill>
      <patternFill patternType="solid">
        <fgColor rgb="00DEEBF6"/>
      </patternFill>
    </fill>
    <fill>
      <patternFill patternType="solid">
        <fgColor rgb="00FFF2CC"/>
      </patternFill>
    </fill>
    <fill>
      <patternFill patternType="solid">
        <fgColor rgb="00FFD580"/>
      </patternFill>
    </fill>
    <fill>
      <patternFill patternType="solid">
        <fgColor rgb="00FFEB9C"/>
      </patternFill>
    </fill>
    <fill>
      <patternFill patternType="solid">
        <fgColor rgb="00C6EFCE"/>
      </patternFill>
    </fill>
  </fills>
  <borders count="12">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double">
        <color rgb="FF000000"/>
      </left>
      <right style="thick">
        <color rgb="FF000000"/>
      </right>
      <top style="double">
        <color rgb="FF000000"/>
      </top>
      <bottom style="double">
        <color rgb="FF000000"/>
      </bottom>
    </border>
    <border>
      <left style="thick">
        <color rgb="FF000000"/>
      </left>
      <right style="double">
        <color rgb="FF000000"/>
      </right>
      <top style="double">
        <color rgb="FF000000"/>
      </top>
      <bottom style="double">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top style="thin">
        <color rgb="FF000000"/>
      </top>
    </border>
    <border>
      <left style="thin">
        <color rgb="FF000000"/>
      </left>
      <top style="thin">
        <color rgb="FF000000"/>
      </top>
    </border>
    <border>
      <left style="medium">
        <color rgb="FF000000"/>
      </left>
      <right style="medium">
        <color rgb="FF000000"/>
      </right>
      <top style="medium">
        <color rgb="FF000000"/>
      </top>
      <bottom style="medium">
        <color rgb="FF000000"/>
      </bottom>
    </border>
    <border>
      <right style="thin">
        <color rgb="FF000000"/>
      </right>
    </border>
    <border>
      <left style="thin">
        <color rgb="FF000000"/>
      </left>
      <right style="thin">
        <color rgb="FF000000"/>
      </right>
    </border>
  </borders>
  <cellStyleXfs count="1">
    <xf numFmtId="0" fontId="0" fillId="0" borderId="0"/>
  </cellStyleXfs>
  <cellXfs count="241">
    <xf numFmtId="0" fontId="0" fillId="0" borderId="0" applyAlignment="1" pivotButton="0" quotePrefix="0" xfId="0">
      <alignment vertical="bottom"/>
    </xf>
    <xf numFmtId="0" fontId="1"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164" fontId="2"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3" fillId="5" borderId="1" applyAlignment="1" pivotButton="0" quotePrefix="0" xfId="0">
      <alignment horizontal="center" vertical="center"/>
    </xf>
    <xf numFmtId="164" fontId="2" fillId="5" borderId="1" applyAlignment="1" pivotButton="0" quotePrefix="0" xfId="0">
      <alignment horizontal="center" vertical="center" wrapText="1"/>
    </xf>
    <xf numFmtId="164" fontId="2" fillId="0" borderId="1" applyAlignment="1" pivotButton="0" quotePrefix="0" xfId="0">
      <alignment horizontal="center" vertical="center" wrapText="1"/>
    </xf>
    <xf numFmtId="0" fontId="2" fillId="5" borderId="1" applyAlignment="1" pivotButton="0" quotePrefix="0" xfId="0">
      <alignment horizontal="center" vertical="center" wrapText="1"/>
    </xf>
    <xf numFmtId="1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10" fontId="2" fillId="6"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4" fillId="0" borderId="1" applyAlignment="1" pivotButton="0" quotePrefix="0" xfId="0">
      <alignment horizontal="center" vertical="center"/>
    </xf>
    <xf numFmtId="164" fontId="2"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5" fillId="0" borderId="1" pivotButton="0" quotePrefix="0" xfId="0"/>
    <xf numFmtId="0" fontId="2" fillId="8" borderId="1" applyAlignment="1" pivotButton="0" quotePrefix="0" xfId="0">
      <alignment horizontal="center" vertical="center" wrapText="1"/>
    </xf>
    <xf numFmtId="0" fontId="2" fillId="8" borderId="1" applyAlignment="1" pivotButton="0" quotePrefix="0" xfId="0">
      <alignment horizontal="center" vertical="center" wrapText="1"/>
    </xf>
    <xf numFmtId="0" fontId="6" fillId="3" borderId="1" applyAlignment="1" pivotButton="0" quotePrefix="0" xfId="0">
      <alignment horizontal="center" vertical="center" wrapText="1"/>
    </xf>
    <xf numFmtId="10" fontId="2" fillId="8"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9" borderId="1" applyAlignment="1" pivotButton="0" quotePrefix="0" xfId="0">
      <alignment horizontal="center" vertical="center" wrapText="1"/>
    </xf>
    <xf numFmtId="10" fontId="2" fillId="6" borderId="1" applyAlignment="1" pivotButton="0" quotePrefix="0" xfId="0">
      <alignment horizontal="center" vertical="center" wrapText="1"/>
    </xf>
    <xf numFmtId="0" fontId="2" fillId="10" borderId="1" applyAlignment="1" pivotButton="0" quotePrefix="0" xfId="0">
      <alignment horizontal="center" vertical="center" wrapText="1"/>
    </xf>
    <xf numFmtId="0" fontId="2" fillId="0" borderId="1" applyAlignment="1" pivotButton="0" quotePrefix="0" xfId="0">
      <alignment horizontal="center" vertical="center"/>
    </xf>
    <xf numFmtId="164" fontId="2" fillId="8" borderId="1" applyAlignment="1" pivotButton="0" quotePrefix="0" xfId="0">
      <alignment horizontal="center" vertical="center" wrapText="1"/>
    </xf>
    <xf numFmtId="10" fontId="2" fillId="8" borderId="1" applyAlignment="1" pivotButton="0" quotePrefix="0" xfId="0">
      <alignment horizontal="center" vertical="center" wrapText="1"/>
    </xf>
    <xf numFmtId="0" fontId="2" fillId="11" borderId="1" applyAlignment="1" pivotButton="0" quotePrefix="0" xfId="0">
      <alignment horizontal="center" vertical="center" wrapText="1"/>
    </xf>
    <xf numFmtId="0" fontId="2" fillId="10" borderId="1" applyAlignment="1" pivotButton="0" quotePrefix="0" xfId="0">
      <alignment horizontal="center" vertical="center" wrapText="1"/>
    </xf>
    <xf numFmtId="0" fontId="2" fillId="12" borderId="1" applyAlignment="1" pivotButton="0" quotePrefix="0" xfId="0">
      <alignment horizontal="center" vertical="center" wrapText="1"/>
    </xf>
    <xf numFmtId="164" fontId="2" fillId="0" borderId="1" applyAlignment="1" pivotButton="0" quotePrefix="0" xfId="0">
      <alignment horizontal="center" vertical="center" wrapText="1"/>
    </xf>
    <xf numFmtId="0" fontId="5" fillId="0" borderId="1" pivotButton="0" quotePrefix="0" xfId="0"/>
    <xf numFmtId="0" fontId="7" fillId="3" borderId="1" applyAlignment="1" pivotButton="0" quotePrefix="0" xfId="0">
      <alignment horizontal="center" vertical="center"/>
    </xf>
    <xf numFmtId="0" fontId="8" fillId="3" borderId="1" applyAlignment="1" pivotButton="0" quotePrefix="0" xfId="0">
      <alignment wrapText="1"/>
    </xf>
    <xf numFmtId="164" fontId="2" fillId="3" borderId="1" applyAlignment="1" pivotButton="0" quotePrefix="0" xfId="0">
      <alignment horizontal="center" vertical="center" wrapText="1"/>
    </xf>
    <xf numFmtId="164" fontId="2" fillId="8"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1" borderId="1" applyAlignment="1" pivotButton="0" quotePrefix="0" xfId="0">
      <alignment horizontal="center" vertical="center" wrapText="1"/>
    </xf>
    <xf numFmtId="10" fontId="2" fillId="6" borderId="0" applyAlignment="1" pivotButton="0" quotePrefix="0" xfId="0">
      <alignment horizontal="center" vertical="center" wrapText="1"/>
    </xf>
    <xf numFmtId="0" fontId="2" fillId="6" borderId="0" applyAlignment="1" pivotButton="0" quotePrefix="0" xfId="0">
      <alignment horizontal="center" vertical="center" wrapText="1"/>
    </xf>
    <xf numFmtId="0" fontId="9" fillId="6" borderId="1" applyAlignment="1" pivotButton="0" quotePrefix="0" xfId="0">
      <alignment horizontal="center" vertical="center" wrapText="1"/>
    </xf>
    <xf numFmtId="0" fontId="5" fillId="11" borderId="1" pivotButton="0" quotePrefix="0" xfId="0"/>
    <xf numFmtId="10" fontId="2" fillId="6" borderId="0" applyAlignment="1" pivotButton="0" quotePrefix="0" xfId="0">
      <alignment horizontal="center" vertical="center" wrapText="1"/>
    </xf>
    <xf numFmtId="0" fontId="2" fillId="0" borderId="1" applyAlignment="1" pivotButton="0" quotePrefix="0" xfId="0">
      <alignment horizontal="center" vertical="center"/>
    </xf>
    <xf numFmtId="0" fontId="10" fillId="0" borderId="1" applyAlignment="1" pivotButton="0" quotePrefix="0" xfId="0">
      <alignment horizontal="center" vertical="center"/>
    </xf>
    <xf numFmtId="10" fontId="2" fillId="0" borderId="1" applyAlignment="1" pivotButton="0" quotePrefix="0" xfId="0">
      <alignment horizontal="center" vertical="center" wrapText="1"/>
    </xf>
    <xf numFmtId="164" fontId="2" fillId="14" borderId="1" applyAlignment="1" pivotButton="0" quotePrefix="0" xfId="0">
      <alignment horizontal="center" vertical="center" wrapText="1"/>
    </xf>
    <xf numFmtId="0" fontId="2" fillId="6" borderId="0" applyAlignment="1" pivotButton="0" quotePrefix="0" xfId="0">
      <alignment horizontal="center" vertical="center" wrapText="1"/>
    </xf>
    <xf numFmtId="0" fontId="2" fillId="0" borderId="0" applyAlignment="1" pivotButton="0" quotePrefix="0" xfId="0">
      <alignment horizontal="center" vertical="center"/>
    </xf>
    <xf numFmtId="0" fontId="2" fillId="8" borderId="0" applyAlignment="1" pivotButton="0" quotePrefix="0" xfId="0">
      <alignment horizontal="center" vertical="center" wrapText="1"/>
    </xf>
    <xf numFmtId="0" fontId="11" fillId="0" borderId="1" applyAlignment="1" pivotButton="0" quotePrefix="0" xfId="0">
      <alignment horizontal="center" vertical="center"/>
    </xf>
    <xf numFmtId="0" fontId="12" fillId="0" borderId="0" applyAlignment="1" pivotButton="0" quotePrefix="0" xfId="0">
      <alignment horizontal="center" vertical="center"/>
    </xf>
    <xf numFmtId="0" fontId="2" fillId="0" borderId="0" applyAlignment="1" pivotButton="0" quotePrefix="0" xfId="0">
      <alignment horizontal="center" vertical="center" wrapText="1"/>
    </xf>
    <xf numFmtId="0" fontId="2" fillId="3" borderId="0" applyAlignment="1" pivotButton="0" quotePrefix="0" xfId="0">
      <alignment horizontal="center" vertical="center" wrapText="1"/>
    </xf>
    <xf numFmtId="10" fontId="2" fillId="0" borderId="0" applyAlignment="1" pivotButton="0" quotePrefix="0" xfId="0">
      <alignment horizontal="center" vertical="center" wrapText="1"/>
    </xf>
    <xf numFmtId="0" fontId="2" fillId="11" borderId="0" applyAlignment="1" pivotButton="0" quotePrefix="0" xfId="0">
      <alignment horizontal="center" vertical="center" wrapText="1"/>
    </xf>
    <xf numFmtId="0" fontId="2" fillId="13" borderId="1" applyAlignment="1" pivotButton="0" quotePrefix="0" xfId="0">
      <alignment horizontal="center" vertical="center" wrapText="1"/>
    </xf>
    <xf numFmtId="0" fontId="2" fillId="8" borderId="1" applyAlignment="1" pivotButton="0" quotePrefix="0" xfId="0">
      <alignment horizontal="center" vertical="center" wrapText="1"/>
    </xf>
    <xf numFmtId="0" fontId="13" fillId="0" borderId="1" applyAlignment="1" pivotButton="0" quotePrefix="0" xfId="0">
      <alignment horizontal="center" vertical="center"/>
    </xf>
    <xf numFmtId="10" fontId="2" fillId="0" borderId="1" applyAlignment="1" pivotButton="0" quotePrefix="0" xfId="0">
      <alignment horizontal="center" vertical="center" wrapText="1"/>
    </xf>
    <xf numFmtId="3" fontId="2" fillId="0" borderId="1" applyAlignment="1" pivotButton="0" quotePrefix="0" xfId="0">
      <alignment horizontal="center" vertical="center" wrapText="1"/>
    </xf>
    <xf numFmtId="3" fontId="2" fillId="0" borderId="1" applyAlignment="1" pivotButton="0" quotePrefix="0" xfId="0">
      <alignment horizontal="center" vertical="center" wrapText="1"/>
    </xf>
    <xf numFmtId="3" fontId="2" fillId="6" borderId="1" applyAlignment="1" pivotButton="0" quotePrefix="0" xfId="0">
      <alignment horizontal="center" vertical="center" wrapText="1"/>
    </xf>
    <xf numFmtId="3" fontId="2" fillId="6" borderId="1" applyAlignment="1" pivotButton="0" quotePrefix="0" xfId="0">
      <alignment horizontal="center" vertical="center" wrapText="1"/>
    </xf>
    <xf numFmtId="10" fontId="2" fillId="15" borderId="1" applyAlignment="1" pivotButton="0" quotePrefix="0" xfId="0">
      <alignment horizontal="center" vertical="center" wrapText="1"/>
    </xf>
    <xf numFmtId="0" fontId="2" fillId="0" borderId="0" applyAlignment="1" pivotButton="0" quotePrefix="0" xfId="0">
      <alignment horizontal="center" vertical="center" wrapText="1"/>
    </xf>
    <xf numFmtId="0" fontId="2" fillId="7" borderId="1" applyAlignment="1" pivotButton="0" quotePrefix="0" xfId="0">
      <alignment horizontal="center" vertical="center" wrapText="1"/>
    </xf>
    <xf numFmtId="0" fontId="2" fillId="14" borderId="1" applyAlignment="1" pivotButton="0" quotePrefix="0" xfId="0">
      <alignment horizontal="center" vertical="center" wrapText="1"/>
    </xf>
    <xf numFmtId="0" fontId="14" fillId="8" borderId="1" applyAlignment="1" pivotButton="0" quotePrefix="0" xfId="0">
      <alignment horizontal="center" vertical="center"/>
    </xf>
    <xf numFmtId="164" fontId="2" fillId="11" borderId="1" applyAlignment="1" pivotButton="0" quotePrefix="0" xfId="0">
      <alignment horizontal="center" vertical="center" wrapText="1"/>
    </xf>
    <xf numFmtId="164" fontId="2" fillId="8" borderId="1" applyAlignment="1" pivotButton="0" quotePrefix="0" xfId="0">
      <alignment horizontal="center" vertical="center" wrapText="1"/>
    </xf>
    <xf numFmtId="164" fontId="2" fillId="3" borderId="1" applyAlignment="1" pivotButton="0" quotePrefix="0" xfId="0">
      <alignment horizontal="center" vertical="center" wrapText="1"/>
    </xf>
    <xf numFmtId="164" fontId="2" fillId="3" borderId="1" applyAlignment="1" pivotButton="0" quotePrefix="0" xfId="0">
      <alignment horizontal="center" vertical="center" wrapText="1"/>
    </xf>
    <xf numFmtId="164" fontId="2" fillId="6" borderId="1" applyAlignment="1" pivotButton="0" quotePrefix="0" xfId="0">
      <alignment horizontal="center" vertical="center" wrapText="1"/>
    </xf>
    <xf numFmtId="164" fontId="2" fillId="6" borderId="1" applyAlignment="1" pivotButton="0" quotePrefix="0" xfId="0">
      <alignment horizontal="center" vertical="center" wrapText="1"/>
    </xf>
    <xf numFmtId="164" fontId="15" fillId="6" borderId="1" applyAlignment="1" pivotButton="0" quotePrefix="0" xfId="0">
      <alignment horizontal="center" vertical="center" wrapText="1"/>
    </xf>
    <xf numFmtId="0" fontId="2" fillId="8" borderId="1" applyAlignment="1" pivotButton="0" quotePrefix="0" xfId="0">
      <alignment horizontal="center" vertical="center"/>
    </xf>
    <xf numFmtId="0" fontId="5" fillId="0" borderId="1" applyAlignment="1" pivotButton="0" quotePrefix="0" xfId="0">
      <alignment horizontal="center" vertical="center"/>
    </xf>
    <xf numFmtId="164" fontId="16" fillId="0" borderId="1" applyAlignment="1" pivotButton="0" quotePrefix="0" xfId="0">
      <alignment horizontal="center" vertical="center"/>
    </xf>
    <xf numFmtId="0" fontId="17" fillId="8" borderId="1" applyAlignment="1" pivotButton="0" quotePrefix="0" xfId="0">
      <alignment horizontal="center" vertical="center"/>
    </xf>
    <xf numFmtId="164" fontId="2" fillId="8" borderId="1" applyAlignment="1" pivotButton="0" quotePrefix="0" xfId="0">
      <alignment horizontal="center" vertical="center" wrapText="1"/>
    </xf>
    <xf numFmtId="0" fontId="18" fillId="3" borderId="1" applyAlignment="1" pivotButton="0" quotePrefix="0" xfId="0">
      <alignment horizontal="center" vertical="center" wrapText="1"/>
    </xf>
    <xf numFmtId="3" fontId="2" fillId="0" borderId="0" applyAlignment="1" pivotButton="0" quotePrefix="0" xfId="0">
      <alignment horizontal="center" vertical="center" wrapText="1"/>
    </xf>
    <xf numFmtId="3" fontId="2" fillId="6" borderId="0" applyAlignment="1" pivotButton="0" quotePrefix="0" xfId="0">
      <alignment horizontal="center" vertical="center" wrapText="1"/>
    </xf>
    <xf numFmtId="3" fontId="2" fillId="0" borderId="0" applyAlignment="1" pivotButton="0" quotePrefix="0" xfId="0">
      <alignment horizontal="center" vertical="center" wrapText="1"/>
    </xf>
    <xf numFmtId="164" fontId="2" fillId="0" borderId="1" applyAlignment="1" pivotButton="0" quotePrefix="0" xfId="0">
      <alignment horizontal="center" vertical="center" wrapText="1"/>
    </xf>
    <xf numFmtId="164" fontId="2" fillId="8" borderId="0" applyAlignment="1" pivotButton="0" quotePrefix="0" xfId="0">
      <alignment horizontal="center" vertical="center" wrapText="1"/>
    </xf>
    <xf numFmtId="164" fontId="2" fillId="3" borderId="0" applyAlignment="1" pivotButton="0" quotePrefix="0" xfId="0">
      <alignment horizontal="center" vertical="center" wrapText="1"/>
    </xf>
    <xf numFmtId="164" fontId="2" fillId="11" borderId="0" applyAlignment="1" pivotButton="0" quotePrefix="0" xfId="0">
      <alignment horizontal="center" vertical="center" wrapText="1"/>
    </xf>
    <xf numFmtId="10" fontId="2" fillId="8" borderId="0" applyAlignment="1" pivotButton="0" quotePrefix="0" xfId="0">
      <alignment horizontal="center" vertical="center" wrapText="1"/>
    </xf>
    <xf numFmtId="0" fontId="2" fillId="8" borderId="0" applyAlignment="1" pivotButton="0" quotePrefix="0" xfId="0">
      <alignment horizontal="center" vertical="center" wrapText="1"/>
    </xf>
    <xf numFmtId="164" fontId="2" fillId="11" borderId="1" applyAlignment="1" pivotButton="0" quotePrefix="0" xfId="0">
      <alignment horizontal="center" vertical="center" wrapText="1"/>
    </xf>
    <xf numFmtId="164" fontId="2" fillId="15" borderId="1" applyAlignment="1" pivotButton="0" quotePrefix="0" xfId="0">
      <alignment horizontal="center" vertical="center" wrapText="1"/>
    </xf>
    <xf numFmtId="164" fontId="2" fillId="6" borderId="0" applyAlignment="1" pivotButton="0" quotePrefix="0" xfId="0">
      <alignment horizontal="center" vertical="center" wrapText="1"/>
    </xf>
    <xf numFmtId="0" fontId="2" fillId="9" borderId="1" applyAlignment="1" pivotButton="0" quotePrefix="0" xfId="0">
      <alignment horizontal="center" vertical="center" wrapText="1"/>
    </xf>
    <xf numFmtId="10" fontId="2" fillId="9" borderId="1" applyAlignment="1" pivotButton="0" quotePrefix="0" xfId="0">
      <alignment horizontal="center" vertical="center" wrapText="1"/>
    </xf>
    <xf numFmtId="0" fontId="2" fillId="9" borderId="1" applyAlignment="1" pivotButton="0" quotePrefix="0" xfId="0">
      <alignment horizontal="center" vertical="center" wrapText="1"/>
    </xf>
    <xf numFmtId="0" fontId="2" fillId="3" borderId="0" applyAlignment="1" pivotButton="0" quotePrefix="0" xfId="0">
      <alignment horizontal="center" vertical="center" wrapText="1"/>
    </xf>
    <xf numFmtId="3" fontId="2" fillId="6" borderId="0" applyAlignment="1" pivotButton="0" quotePrefix="0" xfId="0">
      <alignment horizontal="center" vertical="center" wrapText="1"/>
    </xf>
    <xf numFmtId="49" fontId="19" fillId="0" borderId="1" applyAlignment="1" pivotButton="0" quotePrefix="0" xfId="0">
      <alignment horizontal="center" vertical="center"/>
    </xf>
    <xf numFmtId="0" fontId="2" fillId="0" borderId="2" applyAlignment="1" pivotButton="0" quotePrefix="0" xfId="0">
      <alignment horizontal="center" vertical="center" wrapText="1"/>
    </xf>
    <xf numFmtId="0" fontId="2" fillId="8" borderId="2" applyAlignment="1" pivotButton="0" quotePrefix="0" xfId="0">
      <alignment horizontal="center" vertical="center" wrapText="1"/>
    </xf>
    <xf numFmtId="0" fontId="2" fillId="8" borderId="2" applyAlignment="1" pivotButton="0" quotePrefix="0" xfId="0">
      <alignment horizontal="center" vertical="center" wrapText="1"/>
    </xf>
    <xf numFmtId="0" fontId="20" fillId="0" borderId="1" pivotButton="0" quotePrefix="0" xfId="0"/>
    <xf numFmtId="0" fontId="21" fillId="0" borderId="1" pivotButton="0" quotePrefix="0" xfId="0"/>
    <xf numFmtId="0" fontId="22" fillId="0" borderId="1" pivotButton="0" quotePrefix="0" xfId="0"/>
    <xf numFmtId="0" fontId="23" fillId="3" borderId="1" pivotButton="0" quotePrefix="0" xfId="0"/>
    <xf numFmtId="164" fontId="2" fillId="0" borderId="0" applyAlignment="1" pivotButton="0" quotePrefix="0" xfId="0">
      <alignment horizontal="center" vertical="center" wrapText="1"/>
    </xf>
    <xf numFmtId="164" fontId="2" fillId="0" borderId="0" applyAlignment="1" pivotButton="0" quotePrefix="0" xfId="0">
      <alignment horizontal="center" vertical="center" wrapText="1"/>
    </xf>
    <xf numFmtId="0" fontId="21" fillId="0" borderId="0" pivotButton="0" quotePrefix="0" xfId="0"/>
    <xf numFmtId="0" fontId="24" fillId="0" borderId="0" pivotButton="0" quotePrefix="0" xfId="0"/>
    <xf numFmtId="0" fontId="23" fillId="3" borderId="0" pivotButton="0" quotePrefix="0" xfId="0"/>
    <xf numFmtId="164" fontId="2" fillId="3" borderId="0" applyAlignment="1" pivotButton="0" quotePrefix="0" xfId="0">
      <alignment horizontal="center" vertical="center" wrapText="1"/>
    </xf>
    <xf numFmtId="164" fontId="2" fillId="14" borderId="0" applyAlignment="1" pivotButton="0" quotePrefix="0" xfId="0">
      <alignment horizontal="center" vertical="center" wrapText="1"/>
    </xf>
    <xf numFmtId="0" fontId="5" fillId="0" borderId="1" applyAlignment="1" pivotButton="0" quotePrefix="0" xfId="0">
      <alignment wrapText="1"/>
    </xf>
    <xf numFmtId="164" fontId="2" fillId="3" borderId="0" applyAlignment="1" pivotButton="0" quotePrefix="0" xfId="0">
      <alignment horizontal="center" vertical="center" wrapText="1"/>
    </xf>
    <xf numFmtId="0" fontId="25" fillId="4" borderId="3" applyAlignment="1" pivotButton="0" quotePrefix="0" xfId="0">
      <alignment horizontal="center" vertical="center" wrapText="1"/>
    </xf>
    <xf numFmtId="0" fontId="26" fillId="3" borderId="4" applyAlignment="1" pivotButton="0" quotePrefix="0" xfId="0">
      <alignment horizontal="center" vertical="center" wrapText="1"/>
    </xf>
    <xf numFmtId="0" fontId="27" fillId="16" borderId="5" applyAlignment="1" pivotButton="0" quotePrefix="0" xfId="0">
      <alignment horizontal="center" vertical="center" wrapText="1"/>
    </xf>
    <xf numFmtId="0" fontId="27" fillId="16" borderId="6" applyAlignment="1" pivotButton="0" quotePrefix="0" xfId="0">
      <alignment horizontal="center" vertical="center" wrapText="1"/>
    </xf>
    <xf numFmtId="0" fontId="28" fillId="16" borderId="6" applyAlignment="1" pivotButton="0" quotePrefix="0" xfId="0">
      <alignment horizontal="center" vertical="center" wrapText="1"/>
    </xf>
    <xf numFmtId="0" fontId="29" fillId="0" borderId="0" applyAlignment="1" pivotButton="0" quotePrefix="0" xfId="0">
      <alignment wrapText="1"/>
    </xf>
    <xf numFmtId="0" fontId="30" fillId="2" borderId="7" applyAlignment="1" pivotButton="0" quotePrefix="0" xfId="0">
      <alignment horizontal="center" vertical="center" wrapText="1"/>
    </xf>
    <xf numFmtId="0" fontId="30" fillId="2" borderId="8" applyAlignment="1" pivotButton="0" quotePrefix="0" xfId="0">
      <alignment horizontal="center" vertical="center" wrapText="1"/>
    </xf>
    <xf numFmtId="0" fontId="30" fillId="2" borderId="9" applyAlignment="1" pivotButton="0" quotePrefix="0" xfId="0">
      <alignment horizontal="center" vertical="center" wrapText="1"/>
    </xf>
    <xf numFmtId="0" fontId="28" fillId="0" borderId="0" applyAlignment="1" pivotButton="0" quotePrefix="0" xfId="0">
      <alignment horizontal="center" vertical="center" wrapText="1"/>
    </xf>
    <xf numFmtId="164" fontId="28" fillId="0" borderId="0" applyAlignment="1" pivotButton="0" quotePrefix="0" xfId="0">
      <alignment horizontal="center" vertical="center" wrapText="1"/>
    </xf>
    <xf numFmtId="0" fontId="28" fillId="0" borderId="1" applyAlignment="1" pivotButton="0" quotePrefix="0" xfId="0">
      <alignment horizontal="center" vertical="center" wrapText="1"/>
    </xf>
    <xf numFmtId="0" fontId="30" fillId="0" borderId="0" applyAlignment="1" pivotButton="0" quotePrefix="0" xfId="0">
      <alignment horizontal="center" vertical="center" wrapText="1"/>
    </xf>
    <xf numFmtId="0" fontId="30" fillId="3" borderId="0" applyAlignment="1" pivotButton="0" quotePrefix="0" xfId="0">
      <alignment horizontal="center" vertical="center" wrapText="1"/>
    </xf>
    <xf numFmtId="0" fontId="31" fillId="17" borderId="0" applyAlignment="1" pivotButton="0" quotePrefix="0" xfId="0">
      <alignment horizontal="center" vertical="center" wrapText="1"/>
    </xf>
    <xf numFmtId="0" fontId="28" fillId="0" borderId="0" applyAlignment="1" pivotButton="0" quotePrefix="0" xfId="0">
      <alignment wrapText="1"/>
    </xf>
    <xf numFmtId="0" fontId="30" fillId="0" borderId="0" applyAlignment="1" pivotButton="0" quotePrefix="0" xfId="0">
      <alignment horizontal="center" vertical="center" wrapText="1"/>
    </xf>
    <xf numFmtId="0" fontId="30" fillId="3" borderId="0" applyAlignment="1" pivotButton="0" quotePrefix="0" xfId="0">
      <alignment horizontal="center" vertical="center" wrapText="1"/>
    </xf>
    <xf numFmtId="0" fontId="28" fillId="0" borderId="10" applyAlignment="1" pivotButton="0" quotePrefix="0" xfId="0">
      <alignment horizontal="center" vertical="center" wrapText="1"/>
    </xf>
    <xf numFmtId="0" fontId="31" fillId="17" borderId="11" applyAlignment="1" pivotButton="0" quotePrefix="0" xfId="0">
      <alignment horizontal="center" vertical="center" wrapText="1"/>
    </xf>
    <xf numFmtId="0" fontId="31" fillId="3" borderId="11" applyAlignment="1" pivotButton="0" quotePrefix="0" xfId="0">
      <alignment horizontal="center" vertical="center" wrapText="1"/>
    </xf>
    <xf numFmtId="0" fontId="28" fillId="0" borderId="0" applyAlignment="1" pivotButton="0" quotePrefix="0" xfId="0">
      <alignment horizontal="center" vertical="center" wrapText="1"/>
    </xf>
    <xf numFmtId="0" fontId="28" fillId="0" borderId="11" applyAlignment="1" pivotButton="0" quotePrefix="0" xfId="0">
      <alignment horizontal="center" vertical="center" wrapText="1"/>
    </xf>
    <xf numFmtId="165" fontId="28" fillId="0" borderId="0" applyAlignment="1" pivotButton="0" quotePrefix="0" xfId="0">
      <alignment horizontal="center" vertical="center" wrapText="1"/>
    </xf>
    <xf numFmtId="0" fontId="29" fillId="0" borderId="0" pivotButton="0" quotePrefix="0" xfId="0"/>
    <xf numFmtId="10" fontId="28" fillId="0" borderId="0" applyAlignment="1" pivotButton="0" quotePrefix="0" xfId="0">
      <alignment horizontal="center" vertical="center" wrapText="1"/>
    </xf>
    <xf numFmtId="164" fontId="29" fillId="0" borderId="0" pivotButton="0" quotePrefix="0" xfId="0"/>
    <xf numFmtId="3" fontId="28" fillId="0" borderId="0" applyAlignment="1" pivotButton="0" quotePrefix="0" xfId="0">
      <alignment horizontal="center" vertical="center" wrapText="1"/>
    </xf>
    <xf numFmtId="0" fontId="5" fillId="0" borderId="0" pivotButton="0" quotePrefix="0" xfId="0"/>
    <xf numFmtId="10" fontId="5" fillId="0" borderId="0" pivotButton="0" quotePrefix="0" xfId="0"/>
    <xf numFmtId="164" fontId="5" fillId="0" borderId="0" pivotButton="0" quotePrefix="0" xfId="0"/>
    <xf numFmtId="164" fontId="28" fillId="0" borderId="0" applyAlignment="1" pivotButton="0" quotePrefix="0" xfId="0">
      <alignment horizontal="center" vertical="center" wrapText="1"/>
    </xf>
    <xf numFmtId="164" fontId="5" fillId="0" borderId="0" pivotButton="0" quotePrefix="0" xfId="0"/>
    <xf numFmtId="0" fontId="25" fillId="4" borderId="1" applyAlignment="1" pivotButton="0" quotePrefix="0" xfId="0">
      <alignment horizontal="center" vertical="center" wrapText="1"/>
    </xf>
    <xf numFmtId="0" fontId="25" fillId="5" borderId="1" applyAlignment="1" pivotButton="0" quotePrefix="0" xfId="0">
      <alignment horizontal="center" vertical="center" wrapText="1"/>
    </xf>
    <xf numFmtId="164" fontId="25" fillId="5" borderId="1" applyAlignment="1" pivotButton="0" quotePrefix="0" xfId="0">
      <alignment horizontal="center" vertical="center" wrapText="1"/>
    </xf>
    <xf numFmtId="164" fontId="25" fillId="5" borderId="1" applyAlignment="1" pivotButton="0" quotePrefix="0" xfId="0">
      <alignment horizontal="center" vertical="center" wrapText="1"/>
    </xf>
    <xf numFmtId="0" fontId="25" fillId="6" borderId="1" applyAlignment="1" pivotButton="0" quotePrefix="0" xfId="0">
      <alignment horizontal="center" vertical="center" wrapText="1"/>
    </xf>
    <xf numFmtId="0" fontId="25" fillId="16" borderId="1" applyAlignment="1" pivotButton="0" quotePrefix="0" xfId="0">
      <alignment horizontal="center" vertical="center" wrapText="1"/>
    </xf>
    <xf numFmtId="0" fontId="25"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 fillId="17" borderId="1" applyAlignment="1" pivotButton="0" quotePrefix="0" xfId="0">
      <alignment horizontal="center" vertical="center" wrapText="1"/>
    </xf>
    <xf numFmtId="164" fontId="1" fillId="17" borderId="1" applyAlignment="1" pivotButton="0" quotePrefix="0" xfId="0">
      <alignment horizontal="center" vertical="center" wrapText="1"/>
    </xf>
    <xf numFmtId="164" fontId="1" fillId="17"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17" borderId="1" applyAlignment="1" pivotButton="0" quotePrefix="0" xfId="0">
      <alignment horizontal="center" vertical="center" wrapText="1"/>
    </xf>
    <xf numFmtId="0" fontId="32" fillId="17" borderId="1" applyAlignment="1" pivotButton="0" quotePrefix="0" xfId="0">
      <alignment horizontal="center" vertical="center" wrapText="1"/>
    </xf>
    <xf numFmtId="3" fontId="1" fillId="17" borderId="1" applyAlignment="1" pivotButton="0" quotePrefix="0" xfId="0">
      <alignment horizontal="center" vertical="center" wrapText="1"/>
    </xf>
    <xf numFmtId="0" fontId="2" fillId="17" borderId="1" applyAlignment="1" pivotButton="0" quotePrefix="0" xfId="0">
      <alignment horizontal="center" vertical="center" wrapText="1"/>
    </xf>
    <xf numFmtId="0" fontId="1" fillId="3" borderId="1" applyAlignment="1" pivotButton="0" quotePrefix="0" xfId="0">
      <alignment horizontal="center" vertical="center" wrapText="1"/>
    </xf>
    <xf numFmtId="164" fontId="1" fillId="17" borderId="1" applyAlignment="1" pivotButton="0" quotePrefix="0" xfId="0">
      <alignment horizontal="center" vertical="center" wrapText="1"/>
    </xf>
    <xf numFmtId="3" fontId="1" fillId="17" borderId="1" applyAlignment="1" pivotButton="0" quotePrefix="0" xfId="0">
      <alignment horizontal="center" vertical="center" wrapText="1"/>
    </xf>
    <xf numFmtId="0" fontId="1" fillId="17" borderId="1" applyAlignment="1" pivotButton="0" quotePrefix="0" xfId="0">
      <alignment horizontal="center" vertical="center" wrapText="1"/>
    </xf>
    <xf numFmtId="0" fontId="1" fillId="3" borderId="0" applyAlignment="1" pivotButton="0" quotePrefix="0" xfId="0">
      <alignment horizontal="center" vertical="center" wrapText="1"/>
    </xf>
    <xf numFmtId="0" fontId="28" fillId="4" borderId="0" applyAlignment="1" pivotButton="0" quotePrefix="0" xfId="0">
      <alignment horizontal="center" vertical="center" wrapText="1"/>
    </xf>
    <xf numFmtId="0" fontId="28" fillId="17" borderId="0" applyAlignment="1" pivotButton="0" quotePrefix="0" xfId="0">
      <alignment horizontal="center" vertical="center" wrapText="1"/>
    </xf>
    <xf numFmtId="164" fontId="1" fillId="3" borderId="1" applyAlignment="1" pivotButton="0" quotePrefix="0" xfId="0">
      <alignment horizontal="center" vertical="center" wrapText="1"/>
    </xf>
    <xf numFmtId="164" fontId="1" fillId="3" borderId="1" applyAlignment="1" pivotButton="0" quotePrefix="0" xfId="0">
      <alignment horizontal="center" vertical="center" wrapText="1"/>
    </xf>
    <xf numFmtId="164" fontId="1" fillId="3" borderId="0" applyAlignment="1" pivotButton="0" quotePrefix="0" xfId="0">
      <alignment horizontal="center" vertical="center" wrapText="1"/>
    </xf>
    <xf numFmtId="0" fontId="2" fillId="0" borderId="0"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center" vertical="center"/>
    </xf>
    <xf numFmtId="164" fontId="2" fillId="3" borderId="1" applyAlignment="1" pivotButton="0" quotePrefix="0" xfId="0">
      <alignment horizontal="center" vertical="center"/>
    </xf>
    <xf numFmtId="0" fontId="2" fillId="3" borderId="1" applyAlignment="1" pivotButton="0" quotePrefix="0" xfId="0">
      <alignment horizontal="center" vertical="center"/>
    </xf>
    <xf numFmtId="164" fontId="2" fillId="3" borderId="1" applyAlignment="1" pivotButton="0" quotePrefix="0" xfId="0">
      <alignment horizontal="center" vertical="center"/>
    </xf>
    <xf numFmtId="164" fontId="33" fillId="3" borderId="0" applyAlignment="1" pivotButton="0" quotePrefix="0" xfId="0">
      <alignment horizontal="left"/>
    </xf>
    <xf numFmtId="164" fontId="34" fillId="3" borderId="1" applyAlignment="1" pivotButton="0" quotePrefix="0" xfId="0">
      <alignment horizontal="center" vertical="center"/>
    </xf>
    <xf numFmtId="164" fontId="2" fillId="3" borderId="1" applyAlignment="1" pivotButton="0" quotePrefix="0" xfId="0">
      <alignment horizontal="center" vertical="center"/>
    </xf>
    <xf numFmtId="164" fontId="2" fillId="3" borderId="0" applyAlignment="1" pivotButton="0" quotePrefix="0" xfId="0">
      <alignment horizontal="center" vertical="center"/>
    </xf>
    <xf numFmtId="0" fontId="28" fillId="3" borderId="1" applyAlignment="1" pivotButton="0" quotePrefix="0" xfId="0">
      <alignment horizontal="center" vertical="center"/>
    </xf>
    <xf numFmtId="0" fontId="2" fillId="3" borderId="0" applyAlignment="1" pivotButton="0" quotePrefix="0" xfId="0">
      <alignment horizontal="center" vertical="center"/>
    </xf>
    <xf numFmtId="164" fontId="2" fillId="3" borderId="1" applyAlignment="1" pivotButton="0" quotePrefix="0" xfId="0">
      <alignment horizontal="center" vertical="center"/>
    </xf>
    <xf numFmtId="0" fontId="2" fillId="3" borderId="0" applyAlignment="1" pivotButton="0" quotePrefix="0" xfId="0">
      <alignment horizontal="center" vertical="center"/>
    </xf>
    <xf numFmtId="0" fontId="2" fillId="3" borderId="1" applyAlignment="1" pivotButton="0" quotePrefix="0" xfId="0">
      <alignment horizontal="center" vertical="center"/>
    </xf>
    <xf numFmtId="9" fontId="2" fillId="3" borderId="0" applyAlignment="1" pivotButton="0" quotePrefix="0" xfId="0">
      <alignment horizontal="center" vertical="center"/>
    </xf>
    <xf numFmtId="3" fontId="2" fillId="3" borderId="0" applyAlignment="1" pivotButton="0" quotePrefix="0" xfId="0">
      <alignment horizontal="center" vertical="center"/>
    </xf>
    <xf numFmtId="164" fontId="2" fillId="3" borderId="0" applyAlignment="1" pivotButton="0" quotePrefix="0" xfId="0">
      <alignment horizontal="center" vertical="center"/>
    </xf>
    <xf numFmtId="0" fontId="5" fillId="0" borderId="0" pivotButton="0" quotePrefix="0" xfId="0"/>
    <xf numFmtId="0" fontId="2" fillId="3" borderId="0" applyAlignment="1" pivotButton="0" quotePrefix="0" xfId="0">
      <alignment horizontal="center" vertical="center"/>
    </xf>
    <xf numFmtId="0" fontId="35" fillId="3" borderId="0" pivotButton="0" quotePrefix="0" xfId="0"/>
    <xf numFmtId="0" fontId="2" fillId="0" borderId="1" applyAlignment="1" pivotButton="0" quotePrefix="0" xfId="0">
      <alignment horizontal="center" vertical="center"/>
    </xf>
    <xf numFmtId="0" fontId="2" fillId="0" borderId="1" applyAlignment="1" pivotButton="0" quotePrefix="0" xfId="0">
      <alignment horizontal="center" vertical="center"/>
    </xf>
    <xf numFmtId="164" fontId="2" fillId="0" borderId="1" applyAlignment="1" pivotButton="0" quotePrefix="0" xfId="0">
      <alignment horizontal="center" vertical="center"/>
    </xf>
    <xf numFmtId="0" fontId="36" fillId="5" borderId="0" applyAlignment="1" pivotButton="0" quotePrefix="0" xfId="0">
      <alignment horizontal="center" vertical="center" wrapText="1"/>
    </xf>
    <xf numFmtId="0" fontId="36" fillId="5" borderId="1" applyAlignment="1" pivotButton="0" quotePrefix="0" xfId="0">
      <alignment horizontal="center" vertical="center" wrapText="1"/>
    </xf>
    <xf numFmtId="0" fontId="29" fillId="0" borderId="0" applyAlignment="1" pivotButton="0" quotePrefix="0" xfId="0">
      <alignment vertical="bottom"/>
    </xf>
    <xf numFmtId="9" fontId="30" fillId="3" borderId="0" applyAlignment="1" pivotButton="0" quotePrefix="0" xfId="0">
      <alignment horizontal="center" vertical="center" wrapText="1"/>
    </xf>
    <xf numFmtId="9" fontId="30" fillId="3" borderId="1" applyAlignment="1" pivotButton="0" quotePrefix="0" xfId="0">
      <alignment horizontal="center" vertical="center" wrapText="1"/>
    </xf>
    <xf numFmtId="3" fontId="30" fillId="3" borderId="1" applyAlignment="1" pivotButton="0" quotePrefix="0" xfId="0">
      <alignment horizontal="center" vertical="center" wrapText="1"/>
    </xf>
    <xf numFmtId="164" fontId="30" fillId="3" borderId="1" applyAlignment="1" pivotButton="0" quotePrefix="0" xfId="0">
      <alignment horizontal="center" vertical="center" wrapText="1"/>
    </xf>
    <xf numFmtId="164" fontId="29" fillId="0" borderId="0" applyAlignment="1" pivotButton="0" quotePrefix="0" xfId="0">
      <alignment horizontal="right" vertical="bottom"/>
    </xf>
    <xf numFmtId="165" fontId="5" fillId="0" borderId="0" pivotButton="0" quotePrefix="0" xfId="0"/>
    <xf numFmtId="0" fontId="37" fillId="0" borderId="1" pivotButton="0" quotePrefix="0" xfId="0"/>
    <xf numFmtId="165" fontId="37" fillId="0" borderId="1" pivotButton="0" quotePrefix="0" xfId="0"/>
    <xf numFmtId="0" fontId="38" fillId="0" borderId="1" applyAlignment="1" pivotButton="0" quotePrefix="0" xfId="0">
      <alignment horizontal="center" vertical="center"/>
    </xf>
    <xf numFmtId="0" fontId="29" fillId="0" borderId="1" pivotButton="0" quotePrefix="0" xfId="0"/>
    <xf numFmtId="0" fontId="29" fillId="0" borderId="1" pivotButton="0" quotePrefix="0" xfId="0"/>
    <xf numFmtId="0" fontId="29" fillId="0" borderId="0" applyAlignment="1" pivotButton="0" quotePrefix="0" xfId="0">
      <alignment horizontal="center" vertical="center"/>
    </xf>
    <xf numFmtId="0" fontId="0" fillId="0" borderId="0" pivotButton="0" quotePrefix="0" xfId="0"/>
    <xf numFmtId="0" fontId="39" fillId="19" borderId="0" applyAlignment="1" pivotButton="0" quotePrefix="0" xfId="0">
      <alignment horizontal="center" vertical="center" wrapText="1"/>
    </xf>
    <xf numFmtId="0" fontId="0" fillId="20" borderId="0" pivotButton="0" quotePrefix="0" xfId="0"/>
    <xf numFmtId="0" fontId="0" fillId="21" borderId="0" pivotButton="0" quotePrefix="0" xfId="0"/>
    <xf numFmtId="166" fontId="0" fillId="0" borderId="0" pivotButton="0" quotePrefix="0" xfId="0"/>
    <xf numFmtId="167" fontId="0" fillId="0" borderId="0" pivotButton="0" quotePrefix="0" xfId="0"/>
    <xf numFmtId="0" fontId="0" fillId="22" borderId="0" pivotButton="0" quotePrefix="0" xfId="0"/>
    <xf numFmtId="0" fontId="40" fillId="0" borderId="0" pivotButton="0" quotePrefix="0" xfId="0"/>
    <xf numFmtId="0" fontId="39" fillId="19" borderId="0" pivotButton="0" quotePrefix="0" xfId="0"/>
    <xf numFmtId="0" fontId="41" fillId="0" borderId="0" pivotButton="0" quotePrefix="0" xfId="0"/>
    <xf numFmtId="167" fontId="41" fillId="0" borderId="0" pivotButton="0" quotePrefix="0" xfId="0"/>
    <xf numFmtId="0" fontId="42" fillId="0" borderId="0" pivotButton="0" quotePrefix="0" xfId="0"/>
    <xf numFmtId="9" fontId="0" fillId="0" borderId="0" pivotButton="0" quotePrefix="0" xfId="0"/>
    <xf numFmtId="0" fontId="43" fillId="0" borderId="0" pivotButton="0" quotePrefix="0" xfId="0"/>
    <xf numFmtId="2" fontId="0" fillId="0" borderId="0" pivotButton="0" quotePrefix="0" xfId="0"/>
    <xf numFmtId="0" fontId="0" fillId="23" borderId="0" pivotButton="0" quotePrefix="0" xfId="0"/>
    <xf numFmtId="0" fontId="0" fillId="24" borderId="0" pivotButton="0" quotePrefix="0" xfId="0"/>
    <xf numFmtId="0" fontId="44" fillId="0" borderId="0" pivotButton="0" quotePrefix="0" xfId="0"/>
    <xf numFmtId="0" fontId="0" fillId="25" borderId="0" pivotButton="0" quotePrefix="0" xfId="0"/>
  </cellXfs>
  <cellStyles count="1">
    <cellStyle name="Normal" xfId="0" builtinId="0"/>
  </cellStyles>
  <dxfs count="6">
    <dxf>
      <font/>
      <fill>
        <patternFill patternType="solid">
          <fgColor rgb="FFD9D9D9"/>
          <bgColor rgb="FFD9D9D9"/>
        </patternFill>
      </fill>
      <border/>
    </dxf>
    <dxf>
      <font/>
      <fill>
        <patternFill patternType="solid">
          <fgColor rgb="FFFFFFFF"/>
          <bgColor rgb="FFFFFFFF"/>
        </patternFill>
      </fill>
      <border/>
    </dxf>
    <dxf>
      <font/>
      <fill>
        <patternFill patternType="solid">
          <fgColor rgb="FFD9EAD3"/>
          <bgColor rgb="FFD9EAD3"/>
        </patternFill>
      </fill>
      <border/>
    </dxf>
    <dxf>
      <font/>
      <fill>
        <patternFill patternType="solid">
          <fgColor rgb="FFB7E1CD"/>
          <bgColor rgb="FFB7E1CD"/>
        </patternFill>
      </fill>
      <border/>
    </dxf>
    <dxf>
      <font/>
      <fill>
        <patternFill patternType="solid">
          <fgColor rgb="FFF9CB9C"/>
          <bgColor rgb="FFF9CB9C"/>
        </patternFill>
      </fill>
      <border/>
    </dxf>
    <dxf>
      <font/>
      <fill>
        <patternFill patternType="solid">
          <fgColor rgb="FFFFE599"/>
          <bgColor rgb="FFFFE59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pivotCacheDefinition" Target="/xl/pivotCache/pivotCacheDefinition1.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plotArea>
      <layout/>
      <barChart>
        <barDir val="col"/>
        <grouping val="clustered"/>
        <ser>
          <idx val="0"/>
          <order val="0"/>
          <tx>
            <strRef>
              <f>Analysis!$A$7</f>
            </strRef>
          </tx>
          <spPr>
            <a:solidFill xmlns:a="http://schemas.openxmlformats.org/drawingml/2006/main">
              <a:schemeClr val="accent1"/>
            </a:solidFill>
            <a:ln xmlns:a="http://schemas.openxmlformats.org/drawingml/2006/main" cmpd="sng">
              <a:solidFill>
                <a:srgbClr val="000000"/>
              </a:solidFill>
              <a:prstDash val="solid"/>
            </a:ln>
          </spPr>
          <dLbls>
            <numFmt formatCode="General"/>
            <txPr>
              <a:bodyPr xmlns:a="http://schemas.openxmlformats.org/drawingml/2006/main"/>
              <a:lstStyle xmlns:a="http://schemas.openxmlformats.org/drawingml/2006/main"/>
              <a:p xmlns:a="http://schemas.openxmlformats.org/drawingml/2006/main">
                <a:pPr lvl="0">
                  <a:defRPr sz="3600" b="1" i="0"/>
                </a:pPr>
                <a:r>
                  <a:t>None</a:t>
                </a:r>
              </a:p>
            </txPr>
            <showLegendKey val="0"/>
            <showVal val="1"/>
            <showCatName val="0"/>
            <showSerName val="0"/>
            <showPercent val="0"/>
            <showBubbleSize val="0"/>
          </dLbls>
          <val>
            <numRef>
              <f>Analysis!$A$8:$A$10</f>
              <numCache/>
            </numRef>
          </val>
        </ser>
        <ser>
          <idx val="1"/>
          <order val="1"/>
          <tx>
            <strRef>
              <f>Analysis!$B$7</f>
            </strRef>
          </tx>
          <spPr>
            <a:solidFill xmlns:a="http://schemas.openxmlformats.org/drawingml/2006/main">
              <a:schemeClr val="accent2"/>
            </a:solidFill>
            <a:ln xmlns:a="http://schemas.openxmlformats.org/drawingml/2006/main" cmpd="sng">
              <a:solidFill>
                <a:srgbClr val="000000"/>
              </a:solidFill>
              <a:prstDash val="solid"/>
            </a:ln>
          </spPr>
          <dLbls>
            <numFmt formatCode="General"/>
            <txPr>
              <a:bodyPr xmlns:a="http://schemas.openxmlformats.org/drawingml/2006/main"/>
              <a:lstStyle xmlns:a="http://schemas.openxmlformats.org/drawingml/2006/main"/>
              <a:p xmlns:a="http://schemas.openxmlformats.org/drawingml/2006/main">
                <a:pPr lvl="0">
                  <a:defRPr sz="3600" b="1" i="0"/>
                </a:pPr>
                <a:r>
                  <a:t>None</a:t>
                </a:r>
              </a:p>
            </txPr>
            <showLegendKey val="0"/>
            <showVal val="1"/>
            <showCatName val="0"/>
            <showSerName val="0"/>
            <showPercent val="0"/>
            <showBubbleSize val="0"/>
          </dLbls>
          <val>
            <numRef>
              <f>Analysis!$B$8</f>
              <numCache/>
            </numRef>
          </val>
        </ser>
        <gapWidth val="150"/>
        <axId val="577061661"/>
        <axId val="86939409"/>
      </barChart>
      <catAx>
        <axId val="577061661"/>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t>None</a:t>
            </a:r>
          </a:p>
        </txPr>
        <crossAx val="86939409"/>
        <lblOffset val="100"/>
      </catAx>
      <valAx>
        <axId val="86939409"/>
        <scaling>
          <orientation val="minMax"/>
        </scaling>
        <delete val="0"/>
        <axPos val="l"/>
        <majorGridlines>
          <spPr>
            <a:ln xmlns:a="http://schemas.openxmlformats.org/drawingml/2006/main">
              <a:solidFill>
                <a:srgbClr val="B7B7B7"/>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t>None</a:t>
            </a:r>
          </a:p>
        </txPr>
        <crossAx val="577061661"/>
      </valAx>
    </plotArea>
    <legend>
      <legendPos val="r"/>
      <overlay val="0"/>
      <txPr>
        <a:bodyPr xmlns:a="http://schemas.openxmlformats.org/drawingml/2006/main"/>
        <a:lstStyle xmlns:a="http://schemas.openxmlformats.org/drawingml/2006/main"/>
        <a:p xmlns:a="http://schemas.openxmlformats.org/drawingml/2006/main">
          <a:pPr lvl="0">
            <a:defRPr b="0" i="0">
              <a:solidFill>
                <a:srgbClr val="1A1A1A"/>
              </a:solidFill>
              <a:latin typeface="+mn-lt"/>
            </a:defRPr>
          </a:pPr>
          <a:r>
            <a:t>None</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1.png" Id="rId2"/></Relationships>
</file>

<file path=xl/drawings/drawing1.xml><?xml version="1.0" encoding="utf-8"?>
<wsDr xmlns="http://schemas.openxmlformats.org/drawingml/2006/spreadsheetDrawing">
  <oneCellAnchor>
    <from>
      <col>0</col>
      <colOff>180975</colOff>
      <row>4</row>
      <rowOff>400050</rowOff>
    </from>
    <ext cx="5715000" cy="353377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0</col>
      <colOff>619125</colOff>
      <row>11</row>
      <rowOff>581025</rowOff>
    </from>
    <ext cx="8515350" cy="4010025"/>
    <pic>
      <nvPicPr>
        <cNvPr id="1217935124" name="Chart2" title="Chart"/>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pivotCache/pivotCacheDefinition1.xml><?xml version="1.0" encoding="utf-8"?>
<pivotCacheDefinition xmlns="http://schemas.openxmlformats.org/spreadsheetml/2006/main" invalid="1" refreshOnLoad="1">
  <cacheSource type="worksheet">
    <worksheetSource ref="A1:Q373" sheet="Accounts"/>
  </cacheSource>
  <cacheFields count="17">
    <cacheField name="Accounts" uniqueList="1" numFmtId="0" sqlType="0" hierarchy="0" level="0" databaseField="1">
      <sharedItems count="366" containsBlank="1">
        <s v="Kenect Phoenix"/>
        <s v="Sentral Sol Modern"/>
        <s v="Sentral Alloy Midtown"/>
        <s v="Chateau Luxe Event Venue"/>
        <s v="Warehouse215"/>
        <s v="435 Collective"/>
        <s v="The Boho Space"/>
        <s v="The Teapot"/>
        <s v="monOrchid"/>
        <s v="The Dauz Venue"/>
        <s v="Antigua Garden"/>
        <s v="The Icehouse"/>
        <s v="Encanto 18"/>
        <s v="The Duce"/>
        <s v="Wedgewood Weddings"/>
        <s v="The Legacy Ballroom"/>
        <s v="TPC Scottsdale"/>
        <s v="Raven Golf Club"/>
        <s v="Papago Golf Club"/>
        <s v="Reliance Hospitality"/>
        <s v="Integrity Lodging"/>
        <s v="Riot Hospitality Group"/>
        <s v="Heavlin Management Company (HMC)"/>
        <s v="Aligned Hospitality Management"/>
        <s v="Aimbridge Hospitality"/>
        <s v="Crescent Hotels &amp; Resorts"/>
        <s v="Southwest Hospitality Management"/>
        <s v="Desert Hospitality Management"/>
        <s v="NCG Hospitality"/>
        <s v="Classic Hotels &amp; Resorts"/>
        <s v="Carter Concepts Restaurant Group"/>
        <s v="Courtyard Phoenix Airport"/>
        <s v="Hilton Phoenix Airport"/>
        <s v="Marriott Phoenix Airport"/>
        <s v="Arizona Biltmore, LXR Hotels &amp; Resorts"/>
        <s v="Embassy Suites by Hilton Phoenix Biltmore"/>
        <s v="Hampton Inn Phoenix-Biltmore"/>
        <s v="The Camby, Autograph Collection"/>
        <s v="AC Hotel Phoenix Biltmore"/>
        <s v="Sonesta Select Phoenix Camelback"/>
        <s v="Hilton Garden Inn Chandler Downtown"/>
        <s v="Element Chandler Fashion Center"/>
        <s v="AC Hotel Phoenix Downtown"/>
        <s v="Embassy Suites by Hilton Phoenix Downtown North"/>
        <s v="Cambria Hotel Downtown Phoenix Convention Center"/>
        <s v="Courtyard Phoenix Downtown"/>
        <s v="Hilton Garden Inn Phoenix Downtown"/>
        <s v="Residence Inn by Marriott Phoenix Downtown"/>
        <s v="Moxy Phoenix Downtown"/>
        <s v="Kimpton Hotel Palomar Phoenix"/>
        <s v="Home2 Suites by Hilton Phoenix Downtown"/>
        <s v="Renaissance Phoenix Downtown Hotel"/>
        <s v="Sheraton Phoenix Downtown"/>
        <s v="The Westin Phoenix Downtown"/>
        <s v="Hotel San Carlos"/>
        <s v="Hampton Inn &amp; Suites Phoenix Downtown"/>
        <s v="Hyatt Place Phoenix / Downtown"/>
        <s v="FOUND:RE Phoenix Hotel"/>
        <s v="Hyatt Regency Phoenix"/>
        <s v="Egyptian Motor Hotel BW Signature Collection"/>
        <s v="DoubleTree by Hilton Hotel Phoenix - Gilbert"/>
        <s v="TownePlace Suites by Marriott Phoenix Glendale Sports &amp; Entertainment District"/>
        <s v="SpringHill Suites by Marriott Phoenix Glendale Sports &amp; Entertainment District"/>
        <s v="Tru by Hilton Phoenix Glendale Westgate"/>
        <s v="Residence Inn by Marriott Phoenix Glendale Sports &amp; Entertainment District"/>
        <s v="Hampton Inn &amp; Suites Phoenix Glendale-Westgate"/>
        <s v="Staybridge Suites Phoenix - Glendale Sports Dist by IHG"/>
        <s v="Renaissance Phoenix Glendale Hotel &amp; Conference Center"/>
        <s v="Holiday Inn Express &amp; Suites Phoenix - Glendale Sports Dist"/>
        <s v="Arizona Grand Resort &amp; Spa"/>
        <s v="Legacy Golf Resort"/>
        <s v="WorldMark Phoenix - South Mountain Preserve"/>
        <s v="The Wigwam"/>
        <s v="Sheraton Mesa Hotel at Wrigleyville West"/>
        <s v="Delta Hotels Phoenix Mesa"/>
        <s v="Courtyard by Marriott Phoenix Mesa"/>
        <s v="Four Points by Sheraton at Phoenix Mesa Gateway Airport"/>
        <s v="DoubleTree by Hilton Phoenix Mesa"/>
        <s v="Courtyard by Marriott Mesa at Wrigleyville West"/>
        <s v="DoubleTree by Hilton Phoenix Midtown"/>
        <s v="Rise Uptown Hotel"/>
        <s v="Home2 Suites by Hilton Phoenix Midtown"/>
        <s v="The Clarendon Hotel and Spa"/>
        <s v="Fairfield Inn &amp; Suites Phoenix Midtown"/>
        <s v="Hilton Garden Inn Phoenix Midtown"/>
        <s v="JW Marriott Phoenix Desert Ridge Resort &amp; Spa"/>
        <s v="Marriott's Canyon Villas"/>
        <s v="Fairmont Gold Lounge"/>
        <s v="AC Hotel Scottsdale North"/>
        <s v="Courtyard Scottsdale Old Town"/>
        <s v="Scottsdale Marriott Old Town"/>
        <s v="The Monarch"/>
        <s v="Hotel Adeline, Scottsdale, a Tribute Portfolio Hotel"/>
        <s v="Embassy Suites by Hilton Scottsdale Resort"/>
        <s v="Senna House Hotel Scottsdale, Curio Collection by Hilton"/>
        <s v="The REMI Scottsdale, Autograph Collection"/>
        <s v="Caesars Republic Scottsdale, a Hilton Hotel"/>
        <s v="DoubleTree Resort by Hilton Paradise Valley-Scottsdale"/>
        <s v="Home2 Suites by Hilton Scottsdale North"/>
        <s v="Courtyard Scottsdale North"/>
        <s v="Cambria Hotel Phoenix - North Scottsdale"/>
        <s v="Great Wolf Lodge Water Park | Arizona"/>
        <s v="Residence Inn Scottsdale North"/>
        <s v="Orange Tree Resort"/>
        <s v="The Westin Kierland Resort &amp; Spa"/>
        <s v="Fairmont Scottsdale Princess"/>
        <s v="Grand Hyatt Scottsdale Resort"/>
        <s v="The Global Ambassador"/>
        <s v="SpringHill Suites Scottsdale North"/>
        <s v="SpringHill Suites Phoenix Scottsdale"/>
        <s v="Hilton Garden Inn Scottsdale Old Town"/>
        <s v="The Scott Resort &amp; Spa"/>
        <s v="Hyatt Place Scottsdale - North"/>
        <s v="The McCormick Scottsdale"/>
        <s v="Element Scottsdale at SkySong"/>
        <s v="ADERO Scottsdale Resort, Autograph Collection"/>
        <s v="Best Western Plus Sundial"/>
        <s v="JW Marriott Scottsdale Camelback Inn Resort &amp; Spa"/>
        <s v="The Hermosa Inn"/>
        <s v="Holiday Inn Club Vacations Scottsdale Resort"/>
        <s v="The Phoenician, a Luxury Collection Resort, Scottsdale"/>
        <s v="Omni Scottsdale Resort &amp; Spa at Montelucia"/>
        <s v="Hilton Vacation Club Scottsdale Villa Mirage"/>
        <s v="Hotel Valley Ho"/>
        <s v="Scottsdale Marriott at McDowell Mountains"/>
        <s v="Hilton Scottsdale Resort &amp; Villas"/>
        <s v="Hyatt House Scottsdale/Old Town"/>
        <s v="Hilton Vacation Club Scottsdale Links Resort"/>
        <s v="W Scottsdale"/>
        <s v="Royal Palms Resort and Spa -The Unbound Collection by Hyatt"/>
        <s v="Talking Stick Resort Hotel"/>
        <s v="Sanctuary Camelback Mountain Resort &amp; Spa"/>
        <s v="Canopy by Hilton Scottsdale Old Town"/>
        <s v="The Scottsdale Resort and Spa, Curio Collection by Hilton"/>
        <s v="Tru by Hilton Scottsdale Salt River"/>
        <s v="Home2 Suites by Hilton Scottsdale Salt River"/>
        <s v="Mountain Shadows Resort Scottsdale"/>
        <s v="Hilton Garden Inn Scottsdale North/Perimeter Center"/>
        <s v="Aloft Scottsdale"/>
        <s v="Andaz Scottsdale Resort &amp; Bungalows"/>
        <s v="Sonesta Suites Scottsdale Gainey Ranch"/>
        <s v="The Scottsdale Plaza Resort &amp; Villas"/>
        <s v="Holiday Inn &amp; Suites Scottsdale North - Airpark by IHG"/>
        <s v="Residence Inn Scottsdale Salt River"/>
        <s v="Hilton North Scottsdale at Cavasson"/>
        <s v="Sonesta ES Suites Scottsdale Paradise Valley"/>
        <s v="Home2 Suites by Hilton Scottsdale Old Town"/>
        <s v="AC Hotel Phoenix Tempe/Downtown"/>
        <s v="Marriott Phoenix Resort Tempe at The Buttes"/>
        <s v="Tempe Mission Palms, a Destination by Hyatt Hotel"/>
        <s v="Moxy Phoenix Tempe/ASU Area"/>
        <s v="Hyatt Place Tempe / Phoenix / University"/>
        <s v="Graduate by Hilton Tempe"/>
        <s v="OMNI Tempe Hotel At ASU"/>
        <s v="DoubleTree by Hilton Hotel Phoenix Tempe"/>
        <s v="Canopy by Hilton Tempe Downtown"/>
        <s v="Aloft Tempe"/>
        <s v="Hyatt Place Tempe/Phoenix Airport"/>
        <s v="The Westin Tempe"/>
        <s v="Residence Inn Tempe Downtown/University"/>
        <s v="Homewood Suites By Hilton Phoenix Tempe ASU Area"/>
        <s v="Hilton Garden Inn Phoenix/Tempe ASU Area"/>
        <s v="Fairfield by Marriott Inn &amp; Suites Tempe"/>
        <s v="Sheraton Desert Oasis Villas, Scottsdale"/>
        <s v="Holiday Inn Express &amp; Suites Phoenix – Midtown"/>
        <s v="Hyatt Place Phoenix-North"/>
        <s v="TownePlace Suites Phoenix North"/>
        <s v="SpringHill Suites by Marriott Phoenix North"/>
        <s v="DoubleTree by Hilton Hotel Phoenix North"/>
        <s v="Courtyard Phoenix North"/>
        <s v="Hampton Inn and Suites by Hilton Phoenix North"/>
        <s v="Four Points by Sheraton Phoenix North"/>
        <s v="Staybridge Suites Phoenix – Biltmore Area"/>
        <s v="Element Phoenix Biltmore"/>
        <s v="Aloft Phoenix-Airport"/>
        <s v="Crowne Plaza Phoenix Airport PHX"/>
        <s v="Holiday Inn &amp; Suites Phoenix Airport North"/>
        <s v="Hampton Inn Phoenix-Airport North"/>
        <s v="Country Inn &amp; Suites By Radisson, Phoenix Airport"/>
        <s v="Radisson Hotel Phoenix Airport"/>
        <s v="Residence Inn Phoenix Airport"/>
        <s v="Home2 Suites by Hilton Phoenix Airport North"/>
        <s v="Homewood Suites by Hilton Phoenix Airport South"/>
        <s v="Holiday Inn Express &amp; Suites Phoenix Airport"/>
        <s v="Holiday Inn Hotel &amp; Suites Phoenix Airport"/>
        <s v="TownePlace Suites by Marriott Phoenix Airport"/>
        <s v="Aloft Glendale at Westgate"/>
        <s v="MOXY Glendale"/>
        <s v="Holiday Inn Express Phoenix West – Tolleson"/>
        <s v="Fairfield Inn &amp; Suites Phoenix West/Tolleson"/>
        <s v="Four Points by Sheraton Phoenix West/Avondale"/>
        <s v="Residence Inn Phoenix West/Avondale"/>
        <s v="Courtyard Phoenix West Avondale"/>
        <s v="Home2 Suites by Hilton Phoenix Avondale"/>
        <s v="Hilton Garden Inn Phoenix/Avondale"/>
        <s v="SpringHill Suites Phoenix West/Avondale"/>
        <s v="Holiday Inn Glendale – Stadium &amp; Ent Dist"/>
        <s v="Comfort Suites Glendale – State Farm Stadium Area"/>
        <s v="Hyatt Place Phoenix Mesa"/>
        <s v="Holiday Inn Phoenix-Mesa/Chandler"/>
        <s v="La Quinta Inn &amp; Suites by Wyndham Phoenix Mesa West"/>
        <s v="Holiday Inn Express &amp; Suites Phoenix – Mesa West"/>
        <s v="Best Western Plus Chandler Hotel &amp; Suites"/>
        <s v="La Quinta Inns &amp; Suites Chandler"/>
        <s v="Holiday Inn Express Phoenix – Chandler West"/>
        <s v="Drury Plaza Hotel Phoenix Tempe"/>
        <s v="Drury Inn &amp; Suites Phoenix Airport"/>
        <s v="Drury Inn &amp; Suites Phoenix Chandler"/>
        <s v="Wyndham Phoenix Airport/Tempe"/>
        <s v="Vīb Hotel by Best Western Phoenix-Tempe"/>
        <s v="Hotel Tempe at Arizona Mills Mall"/>
        <s v="Staybridge Suites Tempe – Rio Salado Parkway"/>
        <s v="Home2 Suites by Hilton Phoenix Tempe, University Research Park"/>
        <s v="Hilton Garden Inn Phoenix Tempe University Research Park"/>
        <s v="Thunderbird Executive Inn &amp; Conference Center"/>
        <s v="Best Western Plus Tempe By The Mall"/>
        <s v="DoubleTree Hotel Phoenix Tempe"/>
        <s v="Kasa Tempe Near ASU"/>
        <s v="Residence Inn Tempe"/>
        <s v="Aiden by Best Western @ Scottsdale North"/>
        <s v="Holiday Inn Express Scottsdale North"/>
        <s v="Staybridge Suites Scottsdale – Talking Stick"/>
        <s v="Kasa Scottsdale North Phoenix"/>
        <s v="Kasa Scottsdale Quarter Phoenix"/>
        <s v="AC Hotels by Marriott Scottsdale North"/>
        <s v="AC Hotel Scottsdale Old Town"/>
        <s v="REVERB by Hard Rock Scottsdale"/>
        <s v="Hotel Scottsdale, Tapestry Collection by Hilton"/>
        <s v="Cambria Hotel &amp; Suites Scottsdale"/>
        <s v="Trademark Collection by Wyndham Scottsdale"/>
        <s v="Hotel Bixby Scottsdale"/>
        <s v="Boutique Hotel Paradise Valley"/>
        <s v="Country Inn &amp; Suites by Radisson, Scottsdale Old Town"/>
        <s v="Radisson Resort Scottsdale"/>
        <s v="Hyatt Place Scottsdale/OdySea in the Desert"/>
        <s v="Bespoke Inn Scottsdale"/>
        <s v="Winery Suites of Scottsdale"/>
        <s v="Mint House Scottsdale – Old Town"/>
        <s v="WorldMark by Wyndham Scottsdale"/>
        <s v="Pointe Hilton Tapatio Cliffs Resort"/>
        <s v="Hilton Phoenix Resort at the Peak"/>
        <s v="Kimpton Miralina Resort &amp; Villas"/>
        <s v="Sheraton Grand at Wild Horse Pass"/>
        <s v="Gila River Resorts &amp; Casinos – Vee Quiva"/>
        <s v="Gila River Resorts &amp; Casinos – Wild Horse Pass"/>
        <s v="Desert Diamond West Valley Resort &amp; Casino"/>
        <s v="The Scottsdale EDITION"/>
        <s v="The Ritz-Carlton Paradise Valley, The Palmeraie"/>
        <s v="VAI Resort"/>
        <s v="Luxury Hotel at The Parque"/>
        <s v="Mint House Midtown Phoenix"/>
        <s v="Placemakr Downtown Phoenix"/>
        <s v="Sonder Mill Ave Apartments Tempe"/>
        <s v="Sonder Ida Apartments Downtown"/>
        <s v="Sentral Old Town"/>
        <s v="The Grand Inn"/>
        <s v="Hotel Solaya"/>
        <s v="Papago Hotel by Reside, Trademark Collection by Wyndham"/>
        <s v="The Edith"/>
        <s v="Alloy Midtown"/>
        <s v="W2ND Historic Inn"/>
        <s v="Recess Hotel &amp; Club Phoenix"/>
        <s v="SLS Scottsdale"/>
        <s v="Phoenix Tempe, Autograph Collection"/>
        <s v="Astra Phoenix"/>
        <s v="Atari Hotels Phoenix"/>
        <s v="Museum Square Hotel"/>
        <s v="Glo"/>
        <s v="Filthy Animal"/>
        <s v="Culinary Dropout - Tempe"/>
        <s v="Three Thirty Three Restaurant"/>
        <s v="North Italia"/>
        <s v="Top of the Rock Restaurant"/>
        <s v="Postino Annex"/>
        <s v="Society"/>
        <s v="Roman"/>
        <s v="AZ88"/>
        <s v="The Mission Old Town"/>
        <s v="STK Steakhouse - Scottsdale"/>
        <s v="Uchi Scottsdale"/>
        <s v="HULA'S Modern Tiki Scottsdale"/>
        <s v="FnB Restaurant"/>
        <s v="Bourbon &amp; Bones Chophouse | Bar"/>
        <s v="Liquor Pig - Kitchen &amp; Cocktails"/>
        <s v="Social Tap Scottsdale"/>
        <s v="Barstool Scottsdale"/>
        <s v="Diego Pops "/>
        <s v="Montauk"/>
        <s v="Farm and Craft Scottsdale"/>
        <s v="Pistoleros Parrilla"/>
        <s v="Sexy Roman"/>
        <s v="HiFi Kitchen Cocktails"/>
        <s v="SHIV Supper Club"/>
        <s v="The Ends"/>
        <s v="Schmooze"/>
        <s v="EVO Old Town Scottsdale"/>
        <s v="The Beverly on Main"/>
        <s v="Sel"/>
        <s v="Olive &amp; Ivy"/>
        <s v="Hand Cut Chophouse"/>
        <s v="Maple &amp; Ash"/>
        <s v="Culinary Dropout - Scottsdale"/>
        <s v="P.F. Chang's"/>
        <s v="Scottsdale Fashion Square"/>
        <s v="Moxies Scottsdale Restaurant"/>
        <s v="Toca Madera Scottsdale"/>
        <s v="Ocean 44"/>
        <s v="Nobu Scottsdale"/>
        <s v="Fogo de Chão Brazilian Steakhouse"/>
        <s v="Fat Ox"/>
        <s v="Culinary Dropout - Kierland"/>
        <s v="Dominick's Steakhouse"/>
        <s v="Morton's The Steakhouse"/>
        <s v="The Guest House Scottsdale"/>
        <s v="Postino Kierland"/>
        <s v="North Italia - Kierland"/>
        <s v="The Arrogant Butcher"/>
        <s v="ROSSO ITALIAN"/>
        <s v="Chico Malo"/>
        <s v="Blanco Cocina + Cantina"/>
        <s v="Wren &amp; Wolf"/>
        <s v="Cleaverman"/>
        <s v="Condesa Phoenix"/>
        <s v="Miel De Agave Phoenix"/>
        <s v="The Churchill"/>
        <s v="Palma"/>
        <s v="Lom Wong"/>
        <s v="The Pemberton"/>
        <s v="Industry Standard"/>
        <s v="First &amp; Last"/>
        <s v="Pa'La Wood Fired Cooking"/>
        <s v="Bacanora PHX"/>
        <s v="Pizzeria Bianco"/>
        <s v="LATHA"/>
        <s v="Buck &amp; Rider Phoenix"/>
        <s v="HULA'S Modern Tiki Uptown"/>
        <s v="Postino Central"/>
        <s v="Steak 44 - Biltmore"/>
        <s v="PYRO"/>
        <s v="Rough Rider"/>
        <s v="Citizen Public House"/>
        <s v="Cooper’s Hawk Winery &amp; Restaurant"/>
        <s v="Thirsty Lion"/>
        <s v="George &amp; Gather"/>
        <s v="Miel de Agave Chandler"/>
        <s v="Born &amp; Bred by Aftermath"/>
        <s v="Postino East"/>
        <s v="Sotol Modern Cocktail Kitchen"/>
        <s v="Culinary Dropout - Gilbert"/>
        <s v="El Chorro"/>
        <s v="Roaring Fork"/>
        <s v="Metropolis"/>
        <s v="STK Steakhouse - Downtown"/>
        <s v="The Westin Kierland Villas, Scottsdale"/>
        <s v="Scottsdale Camelback Resort"/>
        <s v="Events by Sloane"/>
        <s v="Cactus Bloom Wedding &amp; Events"/>
        <s v="Wedding Bel AZ"/>
        <s v="Un Jour D'Amour Weddings &amp; Events"/>
        <s v="WeddingsbyShaye"/>
        <s v="Sydney Lema Weddings &amp; Events"/>
        <s v="Riding Tandem"/>
        <s v="K Marie Weddings"/>
        <s v="Beatriz Events"/>
        <m/>
        <s v="Perry's Steakhouse"/>
      </sharedItems>
    </cacheField>
    <cacheField name="Account Type" uniqueList="1" numFmtId="0" sqlType="0" hierarchy="0" level="0" databaseField="1">
      <sharedItems count="10" containsBlank="1">
        <s v="Apartment"/>
        <s v="Apartment/Hotel"/>
        <s v="Event"/>
        <s v="Golf"/>
        <s v="Hospitality Group"/>
        <s v="Hotel"/>
        <s v="Restaurant"/>
        <s v="Villas"/>
        <s v="Wedding Planner"/>
        <m/>
      </sharedItems>
    </cacheField>
    <cacheField name="Active" uniqueList="1" numFmtId="0" sqlType="0" hierarchy="0" level="0" databaseField="1">
      <sharedItems count="3" containsBlank="1">
        <m/>
        <s v="x"/>
        <s v="NO"/>
      </sharedItems>
    </cacheField>
    <cacheField name="Duplicate Found: 6" uniqueList="1" numFmtId="0" sqlType="0" hierarchy="0" level="0" databaseField="1">
      <sharedItems count="247" containsBlank="1">
        <s v="355 N Central Ave, Phoenix, AZ 85004"/>
        <s v="50 E Fillmore St, Phoenix, AZ 85004"/>
        <s v="3010 N 2nd St, Phoenix, AZ 85012"/>
        <s v="1175 E Lone Cactus Dr, Phoenix, AZ 85024"/>
        <s v="215 E Grant St, Phoenix, AZ 85004"/>
        <s v="435 S 3rd Ave, Phoenix, AZ 85003"/>
        <s v="3201 N 16th St Suite 16, Phoenix, AZ 85016"/>
        <m/>
        <s v="214 E Roosevelt St, Phoenix, AZ 85004"/>
        <s v="750 W Polk St, Phoenix, AZ 85007"/>
        <s v="2645 N 16th St, Phoenix, AZ 85006"/>
        <s v="429 W Jackson St, Phoenix, AZ 85003"/>
        <s v="2775 N 15th Ave, Phoenix, AZ 85007"/>
        <s v="525 S Central Ave, Phoenix, AZ 85004, USA"/>
        <s v="1742 N Lindsay Rd, Mesa, AZ 85213, USA"/>
        <s v="4530 E Gold Dust Ave, Phoenix, AZ 85028"/>
        <s v="17020 Hayden Rd, Scottsdale, AZ 85255"/>
        <s v="3636 E Baseline Rd, Phoenix, AZ 85042"/>
        <s v="5595 E Karsten Wy, Phoenix, AZ 85008"/>
        <s v="2621 S 47th St, Phoenix, AZ 85034"/>
        <s v="2435 S 47th St, Phoenix, AZ 85034"/>
        <s v="1101 N 44th St, Phoenix, AZ 85008"/>
        <s v="2400 E Missouri Ave, Phoenix, AZ 85016"/>
        <s v="2630 E Camelback Rd, Phoenix, AZ 85016"/>
        <s v="2310 E Highland Ave, Phoenix, AZ 85016"/>
        <s v="2401 E Camelback Rd, Phoenix, AZ 85016"/>
        <s v="2811 E Camelback Rd, Phoenix, AZ 85016"/>
        <s v="2101 E Camelback Rd, Phoenix, AZ 85016"/>
        <s v="150 S Arizona Ave, Chandler, AZ 85225"/>
        <s v="44 S Chandler Village Dr, Chandler, AZ 85226"/>
        <s v="414 N 5th St, Phoenix, AZ 85004"/>
        <s v="10 E Thomas Rd, Phoenix, AZ 85012"/>
        <s v="222 E Portland St, Phoenix, AZ 85004"/>
        <s v="132 S Central Ave, Phoenix, AZ 85004"/>
        <s v="15 E Monroe St, Phoenix, AZ 85004"/>
        <s v="116 S Central Ave, Phoenix, AZ 85004"/>
        <s v="2 E Jefferson St, Phoenix, AZ 85004"/>
        <s v="125 E Jackson St, Phoenix, AZ 85004"/>
        <s v="100 N 1st St, Phoenix, AZ 85004"/>
        <s v="340 N 3rd St, Phoenix, AZ 85004"/>
        <s v="333 N Central Ave, Phoenix, AZ 85004"/>
        <s v="202 N Central Ave, Phoenix, AZ 85004"/>
        <s v="77 E Polk St, Phoenix, AZ 85004"/>
        <s v="150 W Adams St, Phoenix, AZ 85003"/>
        <s v="1100 N Central Ave, Phoenix, AZ 85004"/>
        <s v="122 N 2nd St, Phoenix, AZ 85004"/>
        <s v="765 Grand Ave, Phoenix, AZ 85007"/>
        <s v="1800 S Santan Village Pkwy, Gilbert, AZ 85295"/>
        <s v="7271 N Zanjero Blvd, Glendale, AZ 85305"/>
        <s v="7370 N. Zanjero (Janjero) Boulevard, Glendale, AZ 85305"/>
        <s v="6610 N 95th Ave, Glendale, AZ 85305"/>
        <s v="7350 N Zanjero Blvd, Glendale, AZ 85305"/>
        <s v="6630 N 95th Ave, Glendale, AZ 85305"/>
        <s v="9340 W Cabela Dr, Glendale, AZ 85305"/>
        <s v="9495 W Entertainment Blvd, Glendale, AZ 85305"/>
        <s v="9310 W Cabela Dr, Glendale, AZ 85305"/>
        <s v="8000 South Arizona Grand E, Phoenix, AZ 85044"/>
        <s v="6808 S 32nd St, Phoenix, AZ 85042"/>
        <s v="4647 E Francisco Dr, Phoenix, AZ 85044"/>
        <s v="300 E Wigwam Blvd, Litchfield Park, AZ 85340"/>
        <s v="860 N Riverview, Mesa, AZ 85201"/>
        <s v="200 N Centennial Way, Mesa, AZ 85201"/>
        <s v="1221 S Westwood, Mesa, AZ 85210"/>
        <s v="6850 E Williams Field Rd, Mesa, AZ 85212"/>
        <s v="1011 W Holmes Ave, Mesa, AZ 85210"/>
        <s v="2224 W Rio Salado Pkwy, Mesa, AZ 85201"/>
        <s v="4000 N Central Ave, Phoenix, AZ 85012"/>
        <s v="400 W Camelback Rd, Phoenix, AZ 85013"/>
        <s v="3150 N Central Ave, Phoenix, AZ 85012"/>
        <s v="401 W Clarendon Ave, Phoenix, AZ 85013"/>
        <s v="2520 N Central Ave, Phoenix, AZ 85004"/>
        <s v="5350 E Marriott Dr, Phoenix, AZ 85054"/>
        <s v="5220 E Marriott Dr, Phoenix, AZ 85054"/>
        <s v="7600 E Hartford Dr, Scottsdale, AZ 85255"/>
        <s v="15200 N Kierland Blvd, Scottsdale, AZ 85254"/>
        <s v="3311 N Scottsdale Rd, Scottsdale, AZ 85251"/>
        <s v="7325 E 3rd Ave, Scottsdale, AZ 85251"/>
        <s v="4000 N Drinkwater Blvd, Scottsdale, AZ 85251"/>
        <s v="5101 N Scottsdale Rd, Scottsdale, AZ 85250"/>
        <s v="5001 N Scottsdale Rd, Scottsdale, AZ 85250"/>
        <s v="7501 E Camelback Rd, Scottsdale, AZ 85251"/>
        <s v="4415 N Buckboard Trail, Scottsdale, AZ 85251"/>
        <s v="4747 N Goldwater Blvd, Scottsdale, AZ 85251"/>
        <s v="5401 N Scottsdale Rd Scottsdale,Az 85250"/>
        <s v="20001 N Scottsdale Rd, Scottsdale, AZ 85255"/>
        <s v="17010 N Scottsdale Rd, Scottsdale, AZ 85255"/>
        <s v="4425 E Irma Ln, Phoenix, AZ 85050"/>
        <s v="7333 N Pima Rd, Scottsdale, AZ 85258"/>
        <s v="17011 N Scottsdale Rd, Scottsdale, AZ 85255"/>
        <s v="10601 N 56th St, Scottsdale, AZ 85254"/>
        <s v="6902 E Greenway Pkwy, Scottsdale, AZ 85254"/>
        <s v="7575 E Princess Dr, Scottsdale, AZ 85255"/>
        <s v="7500 E Doubletree Ranch Rd, Scottsdale, AZ 85258"/>
        <s v="4360 E Camelback Rd, Phoenix, AZ 85018"/>
        <s v="17020 N Scottsdale Rd, Scottsdale, AZ 85255"/>
        <s v="1500 N Scottsdale Rd, Scottsdale, AZ 85257"/>
        <s v="7324 E Indian School Rd, Scottsdale, AZ 85251"/>
        <s v="4925 N Scottsdale Rd, Scottsdale, AZ 85251"/>
        <s v="18513 N Scottsdale Rd, Scottsdale, AZ 85255"/>
        <s v="7421 N Scottsdale Rd, Scottsdale, AZ 85253"/>
        <s v="1345 N Scottsdale Rd, Scottsdale, AZ 85257"/>
        <s v="13225 N Eagle Ridge Dr, Fountain Hills, AZ 85268"/>
        <s v="7320 E Camelback Rd, Scottsdale, AZ 85251"/>
        <s v="5402 E Lincoln Dr, Scottsdale, AZ 85253"/>
        <s v="5532 N Palo Cristi Rd, Paradise Valley, AZ 85253"/>
        <s v="7677 E Princess Blvd, Scottsdale, AZ 85255"/>
        <s v="6000 E Camelback Rd, Scottsdale, AZ 85251"/>
        <s v="4949 E Lincoln Dr, Scottsdale, AZ 85253"/>
        <s v="7887 E Princess Blvd, Scottsdale, AZ 85255"/>
        <s v="6850 E Main St, Scottsdale, AZ 85251"/>
        <s v="16770 N Perimeter Dr, Scottsdale, AZ 85260"/>
        <s v="6333 N Scottsdale Rd, Scottsdale, AZ 85250"/>
        <s v="4245 N Drinkwater Blvd, Scottsdale, AZ 85251"/>
        <s v="16858 N Perimeter Dr, Scottsdale, AZ 85255"/>
        <s v="7277 E Camelback Rd, Scottsdale, AZ 85251"/>
        <s v="5200 E Camelback Rd, Phoenix, AZ 85018"/>
        <s v="9800 E Talking Stick Wy, Scottsdale, AZ 85256"/>
        <s v="5700 E McDonald Dr, Paradise Valley, AZ 85253"/>
        <s v="7142 E 1st St, Scottsdale, AZ 85251"/>
        <s v="7700 E McCormick Pkwy, Scottsdale, AZ 85258"/>
        <s v="8401 N Pima Center Pkwy, Scottsdale, AZ 85258"/>
        <s v="5445 E Lincoln Dr, Paradise Valley, AZ 85253"/>
        <s v="8550 E Princess Dr, Scottsdale, AZ 85255"/>
        <s v="4415 N Civic Center Plaza, Scottsdale, AZ 85251"/>
        <s v="6114 N Scottsdale Rd, Scottsdale, AZ 85253"/>
        <s v="7300 E Gainey Suites Dr, Scottsdale, AZ 85258"/>
        <s v="7200 N Scottsdale Rd, Scottsdale, AZ 85253"/>
        <s v="14255 N 87th St, Scottsdale, AZ 85260"/>
        <s v="5351 N Pima Rd, Scottsdale, AZ 85250"/>
        <s v="7965 E Cavasson Blvd, Scottsdale, AZ 85255"/>
        <s v="6040 N Scottsdale Rd, Scottsdale, AZ 85253"/>
        <s v="3131 N Scottsdale Rd, Scottsdale, AZ 85251"/>
        <s v="100 E Rio Salado Pkwy, Tempe, AZ 85281"/>
        <s v="2000 W Westcourt Way, Tempe, AZ 85282"/>
        <s v="60 E 5th St, Tempe, AZ 85281"/>
        <s v="1333 S Rural Rd, Tempe, AZ 85281"/>
        <s v="601 E 6th St, Tempe, AZ 85281"/>
        <s v="225 E Apache Blvd, Tempe, AZ 85281"/>
        <s v="7 E University Dr, Tempe, AZ 85281"/>
        <s v="2100 S Priest Dr, Tempe, AZ 85282"/>
        <s v="108 E University Dr, Tempe, AZ 85281"/>
        <s v="951 E Playa Del Norte Dr, Tempe, AZ 85288"/>
        <s v="1413 W Rio Salado Pkwy, Tempe, AZ 85281"/>
        <s v="11 E 7th St, Tempe, AZ 85281"/>
        <s v="510 S Forest Ave, Tempe, AZ 85281"/>
        <s v="66 S Rockford Dr, Tempe, AZ 85288"/>
        <s v="86 S Rockford Dr, Tempe, AZ 85281"/>
        <s v="1929 E Rio Salado Pkwy, Tempe, AZ 85288"/>
        <s v="17700 Hayden Rd, Scottsdale, AZ 85255"/>
        <s v="212 W Osborn Rd, Phoenix, AZ 85013"/>
        <s v="10838 N 25th Ave, Phoenix, AZ 85029"/>
        <s v="9425 N Black Cyn Hwy, Phoenix, AZ 85021"/>
        <s v="9426 N Black Cyn Hwy, Phoenix, AZ 85021"/>
        <s v="10220 N Metro Pkwy E, Phoenix, AZ 85051"/>
        <s v="9631 N Black Cyn Hwy, Phoenix, AZ 85021"/>
        <s v="2550 W Charlotte Dr, Phoenix, AZ 85085"/>
        <s v="2940 N Greenfield Rd, Phoenix, AZ 85016"/>
        <s v="4450 E Washington St, Phoenix, AZ 85034"/>
        <s v="4300 E Washington St, Phoenix, AZ 85034"/>
        <s v="1515 N 44th St, Phoenix, AZ"/>
        <s v="601 N 44th St, Phoenix, AZ 85008"/>
        <s v="7017 E McDowell Rd, Scottsdale, AZ 85257"/>
        <s v="740 S Mill Ave Suite D140, Tempe, AZ 85281"/>
        <s v="149 S Farmer Ave, Tempe AZ 85281"/>
        <s v="430 N Scottsdale Rd #101, Tempe, AZ 85281"/>
        <s v="697 S Novus Pl, Tempe, AZ 85281"/>
        <s v="615 S College Ave, Tempe, AZ 85281"/>
        <s v="920 E University Dr #204, Tempe, AZ 85288"/>
        <s v="Pre Open- On Rio Salado and Mill Ave "/>
        <s v="7353 E Scottsdale Mall, Scottsdale, AZ 85251"/>
        <s v="3815 N Brown Ave, Scottsdale, AZ 85251"/>
        <s v="3815 N Scottsdale Rd, Scottsdale, AZ 85251"/>
        <s v="3821 N Scottsdale Rd, Scottsdale, AZ 85251"/>
        <s v="7213 E 1st Ave, Scottsdale, AZ 85251"/>
        <s v="7125 E 5th Ave #31, Scottsdale, AZ 85251"/>
        <s v="4200 N Scottsdale Rd, Scottsdale, AZ 85251"/>
        <s v="7217 E 4th Ave, Scottsdale, AZ 85251"/>
        <s v="4312 N Brown Ave, Scottsdale, AZ 85251"/>
        <s v="4321 N Scottsdale Rd, Scottsdale, AZ 85251"/>
        <s v="4338 N Scottsdale Rd, Scottsdale, AZ 85251"/>
        <s v="4360 N Scottsdale Rd, Scottsdale, AZ 85251"/>
        <s v="4302 N Scottsdale Rd, Scottsdale, AZ 85251"/>
        <s v="4333 N Civic Center Plaza, Scottsdale, AZ 85251"/>
        <s v="4420 N Saddlebag Trail, Scottsdale, AZ 85251"/>
        <s v="7373 E Camelback Rd, Scottsdale, AZ 85251"/>
        <s v="7137 E Stetson Dr Suite 12, Scottsdale, AZ 85251"/>
        <s v="4222 N Marshall Way, Scottsdale, AZ 85251"/>
        <s v="4175 N Goldwater Blvd, Scottsdale, AZ 85251"/>
        <s v="7018 E Main St, Scottsdale, AZ 85251"/>
        <s v="7044 E Main St, Scottsdale, AZ 85251"/>
        <s v="7135 E Camelback Rd, Scottsdale, AZ 85251"/>
        <s v="7135 E Camelback Rd #154, Scottsdale, AZ 85251"/>
        <s v="7135 E Camelback Rd #130, Scottsdale, AZ 85251"/>
        <s v="7135 E Camelback Rd Suite 101, Scottsdale, AZ 85251"/>
        <s v="7014 E Camelback Rd, Scottsdale, AZ 85251"/>
        <s v="7014 E Camelback Rd Unit B120, Scottsdale, AZ 85251"/>
        <s v="4736 N Goldwater Blvd, Scottsdale, AZ 85251"/>
        <s v="4748 N Goldwater Blvd, Scottsdale, AZ 85251"/>
        <s v="7014 E Camelback Rd #1170, Scottsdale, AZ 85251"/>
        <s v="6300 N Scottsdale Rd, Scottsdale, AZ 85253"/>
        <s v="6316 N Scottsdale Rd, Scottsdale, AZ 85253"/>
        <s v="15125 N Scottsdale Rd, Scottsdale, AZ 85254"/>
        <s v="15169 N Scottsdale Rd, Scottsdale, AZ 85254"/>
        <s v="15233 N Kierland Blvd, Scottsdale, AZ 85254"/>
        <s v="15301 N Scottsdale Rd, Scottsdale, AZ 85254"/>
        <s v="7030 E Greenway Pkwy Ste 185, Scottsdale, AZ 85254"/>
        <s v="15024 N Scottsdale Rd, Scottsdale, AZ 85254"/>
        <s v="2 E Jefferson St #150, Phoenix, AZ 85004"/>
        <s v="2 E Jefferson St #113, Phoenix, AZ 85004"/>
        <s v="50 W Jefferson St, Phoenix, AZ 85003"/>
        <s v="123 E Washington St, Phoenix, AZ 85004"/>
        <s v="2 N Central Ave #101, Phoenix, AZ 85004"/>
        <s v="455 N 3rd St Suite 1005, Phoenix, AZ 85004"/>
        <s v="130 N Central Ave, Phoenix, AZ 85004"/>
        <s v="705 N 1st St #110, Phoenix, AZ 85004"/>
        <s v="901 N 1st St Ste 100 - 109, Phoenix, AZ 85004"/>
        <s v="903 N 2nd St, Phoenix, AZ 85004"/>
        <s v="218 E Portland St, Phoenix, AZ 85004"/>
        <s v="1121 N 2nd St, Phoenix, AZ 85004"/>
        <s v="128 E Roosevelt St, Phoenix, AZ 85004"/>
        <s v="1001 N 3rd Ave #1, Phoenix, AZ 85003"/>
        <s v="132 E Washington St, Phoenix, AZ 85004"/>
        <s v="1301 Grand Ave #1, Phoenix, AZ 85007"/>
        <s v="623 E Adams St, Phoenix, AZ 85004"/>
        <s v="628 E Adams St, Phoenix, AZ 85004"/>
        <s v="4225 E Camelback Rd, Phoenix, AZ 85018"/>
        <s v="5114 N 7th St Suite 1, Phoenix, AZ 85014"/>
        <s v="5144 N Central Ave, Phoenix, AZ 85012"/>
        <s v="5101 N 44th St, Phoenix, AZ 85018"/>
        <s v="4300 E Camelback Rd Suite 125, Phoenix, AZ 85018"/>
        <s v="1001 N Central Ave, Phoenix, AZ 85004"/>
        <s v="7111 E 5th Ave, Scottsdale, AZ 85251"/>
        <s v="3325 W Chandler Blvd, Chandler, AZ 85226"/>
        <s v="3077 W Frye Rd, Chandler, AZ 85226"/>
        <s v="336 S Washington St, Chandler, AZ 85225"/>
        <s v="325 S Arizona Ave, Chandler, AZ 85225"/>
        <s v="140 N Arizona Ave #100, Chandler, AZ 85225"/>
        <s v="302 N Gilbert Rd Ste 102, Gilbert, AZ 85234"/>
        <s v="313 N Gilbert Rd #301, Gilbert, AZ 85234"/>
        <s v="383 N Gilbert Rd, Gilbert, AZ 85234"/>
        <s v="5550 E Lincoln Dr, Paradise Valley, AZ 85253"/>
        <s v="4800 N Scottsdale Rd, Scottsdale, AZ 85251"/>
        <s v="7137 E Rancho Vista Dr b33, Scottsdale, AZ 85251"/>
        <s v="Pre-open Across the Street from Suns Stadium"/>
        <s v="15620 N Clubgate Dr, Scottsdale, AZ 85254"/>
        <s v="6302 E Camelback Rd, Scottsdale, AZ 85251"/>
        <s v="Pre Open - Gilbert"/>
      </sharedItems>
    </cacheField>
    <cacheField name="Area" uniqueList="1" numFmtId="0" sqlType="0" hierarchy="0" level="0" databaseField="1">
      <sharedItems count="18" containsBlank="1">
        <s v="Downtown"/>
        <s v="Midtown"/>
        <s v="Cave Creek"/>
        <s v="Scottsdale"/>
        <s v="Mesa"/>
        <m/>
        <s v="North Scottsdale"/>
        <s v="South Mountain"/>
        <s v="Tempe"/>
        <s v="Airport"/>
        <s v="Biltmore"/>
        <s v="Blitmore"/>
        <s v="Chandler"/>
        <s v="Gilbert"/>
        <s v="Glendale"/>
        <s v="Guadalupe"/>
        <s v="Litchfield"/>
        <s v="Uptown"/>
      </sharedItems>
    </cacheField>
    <cacheField name="Phone Number" uniqueList="1" sqlType="0" hierarchy="0" level="0" databaseField="1">
      <sharedItems count="241" containsBlank="1" containsInteger="1" containsMixedTypes="1" containsNumber="1">
        <n v="16022582828"/>
        <n v="18449621670"/>
        <s v="(833) 584-1129"/>
        <n v="16232668747"/>
        <m/>
        <n v="14802668440"/>
        <n v="16234285577"/>
        <n v="16024923235"/>
        <n v="16022570750"/>
        <n v="16027590042"/>
        <n v="14804286028"/>
        <n v="16025344653"/>
        <n v="9805532210"/>
        <n v="14805854334"/>
        <n v="16022433636"/>
        <n v="16022758428"/>
        <n v="14809664300"/>
        <n v="14808941600"/>
        <n v="16022737373"/>
        <s v="(602) 955-6600"/>
        <n v="16029553992"/>
        <n v="16029565221"/>
        <n v="16024680700"/>
        <n v="16028526500"/>
        <n v="16029555200"/>
        <n v="16234718400"/>
        <n v="14805537277"/>
        <s v="(602) 258-1771"/>
        <n v="16022221111"/>
        <n v="16234628271"/>
        <n v="16026032001"/>
        <n v="16023430006"/>
        <n v="16026032000"/>
        <n v="16232911200"/>
        <n v="16022536633"/>
        <n v="16026031111"/>
        <n v="16023330000"/>
        <n v="16022622500"/>
        <n v="16024293500"/>
        <n v="16022534121"/>
        <n v="16027101240"/>
        <n v="16023884888"/>
        <n v="16028758000"/>
        <n v="16022521234"/>
        <s v="(602) 807-5225"/>
        <n v="14808094100"/>
        <n v="16238722100"/>
        <n v="16237729200"/>
        <n v="16232503551"/>
        <n v="16237728900"/>
        <n v="16232717771"/>
        <n v="16238420000"/>
        <n v="16239373700"/>
        <n v="16239398888"/>
        <n v="18778004888"/>
        <n v="16023055500"/>
        <n v="16023861900"/>
        <n v="18442391641"/>
        <n v="14806641221"/>
        <n v="14808988300"/>
        <n v="14804613000"/>
        <n v="14805792100"/>
        <n v="14808335555"/>
        <n v="14805908000"/>
        <n v="16022799811"/>
        <s v="(480) 536-8900"/>
        <n v="16022773150"/>
        <n v="16022527363"/>
        <s v="(602) 716-9900"/>
        <n v="14802935000"/>
        <n v="14806293200"/>
        <n v="14805854848"/>
        <n v="14806075555"/>
        <n v="14804297785"/>
        <n v="14809451550"/>
        <n v="16233527272"/>
        <n v="14802847700"/>
        <n v="14809491414"/>
        <n v="14809465500"/>
        <s v="1 480-770-4415"/>
        <s v="(480) 903-4747"/>
        <n v="4809475400"/>
        <n v="14807411100"/>
        <n v="14809228400"/>
        <n v="14804807394"/>
        <n v="14809489653"/>
        <n v="14805634120"/>
        <s v="(480) 948-6100"/>
        <n v="14806241000"/>
        <s v="480.585.4848"/>
        <n v="14804441234"/>
        <n v="14808002211"/>
        <n v="14809228700"/>
        <n v="14807161600"/>
        <n v="14804810400"/>
        <n v="18005287867"/>
        <n v="14805908100"/>
        <s v="(800) 535-1865"/>
        <s v="(480) 361-0000"/>
        <n v="14803331900"/>
        <n v="14809944170"/>
        <n v="14809481700"/>
        <n v="16029558614"/>
        <n v="14802489001"/>
        <s v="(480) 941-8200"/>
        <n v="14806273200"/>
        <n v="14804734000"/>
        <n v="14803762600"/>
        <n v="14805023836"/>
        <n v="14809487750"/>
        <s v="(480) 946-7700"/>
        <n v="14805630500"/>
        <n v="14809702100"/>
        <n v="16022831234"/>
        <n v="14808507777"/>
        <s v="(855) 421-3522"/>
        <n v="14805903864"/>
        <n v="14809919000"/>
        <n v="14802917000"/>
        <n v="18554851417"/>
        <n v="14805154944"/>
        <n v="14802533700"/>
        <n v="14803681234"/>
        <n v="14809226969"/>
        <s v="(480) 948-5000"/>
        <n v="14809226500"/>
        <s v="(480) 745-8900"/>
        <n v="14806481500"/>
        <n v="14809488666"/>
        <n v="14806757665"/>
        <n v="14806426140"/>
        <n v="16022259000"/>
        <n v="14808941400"/>
        <n v="14809683451"/>
        <n v="14802071578"/>
        <n v="14809679431"/>
        <s v="(602) 794-8600"/>
        <n v="14809671441"/>
        <n v="14809686800"/>
        <n v="14806213300"/>
        <n v="14808049544"/>
        <n v="14809688885"/>
        <n v="14809672300"/>
        <n v="14809662780"/>
        <n v="14809682180"/>
        <n v="15205368100"/>
        <s v="(480) 515-5888"/>
        <s v="(480) 264-7554"/>
        <s v="(602) 997-8800"/>
        <s v="(602) 943-9510"/>
        <s v="(602) 943-9511"/>
        <s v="(602) 997-5900"/>
        <s v="(602) 944-7373"/>
        <s v="(623) 516-9300"/>
        <n v="16022240012"/>
        <n v="16022756300"/>
        <s v="(602) 273-7778"/>
        <n v="18776112469"/>
        <s v="(602) 267-0606"/>
        <s v="(908) 301-6717"/>
        <n v="14803971046"/>
        <n v="14802401601"/>
        <n v="4805907215"/>
        <n v="9285881007"/>
        <n v="16024312370"/>
        <n v="14809271111"/>
        <n v="14805507801"/>
        <n v="14809945576"/>
        <n v="14806365005"/>
        <n v="14805815171"/>
        <n v="14809160916"/>
        <n v="14809704852"/>
        <n v="14802844777"/>
        <n v="14806294922"/>
        <n v="14806873955"/>
        <n v="16024326719"/>
        <n v="14809701007"/>
        <n v="14809941888"/>
        <n v="14805688980"/>
        <n v="14805352121"/>
        <n v="16026097002"/>
        <n v="14809705000"/>
        <n v="14808418305"/>
        <n v="14803679900"/>
        <n v="14806136536"/>
        <n v="14802659814"/>
        <n v="14808895580"/>
        <n v="14809496296"/>
        <n v="14807512200"/>
        <n v="14804942008"/>
        <n v="14804008888"/>
        <n v="14809701700"/>
        <n v="14809492610"/>
        <n v="16026132356"/>
        <n v="14809304357"/>
        <n v="14808670044"/>
        <n v="14805810055"/>
        <n v="14806098866"/>
        <n v="14803076900"/>
        <n v="14806539701"/>
        <n v="14802727271"/>
        <n v="14809514440"/>
        <n v="14806254942"/>
        <n v="16028991111"/>
        <n v="14809482055"/>
        <n v="16023248502"/>
        <n v="16022186001"/>
        <n v="16026039363"/>
        <n v="16028998102"/>
        <n v="16025623510"/>
        <n v="16026753635"/>
        <n v="16028925550"/>
        <n v="14806902872"/>
        <n v="16025800000"/>
        <n v="16026750522"/>
        <n v="16028303797"/>
        <n v="16232302303"/>
        <n v="16029758297"/>
        <n v="16023683052"/>
        <n v="16022588300"/>
        <n v="14806406183"/>
        <n v="16023460110"/>
        <n v="16022658454"/>
        <n v="16022745144"/>
        <n v="16022714400"/>
        <n v="16027550049"/>
        <n v="16026750439"/>
        <n v="14803984208"/>
        <n v="14809367711"/>
        <n v="14807865799"/>
        <n v="14804705143"/>
        <n v="15206087651"/>
        <n v="14803079757"/>
        <n v="14806326363"/>
        <n v="14805506300"/>
        <n v="14804183980"/>
        <n v="14809485170"/>
        <n v="14809470795"/>
        <n v="14806216339"/>
        <n v="14806241700"/>
        <n v="14809473300"/>
      </sharedItems>
    </cacheField>
    <cacheField name="URL" uniqueList="1" numFmtId="0" sqlType="0" hierarchy="0" level="0" databaseField="1">
      <sharedItems count="236" containsBlank="1">
        <s v="https://www.kenectphoenix.com/?utm_source=GBP&amp;utm_medium=organic"/>
        <s v="https://sentral.com/phoenix/sol-modern/stay?utm_source=google&amp;utm_medium=GMB-Website-Link&amp;utm_campaign=GMB&amp;utm_content=Sentral-Sol-Modern"/>
        <s v="https://sentral.com/phoenix/alloy-midtown/stay?utm_source=google&amp;utm_medium=gpm&amp;utm_campaign=gpm&amp;utm_content=phoenix-alloy-midtown"/>
        <m/>
        <s v="https://www.warehouse215.com/"/>
        <s v="http://435collective.com/"/>
        <s v="https://monorchid.com/"/>
        <s v="http://thedauz.com/"/>
        <s v="https://antiguagarden.com/"/>
        <s v="https://openvenues.com/venue/the-icehouse/"/>
        <s v="https://www.wedgewoodweddings.com/lindsaygrove?matchtype=e&amp;device=c&amp;utm_source=google&amp;utm_medium=cpc&amp;utm_campaign={name}&amp;utm_term=lindsay%20grove%20by%20wedgewood%20weddings&amp;hsa_cam=11618124935&amp;hsa_ad=774357435985&amp;hsa_acc=1860597723&amp;hsa_mt=e&amp;hsa_net=adwor"/>
        <s v="http://tpc.com/scottsdale"/>
        <s v="https://www.ravenphx.com/"/>
        <s v="https://www.papagogolfclub.com/?utm_source=extnet&amp;utm_medium=yext"/>
        <s v="https://www.marriott.com/en-us/hotels/phxca-courtyard-phoenix-airport/overview/?scid=f2ae0541-1279-4f24-b197-a979c79310b0"/>
        <s v="https://www.hilton.com/en/hotels/phxahhf-hilton-phoenix-airport/?SEO_id=GMB-AMER-HH-PHXAHHF&amp;y_source=1_MTIyMDg0Ni03MTUtbG9jYXRpb24ud2Vic2l0ZQ%3D%3D"/>
        <s v="https://www.marriott.com/en-us/hotels/phxap-marriott-phoenix-airport/overview/?scid=f2ae0541-1279-4f24-b197-a979c79310b0"/>
        <s v="https://www.hilton.com/en/hotels/phxbmol-arizona-biltmore/rooms/"/>
        <s v="https://www.hilton.com/en/hotels/phxcbes-embassy-suites-phoenix-biltmore/?SEO_id=GMB-AMER-ES-PHXCBES&amp;y_source=1_MTExMDAzNC03MTUtbG9jYXRpb24ud2Vic2l0ZQ%3D%3D"/>
        <s v="https://www.hilton.com/en/hotels/phxehhx-hampton-phoenix-biltmore/?SEO_id=GMB-AMER-HX-PHXEHHX&amp;y_source=1_MjA4MzE5Ny03MTUtbG9jYXRpb24ud2Vic2l0ZQ%3D%3D"/>
        <s v="https://www.marriott.com/en-us/hotels/phxak-the-camby-autograph-collection/overview/?scid=f2ae0541-1279-4f24-b197-a979c79310b0"/>
        <s v="https://www.marriott.com/en-us/hotels/phxab-ac-hotel-phoenix-biltmore/overview/?scid=f2ae0541-1279-4f24-b197-a979c79310b0"/>
        <s v="https://www.sonesta.com/sonesta-select/az/phoenix/sonesta-select-phoenix-camelback"/>
        <s v="https://www.hilton.com/en/hotels/phxazgi-hilton-garden-inn-chandler-downtown/?SEO_id=GMB-AMER-GI-PHXAZGI&amp;y_source=1_MTU1MTEwNzctNzE1LWxvY2F0aW9uLndlYnNpdGU%3D"/>
        <s v="https://www.marriott.com/en-us/hotels/phxel-element-chandler-fashion-center/overview/?scid=f2ae0541-1279-4f24-b197-a979c79310b0"/>
        <s v="https://www.marriott.com/en-us/hotels/phxad-ac-hotel-phoenix-downtown/overview/?scid=f2ae0541-1279-4f24-b197-a979c79310b0"/>
        <s v="https://www.hilton.com/en/hotels/phxeses-embassy-suites-phoenix-downtown-north/?SEO_id=GMB-AMER-ES-PHXESES&amp;y_source=1_ODUzMzQzOC03MTUtbG9jYXRpb24ud2Vic2l0ZQ%3D%3D"/>
        <s v="https://www.choicehotels.com/arizona/phoenix/cambria-hotels/az474?mc=llgoxxpx"/>
        <s v="https://www.marriott.com/en-us/hotels/phxxt-courtyard-phoenix-downtown/overview/?scid=f2ae0541-1279-4f24-b197-a979c79310b0"/>
        <s v="https://www.hilton.com/en/hotels/phxdogi-hilton-garden-inn-phoenix-downtown/?SEO_id=GMB-AMER-GI-PHXDOGI&amp;y_source=1_MjY5OTI4MS03MTUtbG9jYXRpb24ud2Vic2l0ZQ%3D%3D"/>
        <s v="https://www.marriott.com/en-us/hotels/phxtw-residence-inn-phoenix-downtown/overview/?scid=f2ae0541-1279-4f24-b197-a979c79310b0"/>
        <s v="https://www.marriott.com/en-us/hotels/phxod-moxy-phoenix-downtown/overview/?scid=f2ae0541-1279-4f24-b197-a979c79310b0"/>
        <s v="https://www.hotelpalomar-phoenix.com/?&amp;cm_mmc=WEB-_-KI-_-AMER-_-EN-_-EV-_-Google%20Business%20Profile-_-DD-_-palomar%20phoenix"/>
        <s v="https://www.hilton.com/en/hotels/phxpxht-home2-suites-phoenix-downtown/?SEO_id=GMB-AMER-HT-PHXPXHT&amp;y_source=1_OTgxMzcxMzgtNzE1LWxvY2F0aW9uLndlYnNpdGU%3D"/>
        <s v="https://www.marriott.com/en-us/hotels/phxgp-sheraton-phoenix-downtown/overview/?scid=f2ae0541-1279-4f24-b197-a979c79310b0"/>
        <s v="https://www.marriott.com/en-us/hotels/phxiw-the-westin-phoenix-downtown/overview/?scid=f2ae0541-1279-4f24-b197-a979c79310b0"/>
        <s v="https://hotelsancarlos.com/?utm_source=google-gbp&amp;utm_medium=organic&amp;utm_campaign=gbp"/>
        <s v="https://www.hilton.com/en/hotels/phxcthx-hampton-suites-phoenix-downtown/?SEO_id=GMB-AMER-HX-PHXCTHX&amp;y_source=1_OTQwMzQyNC03MTUtbG9jYXRpb24ud2Vic2l0ZQ%3D%3D"/>
        <s v="https://www.foundrehotels.com/"/>
        <s v="https://www.hyatt.com/hyatt-regency/en-US/phxrp-hyatt-regency-phoenix?src=corp_lclb_google_seo_phxrp&amp;utm_source=google&amp;utm_medium=organic&amp;utm_campaign=lmr"/>
        <s v="https://www.egyptianmotorhotel.com/eat-drink.htm"/>
        <s v="https://www.hilton.com/en/hotels/phxstdt-doubletree-phoenix-gilbert/?SEO_id=GMB-AMER-DT-PHXSTDT&amp;y_source=1_MTM3MjY1Ny03MTUtbG9jYXRpb24ud2Vic2l0ZQ%3D%3D"/>
        <s v="https://www.marriott.com/en-us/hotels/phxtg-towneplace-suites-phoenix-glendale-sports-and-entertainment-district/overview/?scid=f2ae0541-1279-4f24-b197-a979c79310b0"/>
        <s v="https://www.marriott.com/en-us/hotels/phxgl-springhill-suites-phoenix-glendale-sports-and-entertainment-district/overview/?scid=f2ae0541-1279-4f24-b197-a979c79310b0"/>
        <s v="https://www.hilton.com/en/hotels/phxpgru-tru-phoenix-glendale-westgate/?SEO_id=GMB-AMER-RU-PHXPGRU&amp;y_source=1_MTkzMTU4MzYtNzE1LWxvY2F0aW9uLndlYnNpdGU%3D"/>
        <s v="https://www.marriott.com/en-us/hotels/phxgi-residence-inn-phoenix-glendale-sports-and-entertainment-district/overview/?scid=f2ae0541-1279-4f24-b197-a979c79310b0"/>
        <s v="https://www.hilton.com/en/hotels/phxglhx-hampton-suites-phoenix-glendale-westgate/?SEO_id=GMB-AMER-HX-PHXGLHX&amp;y_source=1_MjA4NDc3Ny03MTUtbG9jYXRpb24ud2Vic2l0ZQ%3D%3D"/>
        <s v="https://www.ihg.com/staybridge/hotels/us/en/glendale/phxgz/hoteldetail?cm_mmc=GoogleMaps-_-SB-_-US-_-PHXGZ"/>
        <s v="https://www.marriott.com/en-us/hotels/phxgr-renaissance-phoenix-glendale-hotel-and-conference-center/overview/?scid=f2ae0541-1279-4f24-b197-a979c79310b0"/>
        <s v="https://www.ihg.com/holidayinnexpress/hotels/us/en/glendale/phxgg/hoteldetail?cm_mmc=GoogleMaps-_-EX-_-US-_-PHXGG"/>
        <s v="https://www.arizonagrandresort.com/"/>
        <s v="https://www.extraholidays.com/phoenix-arizona/legacy-golf-resort?utm_medium=listing&amp;utm_source=google-local&amp;utm_campaign=na_gmb_na_locallisting_na_allusers&amp;utm_content=svclegacygolf"/>
        <s v="https://www.extraholidays.com/phoenix-arizona/worldmark-phoenix?utm_medium=listing&amp;utm_source=google-local&amp;utm_campaign=na_gmb_na_locallisting_na_allusers&amp;utm_content=wmphoenixsouthmountainpreserve"/>
        <s v="https://www.wigwamarizona.com/?utm_source=google&amp;utm_medium=organic&amp;utm_campaign=gbp_listing"/>
        <s v="https://www.marriott.com/en-us/hotels/phxww-sheraton-mesa-hotel-at-wrigleyville-west/overview/?scid=f2ae0541-1279-4f24-b197-a979c79310b0"/>
        <s v="https://www.marriott.com/en-us/hotels/phxde-delta-hotels-phoenix-mesa/overview/?scid=f2ae0541-1279-4f24-b197-a979c79310b0"/>
        <s v="https://www.marriott.com/en-us/hotels/phxme-courtyard-phoenix-mesa/overview/?scid=f2ae0541-1279-4f24-b197-a979c79310b0"/>
        <s v="https://www.marriott.com/en-us/hotels/phxma-four-points-at-phoenix-mesa-gateway-airport/overview/?scid=f2ae0541-1279-4f24-b197-a979c79310b0"/>
        <s v="https://www.hilton.com/en/hotels/meswhdt-doubletree-phoenix-mesa/?SEO_id=GMB-AMER-DT-MESWHDT&amp;y_source=1_MTY1MDA5NzktNzE1LWxvY2F0aW9uLndlYnNpdGU%3D"/>
        <s v="https://www.marriott.com/en-us/hotels/phxce-courtyard-mesa-at-wrigleyville-west/overview/?scid=f2ae0541-1279-4f24-b197-a979c79310b0"/>
        <s v="https://www.hilton.com/en/hotels/phxardt-doubletree-phoenix-midtown/?SEO_id=GMB-AMER-DT-PHXARDT&amp;y_source=1_MjA4Mzk4NS03MTUtbG9jYXRpb24ud2Vic2l0ZQ%3D%3D"/>
        <s v="https://www.google.com/aclk?sa=L&amp;ai=DChsSEwj5ro-q_N2PAxULJEQIHSpsNvwYACICCAEQAxoCZHo&amp;co=1&amp;ase=2&amp;gclid=CjwKCAjwlaTGBhANEiwAoRgXBceLXnbv5QWWVKOlNKgztmJ1y-EVIQDo-MotZrLXTyDgvElFh4BMzxoCtAIQAvD_BwE&amp;ei=a7TJaOjPMfLOkPIPsJ2y4QM&amp;cce=2&amp;category=acrcp_v1_32&amp;sig=AOD"/>
        <s v="https://www.hilton.com/en/hotels/phxmmht-home2-suites-phoenix-midtown/?SEO_id=GMB-AMER-HT-PHXMMHT&amp;y_source=1_OTgxMzgwNzQtNzE1LWxvY2F0aW9uLndlYnNpdGU%3D"/>
        <s v="http://www.goclarendon.com/"/>
        <s v="https://www.marriott.com/en-us/hotels/phxas-fairfield-inn-and-suites-phoenix-midtown/overview/?scid=f2ae0541-1279-4f24-b197-a979c79310b0"/>
        <s v="https://www.hilton.com/en/hotels/phxmdgi-hilton-garden-inn-phoenix-midtown/?SEO_id=GMB-AMER-GI-PHXMDGI&amp;y_source=1_MjA4Mzk4NS03MTUtbG9jYXRpb24ud2Vic2l0ZQ%3D%3D"/>
        <s v="https://www.marriott.com/en-us/hotels/phxdr-jw-marriott-phoenix-desert-ridge-resort-and-spa/overview/?scid=f2ae0541-1279-4f24-b197-a979c79310b0"/>
        <s v="https://www.marriott.com/en-us/hotels/phxcv-marriotts-canyon-villas/overview/?scid=f2ae0541-1279-4f24-b197-a979c79310b0"/>
        <s v="https://www.fairmont.com/en/fairmont-gold.html"/>
        <s v="https://www.marriott.com/en-us/hotels/phxax-ac-hotel-scottsdale-north/overview/?scid=f2ae0541-1279-4f24-b197-a979c79310b0"/>
        <s v="https://www.marriott.com/en-us/hotels/phxsc-courtyard-scottsdale-old-town/overview/?scid=f2ae0541-1279-4f24-b197-a979c79310b0"/>
        <s v="https://www.marriott.com/en-us/hotels/phxst-scottsdale-marriott-old-town/overview/?scid=f2ae0541-1279-4f24-b197-a979c79310b0"/>
        <s v="https://www.themonarchscottsdale.com/"/>
        <s v="https://www.marriott.com/en-us/hotels/phxtx-hotel-adeline-scottsdale-a-tribute-portfolio-hotel/overview/?scid=f2ae0541-1279-4f24-b197-a979c79310b0"/>
        <s v="https://www.hilton.com/en/hotels/scteses-embassy-suites-scottsdale-resort/?SEO_id=GMB-AMER-ES-SCTESES&amp;y_source=1_MzM1NTM1NC03MTUtbG9jYXRpb24ud2Vic2l0ZQ%3D%3D"/>
        <s v="https://www.hilton.com/en/hotels/phxttqq-senna-house-hotel-scottsdale/?SEO_id=GMB-AMER-QQ-PHXTTQQ&amp;y_source=1_Mjc3Mjk2MjQtNzE1LWxvY2F0aW9uLndlYnNpdGU%3D"/>
        <s v="https://www.marriott.com/en-us/hotels/phxda-the-remi-scottsdale-autograph-collection/overview/?scid=f2ae0541-1279-4f24-b197-a979c79310b0"/>
        <s v="https://www.caesarsrepublicscottsdale.com/"/>
        <s v="https://www.hilton.com/en/hotels/phxsjdt-doubletree-resort-paradise-valley-scottsdale/?SEO_id=GMB-AMER-DT-PHXSJDT&amp;y_source=1_MTM3Mjc3My03MTUtbG9jYXRpb24ud2Vic2l0ZQ%3D%3D"/>
        <s v="https://www.hilton.com/en/hotels/phxtsht-home2-suites-north-scottsdale-mayo-clinic/?SEO_id=GMB-AMER-HT-PHXTSHT&amp;y_source=1_NDIyNTAwMzQtNzE1LWxvY2F0aW9uLndlYnNpdGU%3D"/>
        <s v="https://www.marriott.com/en-us/hotels/phxcn-courtyard-scottsdale-north/overview/?scid=f2ae0541-1279-4f24-b197-a979c79310b0"/>
        <s v="https://www.choicehotels.com/arizona/phoenix/cambria-hotels/az379?mc=llgoxxpx"/>
        <s v="https://www.greatwolf.com/arizona?utm_source=google&amp;utm_medium=organic&amp;utm_campaign=gmb-arizona"/>
        <s v="https://www.marriott.com/en-us/hotels/phxrn-residence-inn-scottsdale-north/overview/?scid=f2ae0541-1279-4f24-b197-a979c79310b0"/>
        <s v="https://www.extraholidays.com/scottsdale-arizona/orange-tree-resort"/>
        <s v="https://www.marriott.com/en-us/hotels/phxws-the-westin-kierland-resort-and-spa/overview/?scid=f2ae0541-1279-4f24-b197-a979c79310b0"/>
        <s v="https://www.scottsdaleprincess.com/faqs"/>
        <s v="https://www.hyatt.com/grand-hyatt/en-US/scott-grand-hyatt-scottsdale-resort?src=corp_lclb_google_seo_scott&amp;utm_source=google&amp;utm_medium=organic&amp;utm_campaign=lmr"/>
        <s v="https://www.globalambassadorhotel.com/"/>
        <s v="https://www.marriott.com/en-us/hotels/phxsh-springhill-suites-scottsdale-north/overview/?scid=f2ae0541-1279-4f24-b197-a979c79310b0"/>
        <s v="https://www.hilton.com/en/hotels/sctgigi-hilton-garden-inn-scottsdale-old-town/?SEO_id=GMB-AMER-GI-SCTGIGI&amp;y_source=1_MjA4NDkyMS03MTUtbG9jYXRpb24ud2Vic2l0ZQ%3D%3D"/>
        <s v="https://www.thescottresort.com/"/>
        <s v="https://www.hyatt.com/hyatt-place/en-US/phxzs-hyatt-place-scottsdale-north?src=corp_lclb_google_seo_phxzs&amp;utm_source=google&amp;utm_medium=organic&amp;utm_campaign=lmr"/>
        <s v="https://www.millenniumhotels.com/en/scottsdale/the-mccormick-scottsdale/"/>
        <s v="https://www.marriott.com/en-us/hotels/phxes-element-scottsdale-at-skysong/overview/?scid=f2ae0541-1279-4f24-b197-a979c79310b0"/>
        <s v="https://www.marriott.com/en-us/hotels/phxaf-adero-scottsdale-resort-autograph-collection/overview/?scid=f2ae0541-1279-4f24-b197-a979c79310b0"/>
        <s v="https://www.bestwestern.com/en_US/book/hotel-rooms.03147.html?iata=00171880&amp;ssob=BLBWI0004G&amp;cid=BLBWI0004G:google:gmb:03147"/>
        <s v="https://www.marriott.com/en-us/hotels/phxcb-jw-marriott-scottsdale-camelback-inn-resort-and-spa/overview/?scid=f2ae0541-1279-4f24-b197-a979c79310b0"/>
        <s v="http://www.hermosainn.com/"/>
        <s v="https://holidayinnclub.com/explore-resorts/scottsdale-resort?utm_source=local&amp;utm_medium=organic&amp;utm_campaign=scottsdale-gmb-listing"/>
        <s v="https://www.marriott.com/en-us/hotels/phxlc-the-phoenician-a-luxury-collection-resort-scottsdale/overview/"/>
        <s v="https://www.omnihotels.com/hotels/scottsdale-montelucia?utm_source=gmblisting&amp;utm_medium=organic"/>
        <s v="https://www.hilton.com/en/hotels/phxmrgv-hilton-vacation-club-scottsdale-villa-mirage/?SEO_id=GMB-AMER-GV-PHXMRGV&amp;y_source=1_MjkyMzgyMjAtNzE1LWxvY2F0aW9uLndlYnNpdGU%3D"/>
        <s v="https://hotelvalleyho.com/"/>
        <s v="https://www.marriott.com/en-us/hotels/phxno-scottsdale-marriott-at-mcdowell-mountains/overview/?scid=f2ae0541-1279-4f24-b197-a979c79310b0"/>
        <s v="https://www.hilton.com/en/hotels/sctshhf-hilton-scottsdale-resort-and-villas/?SEO_id=GMB-AMER-HH-SCTSHHF&amp;y_source=1_MTIyMDk0My03MTUtbG9jYXRpb24ud2Vic2l0ZQ%3D%3D"/>
        <s v="https://www.hyatt.com/hyatt-house/en-US/phxxs-hyatt-house-scottsdale-old-town?src=agn_koddi_crp_chico_ppc_22375389508_Conversion_House_Google_Search_English_PHXXS_Scottsdale_Paid_Brand_CrossDevice_1x1_google_Koddi-TopUp-Evergreen-Brand_e_hyatt%20house%20s"/>
        <s v="https://www.hilton.com/en/hotels/phxregv-hilton-vacation-club-scottsdale-links-resort/?SEO_id=GMB-AMER-HH-PHXREGV&amp;y_source=1_MzUxNDI4NTUtNzE1LWxvY2F0aW9uLndlYnNpdGU%3D"/>
        <s v="https://www.marriott.com/en-us/hotels/phxwh-w-scottsdale/overview/?scid=f2ae0541-1279-4f24-b197-a979c79310b0"/>
        <s v="https://www.hyatt.com/unbound-collection/en-US/phxub-royal-palms-resort-and-spa?src=corp_lclb_google_seo_phxub&amp;utm_source=google&amp;utm_medium=organic&amp;utm_campaign=lmr"/>
        <s v="https://www.talkingstickresort.com/"/>
        <s v="https://www.sanctuaryaz.com/"/>
        <s v="https://www.hilton.com/en/hotels/phxotpy-canopy-scottsdale-old-town/?SEO_id=GMB-AMER-PY-PHXOTPY&amp;y_source=1_MTc4NjUzOTMtNzE1LWxvY2F0aW9uLndlYnNpdGU%3D"/>
        <s v="https://www.hilton.com/en/hotels/phxssqq-the-scottsdale-resort-and-spa/?SEO_id=GMB-AMER-QQ-PHXSSQQ&amp;y_source=1_MzA3ODU0NTQtNzE1LWxvY2F0aW9uLndlYnNpdGU%3D"/>
        <s v="https://www.hilton.com/en/hotels/phxscru-tru-scottsdale-salt-river/?SEO_id=GMB-AMER-RU-PHXSCRU&amp;y_source=1_MTQ5MzAwMjEtNzE1LWxvY2F0aW9uLndlYnNpdGU%3D"/>
        <s v="https://www.hilton.com/en/hotels/phxdaht-home2-suites-scottsdale-salt-river/?SEO_id=GMB-AMER-HT-PHXDAHT&amp;y_source=1_MTQ5MzAwNDctNzE1LWxvY2F0aW9uLndlYnNpdGU%3D"/>
        <s v="https://mountainshadows.com/"/>
        <s v="https://www.hilton.com/en/hotels/sctnpgi-hilton-garden-inn-scottsdale-north-perimeter-center/?SEO_id=GMB-AMER-GI-SCTNPGI&amp;y_source=1_MjA4NTE2My03MTUtbG9jYXRpb24ud2Vic2l0ZQ%3D%3D"/>
        <s v="https://www.marriott.com/en-us/hotels/phxsd-aloft-scottsdale/overview/?scid=f2ae0541-1279-4f24-b197-a979c79310b0"/>
        <s v="https://www.hyatt.com/andaz/en-US/phxaz-andaz-scottsdale-resort-and-bungalows?src=corp_lclb_google_seo_phxaz&amp;utm_source=google&amp;utm_medium=organic&amp;utm_campaign=lmr"/>
        <s v="https://www.sonesta.com/sonesta-hotels-resorts/az/scottsdale/sonesta-suites-scottsdale-gainey-ranch"/>
        <s v="https://www.scottsdaleplaza.com/?gad_source=1&amp;gad_campaignid=16408654732&amp;gbraid=0AAAAAodDwMSNbi1tTYgo2QurB_9i-XoxA&amp;gclid=CjwKCAjwlaTGBhANEiwAoRgXBQMHTkuiobxF6qNh8vzfvc1yTpVFBx_UAIjywjleouHvZtEChGv9DhoCsIYQAvD_BwE"/>
        <s v="https://www.ihg.com/holidayinn/hotels/us/en/scottsdale/phxsa/hoteldetail?cm_mmc=GoogleMaps-_-HI-_-US-_-PHXSA"/>
        <s v="https://www.marriott.com/en-us/hotels/phxrr-residence-inn-scottsdale-salt-river/overview/?scid=f2ae0541-1279-4f24-b197-a979c79310b0"/>
        <s v="https://www.hilton.com/en/hotels/scfnshh-north-scottsdale-at-cavasson/?SEO_id=GMB-AMER-HH-SCFNSHH&amp;y_source=1_Mjc3Mjg5OTMtNzE1LWxvY2F0aW9uLndlYnNpdGU%3D"/>
        <s v="https://www.sonesta.com/sonesta-es-suites/az/scottsdale/sonesta-es-suites-scottsdale-paradise-valley"/>
        <s v="https://www.hilton.com/en/hotels/phxdbht-home2-suites-scottsdale-old-town/?SEO_id=GMB-AMER-HT-PHXDBHT&amp;y_source=1_MTA4MDk1OTMzNi03MTUtbG9jYXRpb24ud2Vic2l0ZQ%3D%3D"/>
        <s v="https://www.marriott.com/en-us/hotels/phxac-ac-hotel-phoenix-tempe-downtown/overview/?scid=f2ae0541-1279-4f24-b197-a979c79310b0"/>
        <s v="https://www.marriott.com/en-us/hotels/phxtm-marriott-phoenix-resort-tempe-at-the-buttes/overview/?scid=f2ae0541-1279-4f24-b197-a979c79310b0"/>
        <s v="https://www.hyatt.com/destination-by-hyatt/en-US/phxdt-tempe-mission-palms?src=corp_lclb_google_seo_phxdt&amp;utm_source=google&amp;utm_medium=organic&amp;utm_campaign=lmr"/>
        <s v="https://www.marriott.com/en-us/hotels/phxox-moxy-phoenix-tempe-asu-area/overview/?scid=f2ae0541-1279-4f24-b197-a979c79310b0"/>
        <s v="https://www.hyatt.com/hyatt-place/en-US/phxzt-hyatt-place-tempe-phoenix-university?src=corp_lclb_google_seo_phxzt&amp;utm_source=google&amp;utm_medium=organic&amp;utm_campaign=lmr"/>
        <s v="https://www.hilton.com/en/hotels/phxgpgu-graduate-tempe/?SEO_id=GMB-AMER-GU-PHXGPGU&amp;y_source=1_MTA1MzY0NDY2Ni03MTUtbG9jYXRpb24ud2Vic2l0ZQ%3D%3D"/>
        <s v="https://www.omnihotels.com/hotels/tempe-asu?utm_source=gmblisting&amp;utm_medium=organic"/>
        <s v="https://www.hilton.com/en/hotels/phxmpdt-doubletree-phoenix-tempe/?SEO_id=GMB-AMER-DT-PHXMPDT&amp;y_source=1_MTM3MjY1Ni03MTUtbG9jYXRpb24ud2Vic2l0ZQ%3D%3D"/>
        <s v="https://www.hilton.com/en/hotels/phxtypy-canopy-tempe-downtown/?SEO_id=GMB-AMER-PY-PHXTYPY&amp;y_source=1_MTYwNzY5MDctNzE1LWxvY2F0aW9uLndlYnNpdGU%3D"/>
        <s v="https://www.marriott.com/en-us/hotels/phxal-aloft-tempe/overview/?scid=f2ae0541-1279-4f24-b197-a979c79310b0"/>
        <s v="https://www.hyatt.com/hyatt-place/en-US/phxza-hyatt-place-tempe-phoenix-airport?src=corp_lclb_google_seo_phxza&amp;utm_source=google&amp;utm_medium=organic&amp;utm_campaign=lmr"/>
        <s v="https://www.marriott.com/en-us/hotels/phxwt-the-westin-tempe/overview/?scid=f2ae0541-1279-4f24-b197-a979c79310b0"/>
        <s v="https://www.marriott.com/en-us/hotels/phxtd-residence-inn-tempe-downtown-university/overview/?scid=f2ae0541-1279-4f24-b197-a979c79310b0"/>
        <s v="https://www.hilton.com/en/hotels/phxtuhw-homewood-suites-phoenix-tempe-asu-area/?SEO_id=GMB-AMER-HG-PHXTUHW&amp;y_source=1_NDA5MDc2MC03MTUtbG9jYXRpb24ud2Vic2l0ZQ%3D%3D"/>
        <s v="https://www.hilton.com/en/hotels/phxaagi-hilton-garden-inn-phoenix-tempe-asu-area/?SEO_id=GMB-AMER-GI-PHXAAGI&amp;y_source=1_NjAxNzY2OS03MTUtbG9jYXRpb24ud2Vic2l0ZQ%3D%3D"/>
        <s v="https://www.marriott.com/en-us/hotels/phxfe-fairfield-inn-and-suites-tempe/overview/?scid=f2ae0541-1279-4f24-b197-a979c79310b0"/>
        <s v="https://www.marriott.com/en-us/hotels/phxso-sheraton-desert-oasis-villas-scottsdale/overview/?scid=f2ae0541-1279-4f24-b197-a979c79310b0"/>
        <s v="https://www.ihg.com/phoenix-arizona?cm_mmc=GoogleMaps-_-EX-_-US-_-PHXMT"/>
        <s v="https://www.reservations.com/hotel/hyatt-place-phoenix-north?googleCampaignId=22509500384&amp;googleAdGroupId=180522653002&amp;googleAdId=750293265067&amp;keyword=hyatt%20place%20phoenix%20north&amp;matchType=b&amp;googleKeywordId=&amp;adExtensionId=&amp;network=g&amp;adPosition=&amp;device"/>
        <s v="https://www.marriott.com/search/findHotels.mi?pageType=advanced&amp;searchType=InCity&amp;destinationAddress.latitude=33.571671&amp;destinationAddress.longitude=-112.116811&amp;destinationAddress.destination=TownePlace+Suites+Phoenix+North&amp;nst=paid&amp;cid=PAI_GLB0004YXD_GLE"/>
        <s v="https://www.hilton.com/en/hotels/phxntdt-doubletree-phoenix-north/?SEO_id=GMB-AMER-DT-PHXNTDT&amp;y_source=1_ODYwMjQ1My03MTUtbG9jYXRpb24ud2Vic2l0ZQ%3D%3D"/>
        <s v="https://www.marriott.com/en-us/hotels/phxmc-courtyard-phoenix-north/overview/?scid=f2ae0541-1279-4f24-b197-a979c79310b0"/>
        <s v="https://www.ihg.com/staybridge/hotels/us/en/phoenix/phxbi/hoteldetail?cm_mmc=GoogleMaps-_-SB-_-US-_-PHXBI"/>
        <s v="https://www.marriott.com/en-us/hotels/phxxl-aloft-phoenix-airport/overview/?scid=f2ae0541-1279-4f24-b197-a979c79310b0"/>
        <s v="https://www.ihg.com/crowneplaza/hotels/us/en/phoenix/phxea/hoteldetail?cm_mmc=GoogleMaps-_-CP-_-US-_-PHXEA"/>
        <s v="https://holidayinnsuitesphoenixairportnorth.reservationstays.com/hotels/RG65w3je?--=&amp;gad_source=1&amp;gad_campaignid=21791738075&amp;gbraid=0AAAAAo1QcNkXdhPulmVHToXJjpdZrqAnN&amp;gclid=Cj0KCQiA4eHLBhCzARIsAJ2NZoJJMsL8sd5OiyinF4yhnWwNXAYXTaVirjy_1Xym25qFZ5m6CcRyjUEaAh"/>
        <s v="https://www.google.com/search?client=safari&amp;rls=en&amp;q=Hampton+Inn+Phoenix-Airport+North&amp;ie=UTF-8&amp;oe=UTF-8"/>
        <s v="https://www.thisisfilthyanimal.com/"/>
        <s v="https://www.culinarydropout.com/locations/tempe-az/?utm_source=Google&amp;utm_medium=Organic&amp;utm_campaign=Maps"/>
        <s v="https://threethirtythreerestaurants.com/"/>
        <s v="https://www.northitalia.com/locations/tempe-az/"/>
        <s v="https://www.postino.com/locations/postino-annex"/>
        <s v="https://societytempe.com/"/>
        <s v="http://az88.com/"/>
        <s v="https://www.themissionaz.com/"/>
        <s v="https://stksteakhouse.com/en-us/location/scottsdale/"/>
        <s v="https://uchi.uchirestaurants.com/location/scottsdale/"/>
        <s v="http://hulasmoderntiki.com/"/>
        <s v="http://www.fnbrestaurant.com/"/>
        <s v="https://www.bourbonandbones.com/old-town-scottsdale/"/>
        <s v="https://liquorpigscottsdale.com/"/>
        <s v="https://socialtapscottsdaleaz.com/"/>
        <s v="https://barstoolscottsdale.com/"/>
        <s v="http://www.diegopops.com/"/>
        <s v="https://www.themontaukaz.com/"/>
        <s v="https://ilovefarmandcraft.com/"/>
        <s v="https://pistolerosaz.com/"/>
        <s v="http://www.sexyroman.com/?y_source=1_MjAxMjc4NDQ1My03MTUtbG9jYXRpb24ud2Vic2l0ZQ%3D%3D"/>
        <s v="https://www.hifiscottsdale.com/"/>
        <s v="https://shivsupperclub.com/"/>
        <s v="http://www.endsrestaurant.com/"/>
        <s v="http://schmoozescottsdale.com/"/>
        <s v="https://www.evoscottsdale.com/"/>
        <s v="http://www.beverlyonmain.com/"/>
        <s v="https://www.selrestaurant.com/"/>
        <s v="https://www.oliveandivyrestaurant.com/locations/scottsdale-az/?utm_source=Google&amp;utm_medium=Organic&amp;utm_campaign=Maps"/>
        <s v="http://www.handcutchophouse.com/"/>
        <s v="http://mapleandash.com/"/>
        <s v="https://www.culinarydropout.com/locations/scottsdale-az/?utm_source=Google&amp;utm_medium=Organic&amp;utm_campaign=Maps"/>
        <s v="https://locations.pfchangs.com/az/scottsdale/7135-e-camelback-rd-suite-101.html?utm_source=google_gbp&amp;utm_medium=organic"/>
        <s v="https://moxies.com/restaurants/scottsdale"/>
        <s v="https://tocamadera.com/"/>
        <s v="https://www.ocean44.com/"/>
        <s v="https://www.noburestaurants.com/scottsdale/home/?utm_source=google&amp;utm_medium=Yext"/>
        <s v="https://fogodechao.com/location/scottsdale/"/>
        <s v="https://www.ilovefatox.com/"/>
        <s v="https://www.culinarydropout.com/locations/scottsdale-az-scottsdale-quarter/?utm_source=Google&amp;utm_medium=Organic&amp;utm_campaign=Maps"/>
        <s v="https://www.dominickssteakhouse.com/?utm_source=google&amp;utm_medium=organic&amp;utm_campaign=gmb"/>
        <s v="https://www.mortons.com/location/mortons-the-steakhouse-scottsdale-az/"/>
        <s v="https://www.welcometgh.com/"/>
        <s v="https://www.postino.com/locations/postino-kierland"/>
        <s v="https://www.northitalia.com/locations/scottsdale-az-kierland-commons/"/>
        <s v="https://www.thearrogantbutcher.com/locations/phoenix-az/?utm_source=Google&amp;utm_medium=Organic&amp;utm_campaign=Maps"/>
        <s v="http://www.rossoitalian.com/"/>
        <s v="http://chicomalo.com/"/>
        <s v="https://www.blancotacostequila.com/locations/phoenix-az-block-23/?utm_source=Google&amp;utm_medium=Organic&amp;utm_campaign=Maps"/>
        <s v="https://www.wrenandwolf.com/"/>
        <s v="https://www.cleaverman.com/"/>
        <s v="https://condesaphx.com/"/>
        <s v="https://www.lamieldeagave.com/"/>
        <s v="https://www.thechurchillphx.com/"/>
        <s v="http://palmaphx.com/"/>
        <s v="http://www.lomwongaz.com/"/>
        <s v="http://www.thepemberton.com/"/>
        <s v="https://industrystandardaz.com/"/>
        <s v="http://www.firstandlastphx.com/"/>
        <s v="http://palakitchen.com/downtown"/>
        <s v="https://www.bacanoraphx.com/"/>
        <s v="http://www.pizzeriabianco.com/"/>
        <s v="https://www.lathaphx.com/"/>
        <s v="https://www.buckandrider.com/?utm_source=GMB&amp;utm_medium=local"/>
        <s v="https://www.postino.com/locations/postino-central"/>
        <s v="https://www.steak44.com/?utm_source=google&amp;utm_medium=organic&amp;utm_campaign=gmb"/>
        <s v="https://pyrophx.com/"/>
        <s v="http://www.roughrideraz.com/"/>
        <s v="http://www.citizenpublichouse.com/"/>
        <s v="https://chwinery.com/locations/arizona/chandler-az"/>
        <s v="https://www.thirstylionrestaurant.com/"/>
        <s v="https://www.georgeandgather.com/"/>
        <s v="https://mieldeagavechandler.com/"/>
        <s v="https://chandler.bornandbredarizona.com/"/>
        <s v="https://www.postino.com/locations/postino-east"/>
        <s v="https://sotolmck.com/"/>
        <s v="https://www.culinarydropout.com/locations/gilbert-az/?utm_source=Google&amp;utm_medium=Organic&amp;utm_campaign=Maps"/>
        <s v="https://www.elchorro.com/"/>
        <s v="http://www.roaringfork.com/"/>
        <s v="http://www.metropolisaz.com/"/>
        <s v="https://www.marriott.com/en-us/hotels/phxwk-the-westin-kierland-villas-scottsdale/overview/?scid=f2ae0541-1279-4f24-b197-a979c79310b0"/>
        <s v="http://www.scottsdalecamelback.com/?utm_source=gmb&amp;utm_medium=wix_google_business_profile&amp;utm_campaign=4873867034260296567"/>
      </sharedItems>
    </cacheField>
    <cacheField name="Self Parking Rate" uniqueList="1" sqlType="0" hierarchy="0" level="0" databaseField="1">
      <sharedItems count="27" containsBlank="1" containsInteger="1" containsMixedTypes="1" containsNumber="1">
        <m/>
        <s v="Included"/>
        <n v="15"/>
        <n v="10"/>
        <n v="14"/>
        <n v="12"/>
        <s v="Free"/>
        <n v="34"/>
        <n v="32"/>
        <n v="25"/>
        <n v="30"/>
        <n v="36"/>
        <n v="35"/>
        <s v="Fee"/>
        <n v="18"/>
        <n v="20"/>
        <s v="Resort Fee"/>
        <n v="42"/>
        <n v="7"/>
        <n v="29"/>
        <s v="None"/>
        <n v="28"/>
        <n v="11"/>
        <n v="19"/>
        <n v="23"/>
        <n v="8"/>
        <n v="5"/>
      </sharedItems>
    </cacheField>
    <cacheField name="Valet Rate" uniqueList="1" sqlType="0" hierarchy="0" level="0" databaseField="1">
      <sharedItems count="23" containsBlank="1" containsInteger="1" containsMixedTypes="1" containsNumber="1">
        <s v="No Valet"/>
        <m/>
        <s v="valet only"/>
        <n v="40"/>
        <n v="41"/>
        <n v="45"/>
        <n v="43"/>
        <n v="44"/>
        <n v="42"/>
        <n v="46"/>
        <n v="26"/>
        <n v="20"/>
        <s v="Has Valet"/>
        <n v="35"/>
        <n v="25"/>
        <n v="28"/>
        <n v="30"/>
        <n v="57"/>
        <n v="15"/>
        <n v="39"/>
        <s v="Complimentary"/>
        <n v="9"/>
        <s v="Has Valet - was $30 for a little over an hour on Valentines Day"/>
      </sharedItems>
    </cacheField>
    <cacheField name="Room Count" uniqueList="1" numFmtId="0" sqlType="0" hierarchy="0" level="0" databaseField="1">
      <sharedItems count="95" containsBlank="1" containsInteger="1" containsNumber="1" containsString="0">
        <m/>
        <n v="145"/>
        <n v="259"/>
        <n v="347"/>
        <n v="750"/>
        <n v="232"/>
        <n v="121"/>
        <n v="279"/>
        <n v="160"/>
        <n v="155"/>
        <n v="110"/>
        <n v="107"/>
        <n v="199"/>
        <n v="242"/>
        <n v="127"/>
        <n v="120"/>
        <n v="170"/>
        <n v="164"/>
        <n v="148"/>
        <n v="518"/>
        <n v="1000"/>
        <n v="128"/>
        <n v="210"/>
        <n v="238"/>
        <n v="104"/>
        <n v="693"/>
        <n v="49"/>
        <n v="149"/>
        <n v="116"/>
        <n v="324"/>
        <n v="96"/>
        <n v="744"/>
        <n v="331"/>
        <n v="180"/>
        <n v="274"/>
        <n v="134"/>
        <n v="262"/>
        <n v="129"/>
        <n v="156"/>
        <n v="103"/>
        <n v="105"/>
        <n v="950"/>
        <n v="252"/>
        <n v="165"/>
        <n v="243"/>
        <n v="194"/>
        <n v="213"/>
        <n v="312"/>
        <n v="169"/>
        <n v="265"/>
        <n v="378"/>
        <n v="130"/>
        <n v="153"/>
        <n v="735"/>
        <n v="496"/>
        <n v="141"/>
        <n v="204"/>
        <n v="136"/>
        <n v="125"/>
        <n v="157"/>
        <n v="177"/>
        <n v="54"/>
        <n v="453"/>
        <n v="43"/>
        <n v="119"/>
        <n v="293"/>
        <n v="224"/>
        <n v="241"/>
        <n v="266"/>
        <n v="235"/>
        <n v="228"/>
        <n v="278"/>
        <n v="81"/>
        <n v="217"/>
        <n v="122"/>
        <n v="126"/>
        <n v="185"/>
        <n v="404"/>
        <n v="117"/>
        <n v="111"/>
        <n v="237"/>
        <n v="159"/>
        <n v="353"/>
        <n v="303"/>
        <n v="186"/>
        <n v="154"/>
        <n v="140"/>
        <n v="330"/>
        <n v="270"/>
        <n v="198"/>
        <n v="123"/>
        <n v="290"/>
        <n v="173"/>
        <n v="83"/>
        <n v="298"/>
      </sharedItems>
    </cacheField>
    <cacheField name="Parking Reviews " uniqueList="1" numFmtId="0" sqlType="0" hierarchy="0" level="0" databaseField="1">
      <sharedItems count="63" containsBlank="1" containsNumber="1" containsString="0">
        <m/>
        <n v="0.5600000000000001"/>
        <n v="0.53"/>
        <n v="0.65"/>
        <n v="0.35"/>
        <n v="0.2"/>
        <n v="0.42"/>
        <n v="0.45"/>
        <n v="0.68"/>
        <n v="0.71"/>
        <n v="0.16"/>
        <n v="0.3"/>
        <n v="0.32"/>
        <n v="0.14"/>
        <n v="0.31"/>
        <n v="0.5"/>
        <n v="0.34"/>
        <n v="0.39"/>
        <n v="0.41"/>
        <n v="0.38"/>
        <n v="0.24"/>
        <n v="0.36"/>
        <n v="0.37"/>
        <n v="0.54"/>
        <n v="0.17"/>
        <n v="0.43"/>
        <n v="0.52"/>
        <n v="0.6"/>
        <n v="0.78"/>
        <n v="0.29"/>
        <n v="0.64"/>
        <n v="0.44"/>
        <n v="0.7"/>
        <n v="0.75"/>
        <n v="1"/>
        <n v="0.28"/>
        <n v="0.18"/>
        <n v="0.25"/>
        <n v="0.58"/>
        <n v="0.33"/>
        <n v="0.23"/>
        <n v="0.4"/>
        <n v="0"/>
        <n v="0.06"/>
        <n v="0.15"/>
        <n v="0.19"/>
        <n v="0.46"/>
        <n v="0.48"/>
        <n v="0.49"/>
        <n v="0.57"/>
        <n v="0.59"/>
        <n v="0.61"/>
        <n v="0.62"/>
        <n v="0.63"/>
        <n v="0.6899999999999999"/>
        <n v="0.72"/>
        <n v="0.73"/>
        <n v="0.74"/>
        <n v="0.77"/>
        <n v="0.9"/>
        <n v="0.55"/>
        <n v="0.79"/>
        <n v="0.8"/>
      </sharedItems>
    </cacheField>
    <cacheField name="parking reviews 2" uniqueList="1" numFmtId="0" sqlType="0" hierarchy="0" level="0" databaseField="1">
      <sharedItems count="79" containsBlank="1" containsInteger="1" containsNumber="1" containsString="0">
        <m/>
        <n v="18"/>
        <n v="51"/>
        <n v="46"/>
        <n v="156"/>
        <n v="33"/>
        <n v="95"/>
        <n v="19"/>
        <n v="21"/>
        <n v="31"/>
        <n v="16"/>
        <n v="37"/>
        <n v="68"/>
        <n v="113"/>
        <n v="64"/>
        <n v="136"/>
        <n v="87"/>
        <n v="13"/>
        <n v="131"/>
        <n v="72"/>
        <n v="150"/>
        <n v="219"/>
        <n v="41"/>
        <n v="153"/>
        <n v="78"/>
        <n v="188"/>
        <n v="22"/>
        <n v="6"/>
        <n v="17"/>
        <n v="7"/>
        <n v="25"/>
        <n v="5"/>
        <n v="448"/>
        <n v="9"/>
        <n v="192"/>
        <n v="40"/>
        <n v="66"/>
        <n v="62"/>
        <n v="42"/>
        <n v="20"/>
        <n v="32"/>
        <n v="70"/>
        <n v="29"/>
        <n v="130"/>
        <n v="24"/>
        <n v="154"/>
        <n v="39"/>
        <n v="57"/>
        <n v="38"/>
        <n v="77"/>
        <n v="26"/>
        <n v="75"/>
        <n v="110"/>
        <n v="10"/>
        <n v="177"/>
        <n v="112"/>
        <n v="30"/>
        <n v="59"/>
        <n v="58"/>
        <n v="44"/>
        <n v="23"/>
        <n v="73"/>
        <n v="104"/>
        <n v="108"/>
        <n v="35"/>
        <n v="96"/>
        <n v="349"/>
        <n v="49"/>
        <n v="82"/>
        <n v="8"/>
        <n v="15"/>
        <n v="54"/>
        <n v="12"/>
        <n v="76"/>
        <n v="134"/>
        <n v="36"/>
        <n v="27"/>
        <n v="0"/>
        <n v="14"/>
      </sharedItems>
    </cacheField>
    <cacheField name="Management Group" uniqueList="1" numFmtId="0" sqlType="0" hierarchy="0" level="0" databaseField="1">
      <sharedItems count="5" containsBlank="1">
        <m/>
        <s v="Kaos Hospitality"/>
        <s v="Carter Concepts Restaurant Group"/>
        <s v="Riot Hospitality Group"/>
        <s v="Fox Restaurant Concepts"/>
      </sharedItems>
    </cacheField>
    <cacheField name="Linked Accounts" uniqueList="1" numFmtId="0" sqlType="0" hierarchy="0" level="0" databaseField="1">
      <sharedItems count="7" containsBlank="1">
        <m/>
        <s v="Connected to Mariott Phoenix Resort Tempe at The Buttes"/>
        <s v="Shared Valet Program with Montauk"/>
        <s v="Shared Valet Program with Diego Pops"/>
        <s v="W Scottsdale Hotel"/>
        <s v="Riot House, El Hefe, Bottled Blonde, All those clubs are right there"/>
        <s v="Fine Dining, Hotels, and Luxury Shopping"/>
      </sharedItems>
    </cacheField>
    <cacheField name="Garage Operator " uniqueList="1" numFmtId="0" sqlType="0" hierarchy="0" level="0" databaseField="1">
      <sharedItems count="2" containsBlank="1">
        <m/>
        <s v="Ace Parking"/>
      </sharedItems>
    </cacheField>
    <cacheField name="Valet Operator" uniqueList="1" numFmtId="0" sqlType="0" hierarchy="0" level="0" databaseField="1">
      <sharedItems count="5" containsBlank="1">
        <m/>
        <s v="Premium Parking"/>
        <s v="Laz"/>
        <s v="TownePark"/>
        <s v="Epic"/>
      </sharedItems>
    </cacheField>
    <cacheField name="Location Notes" uniqueList="1" numFmtId="0" sqlType="0" hierarchy="0" level="0" databaseField="1">
      <sharedItems count="1" containsBlank="1" containsString="0">
        <m/>
      </sharedItems>
    </cacheField>
  </cacheFields>
</pivotCacheDefinition>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Analysis" cacheId="0" dataOnRows="0" dataCaption=""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A22:D33" firstHeaderRow="0" firstDataRow="2" firstDataCol="0"/>
  <pivotFields count="17">
    <pivotField name="Accounts" showDropDowns="1" compact="0" outline="0" subtotalTop="1" dragToRow="1" dragToCol="1" multipleItemSelectionAllowed="1" dragToPage="1" dragToData="1" dragOff="1" showAll="0" topAutoShow="1" itemPageCount="10" sortType="manual" defaultSubtotal="1">
      <items count="36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efault" sd="1"/>
      </items>
    </pivotField>
    <pivotField name="Account Type" axis="axisRow" dataField="1" showDropDowns="1" compact="0" outline="0" subtotalTop="1" dragToRow="1" dragToCol="1" multipleItemSelectionAllowed="1" dragToPage="1" dragToData="1" dragOff="1" showAll="0" topAutoShow="1" itemPageCount="10" sortType="ascending" defaultSubtotal="1">
      <items count="11">
        <item t="data" sd="1" x="9"/>
        <item t="data" sd="1" x="0"/>
        <item t="data" sd="1" x="1"/>
        <item t="data" sd="1" x="2"/>
        <item t="data" sd="1" x="3"/>
        <item t="data" sd="1" x="4"/>
        <item t="data" sd="1" x="5"/>
        <item t="data" sd="1" x="6"/>
        <item t="data" sd="1" x="7"/>
        <item t="data" sd="1" x="8"/>
        <item t="default" sd="1"/>
      </items>
    </pivotField>
    <pivotField name="Active" showDropDowns="1" compact="0" outline="0" subtotalTop="1" dragToRow="1" dragToCol="1" multipleItemSelectionAllowed="1" dragToPage="1" dragToData="1" dragOff="1" showAll="0" topAutoShow="1" itemPageCount="10" sortType="manual" defaultSubtotal="1">
      <items count="4">
        <item t="data" sd="1" x="0"/>
        <item t="data" sd="1" x="1"/>
        <item t="data" sd="1" x="2"/>
        <item t="default" sd="1"/>
      </items>
    </pivotField>
    <pivotField name="Duplicate Found: 6" showDropDowns="1" compact="0" outline="0" subtotalTop="1" dragToRow="1" dragToCol="1" multipleItemSelectionAllowed="1" dragToPage="1" dragToData="1" dragOff="1" showAll="0" topAutoShow="1" itemPageCount="10" sortType="manual" defaultSubtotal="1">
      <items count="24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efault" sd="1"/>
      </items>
    </pivotField>
    <pivotField name="Area" showDropDowns="1" compact="0" outline="0" subtotalTop="1" dragToRow="1" dragToCol="1" multipleItemSelectionAllowed="1" dragToPage="1" dragToData="1" dragOff="1" showAll="0" topAutoShow="1" itemPageCount="10" sortType="manual" defaultSubtotal="1">
      <items count="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efault" sd="1"/>
      </items>
    </pivotField>
    <pivotField name="Phone Number" showDropDowns="1" compact="0" outline="0" subtotalTop="1" dragToRow="1" dragToCol="1" multipleItemSelectionAllowed="1" dragToPage="1" dragToData="1" dragOff="1" showAll="0" topAutoShow="1" itemPageCount="10" sortType="manual" defaultSubtotal="1">
      <items count="24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efault" sd="1"/>
      </items>
    </pivotField>
    <pivotField name="URL" showDropDowns="1" compact="0" outline="0" subtotalTop="1" dragToRow="1" dragToCol="1" multipleItemSelectionAllowed="1" dragToPage="1" dragToData="1" dragOff="1" showAll="0" topAutoShow="1" itemPageCount="10" sortType="manual" defaultSubtotal="1">
      <items count="23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efault" sd="1"/>
      </items>
    </pivotField>
    <pivotField name="Self Parking Rate" dataField="1" showDropDowns="1" compact="0" outline="0" subtotalTop="1" dragToRow="1" dragToCol="1" multipleItemSelectionAllowed="1" dragToPage="1" dragToData="1" dragOff="1" showAll="0" topAutoShow="1" itemPageCount="10" sortType="manual" defaultSubtotal="1">
      <items count="2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efault" sd="1"/>
      </items>
    </pivotField>
    <pivotField name="Valet Rate" dataField="1" showDropDowns="1" compact="0" outline="0" subtotalTop="1" dragToRow="1" dragToCol="1" multipleItemSelectionAllowed="1" dragToPage="1" dragToData="1" dragOff="1" showAll="0" topAutoShow="1" itemPageCount="10" sortType="manual" defaultSubtotal="1">
      <items count="2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efault" sd="1"/>
      </items>
    </pivotField>
    <pivotField name="Room Count" showDropDowns="1" compact="0" outline="0" subtotalTop="1" dragToRow="1" dragToCol="1" multipleItemSelectionAllowed="1" dragToPage="1" dragToData="1" dragOff="1" showAll="0" topAutoShow="1" itemPageCount="10" sortType="manual" defaultSubtotal="1">
      <items count="9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efault" sd="1"/>
      </items>
    </pivotField>
    <pivotField name="Parking Reviews " showDropDowns="1" compact="0" outline="0" subtotalTop="1" dragToRow="1" dragToCol="1" multipleItemSelectionAllowed="1" dragToPage="1" dragToData="1" dragOff="1" showAll="0" topAutoShow="1" itemPageCount="10" sortType="manual" defaultSubtotal="1">
      <items count="6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efault" sd="1"/>
      </items>
    </pivotField>
    <pivotField name="parking reviews 2" showDropDowns="1" compact="0" outline="0" subtotalTop="1" dragToRow="1" dragToCol="1" multipleItemSelectionAllowed="1" dragToPage="1" dragToData="1" dragOff="1" showAll="0" topAutoShow="1" itemPageCount="10" sortType="manual" defaultSubtotal="1">
      <items count="80">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efault" sd="1"/>
      </items>
    </pivotField>
    <pivotField name="Management Group"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Linked Accounts" showDropDowns="1" compact="0" outline="0" subtotalTop="1" dragToRow="1" dragToCol="1" multipleItemSelectionAllowed="1" dragToPage="1" dragToData="1" dragOff="1" showAll="0" topAutoShow="1" itemPageCount="10" sortType="manual" defaultSubtotal="1">
      <items count="8">
        <item t="data" sd="1" x="0"/>
        <item t="data" sd="1" x="1"/>
        <item t="data" sd="1" x="2"/>
        <item t="data" sd="1" x="3"/>
        <item t="data" sd="1" x="4"/>
        <item t="data" sd="1" x="5"/>
        <item t="data" sd="1" x="6"/>
        <item t="default" sd="1"/>
      </items>
    </pivotField>
    <pivotField name="Garage Operator " showDropDowns="1" compact="0" outline="0" subtotalTop="1" dragToRow="1" dragToCol="1" multipleItemSelectionAllowed="1" dragToPage="1" dragToData="1" dragOff="1" showAll="0" topAutoShow="1" itemPageCount="10" sortType="manual" defaultSubtotal="1">
      <items count="3">
        <item t="data" sd="1" x="0"/>
        <item t="data" sd="1" x="1"/>
        <item t="default" sd="1"/>
      </items>
    </pivotField>
    <pivotField name="Valet Operator"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Location Notes" showDropDowns="1" compact="0" outline="0" subtotalTop="1" dragToRow="1" dragToCol="1" multipleItemSelectionAllowed="1" dragToPage="1" dragToData="1" dragOff="1" showAll="0" topAutoShow="1" itemPageCount="10" sortType="manual" defaultSubtotal="1">
      <items count="2">
        <item t="data" sd="1" x="0"/>
        <item t="default" sd="1"/>
      </items>
    </pivotField>
  </pivotFields>
  <rowFields count="1">
    <field x="1"/>
  </rowFields>
  <colFields count="1">
    <field x="-2"/>
  </colFields>
  <dataFields count="3">
    <dataField name="COUNTA of Account Type" fld="1" subtotal="count" showDataAs="normal" baseField="0" baseItem="1048832"/>
    <dataField name="AVERAGE of Self Parking Rate" fld="7" subtotal="average" showDataAs="normal" baseField="0" baseItem="1048832"/>
    <dataField name="AVERAGE of Valet Rate" fld="8" subtotal="average" showDataAs="normal" baseField="0" baseItem="1048832"/>
  </dataFields>
</pivotTableDefinition>
</file>

<file path=xl/pivotTables/pivotTable2.xml><?xml version="1.0" encoding="utf-8"?>
<pivotTableDefinition xmlns:r="http://schemas.openxmlformats.org/officeDocument/2006/relationships" xmlns="http://schemas.openxmlformats.org/spreadsheetml/2006/main" name="Analysis 2" cacheId="0" dataOnRows="0" dataCaption=""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F22:H28" firstHeaderRow="0" firstDataRow="2" firstDataCol="0"/>
  <pivotFields count="17">
    <pivotField name="Accounts" showDropDowns="1" compact="0" outline="0" subtotalTop="1" dragToRow="1" dragToCol="1" multipleItemSelectionAllowed="1" dragToPage="1" dragToData="1" dragOff="1" showAll="0" topAutoShow="1" itemPageCount="10" sortType="manual" defaultSubtotal="1">
      <items count="36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efault" sd="1"/>
      </items>
    </pivotField>
    <pivotField name="Account Type" showDropDowns="1" compact="0" outline="0" subtotalTop="1" dragToRow="1" dragToCol="1" multipleItemSelectionAllowed="1" dragToPage="1" dragToData="1" dragOff="1" showAll="0" topAutoShow="1" itemPageCount="10" sortType="manual" defaultSubtotal="1">
      <items count="11">
        <item t="data" sd="1" x="0"/>
        <item t="data" sd="1" x="1"/>
        <item t="data" sd="1" x="2"/>
        <item t="data" sd="1" x="3"/>
        <item t="data" sd="1" x="4"/>
        <item t="data" sd="1" x="5"/>
        <item t="data" sd="1" x="6"/>
        <item t="data" sd="1" x="7"/>
        <item t="data" sd="1" x="8"/>
        <item t="data" sd="1" x="9"/>
        <item t="default" sd="1"/>
      </items>
    </pivotField>
    <pivotField name="Active" showDropDowns="1" compact="0" outline="0" subtotalTop="1" dragToRow="1" dragToCol="1" multipleItemSelectionAllowed="1" dragToPage="1" dragToData="1" dragOff="1" showAll="0" topAutoShow="1" itemPageCount="10" sortType="manual" defaultSubtotal="1">
      <items count="4">
        <item t="data" sd="1" x="0"/>
        <item t="data" sd="1" x="1"/>
        <item t="data" sd="1" x="2"/>
        <item t="default" sd="1"/>
      </items>
    </pivotField>
    <pivotField name="Duplicate Found: 6" showDropDowns="1" compact="0" outline="0" subtotalTop="1" dragToRow="1" dragToCol="1" multipleItemSelectionAllowed="1" dragToPage="1" dragToData="1" dragOff="1" showAll="0" topAutoShow="1" itemPageCount="10" sortType="manual" defaultSubtotal="1">
      <items count="24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efault" sd="1"/>
      </items>
    </pivotField>
    <pivotField name="Area" showDropDowns="1" compact="0" outline="0" subtotalTop="1" dragToRow="1" dragToCol="1" multipleItemSelectionAllowed="1" dragToPage="1" dragToData="1" dragOff="1" showAll="0" topAutoShow="1" itemPageCount="10" sortType="manual" defaultSubtotal="1">
      <items count="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efault" sd="1"/>
      </items>
    </pivotField>
    <pivotField name="Phone Number" showDropDowns="1" compact="0" outline="0" subtotalTop="1" dragToRow="1" dragToCol="1" multipleItemSelectionAllowed="1" dragToPage="1" dragToData="1" dragOff="1" showAll="0" topAutoShow="1" itemPageCount="10" sortType="manual" defaultSubtotal="1">
      <items count="24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efault" sd="1"/>
      </items>
    </pivotField>
    <pivotField name="URL" showDropDowns="1" compact="0" outline="0" subtotalTop="1" dragToRow="1" dragToCol="1" multipleItemSelectionAllowed="1" dragToPage="1" dragToData="1" dragOff="1" showAll="0" topAutoShow="1" itemPageCount="10" sortType="manual" defaultSubtotal="1">
      <items count="23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efault" sd="1"/>
      </items>
    </pivotField>
    <pivotField name="Self Parking Rate" showDropDowns="1" compact="0" outline="0" subtotalTop="1" dragToRow="1" dragToCol="1" multipleItemSelectionAllowed="1" dragToPage="1" dragToData="1" dragOff="1" showAll="0" topAutoShow="1" itemPageCount="10" sortType="manual" defaultSubtotal="1">
      <items count="2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efault" sd="1"/>
      </items>
    </pivotField>
    <pivotField name="Valet Rate" showDropDowns="1" compact="0" outline="0" subtotalTop="1" dragToRow="1" dragToCol="1" multipleItemSelectionAllowed="1" dragToPage="1" dragToData="1" dragOff="1" showAll="0" topAutoShow="1" itemPageCount="10" sortType="manual" defaultSubtotal="1">
      <items count="2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efault" sd="1"/>
      </items>
    </pivotField>
    <pivotField name="Room Count" showDropDowns="1" compact="0" outline="0" subtotalTop="1" dragToRow="1" dragToCol="1" multipleItemSelectionAllowed="1" dragToPage="1" dragToData="1" dragOff="1" showAll="0" topAutoShow="1" itemPageCount="10" sortType="manual" defaultSubtotal="1">
      <items count="9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efault" sd="1"/>
      </items>
    </pivotField>
    <pivotField name="Parking Reviews " showDropDowns="1" compact="0" outline="0" subtotalTop="1" dragToRow="1" dragToCol="1" multipleItemSelectionAllowed="1" dragToPage="1" dragToData="1" dragOff="1" showAll="0" topAutoShow="1" itemPageCount="10" sortType="manual" defaultSubtotal="1">
      <items count="6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efault" sd="1"/>
      </items>
    </pivotField>
    <pivotField name="parking reviews 2" showDropDowns="1" compact="0" outline="0" subtotalTop="1" dragToRow="1" dragToCol="1" multipleItemSelectionAllowed="1" dragToPage="1" dragToData="1" dragOff="1" showAll="0" topAutoShow="1" itemPageCount="10" sortType="manual" defaultSubtotal="1">
      <items count="80">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efault" sd="1"/>
      </items>
    </pivotField>
    <pivotField name="Management Group" axis="axisRow" dataField="1" showDropDowns="1" compact="0" outline="0" subtotalTop="1" dragToRow="1" dragToCol="1" multipleItemSelectionAllowed="1" dragToPage="1" dragToData="1" dragOff="1" showAll="0" topAutoShow="1" itemPageCount="10" sortType="ascending" defaultSubtotal="1">
      <items count="6">
        <item t="data" sd="1" x="0"/>
        <item t="data" sd="1" x="2"/>
        <item t="data" sd="1" x="4"/>
        <item t="data" sd="1" x="1"/>
        <item t="data" sd="1" x="3"/>
        <item t="default" sd="1"/>
      </items>
    </pivotField>
    <pivotField name="Linked Accounts" showDropDowns="1" compact="0" outline="0" subtotalTop="1" dragToRow="1" dragToCol="1" multipleItemSelectionAllowed="1" dragToPage="1" dragToData="1" dragOff="1" showAll="0" topAutoShow="1" itemPageCount="10" sortType="manual" defaultSubtotal="1">
      <items count="8">
        <item t="data" sd="1" x="0"/>
        <item t="data" sd="1" x="1"/>
        <item t="data" sd="1" x="2"/>
        <item t="data" sd="1" x="3"/>
        <item t="data" sd="1" x="4"/>
        <item t="data" sd="1" x="5"/>
        <item t="data" sd="1" x="6"/>
        <item t="default" sd="1"/>
      </items>
    </pivotField>
    <pivotField name="Garage Operator " showDropDowns="1" compact="0" outline="0" subtotalTop="1" dragToRow="1" dragToCol="1" multipleItemSelectionAllowed="1" dragToPage="1" dragToData="1" dragOff="1" showAll="0" topAutoShow="1" itemPageCount="10" sortType="manual" defaultSubtotal="1">
      <items count="3">
        <item t="data" sd="1" x="0"/>
        <item t="data" sd="1" x="1"/>
        <item t="default" sd="1"/>
      </items>
    </pivotField>
    <pivotField name="Valet Operator"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Location Notes" showDropDowns="1" compact="0" outline="0" subtotalTop="1" dragToRow="1" dragToCol="1" multipleItemSelectionAllowed="1" dragToPage="1" dragToData="1" dragOff="1" showAll="0" topAutoShow="1" itemPageCount="10" sortType="manual" defaultSubtotal="1">
      <items count="2">
        <item t="data" sd="1" x="0"/>
        <item t="default" sd="1"/>
      </items>
    </pivotField>
  </pivotFields>
  <rowFields count="1">
    <field x="12"/>
  </rowFields>
  <colFields count="1">
    <field x="-2"/>
  </colFields>
  <dataFields count="2">
    <dataField name="# of Locations" fld="12" subtotal="count" showDataAs="normal" baseField="0" baseItem="1048832"/>
    <dataField name="% of Market" fld="12" subtotal="count" showDataAs="percentOfCol" baseField="0" baseItem="1048832" numFmtId="10"/>
  </dataFields>
</pivotTableDefinition>
</file>

<file path=xl/pivotTables/pivotTable3.xml><?xml version="1.0" encoding="utf-8"?>
<pivotTableDefinition xmlns:r="http://schemas.openxmlformats.org/officeDocument/2006/relationships" xmlns="http://schemas.openxmlformats.org/spreadsheetml/2006/main" name="Analysis 3" cacheId="0" dataOnRows="0" dataCaption=""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J22:L28" firstHeaderRow="0" firstDataRow="2" firstDataCol="0"/>
  <pivotFields count="17">
    <pivotField name="Accounts" showDropDowns="1" compact="0" outline="0" subtotalTop="1" dragToRow="1" dragToCol="1" multipleItemSelectionAllowed="1" dragToPage="1" dragToData="1" dragOff="1" showAll="0" topAutoShow="1" itemPageCount="10" sortType="manual" defaultSubtotal="1">
      <items count="36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efault" sd="1"/>
      </items>
    </pivotField>
    <pivotField name="Account Type" showDropDowns="1" compact="0" outline="0" subtotalTop="1" dragToRow="1" dragToCol="1" multipleItemSelectionAllowed="1" dragToPage="1" dragToData="1" dragOff="1" showAll="0" topAutoShow="1" itemPageCount="10" sortType="manual" defaultSubtotal="1">
      <items count="11">
        <item t="data" sd="1" x="0"/>
        <item t="data" sd="1" x="1"/>
        <item t="data" sd="1" x="2"/>
        <item t="data" sd="1" x="3"/>
        <item t="data" sd="1" x="4"/>
        <item t="data" sd="1" x="5"/>
        <item t="data" sd="1" x="6"/>
        <item t="data" sd="1" x="7"/>
        <item t="data" sd="1" x="8"/>
        <item t="data" sd="1" x="9"/>
        <item t="default" sd="1"/>
      </items>
    </pivotField>
    <pivotField name="Active" showDropDowns="1" compact="0" outline="0" subtotalTop="1" dragToRow="1" dragToCol="1" multipleItemSelectionAllowed="1" dragToPage="1" dragToData="1" dragOff="1" showAll="0" topAutoShow="1" itemPageCount="10" sortType="manual" defaultSubtotal="1">
      <items count="4">
        <item t="data" sd="1" x="0"/>
        <item t="data" sd="1" x="1"/>
        <item t="data" sd="1" x="2"/>
        <item t="default" sd="1"/>
      </items>
    </pivotField>
    <pivotField name="Duplicate Found: 6" showDropDowns="1" compact="0" outline="0" subtotalTop="1" dragToRow="1" dragToCol="1" multipleItemSelectionAllowed="1" dragToPage="1" dragToData="1" dragOff="1" showAll="0" topAutoShow="1" itemPageCount="10" sortType="manual" defaultSubtotal="1">
      <items count="24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efault" sd="1"/>
      </items>
    </pivotField>
    <pivotField name="Area" showDropDowns="1" compact="0" outline="0" subtotalTop="1" dragToRow="1" dragToCol="1" multipleItemSelectionAllowed="1" dragToPage="1" dragToData="1" dragOff="1" showAll="0" topAutoShow="1" itemPageCount="10" sortType="manual" defaultSubtotal="1">
      <items count="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efault" sd="1"/>
      </items>
    </pivotField>
    <pivotField name="Phone Number" showDropDowns="1" compact="0" outline="0" subtotalTop="1" dragToRow="1" dragToCol="1" multipleItemSelectionAllowed="1" dragToPage="1" dragToData="1" dragOff="1" showAll="0" topAutoShow="1" itemPageCount="10" sortType="manual" defaultSubtotal="1">
      <items count="24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efault" sd="1"/>
      </items>
    </pivotField>
    <pivotField name="URL" showDropDowns="1" compact="0" outline="0" subtotalTop="1" dragToRow="1" dragToCol="1" multipleItemSelectionAllowed="1" dragToPage="1" dragToData="1" dragOff="1" showAll="0" topAutoShow="1" itemPageCount="10" sortType="manual" defaultSubtotal="1">
      <items count="23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efault" sd="1"/>
      </items>
    </pivotField>
    <pivotField name="Self Parking Rate" showDropDowns="1" compact="0" outline="0" subtotalTop="1" dragToRow="1" dragToCol="1" multipleItemSelectionAllowed="1" dragToPage="1" dragToData="1" dragOff="1" showAll="0" topAutoShow="1" itemPageCount="10" sortType="manual" defaultSubtotal="1">
      <items count="2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efault" sd="1"/>
      </items>
    </pivotField>
    <pivotField name="Valet Rate" showDropDowns="1" compact="0" outline="0" subtotalTop="1" dragToRow="1" dragToCol="1" multipleItemSelectionAllowed="1" dragToPage="1" dragToData="1" dragOff="1" showAll="0" topAutoShow="1" itemPageCount="10" sortType="manual" defaultSubtotal="1">
      <items count="2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efault" sd="1"/>
      </items>
    </pivotField>
    <pivotField name="Room Count" showDropDowns="1" compact="0" outline="0" subtotalTop="1" dragToRow="1" dragToCol="1" multipleItemSelectionAllowed="1" dragToPage="1" dragToData="1" dragOff="1" showAll="0" topAutoShow="1" itemPageCount="10" sortType="manual" defaultSubtotal="1">
      <items count="9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efault" sd="1"/>
      </items>
    </pivotField>
    <pivotField name="Parking Reviews " showDropDowns="1" compact="0" outline="0" subtotalTop="1" dragToRow="1" dragToCol="1" multipleItemSelectionAllowed="1" dragToPage="1" dragToData="1" dragOff="1" showAll="0" topAutoShow="1" itemPageCount="10" sortType="manual" defaultSubtotal="1">
      <items count="6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efault" sd="1"/>
      </items>
    </pivotField>
    <pivotField name="parking reviews 2" showDropDowns="1" compact="0" outline="0" subtotalTop="1" dragToRow="1" dragToCol="1" multipleItemSelectionAllowed="1" dragToPage="1" dragToData="1" dragOff="1" showAll="0" topAutoShow="1" itemPageCount="10" sortType="manual" defaultSubtotal="1">
      <items count="80">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efault" sd="1"/>
      </items>
    </pivotField>
    <pivotField name="Management Group"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Linked Accounts" showDropDowns="1" compact="0" outline="0" subtotalTop="1" dragToRow="1" dragToCol="1" multipleItemSelectionAllowed="1" dragToPage="1" dragToData="1" dragOff="1" showAll="0" topAutoShow="1" itemPageCount="10" sortType="manual" defaultSubtotal="1">
      <items count="8">
        <item t="data" sd="1" x="0"/>
        <item t="data" sd="1" x="1"/>
        <item t="data" sd="1" x="2"/>
        <item t="data" sd="1" x="3"/>
        <item t="data" sd="1" x="4"/>
        <item t="data" sd="1" x="5"/>
        <item t="data" sd="1" x="6"/>
        <item t="default" sd="1"/>
      </items>
    </pivotField>
    <pivotField name="Garage Operator " dataField="1" showDropDowns="1" compact="0" outline="0" subtotalTop="1" dragToRow="1" dragToCol="1" multipleItemSelectionAllowed="1" dragToPage="1" dragToData="1" dragOff="1" showAll="0" topAutoShow="1" itemPageCount="10" sortType="manual" defaultSubtotal="1">
      <items count="3">
        <item t="data" sd="1" x="0"/>
        <item t="data" sd="1" x="1"/>
        <item t="default" sd="1"/>
      </items>
    </pivotField>
    <pivotField name="Valet Operator" axis="axisRow" showDropDowns="1" compact="0" outline="0" subtotalTop="1" dragToRow="1" dragToCol="1" multipleItemSelectionAllowed="1" dragToPage="1" dragToData="1" dragOff="1" showAll="0" topAutoShow="1" itemPageCount="10" sortType="ascending" defaultSubtotal="1">
      <items count="6">
        <item t="data" sd="1" x="0"/>
        <item t="data" sd="1" x="4"/>
        <item t="data" sd="1" x="2"/>
        <item t="data" sd="1" x="1"/>
        <item t="data" sd="1" x="3"/>
        <item t="default" sd="1"/>
      </items>
    </pivotField>
    <pivotField name="Location Notes" showDropDowns="1" compact="0" outline="0" subtotalTop="1" dragToRow="1" dragToCol="1" multipleItemSelectionAllowed="1" dragToPage="1" dragToData="1" dragOff="1" showAll="0" topAutoShow="1" itemPageCount="10" sortType="manual" defaultSubtotal="1">
      <items count="2">
        <item t="data" sd="1" x="0"/>
        <item t="default" sd="1"/>
      </items>
    </pivotField>
  </pivotFields>
  <rowFields count="1">
    <field x="15"/>
  </rowFields>
  <colFields count="1">
    <field x="-2"/>
  </colFields>
  <dataFields count="2">
    <dataField name="COUNTA of Garage Operator " fld="14" subtotal="count" showDataAs="normal" baseField="0" baseItem="1048832"/>
    <dataField name="COUNTA of Garage Operator " fld="14" subtotal="count" showDataAs="percentOfCol" baseField="0" baseItem="1048832" numFmtId="10"/>
  </dataFields>
</pivotTableDefinition>
</file>

<file path=xl/pivotTables/pivotTable4.xml><?xml version="1.0" encoding="utf-8"?>
<pivotTableDefinition xmlns:r="http://schemas.openxmlformats.org/officeDocument/2006/relationships" xmlns="http://schemas.openxmlformats.org/spreadsheetml/2006/main" name="Analysis 4" cacheId="0" dataOnRows="0" dataCaption=""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N22:P25" firstHeaderRow="0" firstDataRow="2" firstDataCol="0"/>
  <pivotFields count="17">
    <pivotField name="Accounts" showDropDowns="1" compact="0" outline="0" subtotalTop="1" dragToRow="1" dragToCol="1" multipleItemSelectionAllowed="1" dragToPage="1" dragToData="1" dragOff="1" showAll="0" topAutoShow="1" itemPageCount="10" sortType="manual" defaultSubtotal="1">
      <items count="36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efault" sd="1"/>
      </items>
    </pivotField>
    <pivotField name="Account Type" showDropDowns="1" compact="0" outline="0" subtotalTop="1" dragToRow="1" dragToCol="1" multipleItemSelectionAllowed="1" dragToPage="1" dragToData="1" dragOff="1" showAll="0" topAutoShow="1" itemPageCount="10" sortType="manual" defaultSubtotal="1">
      <items count="11">
        <item t="data" sd="1" x="0"/>
        <item t="data" sd="1" x="1"/>
        <item t="data" sd="1" x="2"/>
        <item t="data" sd="1" x="3"/>
        <item t="data" sd="1" x="4"/>
        <item t="data" sd="1" x="5"/>
        <item t="data" sd="1" x="6"/>
        <item t="data" sd="1" x="7"/>
        <item t="data" sd="1" x="8"/>
        <item t="data" sd="1" x="9"/>
        <item t="default" sd="1"/>
      </items>
    </pivotField>
    <pivotField name="Active" showDropDowns="1" compact="0" outline="0" subtotalTop="1" dragToRow="1" dragToCol="1" multipleItemSelectionAllowed="1" dragToPage="1" dragToData="1" dragOff="1" showAll="0" topAutoShow="1" itemPageCount="10" sortType="manual" defaultSubtotal="1">
      <items count="4">
        <item t="data" sd="1" x="0"/>
        <item t="data" sd="1" x="1"/>
        <item t="data" sd="1" x="2"/>
        <item t="default" sd="1"/>
      </items>
    </pivotField>
    <pivotField name="Duplicate Found: 6" showDropDowns="1" compact="0" outline="0" subtotalTop="1" dragToRow="1" dragToCol="1" multipleItemSelectionAllowed="1" dragToPage="1" dragToData="1" dragOff="1" showAll="0" topAutoShow="1" itemPageCount="10" sortType="manual" defaultSubtotal="1">
      <items count="24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efault" sd="1"/>
      </items>
    </pivotField>
    <pivotField name="Area" showDropDowns="1" compact="0" outline="0" subtotalTop="1" dragToRow="1" dragToCol="1" multipleItemSelectionAllowed="1" dragToPage="1" dragToData="1" dragOff="1" showAll="0" topAutoShow="1" itemPageCount="10" sortType="manual" defaultSubtotal="1">
      <items count="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efault" sd="1"/>
      </items>
    </pivotField>
    <pivotField name="Phone Number" showDropDowns="1" compact="0" outline="0" subtotalTop="1" dragToRow="1" dragToCol="1" multipleItemSelectionAllowed="1" dragToPage="1" dragToData="1" dragOff="1" showAll="0" topAutoShow="1" itemPageCount="10" sortType="manual" defaultSubtotal="1">
      <items count="24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efault" sd="1"/>
      </items>
    </pivotField>
    <pivotField name="URL" showDropDowns="1" compact="0" outline="0" subtotalTop="1" dragToRow="1" dragToCol="1" multipleItemSelectionAllowed="1" dragToPage="1" dragToData="1" dragOff="1" showAll="0" topAutoShow="1" itemPageCount="10" sortType="manual" defaultSubtotal="1">
      <items count="23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efault" sd="1"/>
      </items>
    </pivotField>
    <pivotField name="Self Parking Rate" showDropDowns="1" compact="0" outline="0" subtotalTop="1" dragToRow="1" dragToCol="1" multipleItemSelectionAllowed="1" dragToPage="1" dragToData="1" dragOff="1" showAll="0" topAutoShow="1" itemPageCount="10" sortType="manual" defaultSubtotal="1">
      <items count="2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efault" sd="1"/>
      </items>
    </pivotField>
    <pivotField name="Valet Rate" showDropDowns="1" compact="0" outline="0" subtotalTop="1" dragToRow="1" dragToCol="1" multipleItemSelectionAllowed="1" dragToPage="1" dragToData="1" dragOff="1" showAll="0" topAutoShow="1" itemPageCount="10" sortType="manual" defaultSubtotal="1">
      <items count="2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efault" sd="1"/>
      </items>
    </pivotField>
    <pivotField name="Room Count" showDropDowns="1" compact="0" outline="0" subtotalTop="1" dragToRow="1" dragToCol="1" multipleItemSelectionAllowed="1" dragToPage="1" dragToData="1" dragOff="1" showAll="0" topAutoShow="1" itemPageCount="10" sortType="manual" defaultSubtotal="1">
      <items count="9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efault" sd="1"/>
      </items>
    </pivotField>
    <pivotField name="Parking Reviews " showDropDowns="1" compact="0" outline="0" subtotalTop="1" dragToRow="1" dragToCol="1" multipleItemSelectionAllowed="1" dragToPage="1" dragToData="1" dragOff="1" showAll="0" topAutoShow="1" itemPageCount="10" sortType="manual" defaultSubtotal="1">
      <items count="6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efault" sd="1"/>
      </items>
    </pivotField>
    <pivotField name="parking reviews 2" showDropDowns="1" compact="0" outline="0" subtotalTop="1" dragToRow="1" dragToCol="1" multipleItemSelectionAllowed="1" dragToPage="1" dragToData="1" dragOff="1" showAll="0" topAutoShow="1" itemPageCount="10" sortType="manual" defaultSubtotal="1">
      <items count="80">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efault" sd="1"/>
      </items>
    </pivotField>
    <pivotField name="Management Group"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Linked Accounts" showDropDowns="1" compact="0" outline="0" subtotalTop="1" dragToRow="1" dragToCol="1" multipleItemSelectionAllowed="1" dragToPage="1" dragToData="1" dragOff="1" showAll="0" topAutoShow="1" itemPageCount="10" sortType="manual" defaultSubtotal="1">
      <items count="8">
        <item t="data" sd="1" x="0"/>
        <item t="data" sd="1" x="1"/>
        <item t="data" sd="1" x="2"/>
        <item t="data" sd="1" x="3"/>
        <item t="data" sd="1" x="4"/>
        <item t="data" sd="1" x="5"/>
        <item t="data" sd="1" x="6"/>
        <item t="default" sd="1"/>
      </items>
    </pivotField>
    <pivotField name="Garage Operator " axis="axisRow" dataField="1" showDropDowns="1" compact="0" outline="0" subtotalTop="1" dragToRow="1" dragToCol="1" multipleItemSelectionAllowed="1" dragToPage="1" dragToData="1" dragOff="1" showAll="0" topAutoShow="1" itemPageCount="10" sortType="ascending" defaultSubtotal="1">
      <items count="3">
        <item t="data" sd="1" x="0"/>
        <item t="data" sd="1" x="1"/>
        <item t="default" sd="1"/>
      </items>
    </pivotField>
    <pivotField name="Valet Operator"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Location Notes" showDropDowns="1" compact="0" outline="0" subtotalTop="1" dragToRow="1" dragToCol="1" multipleItemSelectionAllowed="1" dragToPage="1" dragToData="1" dragOff="1" showAll="0" topAutoShow="1" itemPageCount="10" sortType="manual" defaultSubtotal="1">
      <items count="2">
        <item t="data" sd="1" x="0"/>
        <item t="default" sd="1"/>
      </items>
    </pivotField>
  </pivotFields>
  <rowFields count="1">
    <field x="14"/>
  </rowFields>
  <colFields count="1">
    <field x="-2"/>
  </colFields>
  <dataFields count="2">
    <dataField name="COUNTA of Garage Operator " fld="14" subtotal="count" showDataAs="normal" baseField="0" baseItem="1048832"/>
    <dataField name="COUNTA of Garage Operator " fld="14" subtotal="count" showDataAs="percentOfCol" baseField="0" baseItem="1048832" numFmtId="1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kenectphoenix.com/?utm_source=GBP&amp;utm_medium=organic" TargetMode="External" Id="rId1"/><Relationship Type="http://schemas.openxmlformats.org/officeDocument/2006/relationships/hyperlink" Target="https://sentral.com/phoenix/sol-modern/stay?utm_source=google&amp;utm_medium=GMB-Website-Link&amp;utm_campaign=GMB&amp;utm_content=Sentral-Sol-Modern" TargetMode="External" Id="rId2"/><Relationship Type="http://schemas.openxmlformats.org/officeDocument/2006/relationships/hyperlink" Target="https://www.google.com/search?q=sentral+alloy+midtown&amp;rlz=1C1CHBD_enUS883US883&amp;oq=Sentral+Alloy+Midtown&amp;gs_lcrp=EgZjaHJvbWUqBwgAEAAYgAQyBwgAEAAYgAQyEwgBEC4YrwEYxwEYgAQYmAUYmQUyBwgCEAAYgAQyCQgDEAAYHhipBjIJCAQQABgeGKkGMgoIBRAAGKIEGIkFMgoIBhAAGIAEGKIEMgoIBxAAGIAEGKIEMgoICBAAGIAEGKIEMgoICRAAGIAEGKIE0gEHODk3ajBqNKgCAbACAfEF0T4ORiXBALvxBdE-DkYlwQC7&amp;sourceid=chrome&amp;ie=UTF-8" TargetMode="External" Id="rId3"/><Relationship Type="http://schemas.openxmlformats.org/officeDocument/2006/relationships/hyperlink" Target="https://sentral.com/phoenix/alloy-midtown/stay?utm_source=google&amp;utm_medium=gpm&amp;utm_campaign=gpm&amp;utm_content=phoenix-alloy-midtown" TargetMode="External" Id="rId4"/><Relationship Type="http://schemas.openxmlformats.org/officeDocument/2006/relationships/hyperlink" Target="https://www.warehouse215.com/" TargetMode="External" Id="rId5"/><Relationship Type="http://schemas.openxmlformats.org/officeDocument/2006/relationships/hyperlink" Target="http://435collective.com/" TargetMode="External" Id="rId6"/><Relationship Type="http://schemas.openxmlformats.org/officeDocument/2006/relationships/hyperlink" Target="https://monorchid.com/" TargetMode="External" Id="rId7"/><Relationship Type="http://schemas.openxmlformats.org/officeDocument/2006/relationships/hyperlink" Target="http://thedauz.com/" TargetMode="External" Id="rId8"/><Relationship Type="http://schemas.openxmlformats.org/officeDocument/2006/relationships/hyperlink" Target="https://antiguagarden.com/" TargetMode="External" Id="rId9"/><Relationship Type="http://schemas.openxmlformats.org/officeDocument/2006/relationships/hyperlink" Target="https://openvenues.com/venue/the-icehouse/" TargetMode="External" Id="rId10"/><Relationship Type="http://schemas.openxmlformats.org/officeDocument/2006/relationships/hyperlink" Target="mailto:concierge@openvenues.com" TargetMode="External" Id="rId11"/><Relationship Type="http://schemas.openxmlformats.org/officeDocument/2006/relationships/hyperlink" Target="https://www.wedgewoodweddings.com/lindsaygrove?matchtype=e&amp;device=c&amp;utm_source=google&amp;utm_medium=cpc&amp;utm_campaign=%7Bname%7D&amp;utm_term=lindsay%20grove%20by%20wedgewood%20weddings&amp;hsa_cam=11618124935&amp;hsa_ad=774357435985&amp;hsa_acc=1860597723&amp;hsa_mt=e&amp;hsa_net=adwords&amp;hsa_ver=3&amp;hsa_src=g&amp;hsa_tgt=kwd-893510079835&amp;hsa_grp=113660654112&amp;hsa_kw=lindsay%20grove%20by%20wedgewood%20weddings&amp;gad_source=1&amp;gad_campaignid=11618124935&amp;gbraid=0AAAAAD4sybBqp77uJaz5cPxSvqfv0aDIC&amp;gclid=Cj0KCQiA6Y7KBhCkARIsAOxhqtMBkVtwqAaX4TF7kDJJWFt7CSWobTib9e3EcxKY0cwd2C9c87tjmdkaAgqAEALw_wcB" TargetMode="External" Id="rId12"/><Relationship Type="http://schemas.openxmlformats.org/officeDocument/2006/relationships/hyperlink" Target="http://tpc.com/scottsdale" TargetMode="External" Id="rId13"/><Relationship Type="http://schemas.openxmlformats.org/officeDocument/2006/relationships/hyperlink" Target="https://www.ravenphx.com/" TargetMode="External" Id="rId14"/><Relationship Type="http://schemas.openxmlformats.org/officeDocument/2006/relationships/hyperlink" Target="https://www.papagogolfclub.com/?utm_source=extnet&amp;utm_medium=yext" TargetMode="External" Id="rId15"/><Relationship Type="http://schemas.openxmlformats.org/officeDocument/2006/relationships/hyperlink" Target="https://www.marriott.com/en-us/hotels/phxca-courtyard-phoenix-airport/overview/?scid=f2ae0541-1279-4f24-b197-a979c79310b0" TargetMode="External" Id="rId16"/><Relationship Type="http://schemas.openxmlformats.org/officeDocument/2006/relationships/hyperlink" Target="https://www.hilton.com/en/hotels/phxahhf-hilton-phoenix-airport/?SEO_id=GMB-AMER-HH-PHXAHHF&amp;y_source=1_MTIyMDg0Ni03MTUtbG9jYXRpb24ud2Vic2l0ZQ%3D%3D" TargetMode="External" Id="rId17"/><Relationship Type="http://schemas.openxmlformats.org/officeDocument/2006/relationships/hyperlink" Target="https://www.marriott.com/en-us/hotels/phxap-marriott-phoenix-airport/overview/?scid=f2ae0541-1279-4f24-b197-a979c79310b0" TargetMode="External" Id="rId18"/><Relationship Type="http://schemas.openxmlformats.org/officeDocument/2006/relationships/hyperlink" Target="https://www.google.com/search?q=Arizona+Biltmore%2C+LXR+Hotels+%26+Resorts&amp;rlz=1C1CHBD_enUS883US883&amp;oq=Arizona+Biltmore%2C+LXR+Hotels+%26+Resorts&amp;gs_lcrp=EgZjaHJvbWUyBggAEEUYOTIZCAEQLhivARjHARiABBiOBRiYBRiZBRieBTIHCAIQABiABDINCAMQABiGAxiABBiKBTINCAQQABiGAxiABBiKBTINCAUQABiGAxiABBiKBTINCAYQABiGAxiABBiKBTIKCAcQABiABBiiBDIHCAgQABjvBdIBCDExNDZqMGo0qAIAsAIA&amp;sourceid=chrome&amp;ie=UTF-8" TargetMode="External" Id="rId19"/><Relationship Type="http://schemas.openxmlformats.org/officeDocument/2006/relationships/hyperlink" Target="https://www.hilton.com/en/hotels/phxbmol-arizona-biltmore/rooms/" TargetMode="External" Id="rId20"/><Relationship Type="http://schemas.openxmlformats.org/officeDocument/2006/relationships/hyperlink" Target="https://www.hilton.com/en/hotels/phxcbes-embassy-suites-phoenix-biltmore/?SEO_id=GMB-AMER-ES-PHXCBES&amp;y_source=1_MTExMDAzNC03MTUtbG9jYXRpb24ud2Vic2l0ZQ%3D%3D" TargetMode="External" Id="rId21"/><Relationship Type="http://schemas.openxmlformats.org/officeDocument/2006/relationships/hyperlink" Target="https://www.hilton.com/en/hotels/phxehhx-hampton-phoenix-biltmore/?SEO_id=GMB-AMER-HX-PHXEHHX&amp;y_source=1_MjA4MzE5Ny03MTUtbG9jYXRpb24ud2Vic2l0ZQ%3D%3D" TargetMode="External" Id="rId22"/><Relationship Type="http://schemas.openxmlformats.org/officeDocument/2006/relationships/hyperlink" Target="https://www.marriott.com/en-us/hotels/phxak-the-camby-autograph-collection/overview/?scid=f2ae0541-1279-4f24-b197-a979c79310b0" TargetMode="External" Id="rId23"/><Relationship Type="http://schemas.openxmlformats.org/officeDocument/2006/relationships/hyperlink" Target="https://www.marriott.com/en-us/hotels/phxab-ac-hotel-phoenix-biltmore/overview/?scid=f2ae0541-1279-4f24-b197-a979c79310b0" TargetMode="External" Id="rId24"/><Relationship Type="http://schemas.openxmlformats.org/officeDocument/2006/relationships/hyperlink" Target="https://www.sonesta.com/sonesta-select/az/phoenix/sonesta-select-phoenix-camelback" TargetMode="External" Id="rId25"/><Relationship Type="http://schemas.openxmlformats.org/officeDocument/2006/relationships/hyperlink" Target="https://www.hilton.com/en/hotels/phxazgi-hilton-garden-inn-chandler-downtown/?SEO_id=GMB-AMER-GI-PHXAZGI&amp;y_source=1_MTU1MTEwNzctNzE1LWxvY2F0aW9uLndlYnNpdGU%3D" TargetMode="External" Id="rId26"/><Relationship Type="http://schemas.openxmlformats.org/officeDocument/2006/relationships/hyperlink" Target="https://www.marriott.com/en-us/hotels/phxel-element-chandler-fashion-center/overview/?scid=f2ae0541-1279-4f24-b197-a979c79310b0" TargetMode="External" Id="rId27"/><Relationship Type="http://schemas.openxmlformats.org/officeDocument/2006/relationships/hyperlink" Target="https://www.google.com/search?q=ac+hotel+phoenix+downtown+general+manager&amp;rlz=1C1CHBD_enUS883US883&amp;oq=AC+Hotel+Phoenix+Downtown+&amp;gs_lcrp=EgZjaHJvbWUqBggAEEUYOzIGCAAQRRg7MhYIARAuGK8BGMcBGIAEGJgFGJkFGJ4FMgYIAhBFGEAyBggDEEUYOTIHCAQQABiABDIGCAUQRRg8MgYIBhBFGDwyBggHEEUYPNIBCDEzODlqMGo3qAIAsAIA&amp;sourceid=chrome&amp;ie=UTF-8" TargetMode="External" Id="rId28"/><Relationship Type="http://schemas.openxmlformats.org/officeDocument/2006/relationships/hyperlink" Target="https://www.marriott.com/en-us/hotels/phxad-ac-hotel-phoenix-downtown/overview/?scid=f2ae0541-1279-4f24-b197-a979c79310b0" TargetMode="External" Id="rId29"/><Relationship Type="http://schemas.openxmlformats.org/officeDocument/2006/relationships/hyperlink" Target="https://www.hilton.com/en/hotels/phxeses-embassy-suites-phoenix-downtown-north/?SEO_id=GMB-AMER-ES-PHXESES&amp;y_source=1_ODUzMzQzOC03MTUtbG9jYXRpb24ud2Vic2l0ZQ%3D%3D" TargetMode="External" Id="rId30"/><Relationship Type="http://schemas.openxmlformats.org/officeDocument/2006/relationships/hyperlink" Target="https://www.choicehotels.com/arizona/phoenix/cambria-hotels/az474?mc=llgoxxpx" TargetMode="External" Id="rId31"/><Relationship Type="http://schemas.openxmlformats.org/officeDocument/2006/relationships/hyperlink" Target="https://www.marriott.com/en-us/hotels/phxxt-courtyard-phoenix-downtown/overview/?scid=f2ae0541-1279-4f24-b197-a979c79310b0" TargetMode="External" Id="rId32"/><Relationship Type="http://schemas.openxmlformats.org/officeDocument/2006/relationships/hyperlink" Target="https://www.hilton.com/en/hotels/phxdogi-hilton-garden-inn-phoenix-downtown/?SEO_id=GMB-AMER-GI-PHXDOGI&amp;y_source=1_MjY5OTI4MS03MTUtbG9jYXRpb24ud2Vic2l0ZQ%3D%3D" TargetMode="External" Id="rId33"/><Relationship Type="http://schemas.openxmlformats.org/officeDocument/2006/relationships/hyperlink" Target="https://www.marriott.com/en-us/hotels/phxtw-residence-inn-phoenix-downtown/overview/?scid=f2ae0541-1279-4f24-b197-a979c79310b0" TargetMode="External" Id="rId34"/><Relationship Type="http://schemas.openxmlformats.org/officeDocument/2006/relationships/hyperlink" Target="https://www.marriott.com/en-us/hotels/phxod-moxy-phoenix-downtown/overview/?scid=f2ae0541-1279-4f24-b197-a979c79310b0" TargetMode="External" Id="rId35"/><Relationship Type="http://schemas.openxmlformats.org/officeDocument/2006/relationships/hyperlink" Target="http://ebiakcipegghospitalitygroup.com/" TargetMode="External" Id="rId36"/><Relationship Type="http://schemas.openxmlformats.org/officeDocument/2006/relationships/hyperlink" Target="https://www.hotelpalomar-phoenix.com/?&amp;cm_mmc=WEB-_-KI-_-AMER-_-EN-_-EV-_-Google%20Business%20Profile-_-DD-_-palomar%20phoenix" TargetMode="External" Id="rId37"/><Relationship Type="http://schemas.openxmlformats.org/officeDocument/2006/relationships/hyperlink" Target="https://www.hilton.com/en/hotels/phxpxht-home2-suites-phoenix-downtown/?SEO_id=GMB-AMER-HT-PHXPXHT&amp;y_source=1_OTgxMzcxMzgtNzE1LWxvY2F0aW9uLndlYnNpdGU%3D" TargetMode="External" Id="rId38"/><Relationship Type="http://schemas.openxmlformats.org/officeDocument/2006/relationships/hyperlink" Target="https://www.marriott.com/en-us/hotels/phxgp-sheraton-phoenix-downtown/overview/?scid=f2ae0541-1279-4f24-b197-a979c79310b0" TargetMode="External" Id="rId39"/><Relationship Type="http://schemas.openxmlformats.org/officeDocument/2006/relationships/hyperlink" Target="https://www.marriott.com/en-us/hotels/phxiw-the-westin-phoenix-downtown/overview/?scid=f2ae0541-1279-4f24-b197-a979c79310b0" TargetMode="External" Id="rId40"/><Relationship Type="http://schemas.openxmlformats.org/officeDocument/2006/relationships/hyperlink" Target="https://hotelsancarlos.com/?utm_source=google-gbp&amp;utm_medium=organic&amp;utm_campaign=gbp" TargetMode="External" Id="rId41"/><Relationship Type="http://schemas.openxmlformats.org/officeDocument/2006/relationships/hyperlink" Target="https://www.hilton.com/en/hotels/phxcthx-hampton-suites-phoenix-downtown/?SEO_id=GMB-AMER-HX-PHXCTHX&amp;y_source=1_OTQwMzQyNC03MTUtbG9jYXRpb24ud2Vic2l0ZQ%3D%3D" TargetMode="External" Id="rId42"/><Relationship Type="http://schemas.openxmlformats.org/officeDocument/2006/relationships/hyperlink" Target="https://www.foundrehotels.com/" TargetMode="External" Id="rId43"/><Relationship Type="http://schemas.openxmlformats.org/officeDocument/2006/relationships/hyperlink" Target="https://www.hyatt.com/hyatt-regency/en-US/phxrp-hyatt-regency-phoenix?src=corp_lclb_google_seo_phxrp&amp;utm_source=google&amp;utm_medium=organic&amp;utm_campaign=lmr" TargetMode="External" Id="rId44"/><Relationship Type="http://schemas.openxmlformats.org/officeDocument/2006/relationships/hyperlink" Target="https://www.google.com/search?q=egyptian+motor+hotel+bw+signature+collection&amp;rlz=1C1CHBD_enUS883US883&amp;oq=Egyptian+Motor+Hotel+BW+Signature+Collection&amp;gs_lcrp=EgZjaHJvbWUqCggAEAAY4wIYgAQyCggAEAAY4wIYgAQyFggBEC4YrwEYxwEYgAQYmAUYmQUYngUyBwgCEAAYgAQyBwgDEAAYgAQyDAgEEAAYHhjJAxipBjIMCAUQABgeGJIDGKkGMgkIBhAAGB4YqQYyCQgHEAAYHhipBjIJCAgQABgeGKkGMgkICRAAGB4YqQbSAQgxMDQ1ajBqN6gCCLACAfEFHm08RfXBFU3xBR5tPEX1wRVN&amp;sourceid=chrome&amp;ie=UTF-8" TargetMode="External" Id="rId45"/><Relationship Type="http://schemas.openxmlformats.org/officeDocument/2006/relationships/hyperlink" Target="https://www.egyptianmotorhotel.com/eat-drink.htm" TargetMode="External" Id="rId46"/><Relationship Type="http://schemas.openxmlformats.org/officeDocument/2006/relationships/hyperlink" Target="https://www.hilton.com/en/hotels/phxstdt-doubletree-phoenix-gilbert/?SEO_id=GMB-AMER-DT-PHXSTDT&amp;y_source=1_MTM3MjY1Ny03MTUtbG9jYXRpb24ud2Vic2l0ZQ%3D%3D" TargetMode="External" Id="rId47"/><Relationship Type="http://schemas.openxmlformats.org/officeDocument/2006/relationships/hyperlink" Target="https://www.marriott.com/en-us/hotels/phxtg-towneplace-suites-phoenix-glendale-sports-and-entertainment-district/overview/?scid=f2ae0541-1279-4f24-b197-a979c79310b0" TargetMode="External" Id="rId48"/><Relationship Type="http://schemas.openxmlformats.org/officeDocument/2006/relationships/hyperlink" Target="https://www.marriott.com/en-us/hotels/phxgl-springhill-suites-phoenix-glendale-sports-and-entertainment-district/overview/?scid=f2ae0541-1279-4f24-b197-a979c79310b0" TargetMode="External" Id="rId49"/><Relationship Type="http://schemas.openxmlformats.org/officeDocument/2006/relationships/hyperlink" Target="https://www.hilton.com/en/hotels/phxpgru-tru-phoenix-glendale-westgate/?SEO_id=GMB-AMER-RU-PHXPGRU&amp;y_source=1_MTkzMTU4MzYtNzE1LWxvY2F0aW9uLndlYnNpdGU%3D" TargetMode="External" Id="rId50"/><Relationship Type="http://schemas.openxmlformats.org/officeDocument/2006/relationships/hyperlink" Target="https://www.marriott.com/en-us/hotels/phxgi-residence-inn-phoenix-glendale-sports-and-entertainment-district/overview/?scid=f2ae0541-1279-4f24-b197-a979c79310b0" TargetMode="External" Id="rId51"/><Relationship Type="http://schemas.openxmlformats.org/officeDocument/2006/relationships/hyperlink" Target="https://www.hilton.com/en/hotels/phxglhx-hampton-suites-phoenix-glendale-westgate/?SEO_id=GMB-AMER-HX-PHXGLHX&amp;y_source=1_MjA4NDc3Ny03MTUtbG9jYXRpb24ud2Vic2l0ZQ%3D%3D" TargetMode="External" Id="rId52"/><Relationship Type="http://schemas.openxmlformats.org/officeDocument/2006/relationships/hyperlink" Target="https://www.ihg.com/staybridge/hotels/us/en/glendale/phxgz/hoteldetail?cm_mmc=GoogleMaps-_-SB-_-US-_-PHXGZ" TargetMode="External" Id="rId53"/><Relationship Type="http://schemas.openxmlformats.org/officeDocument/2006/relationships/hyperlink" Target="https://www.marriott.com/en-us/hotels/phxgr-renaissance-phoenix-glendale-hotel-and-conference-center/overview/?scid=f2ae0541-1279-4f24-b197-a979c79310b0" TargetMode="External" Id="rId54"/><Relationship Type="http://schemas.openxmlformats.org/officeDocument/2006/relationships/hyperlink" Target="https://www.ihg.com/holidayinnexpress/hotels/us/en/glendale/phxgg/hoteldetail?cm_mmc=GoogleMaps-_-EX-_-US-_-PHXGG" TargetMode="External" Id="rId55"/><Relationship Type="http://schemas.openxmlformats.org/officeDocument/2006/relationships/hyperlink" Target="https://www.arizonagrandresort.com/" TargetMode="External" Id="rId56"/><Relationship Type="http://schemas.openxmlformats.org/officeDocument/2006/relationships/hyperlink" Target="https://www.extraholidays.com/phoenix-arizona/legacy-golf-resort?utm_medium=listing&amp;utm_source=google-local&amp;utm_campaign=na_gmb_na_locallisting_na_allusers&amp;utm_content=svclegacygolf" TargetMode="External" Id="rId57"/><Relationship Type="http://schemas.openxmlformats.org/officeDocument/2006/relationships/hyperlink" Target="https://www.extraholidays.com/phoenix-arizona/worldmark-phoenix?utm_medium=listing&amp;utm_source=google-local&amp;utm_campaign=na_gmb_na_locallisting_na_allusers&amp;utm_content=wmphoenixsouthmountainpreserve" TargetMode="External" Id="rId58"/><Relationship Type="http://schemas.openxmlformats.org/officeDocument/2006/relationships/hyperlink" Target="https://www.wigwamarizona.com/?utm_source=google&amp;utm_medium=organic&amp;utm_campaign=gbp_listing" TargetMode="External" Id="rId59"/><Relationship Type="http://schemas.openxmlformats.org/officeDocument/2006/relationships/hyperlink" Target="https://www.marriott.com/en-us/hotels/phxww-sheraton-mesa-hotel-at-wrigleyville-west/overview/?scid=f2ae0541-1279-4f24-b197-a979c79310b0" TargetMode="External" Id="rId60"/><Relationship Type="http://schemas.openxmlformats.org/officeDocument/2006/relationships/hyperlink" Target="https://www.marriott.com/en-us/hotels/phxde-delta-hotels-phoenix-mesa/overview/?scid=f2ae0541-1279-4f24-b197-a979c79310b0" TargetMode="External" Id="rId61"/><Relationship Type="http://schemas.openxmlformats.org/officeDocument/2006/relationships/hyperlink" Target="https://www.marriott.com/en-us/hotels/phxme-courtyard-phoenix-mesa/overview/?scid=f2ae0541-1279-4f24-b197-a979c79310b0" TargetMode="External" Id="rId62"/><Relationship Type="http://schemas.openxmlformats.org/officeDocument/2006/relationships/hyperlink" Target="https://www.marriott.com/en-us/hotels/phxma-four-points-at-phoenix-mesa-gateway-airport/overview/?scid=f2ae0541-1279-4f24-b197-a979c79310b0" TargetMode="External" Id="rId63"/><Relationship Type="http://schemas.openxmlformats.org/officeDocument/2006/relationships/hyperlink" Target="https://www.hilton.com/en/hotels/meswhdt-doubletree-phoenix-mesa/?SEO_id=GMB-AMER-DT-MESWHDT&amp;y_source=1_MTY1MDA5NzktNzE1LWxvY2F0aW9uLndlYnNpdGU%3D" TargetMode="External" Id="rId64"/><Relationship Type="http://schemas.openxmlformats.org/officeDocument/2006/relationships/hyperlink" Target="https://www.marriott.com/en-us/hotels/phxce-courtyard-mesa-at-wrigleyville-west/overview/?scid=f2ae0541-1279-4f24-b197-a979c79310b0" TargetMode="External" Id="rId65"/><Relationship Type="http://schemas.openxmlformats.org/officeDocument/2006/relationships/hyperlink" Target="https://www.hilton.com/en/hotels/phxardt-doubletree-phoenix-midtown/?SEO_id=GMB-AMER-DT-PHXARDT&amp;y_source=1_MjA4Mzk4NS03MTUtbG9jYXRpb24ud2Vic2l0ZQ%3D%3D" TargetMode="External" Id="rId66"/><Relationship Type="http://schemas.openxmlformats.org/officeDocument/2006/relationships/hyperlink" Target="https://www.google.com/search?q=rise+uptown+hotel&amp;rlz=1C1CHBD_enUS883US883&amp;oq=Rise+Uptown+Hotel&amp;gs_lcrp=EgZjaHJvbWUqCggAEAAY4wIYgAQyCggAEAAY4wIYgAQyEAgBEC4YrwEYxwEYgAQYmAUyBwgCEAAYgAQyDQgDEAAYhgMYgAQYigUyCggEEAAYgAQYogQyCggFEAAYgAQYogQyCggGEAAYgAQYogTSAQc5MTZqMGo0qAIDsAIB8QX-AcAaq-YTpvEF_gHAGqvmE6Y&amp;sourceid=chrome&amp;ie=UTF-8" TargetMode="External" Id="rId67"/><Relationship Type="http://schemas.openxmlformats.org/officeDocument/2006/relationships/hyperlink" Target="https://www.google.com/aclk?sa=L&amp;ai=DChsSEwj5ro-q_N2PAxULJEQIHSpsNvwYACICCAEQAxoCZHo&amp;co=1&amp;ase=2&amp;gclid=CjwKCAjwlaTGBhANEiwAoRgXBceLXnbv5QWWVKOlNKgztmJ1y-EVIQDo-MotZrLXTyDgvElFh4BMzxoCtAIQAvD_BwE&amp;ei=a7TJaOjPMfLOkPIPsJ2y4QM&amp;cce=2&amp;category=acrcp_v1_32&amp;sig=AOD64_19cjeJIWDu7MzREcj1Mnmc2ElJiA&amp;q&amp;sqi=2&amp;nis=4&amp;adurl&amp;ved=2ahUKEwiosYiq_N2PAxVyJ0QIHbCOLDwQ0Qx6BAhfEAQ" TargetMode="External" Id="rId68"/><Relationship Type="http://schemas.openxmlformats.org/officeDocument/2006/relationships/hyperlink" Target="https://www.hilton.com/en/hotels/phxmmht-home2-suites-phoenix-midtown/?SEO_id=GMB-AMER-HT-PHXMMHT&amp;y_source=1_OTgxMzgwNzQtNzE1LWxvY2F0aW9uLndlYnNpdGU%3D" TargetMode="External" Id="rId69"/><Relationship Type="http://schemas.openxmlformats.org/officeDocument/2006/relationships/hyperlink" Target="http://www.goclarendon.com/" TargetMode="External" Id="rId70"/><Relationship Type="http://schemas.openxmlformats.org/officeDocument/2006/relationships/hyperlink" Target="https://www.marriott.com/en-us/hotels/phxas-fairfield-inn-and-suites-phoenix-midtown/overview/?scid=f2ae0541-1279-4f24-b197-a979c79310b0" TargetMode="External" Id="rId71"/><Relationship Type="http://schemas.openxmlformats.org/officeDocument/2006/relationships/hyperlink" Target="https://www.hilton.com/en/hotels/phxmdgi-hilton-garden-inn-phoenix-midtown/?SEO_id=GMB-AMER-GI-PHXMDGI&amp;y_source=1_MjA4Mzk4NS03MTUtbG9jYXRpb24ud2Vic2l0ZQ%3D%3D" TargetMode="External" Id="rId72"/><Relationship Type="http://schemas.openxmlformats.org/officeDocument/2006/relationships/hyperlink" Target="https://www.marriott.com/en-us/hotels/phxdr-jw-marriott-phoenix-desert-ridge-resort-and-spa/overview/?scid=f2ae0541-1279-4f24-b197-a979c79310b0" TargetMode="External" Id="rId73"/><Relationship Type="http://schemas.openxmlformats.org/officeDocument/2006/relationships/hyperlink" Target="https://www.marriott.com/en-us/hotels/phxcv-marriotts-canyon-villas/overview/?scid=f2ae0541-1279-4f24-b197-a979c79310b0" TargetMode="External" Id="rId74"/><Relationship Type="http://schemas.openxmlformats.org/officeDocument/2006/relationships/hyperlink" Target="https://www.fairmont.com/en/fairmont-gold.html" TargetMode="External" Id="rId75"/><Relationship Type="http://schemas.openxmlformats.org/officeDocument/2006/relationships/hyperlink" Target="https://www.marriott.com/en-us/hotels/phxax-ac-hotel-scottsdale-north/overview/?scid=f2ae0541-1279-4f24-b197-a979c79310b0" TargetMode="External" Id="rId76"/><Relationship Type="http://schemas.openxmlformats.org/officeDocument/2006/relationships/hyperlink" Target="https://www.marriott.com/en-us/hotels/phxsc-courtyard-scottsdale-old-town/overview/?scid=f2ae0541-1279-4f24-b197-a979c79310b0" TargetMode="External" Id="rId77"/><Relationship Type="http://schemas.openxmlformats.org/officeDocument/2006/relationships/hyperlink" Target="https://www.marriott.com/en-us/hotels/phxst-scottsdale-marriott-old-town/overview/?scid=f2ae0541-1279-4f24-b197-a979c79310b0" TargetMode="External" Id="rId78"/><Relationship Type="http://schemas.openxmlformats.org/officeDocument/2006/relationships/hyperlink" Target="https://www.themonarchscottsdale.com/" TargetMode="External" Id="rId79"/><Relationship Type="http://schemas.openxmlformats.org/officeDocument/2006/relationships/hyperlink" Target="https://www.marriott.com/en-us/hotels/phxtx-hotel-adeline-scottsdale-a-tribute-portfolio-hotel/overview/?scid=f2ae0541-1279-4f24-b197-a979c79310b0" TargetMode="External" Id="rId80"/><Relationship Type="http://schemas.openxmlformats.org/officeDocument/2006/relationships/hyperlink" Target="https://www.hilton.com/en/hotels/scteses-embassy-suites-scottsdale-resort/?SEO_id=GMB-AMER-ES-SCTESES&amp;y_source=1_MzM1NTM1NC03MTUtbG9jYXRpb24ud2Vic2l0ZQ%3D%3D" TargetMode="External" Id="rId81"/><Relationship Type="http://schemas.openxmlformats.org/officeDocument/2006/relationships/hyperlink" Target="https://www.hilton.com/en/hotels/phxttqq-senna-house-hotel-scottsdale/?SEO_id=GMB-AMER-QQ-PHXTTQQ&amp;y_source=1_Mjc3Mjk2MjQtNzE1LWxvY2F0aW9uLndlYnNpdGU%3D" TargetMode="External" Id="rId82"/><Relationship Type="http://schemas.openxmlformats.org/officeDocument/2006/relationships/hyperlink" Target="https://www.marriott.com/en-us/hotels/phxda-the-remi-scottsdale-autograph-collection/overview/?scid=f2ae0541-1279-4f24-b197-a979c79310b0" TargetMode="External" Id="rId83"/><Relationship Type="http://schemas.openxmlformats.org/officeDocument/2006/relationships/hyperlink" Target="https://www.google.com/search?q=Caesars+Republic+Scottsdale%2C+a+Hilton+Hotel&amp;rlz=1C1CHBD_enUS883US883&amp;oq=Caesars+Republic+Scottsdale%2C+a+Hilton+Hotel&amp;gs_lcrp=EgZjaHJvbWUyBggAEEUYOTIZCAEQLhivARjHARiABBiOBRiYBRiZBRieBTIHCAIQABiABDIHCAMQABiABDIHCAQQABiABDIICAUQABgWGB4yDQgGEAAYhgMYgAQYigUyDQgHEAAYhgMYgAQYigUyDQgIEAAYhgMYgAQYigXSAQg0MjAzajBqNKgCALACAA&amp;sourceid=chrome&amp;ie=UTF-8" TargetMode="External" Id="rId84"/><Relationship Type="http://schemas.openxmlformats.org/officeDocument/2006/relationships/hyperlink" Target="https://www.caesarsrepublicscottsdale.com/" TargetMode="External" Id="rId85"/><Relationship Type="http://schemas.openxmlformats.org/officeDocument/2006/relationships/hyperlink" Target="https://www.hilton.com/en/hotels/phxsjdt-doubletree-resort-paradise-valley-scottsdale/?SEO_id=GMB-AMER-DT-PHXSJDT&amp;y_source=1_MTM3Mjc3My03MTUtbG9jYXRpb24ud2Vic2l0ZQ%3D%3D" TargetMode="External" Id="rId86"/><Relationship Type="http://schemas.openxmlformats.org/officeDocument/2006/relationships/hyperlink" Target="https://www.hilton.com/en/hotels/phxtsht-home2-suites-north-scottsdale-mayo-clinic/?SEO_id=GMB-AMER-HT-PHXTSHT&amp;y_source=1_NDIyNTAwMzQtNzE1LWxvY2F0aW9uLndlYnNpdGU%3D" TargetMode="External" Id="rId87"/><Relationship Type="http://schemas.openxmlformats.org/officeDocument/2006/relationships/hyperlink" Target="https://www.marriott.com/en-us/hotels/phxcn-courtyard-scottsdale-north/overview/?scid=f2ae0541-1279-4f24-b197-a979c79310b0" TargetMode="External" Id="rId88"/><Relationship Type="http://schemas.openxmlformats.org/officeDocument/2006/relationships/hyperlink" Target="https://www.choicehotels.com/arizona/phoenix/cambria-hotels/az379?mc=llgoxxpx" TargetMode="External" Id="rId89"/><Relationship Type="http://schemas.openxmlformats.org/officeDocument/2006/relationships/hyperlink" Target="https://www.greatwolf.com/arizona?utm_source=google&amp;utm_medium=organic&amp;utm_campaign=gmb-arizona" TargetMode="External" Id="rId90"/><Relationship Type="http://schemas.openxmlformats.org/officeDocument/2006/relationships/hyperlink" Target="https://www.marriott.com/en-us/hotels/phxrn-residence-inn-scottsdale-north/overview/?scid=f2ae0541-1279-4f24-b197-a979c79310b0" TargetMode="External" Id="rId91"/><Relationship Type="http://schemas.openxmlformats.org/officeDocument/2006/relationships/hyperlink" Target="https://www.extraholidays.com/scottsdale-arizona/orange-tree-resort" TargetMode="External" Id="rId92"/><Relationship Type="http://schemas.openxmlformats.org/officeDocument/2006/relationships/hyperlink" Target="https://www.marriott.com/en-us/hotels/phxws-the-westin-kierland-resort-and-spa/overview/?scid=f2ae0541-1279-4f24-b197-a979c79310b0" TargetMode="External" Id="rId93"/><Relationship Type="http://schemas.openxmlformats.org/officeDocument/2006/relationships/hyperlink" Target="https://www.scottsdaleprincess.com/faqs" TargetMode="External" Id="rId94"/><Relationship Type="http://schemas.openxmlformats.org/officeDocument/2006/relationships/hyperlink" Target="https://www.hyatt.com/grand-hyatt/en-US/scott-grand-hyatt-scottsdale-resort?src=corp_lclb_google_seo_scott&amp;utm_source=google&amp;utm_medium=organic&amp;utm_campaign=lmr" TargetMode="External" Id="rId95"/><Relationship Type="http://schemas.openxmlformats.org/officeDocument/2006/relationships/hyperlink" Target="https://www.globalambassadorhotel.com/" TargetMode="External" Id="rId96"/><Relationship Type="http://schemas.openxmlformats.org/officeDocument/2006/relationships/hyperlink" Target="https://www.marriott.com/en-us/hotels/phxsh-springhill-suites-scottsdale-north/overview/?scid=f2ae0541-1279-4f24-b197-a979c79310b0" TargetMode="External" Id="rId97"/><Relationship Type="http://schemas.openxmlformats.org/officeDocument/2006/relationships/hyperlink" Target="https://www.hilton.com/en/hotels/sctgigi-hilton-garden-inn-scottsdale-old-town/?SEO_id=GMB-AMER-GI-SCTGIGI&amp;y_source=1_MjA4NDkyMS03MTUtbG9jYXRpb24ud2Vic2l0ZQ%3D%3D" TargetMode="External" Id="rId98"/><Relationship Type="http://schemas.openxmlformats.org/officeDocument/2006/relationships/hyperlink" Target="https://www.thescottresort.com/" TargetMode="External" Id="rId99"/><Relationship Type="http://schemas.openxmlformats.org/officeDocument/2006/relationships/hyperlink" Target="https://www.hyatt.com/hyatt-place/en-US/phxzs-hyatt-place-scottsdale-north?src=corp_lclb_google_seo_phxzs&amp;utm_source=google&amp;utm_medium=organic&amp;utm_campaign=lmr" TargetMode="External" Id="rId100"/><Relationship Type="http://schemas.openxmlformats.org/officeDocument/2006/relationships/hyperlink" Target="https://www.google.com/search?q=The+McCormick+Scottsdale&amp;sca_esv=1720fa6fb76a49fc&amp;rlz=1C1CHBD_enUS883US883&amp;ei=CKnJaNXcBNfRkPIP-oLXmAU&amp;hotel_occupancy=&amp;ved=0ahUKEwjVgN678d2PAxXXKEQIHXrBFVMQ4dUDCBA&amp;uact=5&amp;oq=The+McCormick+Scottsdale&amp;gs_lp=Egxnd3Mtd2l6LXNlcnAiGFRoZSBNY0Nvcm1pY2sgU2NvdHRzZGFsZTIFEAAYgAQyBRAAGIAEMgUQABiABDIFEAAYgAQyCxAAGIAEGJECGIoFMgUQABiABDIFEAAYgAQyBRAAGIAEMgUQABiABDIOEC4YgAQYxwEYjgUYrwFI2w1Q8wVY8wVwAXgAkAEAmAFuoAHQAaoBAzEuMbgBA8gBAPgBAvgBAZgCAqACfsICChAAGLADGNYEGEfCAg0QABiABBiwAxhDGIoFwgIfEC4YgAQYsAMYQxjHARiYBRjIAxiKBRiaBRivAdgBAcICIhAuGIAEGLADGEMYxwEYmAUYyAMYigUYmgUYjgUYrwHYAQHCAh8QLhiABBiwAxhDGMcBGJgFGMgDGJkFGIoFGK8B2AEBwgIiEC4YgAQYsAMYQxjHARiYBRjIAxiZBRiKBRieBRivAdgBAcICJRAuGIAEGLADGEMYxwEYmAUYyAMYigUYmgUYngUYjgUYrwHYAQGYAwCIBgGQBhS6BgYIARABGAiSBwMxLjGgB5svsgcDMC4xuAd0wgcDMi0yyAcM&amp;sclient=gws-wiz-serp" TargetMode="External" Id="rId101"/><Relationship Type="http://schemas.openxmlformats.org/officeDocument/2006/relationships/hyperlink" Target="https://www.millenniumhotels.com/en/scottsdale/the-mccormick-scottsdale/" TargetMode="External" Id="rId102"/><Relationship Type="http://schemas.openxmlformats.org/officeDocument/2006/relationships/hyperlink" Target="https://www.google.com/search?q=element+scottsdale+at+skysong&amp;sca_esv=e36387b3887bd02a&amp;rlz=1C1CHBD_enUS883US883&amp;ei=M7jJaJyOMNmeur8PtPOW4A8&amp;hotel_occupancy=&amp;gs_ssp=eJzj4tVP1zc0zDBMyTFPzy43YLRSNaiwMDdKMrA0Mze0TDZOM0tOsTKoME9MSzYxNU8yNkkyskxMNPSSTc1JzU3NK1EoTs4vKSlOScxJVUgE8rIri_Pz0gEkvhrS&amp;oq=Element+Scottsdale+at+SkySong&amp;gs_lp=Egxnd3Mtd2l6LXNlcnAiHUVsZW1lbnQgU2NvdHRzZGFsZSBhdCBTa3lTb25nKgIIADIdEC4YgAQYkQIYxwEYmAUYmQUYigUYngUYjgUYrwEyBRAAGIAEMgUQABiABDIHEAAYqQYYHjIHEAAYqQYYHjIHEAAYqQYYHjIHEAAYqQYYHjIHEAAYqQYYHjIHEAAYqQYYHjIGEAAYFhgeMiwQLhiABBiRAhjHARiYBRiZBRiKBRieBRiOBRivARiXBRjcBBjeBBjgBNgBAUiSS1AAWABwAHgAkAEAmAFuoAFuqgEDMC4xuAEByAEA-AEC-AEBmAIBoAJ2mAMAugYGCAEQARgUkgcDMC4xoAfuCrIHAzAuMbgHdsIHAzItMcgHBw&amp;sclient=gws-wiz-serp" TargetMode="External" Id="rId103"/><Relationship Type="http://schemas.openxmlformats.org/officeDocument/2006/relationships/hyperlink" Target="https://www.marriott.com/en-us/hotels/phxes-element-scottsdale-at-skysong/overview/?scid=f2ae0541-1279-4f24-b197-a979c79310b0" TargetMode="External" Id="rId104"/><Relationship Type="http://schemas.openxmlformats.org/officeDocument/2006/relationships/hyperlink" Target="https://www.marriott.com/en-us/hotels/phxaf-adero-scottsdale-resort-autograph-collection/overview/?scid=f2ae0541-1279-4f24-b197-a979c79310b0" TargetMode="External" Id="rId105"/><Relationship Type="http://schemas.openxmlformats.org/officeDocument/2006/relationships/hyperlink" Target="https://www.bestwestern.com/en_US/book/hotel-rooms.03147.html?iata=00171880&amp;ssob=BLBWI0004G&amp;cid=BLBWI0004G:google:gmb:03147" TargetMode="External" Id="rId106"/><Relationship Type="http://schemas.openxmlformats.org/officeDocument/2006/relationships/hyperlink" Target="https://www.marriott.com/en-us/hotels/phxcb-jw-marriott-scottsdale-camelback-inn-resort-and-spa/overview/?scid=f2ae0541-1279-4f24-b197-a979c79310b0" TargetMode="External" Id="rId107"/><Relationship Type="http://schemas.openxmlformats.org/officeDocument/2006/relationships/hyperlink" Target="http://www.hermosainn.com/" TargetMode="External" Id="rId108"/><Relationship Type="http://schemas.openxmlformats.org/officeDocument/2006/relationships/hyperlink" Target="https://holidayinnclub.com/explore-resorts/scottsdale-resort?utm_source=local&amp;utm_medium=organic&amp;utm_campaign=scottsdale-gmb-listing" TargetMode="External" Id="rId109"/><Relationship Type="http://schemas.openxmlformats.org/officeDocument/2006/relationships/hyperlink" Target="https://www.google.com/search?q=The+Phoenician%2C+a+Luxury+Collection+Resort%2C+Scottsdale&amp;rlz=1C1CHBD_enUS883US883&amp;oq=The+Phoenician%2C+a+Luxury+Collection+Resort%2C+Scottsdale&amp;gs_lcrp=EgZjaHJvbWUyBggAEEUYOTIZCAEQLhivARjHARiABBiOBRiYBRiZBRieBTIHCAIQABiABDIJCAMQABgeGKkGMgkIBBAAGB4YqQYyCQgFEAAYHhipBjIJCAYQABgeGKkGMgkIBxAAGB4YqQYyCQgIEAAYHhipBtIBCDEwMDRqMGo0qAIDsAIB8QXVabY3B_AvAA&amp;sourceid=chrome&amp;ie=UTF-8" TargetMode="External" Id="rId110"/><Relationship Type="http://schemas.openxmlformats.org/officeDocument/2006/relationships/hyperlink" Target="https://www.marriott.com/en-us/hotels/phxlc-the-phoenician-a-luxury-collection-resort-scottsdale/overview/" TargetMode="External" Id="rId111"/><Relationship Type="http://schemas.openxmlformats.org/officeDocument/2006/relationships/hyperlink" Target="https://www.omnihotels.com/hotels/scottsdale-montelucia?utm_source=gmblisting&amp;utm_medium=organic" TargetMode="External" Id="rId112"/><Relationship Type="http://schemas.openxmlformats.org/officeDocument/2006/relationships/hyperlink" Target="https://www.hilton.com/en/hotels/phxmrgv-hilton-vacation-club-scottsdale-villa-mirage/?SEO_id=GMB-AMER-GV-PHXMRGV&amp;y_source=1_MjkyMzgyMjAtNzE1LWxvY2F0aW9uLndlYnNpdGU%3D" TargetMode="External" Id="rId113"/><Relationship Type="http://schemas.openxmlformats.org/officeDocument/2006/relationships/hyperlink" Target="https://hotelvalleyho.com/" TargetMode="External" Id="rId114"/><Relationship Type="http://schemas.openxmlformats.org/officeDocument/2006/relationships/hyperlink" Target="https://www.marriott.com/en-us/hotels/phxno-scottsdale-marriott-at-mcdowell-mountains/overview/?scid=f2ae0541-1279-4f24-b197-a979c79310b0" TargetMode="External" Id="rId115"/><Relationship Type="http://schemas.openxmlformats.org/officeDocument/2006/relationships/hyperlink" Target="https://www.hilton.com/en/hotels/sctshhf-hilton-scottsdale-resort-and-villas/?SEO_id=GMB-AMER-HH-SCTSHHF&amp;y_source=1_MTIyMDk0My03MTUtbG9jYXRpb24ud2Vic2l0ZQ%3D%3D" TargetMode="External" Id="rId116"/><Relationship Type="http://schemas.openxmlformats.org/officeDocument/2006/relationships/hyperlink" Target="https://www.google.com/search?q=hyatt+house+scottsdale%2Fold+town&amp;rlz=1C1CHBD_enUS883US883&amp;oq=Hyatt+House+Scottsdale%2FOld+Town&amp;gs_lcrp=EgZjaHJvbWUqCggAEAAY4wIYgAQyCggAEAAY4wIYgAQyGQgBEC4YrwEYxwEYgAQYjgUYmAUYmQUYngUyBwgCEAAYgAQyBwgDEAAYgAQyCAgEEAAYFhgeMggIBRAAGBYYHjIICAYQABgWGB4yCAgHEAAYFhgeMggICBAAGBYYHjIICAkQABgWGB7SAQgxMDkxajBqNKgCALACAA&amp;sourceid=chrome&amp;ie=UTF-8" TargetMode="External" Id="rId117"/><Relationship Type="http://schemas.openxmlformats.org/officeDocument/2006/relationships/hyperlink" Target="https://www.hyatt.com/hyatt-house/en-US/phxxs-hyatt-house-scottsdale-old-town?src=agn_koddi_crp_chico_ppc_22375389508_Conversion_House_Google_Search_English_PHXXS_Scottsdale_Paid_Brand_CrossDevice_1x1_google_Koddi-TopUp-Evergreen-Brand_e_hyatt%20house%20scottsdale%20old%20town&amp;gad_source=1&amp;gad_campaignid=22375389508&amp;gclid=CjwKCAjwlaTGBhANEiwAoRgXBVxYYPplLNXwBgxiVwCk8HJIxuUZTBgWUistrD8Kq9cp6vNDqqjlvRoC9hAQAvD_BwE" TargetMode="External" Id="rId118"/><Relationship Type="http://schemas.openxmlformats.org/officeDocument/2006/relationships/hyperlink" Target="https://www.hilton.com/en/hotels/phxregv-hilton-vacation-club-scottsdale-links-resort/?SEO_id=GMB-AMER-HH-PHXREGV&amp;y_source=1_MzUxNDI4NTUtNzE1LWxvY2F0aW9uLndlYnNpdGU%3D" TargetMode="External" Id="rId119"/><Relationship Type="http://schemas.openxmlformats.org/officeDocument/2006/relationships/hyperlink" Target="https://www.marriott.com/en-us/hotels/phxwh-w-scottsdale/overview/?scid=f2ae0541-1279-4f24-b197-a979c79310b0" TargetMode="External" Id="rId120"/><Relationship Type="http://schemas.openxmlformats.org/officeDocument/2006/relationships/hyperlink" Target="https://www.hyatt.com/unbound-collection/en-US/phxub-royal-palms-resort-and-spa?src=corp_lclb_google_seo_phxub&amp;utm_source=google&amp;utm_medium=organic&amp;utm_campaign=lmr" TargetMode="External" Id="rId121"/><Relationship Type="http://schemas.openxmlformats.org/officeDocument/2006/relationships/hyperlink" Target="https://www.talkingstickresort.com/" TargetMode="External" Id="rId122"/><Relationship Type="http://schemas.openxmlformats.org/officeDocument/2006/relationships/hyperlink" Target="https://www.google.com/search?q=sanctuary+camelback+mountain+resort+%26+spa&amp;rlz=1C1CHBD_enUS883US883&amp;oq=Sanctuary+Camelback+Mountain+Resort+%26+Spa&amp;gs_lcrp=EgZjaHJvbWUqDQgAEAAY4wIYyQMYgAQyDQgAEAAY4wIYyQMYgAQyGQgBEC4YrwEYxwEYyQMYgAQYjgUYmAUYmQUyBwgCEAAYgAQyBwgDEAAYgAQyCQgEEAAYHhipBjIJCAUQABgeGKkGMgkIBhAAGB4YqQYyCAgHEAAYFhgeMggICBAAGBYYHjIICAkQABgWGB7SAQgxMzkzajBqNKgCALACAA&amp;sourceid=chrome&amp;ie=UTF-8" TargetMode="External" Id="rId123"/><Relationship Type="http://schemas.openxmlformats.org/officeDocument/2006/relationships/hyperlink" Target="https://www.sanctuaryaz.com/" TargetMode="External" Id="rId124"/><Relationship Type="http://schemas.openxmlformats.org/officeDocument/2006/relationships/hyperlink" Target="https://www.hilton.com/en/hotels/phxotpy-canopy-scottsdale-old-town/?SEO_id=GMB-AMER-PY-PHXOTPY&amp;y_source=1_MTc4NjUzOTMtNzE1LWxvY2F0aW9uLndlYnNpdGU%3D" TargetMode="External" Id="rId125"/><Relationship Type="http://schemas.openxmlformats.org/officeDocument/2006/relationships/hyperlink" Target="https://www.hilton.com/en/hotels/phxssqq-the-scottsdale-resort-and-spa/?SEO_id=GMB-AMER-QQ-PHXSSQQ&amp;y_source=1_MzA3ODU0NTQtNzE1LWxvY2F0aW9uLndlYnNpdGU%3D" TargetMode="External" Id="rId126"/><Relationship Type="http://schemas.openxmlformats.org/officeDocument/2006/relationships/hyperlink" Target="https://www.hilton.com/en/hotels/phxscru-tru-scottsdale-salt-river/?SEO_id=GMB-AMER-RU-PHXSCRU&amp;y_source=1_MTQ5MzAwMjEtNzE1LWxvY2F0aW9uLndlYnNpdGU%3D" TargetMode="External" Id="rId127"/><Relationship Type="http://schemas.openxmlformats.org/officeDocument/2006/relationships/hyperlink" Target="https://www.hilton.com/en/hotels/phxdaht-home2-suites-scottsdale-salt-river/?SEO_id=GMB-AMER-HT-PHXDAHT&amp;y_source=1_MTQ5MzAwNDctNzE1LWxvY2F0aW9uLndlYnNpdGU%3D" TargetMode="External" Id="rId128"/><Relationship Type="http://schemas.openxmlformats.org/officeDocument/2006/relationships/hyperlink" Target="https://mountainshadows.com/" TargetMode="External" Id="rId129"/><Relationship Type="http://schemas.openxmlformats.org/officeDocument/2006/relationships/hyperlink" Target="https://www.hilton.com/en/hotels/sctnpgi-hilton-garden-inn-scottsdale-north-perimeter-center/?SEO_id=GMB-AMER-GI-SCTNPGI&amp;y_source=1_MjA4NTE2My03MTUtbG9jYXRpb24ud2Vic2l0ZQ%3D%3D" TargetMode="External" Id="rId130"/><Relationship Type="http://schemas.openxmlformats.org/officeDocument/2006/relationships/hyperlink" Target="https://www.marriott.com/en-us/hotels/phxsd-aloft-scottsdale/overview/?scid=f2ae0541-1279-4f24-b197-a979c79310b0" TargetMode="External" Id="rId131"/><Relationship Type="http://schemas.openxmlformats.org/officeDocument/2006/relationships/hyperlink" Target="https://www.hyatt.com/andaz/en-US/phxaz-andaz-scottsdale-resort-and-bungalows?src=corp_lclb_google_seo_phxaz&amp;utm_source=google&amp;utm_medium=organic&amp;utm_campaign=lmr" TargetMode="External" Id="rId132"/><Relationship Type="http://schemas.openxmlformats.org/officeDocument/2006/relationships/hyperlink" Target="https://www.sonesta.com/sonesta-hotels-resorts/az/scottsdale/sonesta-suites-scottsdale-gainey-ranch" TargetMode="External" Id="rId133"/><Relationship Type="http://schemas.openxmlformats.org/officeDocument/2006/relationships/hyperlink" Target="https://www.google.com/search?q=the+scottsdale+plaza+resort+%26+villas&amp;rlz=1C1CHBD_enUS883US883&amp;oq=The+Scottsdale+Plaza+Resort+%26+Villas&amp;gs_lcrp=EgZjaHJvbWUqCggAEAAY4wIYgAQyCggAEAAY4wIYgAQyFggBEC4YrwEYxwEYgAQYjgUYmAUYmQUyBwgCEAAYgAQyBwgDEAAYgAQyCQgEEAAYHhipBjIJCAUQABgeGKkGMgkIBhAAGB4YqQYyCQgHEAAYHhipBjIJCAgQABgeGKkGMgkICRAAGB4YqQbSAQgxMzcwajBqN6gCALACAA&amp;sourceid=chrome&amp;ie=UTF-8" TargetMode="External" Id="rId134"/><Relationship Type="http://schemas.openxmlformats.org/officeDocument/2006/relationships/hyperlink" Target="https://www.scottsdaleplaza.com/?gad_source=1&amp;gad_campaignid=16408654732&amp;gbraid=0AAAAAodDwMSNbi1tTYgo2QurB_9i-XoxA&amp;gclid=CjwKCAjwlaTGBhANEiwAoRgXBQMHTkuiobxF6qNh8vzfvc1yTpVFBx_UAIjywjleouHvZtEChGv9DhoCsIYQAvD_BwE" TargetMode="External" Id="rId135"/><Relationship Type="http://schemas.openxmlformats.org/officeDocument/2006/relationships/hyperlink" Target="https://www.ihg.com/holidayinn/hotels/us/en/scottsdale/phxsa/hoteldetail?cm_mmc=GoogleMaps-_-HI-_-US-_-PHXSA" TargetMode="External" Id="rId136"/><Relationship Type="http://schemas.openxmlformats.org/officeDocument/2006/relationships/hyperlink" Target="https://www.google.com/search?q=residence+inn+scottsdale+salt+river&amp;rlz=1C1CHBD_enUS883US883&amp;oq=Residence+Inn+Scottsdale+Salt+River&amp;gs_lcrp=EgZjaHJvbWUqCggAEAAY4wIYgAQyCggAEAAY4wIYgAQyFggBEC4YrwEYxwEYgAQYmAUYmQUYngUyBwgCEAAYgAQyBwgDEAAYgAQyCQgEEAAYHhipBjIJCAUQABgeGKkGMgkIBhAAGB4YqQYyCQgHEAAYHhipBjIJCAgQABgeGKkGMgoICRAAGAoYFhge0gEHOTQwajBqNKgCA7ACAfEFF5wVE6dESkc&amp;sourceid=chrome&amp;ie=UTF-8" TargetMode="External" Id="rId137"/><Relationship Type="http://schemas.openxmlformats.org/officeDocument/2006/relationships/hyperlink" Target="https://www.marriott.com/en-us/hotels/phxrr-residence-inn-scottsdale-salt-river/overview/?scid=f2ae0541-1279-4f24-b197-a979c79310b0" TargetMode="External" Id="rId138"/><Relationship Type="http://schemas.openxmlformats.org/officeDocument/2006/relationships/hyperlink" Target="https://www.hilton.com/en/hotels/scfnshh-north-scottsdale-at-cavasson/?SEO_id=GMB-AMER-HH-SCFNSHH&amp;y_source=1_Mjc3Mjg5OTMtNzE1LWxvY2F0aW9uLndlYnNpdGU%3D" TargetMode="External" Id="rId139"/><Relationship Type="http://schemas.openxmlformats.org/officeDocument/2006/relationships/hyperlink" Target="https://www.sonesta.com/sonesta-es-suites/az/scottsdale/sonesta-es-suites-scottsdale-paradise-valley" TargetMode="External" Id="rId140"/><Relationship Type="http://schemas.openxmlformats.org/officeDocument/2006/relationships/hyperlink" Target="https://www.hilton.com/en/hotels/phxdbht-home2-suites-scottsdale-old-town/?SEO_id=GMB-AMER-HT-PHXDBHT&amp;y_source=1_MTA4MDk1OTMzNi03MTUtbG9jYXRpb24ud2Vic2l0ZQ%3D%3D" TargetMode="External" Id="rId141"/><Relationship Type="http://schemas.openxmlformats.org/officeDocument/2006/relationships/hyperlink" Target="https://www.marriott.com/en-us/hotels/phxac-ac-hotel-phoenix-tempe-downtown/overview/?scid=f2ae0541-1279-4f24-b197-a979c79310b0" TargetMode="External" Id="rId142"/><Relationship Type="http://schemas.openxmlformats.org/officeDocument/2006/relationships/hyperlink" Target="https://www.marriott.com/en-us/hotels/phxtm-marriott-phoenix-resort-tempe-at-the-buttes/overview/?scid=f2ae0541-1279-4f24-b197-a979c79310b0" TargetMode="External" Id="rId143"/><Relationship Type="http://schemas.openxmlformats.org/officeDocument/2006/relationships/hyperlink" Target="https://www.hyatt.com/destination-by-hyatt/en-US/phxdt-tempe-mission-palms?src=corp_lclb_google_seo_phxdt&amp;utm_source=google&amp;utm_medium=organic&amp;utm_campaign=lmr" TargetMode="External" Id="rId144"/><Relationship Type="http://schemas.openxmlformats.org/officeDocument/2006/relationships/hyperlink" Target="https://www.marriott.com/en-us/hotels/phxox-moxy-phoenix-tempe-asu-area/overview/?scid=f2ae0541-1279-4f24-b197-a979c79310b0" TargetMode="External" Id="rId145"/><Relationship Type="http://schemas.openxmlformats.org/officeDocument/2006/relationships/hyperlink" Target="https://www.hyatt.com/hyatt-place/en-US/phxzt-hyatt-place-tempe-phoenix-university?src=corp_lclb_google_seo_phxzt&amp;utm_source=google&amp;utm_medium=organic&amp;utm_campaign=lmr" TargetMode="External" Id="rId146"/><Relationship Type="http://schemas.openxmlformats.org/officeDocument/2006/relationships/hyperlink" Target="https://www.hilton.com/en/hotels/phxgpgu-graduate-tempe/?SEO_id=GMB-AMER-GU-PHXGPGU&amp;y_source=1_MTA1MzY0NDY2Ni03MTUtbG9jYXRpb24ud2Vic2l0ZQ%3D%3D" TargetMode="External" Id="rId147"/><Relationship Type="http://schemas.openxmlformats.org/officeDocument/2006/relationships/hyperlink" Target="https://www.google.com/search?q=OMNI+Tempe+Hotel+At+ASU+%23+of+rooms&amp;sca_esv=168bb5d2636e6f00&amp;rlz=1C1CHBD_enUS883US883&amp;biw=2046&amp;bih=1043&amp;ei=J9lvaLPfF9fGkPIPzLrpsA4&amp;hotel_occupancy=&amp;ved=0ahUKEwjzjoXayrKOAxVXI0QIHUxdGuYQ4dUDCBA&amp;uact=5&amp;oq=OMNI+Tempe+Hotel+At+ASU+%23+of+rooms&amp;gs_lp=Egxnd3Mtd2l6LXNlcnAiIk9NTkkgVGVtcGUgSG90ZWwgQXQgQVNVICMgb2Ygcm9vbXMyCBAAGIAEGKIEMggQABiABBiiBDIIEAAYgAQYogQyCBAAGIAEGKIESP4EUABYAHAAeAGQAQCYAV6gAV6qAQExuAEDyAEA-AEC-AEBmAIBoAJgmAMAkgcBMaAHugKyBwExuAdgwgcDMC4xyAcB&amp;sclient=gws-wiz-serp" TargetMode="External" Id="rId148"/><Relationship Type="http://schemas.openxmlformats.org/officeDocument/2006/relationships/hyperlink" Target="https://www.omnihotels.com/hotels/tempe-asu?utm_source=gmblisting&amp;utm_medium=organic" TargetMode="External" Id="rId149"/><Relationship Type="http://schemas.openxmlformats.org/officeDocument/2006/relationships/hyperlink" Target="https://www.hilton.com/en/hotels/phxmpdt-doubletree-phoenix-tempe/?SEO_id=GMB-AMER-DT-PHXMPDT&amp;y_source=1_MTM3MjY1Ni03MTUtbG9jYXRpb24ud2Vic2l0ZQ%3D%3D" TargetMode="External" Id="rId150"/><Relationship Type="http://schemas.openxmlformats.org/officeDocument/2006/relationships/hyperlink" Target="https://www.hilton.com/en/hotels/phxtypy-canopy-tempe-downtown/?SEO_id=GMB-AMER-PY-PHXTYPY&amp;y_source=1_MTYwNzY5MDctNzE1LWxvY2F0aW9uLndlYnNpdGU%3D" TargetMode="External" Id="rId151"/><Relationship Type="http://schemas.openxmlformats.org/officeDocument/2006/relationships/hyperlink" Target="https://www.marriott.com/en-us/hotels/phxal-aloft-tempe/overview/?scid=f2ae0541-1279-4f24-b197-a979c79310b0" TargetMode="External" Id="rId152"/><Relationship Type="http://schemas.openxmlformats.org/officeDocument/2006/relationships/hyperlink" Target="https://www.hyatt.com/hyatt-place/en-US/phxza-hyatt-place-tempe-phoenix-airport?src=corp_lclb_google_seo_phxza&amp;utm_source=google&amp;utm_medium=organic&amp;utm_campaign=lmr" TargetMode="External" Id="rId153"/><Relationship Type="http://schemas.openxmlformats.org/officeDocument/2006/relationships/hyperlink" Target="https://www.marriott.com/en-us/hotels/phxwt-the-westin-tempe/overview/?scid=f2ae0541-1279-4f24-b197-a979c79310b0" TargetMode="External" Id="rId154"/><Relationship Type="http://schemas.openxmlformats.org/officeDocument/2006/relationships/hyperlink" Target="https://www.marriott.com/en-us/hotels/phxtd-residence-inn-tempe-downtown-university/overview/?scid=f2ae0541-1279-4f24-b197-a979c79310b0" TargetMode="External" Id="rId155"/><Relationship Type="http://schemas.openxmlformats.org/officeDocument/2006/relationships/hyperlink" Target="https://www.hilton.com/en/hotels/phxtuhw-homewood-suites-phoenix-tempe-asu-area/?SEO_id=GMB-AMER-HG-PHXTUHW&amp;y_source=1_NDA5MDc2MC03MTUtbG9jYXRpb24ud2Vic2l0ZQ%3D%3D" TargetMode="External" Id="rId156"/><Relationship Type="http://schemas.openxmlformats.org/officeDocument/2006/relationships/hyperlink" Target="https://www.hilton.com/en/hotels/phxaagi-hilton-garden-inn-phoenix-tempe-asu-area/?SEO_id=GMB-AMER-GI-PHXAAGI&amp;y_source=1_NjAxNzY2OS03MTUtbG9jYXRpb24ud2Vic2l0ZQ%3D%3D" TargetMode="External" Id="rId157"/><Relationship Type="http://schemas.openxmlformats.org/officeDocument/2006/relationships/hyperlink" Target="https://www.marriott.com/en-us/hotels/phxfe-fairfield-inn-and-suites-tempe/overview/?scid=f2ae0541-1279-4f24-b197-a979c79310b0" TargetMode="External" Id="rId158"/><Relationship Type="http://schemas.openxmlformats.org/officeDocument/2006/relationships/hyperlink" Target="https://www.google.com/search?q=Sheraton+Desert+Oasis+Villas%2C+Scottsdale&amp;client=safari&amp;hs=aoZU&amp;sca_esv=445b43772c47b857&amp;rls=en&amp;sxsrf=ANbL-n6n-BHMw18lT-SfUlSdlJ5TDOua_Q%3A1769542803974&amp;ei=kxR5afKcO6fbkPIPwvSp8Ao&amp;ved=0ahUKEwiysvvRvKySAxWnLUQIHUJ6Cq4Q4dUDCBE&amp;uact=5&amp;oq=Sheraton+Desert+Oasis+Villas%2C+Scottsdale&amp;gs_lp=Egxnd3Mtd2l6LXNlcnAiKFNoZXJhdG9uIERlc2VydCBPYXNpcyBWaWxsYXMsIFNjb3R0c2RhbGUyFxAuGIAEGMcBGJgFGJkFGJ4FGI4FGK8BMgUQABiABDIFEAAYgAQyCxAAGIAEGJECGIoFMgsQABiABBiGAxiKBTILEAAYgAQYhgMYigUyCxAAGIAEGIYDGIoFMgUQABjvBTIFEAAY7wUyBRAAGO8FMiYQLhiABBjHARiYBRiZBRieBRiOBRivARiXBRjcBBjeBBjgBNgBAUizA1AAWABwAHgBkAEAmAF9oAF9qgEDMC4xuAEDyAEA-AEC-AEBmAIBoAL3AZgDALoGBggBEAEYFJIHAzItMaAHpQqyBwMyLTG4B_cBwgcDNi0xyAd2gAgA&amp;sclient=gws-wiz-serp" TargetMode="External" Id="rId159"/><Relationship Type="http://schemas.openxmlformats.org/officeDocument/2006/relationships/hyperlink" Target="https://www.marriott.com/en-us/hotels/phxso-sheraton-desert-oasis-villas-scottsdale/overview/?scid=f2ae0541-1279-4f24-b197-a979c79310b0" TargetMode="External" Id="rId160"/><Relationship Type="http://schemas.openxmlformats.org/officeDocument/2006/relationships/hyperlink" Target="https://www.google.com/search?client=safari&amp;rls=en&amp;q=Holiday+Inn+Express+%26+Suites+Phoenix+%E2%80%93+Midtown&amp;ie=UTF-8&amp;oe=UTF-8" TargetMode="External" Id="rId161"/><Relationship Type="http://schemas.openxmlformats.org/officeDocument/2006/relationships/hyperlink" Target="https://www.ihg.com/phoenix-arizona?cm_mmc=GoogleMaps-_-EX-_-US-_-PHXMT" TargetMode="External" Id="rId162"/><Relationship Type="http://schemas.openxmlformats.org/officeDocument/2006/relationships/hyperlink" Target="https://www.google.com/search?client=safari&amp;rls=en&amp;q=Hyatt+Place+Phoenix-North&amp;ie=UTF-8&amp;oe=UTF-8" TargetMode="External" Id="rId163"/><Relationship Type="http://schemas.openxmlformats.org/officeDocument/2006/relationships/hyperlink" Target="https://www.reservations.com/hotel/hyatt-place-phoenix-north?googleCampaignId=22509500384&amp;googleAdGroupId=180522653002&amp;googleAdId=750293265067&amp;keyword=hyatt%20place%20phoenix%20north&amp;matchType=b&amp;googleKeywordId=&amp;adExtensionId=&amp;network=g&amp;adPosition=&amp;deviceType=c&amp;physicalLocation=9195354&amp;interestLocation=&amp;targetId=kwd-353112739647&amp;placement=&amp;gad_source=1&amp;gad_campaignid=22509500384&amp;gbraid=0AAAAA9ud1S8rI2nkniBtw_xiEnuXcNBm1&amp;gclid=Cj0KCQiA4eHLBhCzARIsAJ2NZoJFoXF_4MaPx8YiCEoFLhCfxYzNxdUS4vj5l26pLhCz_xhJWW-CH6IaAscwEALw_wcB" TargetMode="External" Id="rId164"/><Relationship Type="http://schemas.openxmlformats.org/officeDocument/2006/relationships/hyperlink" Target="https://www.google.com/search?client=safari&amp;hs=M9Ep&amp;sca_esv=445b43772c47b857&amp;rls=en&amp;sxsrf=ANbL-n6WqcRVRfW2hZ-a7ebSmNrd4qLhtQ:1769543298166&amp;q=towneplace+suites+by+marriott+phoenix+north+address&amp;ludocid=2341067863647612940&amp;sa=X&amp;ved=2ahUKEwirxc69vqySAxXCIEQIHc7DKmMQ6BN6BAgpEAI&amp;biw=1440&amp;bih=820&amp;dpr=2&amp;aic=0" TargetMode="External" Id="rId165"/><Relationship Type="http://schemas.openxmlformats.org/officeDocument/2006/relationships/hyperlink" Target="https://www.marriott.com/search/findHotels.mi?pageType=advanced&amp;searchType=InCity&amp;destinationAddress.latitude=33.571671&amp;destinationAddress.longitude=-112.116811&amp;destinationAddress.destination=TownePlace+Suites+Phoenix+North&amp;nst=paid&amp;cid=PAI_GLB0004YXD_GLE000BIM5_GLF000OETA&amp;ppc=ppc&amp;pId=ustbppc&amp;gclsrc=aw.ds&amp;gad_source=1&amp;gad_campaignid=1658413582&amp;gbraid=0AAAAADilniewl5BZmmduSNTA1TsoQ7NPm&amp;gclid=Cj0KCQiA4eHLBhCzARIsAJ2NZoLyAxdNl5PtX38d-JL_jDfUMsRfpzV01sxcu7qkuSU2wGpCP1_nJX4aAh-DEALw_wcB&amp;deviceType=desktop-web&amp;view=list" TargetMode="External" Id="rId166"/><Relationship Type="http://schemas.openxmlformats.org/officeDocument/2006/relationships/hyperlink" Target="https://www.marriott.com/search/findHotels.mi?pageType=advanced&amp;searchType=InCity&amp;destinationAddress.latitude=33.571671&amp;destinationAddress.longitude=-112.116811&amp;destinationAddress.destination=TownePlace+Suites+Phoenix+North&amp;nst=paid&amp;cid=PAI_GLB0004YXD_GLE000BIM5_GLF000OETA&amp;ppc=ppc&amp;pId=ustbppc&amp;gclsrc=aw.ds&amp;gad_source=1&amp;gad_campaignid=1658413582&amp;gbraid=0AAAAADilniewl5BZmmduSNTA1TsoQ7NPm&amp;gclid=Cj0KCQiA4eHLBhCzARIsAJ2NZoLyAxdNl5PtX38d-JL_jDfUMsRfpzV01sxcu7qkuSU2wGpCP1_nJX4aAh-DEALw_wcB&amp;deviceType=desktop-web&amp;view=list" TargetMode="External" Id="rId167"/><Relationship Type="http://schemas.openxmlformats.org/officeDocument/2006/relationships/hyperlink" Target="https://www.google.com/search?client=safari&amp;rls=en&amp;q=DoubleTree+by+Hilton+Hotel+Phoenix+North&amp;ie=UTF-8&amp;oe=UTF-8" TargetMode="External" Id="rId168"/><Relationship Type="http://schemas.openxmlformats.org/officeDocument/2006/relationships/hyperlink" Target="https://www.hilton.com/en/hotels/phxntdt-doubletree-phoenix-north/?SEO_id=GMB-AMER-DT-PHXNTDT&amp;y_source=1_ODYwMjQ1My03MTUtbG9jYXRpb24ud2Vic2l0ZQ%3D%3D" TargetMode="External" Id="rId169"/><Relationship Type="http://schemas.openxmlformats.org/officeDocument/2006/relationships/hyperlink" Target="https://www.google.com/search?client=safari&amp;rls=en&amp;q=Courtyard+Phoenix+North&amp;ie=UTF-8&amp;oe=UTF-8" TargetMode="External" Id="rId170"/><Relationship Type="http://schemas.openxmlformats.org/officeDocument/2006/relationships/hyperlink" Target="https://www.marriott.com/en-us/hotels/phxmc-courtyard-phoenix-north/overview/?scid=f2ae0541-1279-4f24-b197-a979c79310b0" TargetMode="External" Id="rId171"/><Relationship Type="http://schemas.openxmlformats.org/officeDocument/2006/relationships/hyperlink" Target="https://www.ihg.com/staybridge/hotels/us/en/phoenix/phxbi/hoteldetail?cm_mmc=GoogleMaps-_-SB-_-US-_-PHXBI" TargetMode="External" Id="rId172"/><Relationship Type="http://schemas.openxmlformats.org/officeDocument/2006/relationships/hyperlink" Target="https://www.marriott.com/en-us/hotels/phxxl-aloft-phoenix-airport/overview/?scid=f2ae0541-1279-4f24-b197-a979c79310b0" TargetMode="External" Id="rId173"/><Relationship Type="http://schemas.openxmlformats.org/officeDocument/2006/relationships/hyperlink" Target="https://www.ihg.com/crowneplaza/hotels/us/en/phoenix/phxea/hoteldetail?cm_mmc=GoogleMaps-_-CP-_-US-_-PHXEA" TargetMode="External" Id="rId174"/><Relationship Type="http://schemas.openxmlformats.org/officeDocument/2006/relationships/hyperlink" Target="https://holidayinnsuitesphoenixairportnorth.reservationstays.com/hotels/RG65w3je?--=&amp;gad_source=1&amp;gad_campaignid=21791738075&amp;gbraid=0AAAAAo1QcNkXdhPulmVHToXJjpdZrqAnN&amp;gclid=Cj0KCQiA4eHLBhCzARIsAJ2NZoJJMsL8sd5OiyinF4yhnWwNXAYXTaVirjy_1Xym25qFZ5m6CcRyjUEaAh3BEALw_wcB&amp;redirect_auth_retry=true&amp;expand_params=false" TargetMode="External" Id="rId175"/><Relationship Type="http://schemas.openxmlformats.org/officeDocument/2006/relationships/hyperlink" Target="https://www.google.com/search?client=safari&amp;rls=en&amp;q=Hampton+Inn+Phoenix-Airport+North&amp;ie=UTF-8&amp;oe=UTF-8" TargetMode="External" Id="rId176"/><Relationship Type="http://schemas.openxmlformats.org/officeDocument/2006/relationships/hyperlink" Target="https://www.google.com/search?client=safari&amp;rls=en&amp;q=Hampton+Inn+Phoenix-Airport+North&amp;ie=UTF-8&amp;oe=UTF-8" TargetMode="External" Id="rId177"/><Relationship Type="http://schemas.openxmlformats.org/officeDocument/2006/relationships/hyperlink" Target="https://www.thisisfilthyanimal.com/" TargetMode="External" Id="rId178"/><Relationship Type="http://schemas.openxmlformats.org/officeDocument/2006/relationships/hyperlink" Target="https://www.culinarydropout.com/locations/tempe-az/?utm_source=Google&amp;utm_medium=Organic&amp;utm_campaign=Maps" TargetMode="External" Id="rId179"/><Relationship Type="http://schemas.openxmlformats.org/officeDocument/2006/relationships/hyperlink" Target="https://threethirtythreerestaurants.com/" TargetMode="External" Id="rId180"/><Relationship Type="http://schemas.openxmlformats.org/officeDocument/2006/relationships/hyperlink" Target="https://www.northitalia.com/locations/tempe-az/" TargetMode="External" Id="rId181"/><Relationship Type="http://schemas.openxmlformats.org/officeDocument/2006/relationships/hyperlink" Target="https://www.postino.com/locations/postino-annex" TargetMode="External" Id="rId182"/><Relationship Type="http://schemas.openxmlformats.org/officeDocument/2006/relationships/hyperlink" Target="https://societytempe.com/" TargetMode="External" Id="rId183"/><Relationship Type="http://schemas.openxmlformats.org/officeDocument/2006/relationships/hyperlink" Target="http://az88.com/" TargetMode="External" Id="rId184"/><Relationship Type="http://schemas.openxmlformats.org/officeDocument/2006/relationships/hyperlink" Target="https://www.themissionaz.com/" TargetMode="External" Id="rId185"/><Relationship Type="http://schemas.openxmlformats.org/officeDocument/2006/relationships/hyperlink" Target="https://stksteakhouse.com/en-us/location/scottsdale/" TargetMode="External" Id="rId186"/><Relationship Type="http://schemas.openxmlformats.org/officeDocument/2006/relationships/hyperlink" Target="https://uchi.uchirestaurants.com/location/scottsdale/" TargetMode="External" Id="rId187"/><Relationship Type="http://schemas.openxmlformats.org/officeDocument/2006/relationships/hyperlink" Target="http://hulasmoderntiki.com/" TargetMode="External" Id="rId188"/><Relationship Type="http://schemas.openxmlformats.org/officeDocument/2006/relationships/hyperlink" Target="http://www.fnbrestaurant.com/" TargetMode="External" Id="rId189"/><Relationship Type="http://schemas.openxmlformats.org/officeDocument/2006/relationships/hyperlink" Target="https://www.bourbonandbones.com/old-town-scottsdale/" TargetMode="External" Id="rId190"/><Relationship Type="http://schemas.openxmlformats.org/officeDocument/2006/relationships/hyperlink" Target="https://liquorpigscottsdale.com/" TargetMode="External" Id="rId191"/><Relationship Type="http://schemas.openxmlformats.org/officeDocument/2006/relationships/hyperlink" Target="https://socialtapscottsdaleaz.com/" TargetMode="External" Id="rId192"/><Relationship Type="http://schemas.openxmlformats.org/officeDocument/2006/relationships/hyperlink" Target="https://barstoolscottsdale.com/" TargetMode="External" Id="rId193"/><Relationship Type="http://schemas.openxmlformats.org/officeDocument/2006/relationships/hyperlink" Target="http://www.diegopops.com/" TargetMode="External" Id="rId194"/><Relationship Type="http://schemas.openxmlformats.org/officeDocument/2006/relationships/hyperlink" Target="https://www.themontaukaz.com/" TargetMode="External" Id="rId195"/><Relationship Type="http://schemas.openxmlformats.org/officeDocument/2006/relationships/hyperlink" Target="https://ilovefarmandcraft.com/" TargetMode="External" Id="rId196"/><Relationship Type="http://schemas.openxmlformats.org/officeDocument/2006/relationships/hyperlink" Target="https://pistolerosaz.com/" TargetMode="External" Id="rId197"/><Relationship Type="http://schemas.openxmlformats.org/officeDocument/2006/relationships/hyperlink" Target="http://www.sexyroman.com/?y_source=1_MjAxMjc4NDQ1My03MTUtbG9jYXRpb24ud2Vic2l0ZQ%3D%3D" TargetMode="External" Id="rId198"/><Relationship Type="http://schemas.openxmlformats.org/officeDocument/2006/relationships/hyperlink" Target="https://www.hifiscottsdale.com/" TargetMode="External" Id="rId199"/><Relationship Type="http://schemas.openxmlformats.org/officeDocument/2006/relationships/hyperlink" Target="https://shivsupperclub.com/" TargetMode="External" Id="rId200"/><Relationship Type="http://schemas.openxmlformats.org/officeDocument/2006/relationships/hyperlink" Target="http://www.endsrestaurant.com/" TargetMode="External" Id="rId201"/><Relationship Type="http://schemas.openxmlformats.org/officeDocument/2006/relationships/hyperlink" Target="http://schmoozescottsdale.com/" TargetMode="External" Id="rId202"/><Relationship Type="http://schemas.openxmlformats.org/officeDocument/2006/relationships/hyperlink" Target="https://www.evoscottsdale.com/" TargetMode="External" Id="rId203"/><Relationship Type="http://schemas.openxmlformats.org/officeDocument/2006/relationships/hyperlink" Target="http://www.beverlyonmain.com/" TargetMode="External" Id="rId204"/><Relationship Type="http://schemas.openxmlformats.org/officeDocument/2006/relationships/hyperlink" Target="https://www.selrestaurant.com/" TargetMode="External" Id="rId205"/><Relationship Type="http://schemas.openxmlformats.org/officeDocument/2006/relationships/hyperlink" Target="https://www.oliveandivyrestaurant.com/locations/scottsdale-az/?utm_source=Google&amp;utm_medium=Organic&amp;utm_campaign=Maps" TargetMode="External" Id="rId206"/><Relationship Type="http://schemas.openxmlformats.org/officeDocument/2006/relationships/hyperlink" Target="http://www.handcutchophouse.com/" TargetMode="External" Id="rId207"/><Relationship Type="http://schemas.openxmlformats.org/officeDocument/2006/relationships/hyperlink" Target="http://mapleandash.com/" TargetMode="External" Id="rId208"/><Relationship Type="http://schemas.openxmlformats.org/officeDocument/2006/relationships/hyperlink" Target="https://www.culinarydropout.com/locations/scottsdale-az/?utm_source=Google&amp;utm_medium=Organic&amp;utm_campaign=Maps" TargetMode="External" Id="rId209"/><Relationship Type="http://schemas.openxmlformats.org/officeDocument/2006/relationships/hyperlink" Target="https://locations.pfchangs.com/az/scottsdale/7135-e-camelback-rd-suite-101.html?utm_source=google_gbp&amp;utm_medium=organic" TargetMode="External" Id="rId210"/><Relationship Type="http://schemas.openxmlformats.org/officeDocument/2006/relationships/hyperlink" Target="https://moxies.com/restaurants/scottsdale" TargetMode="External" Id="rId211"/><Relationship Type="http://schemas.openxmlformats.org/officeDocument/2006/relationships/hyperlink" Target="https://tocamadera.com/" TargetMode="External" Id="rId212"/><Relationship Type="http://schemas.openxmlformats.org/officeDocument/2006/relationships/hyperlink" Target="https://www.ocean44.com/" TargetMode="External" Id="rId213"/><Relationship Type="http://schemas.openxmlformats.org/officeDocument/2006/relationships/hyperlink" Target="https://www.noburestaurants.com/scottsdale/home/?utm_source=google&amp;utm_medium=Yext" TargetMode="External" Id="rId214"/><Relationship Type="http://schemas.openxmlformats.org/officeDocument/2006/relationships/hyperlink" Target="https://fogodechao.com/location/scottsdale/" TargetMode="External" Id="rId215"/><Relationship Type="http://schemas.openxmlformats.org/officeDocument/2006/relationships/hyperlink" Target="https://www.ilovefatox.com/" TargetMode="External" Id="rId216"/><Relationship Type="http://schemas.openxmlformats.org/officeDocument/2006/relationships/hyperlink" Target="https://www.culinarydropout.com/locations/scottsdale-az-scottsdale-quarter/?utm_source=Google&amp;utm_medium=Organic&amp;utm_campaign=Maps" TargetMode="External" Id="rId217"/><Relationship Type="http://schemas.openxmlformats.org/officeDocument/2006/relationships/hyperlink" Target="https://www.dominickssteakhouse.com/?utm_source=google&amp;utm_medium=organic&amp;utm_campaign=gmb" TargetMode="External" Id="rId218"/><Relationship Type="http://schemas.openxmlformats.org/officeDocument/2006/relationships/hyperlink" Target="https://www.mortons.com/location/mortons-the-steakhouse-scottsdale-az/" TargetMode="External" Id="rId219"/><Relationship Type="http://schemas.openxmlformats.org/officeDocument/2006/relationships/hyperlink" Target="https://www.welcometgh.com/" TargetMode="External" Id="rId220"/><Relationship Type="http://schemas.openxmlformats.org/officeDocument/2006/relationships/hyperlink" Target="https://www.postino.com/locations/postino-kierland" TargetMode="External" Id="rId221"/><Relationship Type="http://schemas.openxmlformats.org/officeDocument/2006/relationships/hyperlink" Target="https://www.northitalia.com/locations/scottsdale-az-kierland-commons/" TargetMode="External" Id="rId222"/><Relationship Type="http://schemas.openxmlformats.org/officeDocument/2006/relationships/hyperlink" Target="https://www.thearrogantbutcher.com/locations/phoenix-az/?utm_source=Google&amp;utm_medium=Organic&amp;utm_campaign=Maps" TargetMode="External" Id="rId223"/><Relationship Type="http://schemas.openxmlformats.org/officeDocument/2006/relationships/hyperlink" Target="http://www.rossoitalian.com/" TargetMode="External" Id="rId224"/><Relationship Type="http://schemas.openxmlformats.org/officeDocument/2006/relationships/hyperlink" Target="http://chicomalo.com/" TargetMode="External" Id="rId225"/><Relationship Type="http://schemas.openxmlformats.org/officeDocument/2006/relationships/hyperlink" Target="https://www.blancotacostequila.com/locations/phoenix-az-block-23/?utm_source=Google&amp;utm_medium=Organic&amp;utm_campaign=Maps" TargetMode="External" Id="rId226"/><Relationship Type="http://schemas.openxmlformats.org/officeDocument/2006/relationships/hyperlink" Target="https://www.wrenandwolf.com/" TargetMode="External" Id="rId227"/><Relationship Type="http://schemas.openxmlformats.org/officeDocument/2006/relationships/hyperlink" Target="https://www.cleaverman.com/" TargetMode="External" Id="rId228"/><Relationship Type="http://schemas.openxmlformats.org/officeDocument/2006/relationships/hyperlink" Target="https://condesaphx.com/" TargetMode="External" Id="rId229"/><Relationship Type="http://schemas.openxmlformats.org/officeDocument/2006/relationships/hyperlink" Target="https://www.lamieldeagave.com/" TargetMode="External" Id="rId230"/><Relationship Type="http://schemas.openxmlformats.org/officeDocument/2006/relationships/hyperlink" Target="https://www.thechurchillphx.com/" TargetMode="External" Id="rId231"/><Relationship Type="http://schemas.openxmlformats.org/officeDocument/2006/relationships/hyperlink" Target="http://palmaphx.com/" TargetMode="External" Id="rId232"/><Relationship Type="http://schemas.openxmlformats.org/officeDocument/2006/relationships/hyperlink" Target="http://www.lomwongaz.com/" TargetMode="External" Id="rId233"/><Relationship Type="http://schemas.openxmlformats.org/officeDocument/2006/relationships/hyperlink" Target="http://www.thepemberton.com/" TargetMode="External" Id="rId234"/><Relationship Type="http://schemas.openxmlformats.org/officeDocument/2006/relationships/hyperlink" Target="https://industrystandardaz.com/" TargetMode="External" Id="rId235"/><Relationship Type="http://schemas.openxmlformats.org/officeDocument/2006/relationships/hyperlink" Target="http://www.firstandlastphx.com/" TargetMode="External" Id="rId236"/><Relationship Type="http://schemas.openxmlformats.org/officeDocument/2006/relationships/hyperlink" Target="http://palakitchen.com/downtown" TargetMode="External" Id="rId237"/><Relationship Type="http://schemas.openxmlformats.org/officeDocument/2006/relationships/hyperlink" Target="https://www.bacanoraphx.com/" TargetMode="External" Id="rId238"/><Relationship Type="http://schemas.openxmlformats.org/officeDocument/2006/relationships/hyperlink" Target="http://www.pizzeriabianco.com/" TargetMode="External" Id="rId239"/><Relationship Type="http://schemas.openxmlformats.org/officeDocument/2006/relationships/hyperlink" Target="https://www.lathaphx.com/" TargetMode="External" Id="rId240"/><Relationship Type="http://schemas.openxmlformats.org/officeDocument/2006/relationships/hyperlink" Target="https://www.buckandrider.com/?utm_source=GMB&amp;utm_medium=local" TargetMode="External" Id="rId241"/><Relationship Type="http://schemas.openxmlformats.org/officeDocument/2006/relationships/hyperlink" Target="http://hulasmoderntiki.com/" TargetMode="External" Id="rId242"/><Relationship Type="http://schemas.openxmlformats.org/officeDocument/2006/relationships/hyperlink" Target="https://www.postino.com/locations/postino-central" TargetMode="External" Id="rId243"/><Relationship Type="http://schemas.openxmlformats.org/officeDocument/2006/relationships/hyperlink" Target="https://www.steak44.com/?utm_source=google&amp;utm_medium=organic&amp;utm_campaign=gmb" TargetMode="External" Id="rId244"/><Relationship Type="http://schemas.openxmlformats.org/officeDocument/2006/relationships/hyperlink" Target="https://pyrophx.com/" TargetMode="External" Id="rId245"/><Relationship Type="http://schemas.openxmlformats.org/officeDocument/2006/relationships/hyperlink" Target="http://www.roughrideraz.com/" TargetMode="External" Id="rId246"/><Relationship Type="http://schemas.openxmlformats.org/officeDocument/2006/relationships/hyperlink" Target="http://www.citizenpublichouse.com/" TargetMode="External" Id="rId247"/><Relationship Type="http://schemas.openxmlformats.org/officeDocument/2006/relationships/hyperlink" Target="https://chwinery.com/locations/arizona/chandler-az" TargetMode="External" Id="rId248"/><Relationship Type="http://schemas.openxmlformats.org/officeDocument/2006/relationships/hyperlink" Target="https://www.thirstylionrestaurant.com/" TargetMode="External" Id="rId249"/><Relationship Type="http://schemas.openxmlformats.org/officeDocument/2006/relationships/hyperlink" Target="https://www.georgeandgather.com/" TargetMode="External" Id="rId250"/><Relationship Type="http://schemas.openxmlformats.org/officeDocument/2006/relationships/hyperlink" Target="https://mieldeagavechandler.com/" TargetMode="External" Id="rId251"/><Relationship Type="http://schemas.openxmlformats.org/officeDocument/2006/relationships/hyperlink" Target="https://chandler.bornandbredarizona.com/" TargetMode="External" Id="rId252"/><Relationship Type="http://schemas.openxmlformats.org/officeDocument/2006/relationships/hyperlink" Target="https://www.postino.com/locations/postino-east" TargetMode="External" Id="rId253"/><Relationship Type="http://schemas.openxmlformats.org/officeDocument/2006/relationships/hyperlink" Target="https://sotolmck.com/" TargetMode="External" Id="rId254"/><Relationship Type="http://schemas.openxmlformats.org/officeDocument/2006/relationships/hyperlink" Target="https://www.culinarydropout.com/locations/gilbert-az/?utm_source=Google&amp;utm_medium=Organic&amp;utm_campaign=Maps" TargetMode="External" Id="rId255"/><Relationship Type="http://schemas.openxmlformats.org/officeDocument/2006/relationships/hyperlink" Target="https://www.elchorro.com/" TargetMode="External" Id="rId256"/><Relationship Type="http://schemas.openxmlformats.org/officeDocument/2006/relationships/hyperlink" Target="http://www.roaringfork.com/" TargetMode="External" Id="rId257"/><Relationship Type="http://schemas.openxmlformats.org/officeDocument/2006/relationships/hyperlink" Target="http://www.metropolisaz.com/" TargetMode="External" Id="rId258"/><Relationship Type="http://schemas.openxmlformats.org/officeDocument/2006/relationships/hyperlink" Target="https://www.marriott.com/en-us/hotels/phxwk-the-westin-kierland-villas-scottsdale/overview/?scid=f2ae0541-1279-4f24-b197-a979c79310b0" TargetMode="External" Id="rId259"/><Relationship Type="http://schemas.openxmlformats.org/officeDocument/2006/relationships/hyperlink" Target="http://www.scottsdalecamelback.com/?utm_source=gmb&amp;utm_medium=wix_google_business_profile&amp;utm_campaign=4873867034260296567" TargetMode="External" Id="rId260"/></Relationships>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pivotTable" Target="/xl/pivotTables/pivotTable1.xml" Id="rId2"/><Relationship Type="http://schemas.openxmlformats.org/officeDocument/2006/relationships/pivotTable" Target="/xl/pivotTables/pivotTable2.xml" Id="rId3"/><Relationship Type="http://schemas.openxmlformats.org/officeDocument/2006/relationships/pivotTable" Target="/xl/pivotTables/pivotTable3.xml" Id="rId4"/><Relationship Type="http://schemas.openxmlformats.org/officeDocument/2006/relationships/pivotTable" Target="/xl/pivotTables/pivotTable4.xml" Id="rId5"/></Relationships>
</file>

<file path=xl/worksheets/_rels/sheet4.xml.rels><Relationships xmlns="http://schemas.openxmlformats.org/package/2006/relationships"><Relationship Type="http://schemas.openxmlformats.org/officeDocument/2006/relationships/hyperlink" Target="https://parking.com/national/parking-near/33.42302890000001/-111.9418086/725-s-ash-ave?lot_id=20719&amp;showListOnly=1&amp;view=daily&amp;facility&amp;valet&amp;general=&amp;displayFullCity=0&amp;start=2026-02-24T11%3A00&amp;stop=2026-02-24T13%3A00&amp;sw=33.42082970431528,-111.94714598144415&amp;ne=33.42560564999984,-111.93767239855623" TargetMode="External" Id="rId1"/><Relationship Type="http://schemas.openxmlformats.org/officeDocument/2006/relationships/hyperlink" Target="https://www.reddevelopment.com/cityscape/directory/" TargetMode="External" Id="rId2"/></Relationships>
</file>

<file path=xl/worksheets/sheet1.xml><?xml version="1.0" encoding="utf-8"?>
<worksheet xmlns="http://schemas.openxmlformats.org/spreadsheetml/2006/main">
  <sheetPr>
    <outlinePr summaryBelow="0" summaryRight="0"/>
    <pageSetUpPr/>
  </sheetPr>
  <dimension ref="A1:AP445"/>
  <sheetViews>
    <sheetView showGridLines="0"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 customHeight="1"/>
  <cols>
    <col width="44.5" customWidth="1" style="222" min="1" max="1"/>
    <col width="12.13" customWidth="1" style="222" min="2" max="2"/>
    <col width="16.38" customWidth="1" style="222" min="3" max="3"/>
    <col outlineLevel="1" width="46.25" customWidth="1" style="222" min="4" max="4"/>
    <col outlineLevel="1" width="13.63" customWidth="1" style="222" min="5" max="5"/>
    <col outlineLevel="1" width="15.88" customWidth="1" style="222" min="6" max="6"/>
    <col outlineLevel="1" width="12.13" customWidth="1" style="222" min="7" max="8"/>
    <col outlineLevel="1" width="21.75" customWidth="1" style="222" min="9" max="9"/>
    <col outlineLevel="1" width="9.630000000000001" customWidth="1" style="222" min="10" max="10"/>
    <col outlineLevel="1" width="16.5" customWidth="1" style="222" min="11" max="11"/>
    <col outlineLevel="1" width="17" customWidth="1" style="222" min="12" max="12"/>
    <col outlineLevel="1" width="15.25" customWidth="1" style="222" min="13" max="17"/>
    <col width="19.38" customWidth="1" style="222" min="18" max="18"/>
    <col outlineLevel="1" width="15.25" customWidth="1" style="222" min="19" max="20"/>
    <col outlineLevel="1" width="26.13" customWidth="1" style="222" min="21" max="21"/>
    <col outlineLevel="1" width="27.5" customWidth="1" style="222" min="22" max="22"/>
    <col outlineLevel="1" width="22.63" customWidth="1" style="222" min="23" max="23"/>
    <col outlineLevel="1" width="21.63" customWidth="1" style="222" min="24" max="24"/>
    <col width="15.25" customWidth="1" style="222" min="25" max="25"/>
    <col outlineLevel="1" width="66.25" customWidth="1" style="222" min="26" max="26"/>
    <col outlineLevel="1" width="15.25" customWidth="1" style="222" min="27" max="27"/>
    <col outlineLevel="1" width="30.25" customWidth="1" style="222" min="28" max="28"/>
    <col outlineLevel="1" width="30.5" customWidth="1" style="222" min="29" max="29"/>
    <col outlineLevel="1" width="15.25" customWidth="1" style="222" min="30" max="30"/>
    <col outlineLevel="1" width="30.63" customWidth="1" style="222" min="31" max="31"/>
    <col outlineLevel="1" width="15.25" customWidth="1" style="222" min="32" max="32"/>
    <col outlineLevel="1" width="30.63" customWidth="1" style="222" min="33" max="33"/>
    <col outlineLevel="1" width="15.25" customWidth="1" style="222" min="34" max="34"/>
    <col outlineLevel="1" width="29.25" customWidth="1" style="222" min="35" max="35"/>
    <col outlineLevel="1" width="15.25" customWidth="1" style="222" min="36" max="38"/>
    <col width="15.25" customWidth="1" style="222" min="39" max="39"/>
    <col outlineLevel="1" width="46" customWidth="1" style="222" min="40" max="40"/>
    <col outlineLevel="1" width="46.75" customWidth="1" style="222" min="41" max="41"/>
    <col width="15.25" customWidth="1" style="222" min="42" max="42"/>
  </cols>
  <sheetData>
    <row r="1" ht="41.25" customHeight="1" s="222">
      <c r="A1" s="2">
        <f>IFERROR(__xludf.DUMMYFUNCTION("if(eq(COUNTA(A2:A388) - COUNTUNIQUE(A2:A388),0),""Accounts"", CONCAT(""Accounts - Duplicate Found "",(COUNTA(A2:A388) - COUNTUNIQUE(A2:A388))))"),"Accounts")</f>
        <v/>
      </c>
      <c r="B1" s="2" t="inlineStr">
        <is>
          <t>Account Type</t>
        </is>
      </c>
      <c r="C1" s="2" t="inlineStr">
        <is>
          <t>Active</t>
        </is>
      </c>
      <c r="D1" s="5">
        <f>IFERROR(__xludf.DUMMYFUNCTION("if(eq(COUNTA(D2:D388) - COUNTUNIQUE(D2:D388),0),""Address"", CONCAT(""Duplicate Found: "", (COUNTA(D2:D388) - COUNTUNIQUE(D2:D388))))"),"Duplicate Found: 6")</f>
        <v/>
      </c>
      <c r="E1" s="5" t="inlineStr">
        <is>
          <t>Area</t>
        </is>
      </c>
      <c r="F1" s="5" t="inlineStr">
        <is>
          <t>Phone Number</t>
        </is>
      </c>
      <c r="G1" s="5" t="inlineStr">
        <is>
          <t>URL</t>
        </is>
      </c>
      <c r="H1" s="4" t="inlineStr">
        <is>
          <t>Self Parking Rate</t>
        </is>
      </c>
      <c r="I1" s="4" t="inlineStr">
        <is>
          <t>Valet Rate</t>
        </is>
      </c>
      <c r="J1" s="5" t="inlineStr">
        <is>
          <t>Room Count</t>
        </is>
      </c>
      <c r="K1" s="5" t="inlineStr">
        <is>
          <t xml:space="preserve">Parking Reviews </t>
        </is>
      </c>
      <c r="L1" s="5" t="inlineStr">
        <is>
          <t xml:space="preserve">Parking Reviews </t>
        </is>
      </c>
      <c r="M1" s="5" t="inlineStr">
        <is>
          <t>Management Group</t>
        </is>
      </c>
      <c r="N1" s="5" t="inlineStr">
        <is>
          <t>Linked Accounts</t>
        </is>
      </c>
      <c r="O1" s="5" t="inlineStr">
        <is>
          <t xml:space="preserve">Garage Operator </t>
        </is>
      </c>
      <c r="P1" s="5" t="inlineStr">
        <is>
          <t>Valet Operator</t>
        </is>
      </c>
      <c r="Q1" s="5" t="inlineStr">
        <is>
          <t>Location Notes</t>
        </is>
      </c>
      <c r="R1" s="2" t="inlineStr">
        <is>
          <t>POC</t>
        </is>
      </c>
      <c r="S1" s="5" t="inlineStr">
        <is>
          <t>Active Communications</t>
        </is>
      </c>
      <c r="T1" s="5" t="inlineStr">
        <is>
          <t>POC Name</t>
        </is>
      </c>
      <c r="U1" s="5" t="inlineStr">
        <is>
          <t>POC Role</t>
        </is>
      </c>
      <c r="V1" s="5" t="inlineStr">
        <is>
          <t>Email</t>
        </is>
      </c>
      <c r="W1" s="5" t="inlineStr">
        <is>
          <t>POC Phone Number</t>
        </is>
      </c>
      <c r="X1" s="5" t="inlineStr">
        <is>
          <t>Contact Preferences</t>
        </is>
      </c>
      <c r="Y1" s="2" t="inlineStr">
        <is>
          <t>Sales</t>
        </is>
      </c>
      <c r="Z1" s="5" t="inlineStr">
        <is>
          <t>Sales Notes Summary</t>
        </is>
      </c>
      <c r="AA1" s="5" t="inlineStr">
        <is>
          <t>1. Linked In</t>
        </is>
      </c>
      <c r="AB1" s="5" t="inlineStr">
        <is>
          <t>2. Cold Call</t>
        </is>
      </c>
      <c r="AC1" s="5" t="inlineStr">
        <is>
          <t>3. In person visit</t>
        </is>
      </c>
      <c r="AD1" s="5" t="inlineStr">
        <is>
          <t>4. First Email</t>
        </is>
      </c>
      <c r="AE1" s="5" t="inlineStr">
        <is>
          <t>5. Cold Call</t>
        </is>
      </c>
      <c r="AF1" s="5" t="inlineStr">
        <is>
          <t xml:space="preserve">6. Second follow up email </t>
        </is>
      </c>
      <c r="AG1" s="5" t="inlineStr">
        <is>
          <t>7. Cold Call</t>
        </is>
      </c>
      <c r="AH1" s="5" t="inlineStr">
        <is>
          <t xml:space="preserve">8. 2nd in person visit </t>
        </is>
      </c>
      <c r="AI1" s="5" t="inlineStr">
        <is>
          <t xml:space="preserve">9. Cold Call or voicemail </t>
        </is>
      </c>
      <c r="AJ1" s="5" t="inlineStr">
        <is>
          <t>10. Owner email</t>
        </is>
      </c>
      <c r="AK1" s="5" t="inlineStr">
        <is>
          <t xml:space="preserve">11. 3rd email temp check </t>
        </is>
      </c>
      <c r="AL1" s="5" t="n"/>
      <c r="AM1" s="2" t="inlineStr">
        <is>
          <t>Notes</t>
        </is>
      </c>
      <c r="AN1" s="5" t="inlineStr">
        <is>
          <t>Sourcing Notes</t>
        </is>
      </c>
      <c r="AO1" s="5" t="inlineStr">
        <is>
          <t>a</t>
        </is>
      </c>
      <c r="AP1" s="5" t="inlineStr">
        <is>
          <t>b</t>
        </is>
      </c>
    </row>
    <row r="2" ht="51.75" customHeight="1" s="222">
      <c r="A2" s="28" t="inlineStr">
        <is>
          <t>Kenect Phoenix</t>
        </is>
      </c>
      <c r="B2" s="8" t="inlineStr">
        <is>
          <t>Apartment</t>
        </is>
      </c>
      <c r="C2" s="8" t="n"/>
      <c r="D2" s="9" t="inlineStr">
        <is>
          <t>355 N Central Ave, Phoenix, AZ 85004</t>
        </is>
      </c>
      <c r="E2" s="14" t="inlineStr">
        <is>
          <t>Downtown</t>
        </is>
      </c>
      <c r="F2" s="14">
        <f>16022582828</f>
        <v/>
      </c>
      <c r="G2" s="11" t="inlineStr">
        <is>
          <t>https://www.kenectphoenix.com/?utm_source=GBP&amp;utm_medium=organic</t>
        </is>
      </c>
      <c r="H2" s="12" t="n"/>
      <c r="I2" s="93" t="inlineStr">
        <is>
          <t>No Valet</t>
        </is>
      </c>
      <c r="J2" s="14" t="n"/>
      <c r="K2" s="15" t="n"/>
      <c r="L2" s="14" t="n"/>
      <c r="M2" s="14" t="n"/>
      <c r="N2" s="14" t="n"/>
      <c r="O2" s="14" t="n"/>
      <c r="P2" s="14" t="n"/>
      <c r="Q2" s="14" t="n"/>
      <c r="R2" s="14" t="n"/>
      <c r="S2" s="14" t="n"/>
      <c r="T2" s="18" t="n"/>
      <c r="U2" s="30" t="n"/>
      <c r="V2" s="18" t="n"/>
      <c r="W2" s="18" t="n"/>
      <c r="X2" s="18" t="n"/>
      <c r="Y2" s="14" t="n"/>
      <c r="Z2" s="14" t="n"/>
      <c r="AA2" s="28" t="n"/>
      <c r="AB2" s="28" t="n"/>
      <c r="AC2" s="28" t="n"/>
      <c r="AD2" s="28" t="n"/>
      <c r="AE2" s="28" t="n"/>
      <c r="AF2" s="28" t="n"/>
      <c r="AG2" s="28" t="n"/>
      <c r="AH2" s="28" t="n"/>
      <c r="AI2" s="28" t="n"/>
      <c r="AJ2" s="28" t="n"/>
      <c r="AK2" s="28" t="n"/>
      <c r="AL2" s="14" t="n"/>
      <c r="AM2" s="14" t="n"/>
      <c r="AN2" s="14" t="n"/>
      <c r="AO2" s="14" t="n"/>
      <c r="AP2" s="14" t="n"/>
    </row>
    <row r="3" ht="51.75" customHeight="1" s="222">
      <c r="A3" s="28" t="inlineStr">
        <is>
          <t>Sentral Sol Modern</t>
        </is>
      </c>
      <c r="B3" s="8" t="inlineStr">
        <is>
          <t>Apartment/Hotel</t>
        </is>
      </c>
      <c r="C3" s="8" t="n"/>
      <c r="D3" s="74" t="inlineStr">
        <is>
          <t>50 E Fillmore St, Phoenix, AZ 85004</t>
        </is>
      </c>
      <c r="E3" s="8" t="inlineStr">
        <is>
          <t>Downtown</t>
        </is>
      </c>
      <c r="F3" s="8">
        <f>18449621670</f>
        <v/>
      </c>
      <c r="G3" s="20" t="inlineStr">
        <is>
          <t>https://sentral.com/phoenix/sol-modern/stay?utm_source=google&amp;utm_medium=GMB-Website-Link&amp;utm_campaign=GMB&amp;utm_content=Sentral-Sol-Modern</t>
        </is>
      </c>
      <c r="H3" s="80" t="inlineStr">
        <is>
          <t>Included</t>
        </is>
      </c>
      <c r="I3" s="93" t="inlineStr">
        <is>
          <t>No Valet</t>
        </is>
      </c>
      <c r="J3" s="28" t="n"/>
      <c r="K3" s="39" t="n"/>
      <c r="L3" s="39" t="n"/>
      <c r="M3" s="65" t="n"/>
      <c r="N3" s="65" t="n"/>
      <c r="O3" s="65" t="n"/>
      <c r="P3" s="65" t="n"/>
      <c r="Q3" s="65" t="n"/>
      <c r="R3" s="65" t="n"/>
      <c r="S3" s="18" t="n"/>
      <c r="T3" s="18" t="n"/>
      <c r="U3" s="30" t="n"/>
      <c r="V3" s="18" t="n"/>
      <c r="W3" s="18" t="n"/>
      <c r="X3" s="18" t="n"/>
      <c r="Y3" s="65" t="n"/>
      <c r="Z3" s="65" t="n"/>
      <c r="AA3" s="28" t="n"/>
      <c r="AB3" s="28" t="n"/>
      <c r="AC3" s="28" t="n"/>
      <c r="AD3" s="28" t="n"/>
      <c r="AE3" s="28" t="n"/>
      <c r="AF3" s="28" t="n"/>
      <c r="AG3" s="28" t="n"/>
      <c r="AH3" s="28" t="n"/>
      <c r="AI3" s="28" t="n"/>
      <c r="AJ3" s="28" t="n"/>
      <c r="AK3" s="28" t="n"/>
      <c r="AL3" s="65" t="n"/>
      <c r="AM3" s="65" t="n"/>
      <c r="AN3" s="65" t="n"/>
      <c r="AO3" s="65" t="n"/>
      <c r="AP3" s="65" t="n"/>
    </row>
    <row r="4" ht="51.75" customHeight="1" s="222">
      <c r="A4" s="28" t="inlineStr">
        <is>
          <t>Sentral Alloy Midtown</t>
        </is>
      </c>
      <c r="B4" s="8" t="inlineStr">
        <is>
          <t>Apartment/Hotel</t>
        </is>
      </c>
      <c r="C4" s="8" t="n"/>
      <c r="D4" s="28" t="inlineStr">
        <is>
          <t>3010 N 2nd St, Phoenix, AZ 85012</t>
        </is>
      </c>
      <c r="E4" s="8" t="inlineStr">
        <is>
          <t>Midtown</t>
        </is>
      </c>
      <c r="F4" s="26" t="inlineStr">
        <is>
          <t>(833) 584-1129</t>
        </is>
      </c>
      <c r="G4" s="20" t="inlineStr">
        <is>
          <t>https://sentral.com/phoenix/alloy-midtown/stay?utm_source=google&amp;utm_medium=gpm&amp;utm_campaign=gpm&amp;utm_content=phoenix-alloy-midtown</t>
        </is>
      </c>
      <c r="H4" s="80" t="n"/>
      <c r="I4" s="93" t="inlineStr">
        <is>
          <t>No Valet</t>
        </is>
      </c>
      <c r="J4" s="8" t="n"/>
      <c r="K4" s="34" t="n"/>
      <c r="L4" s="28" t="n"/>
      <c r="M4" s="104" t="n"/>
      <c r="N4" s="104" t="n"/>
      <c r="O4" s="104" t="n"/>
      <c r="P4" s="104" t="n"/>
      <c r="Q4" s="104" t="n"/>
      <c r="R4" s="104" t="n"/>
      <c r="S4" s="18" t="n"/>
      <c r="T4" s="18" t="n"/>
      <c r="U4" s="30" t="n"/>
      <c r="V4" s="18" t="n"/>
      <c r="W4" s="18" t="n"/>
      <c r="X4" s="18" t="n"/>
      <c r="Y4" s="104" t="n"/>
      <c r="Z4" s="104" t="n"/>
      <c r="AA4" s="28" t="n"/>
      <c r="AB4" s="28" t="n"/>
      <c r="AC4" s="28" t="n"/>
      <c r="AD4" s="28" t="n"/>
      <c r="AE4" s="28" t="n"/>
      <c r="AF4" s="28" t="n"/>
      <c r="AG4" s="28" t="n"/>
      <c r="AH4" s="28" t="n"/>
      <c r="AI4" s="28" t="n"/>
      <c r="AJ4" s="28" t="n"/>
      <c r="AK4" s="28" t="n"/>
      <c r="AL4" s="104" t="n"/>
      <c r="AM4" s="104" t="n"/>
      <c r="AN4" s="104" t="n"/>
      <c r="AO4" s="104" t="n"/>
      <c r="AP4" s="104" t="n"/>
    </row>
    <row r="5" ht="51.75" customHeight="1" s="222">
      <c r="A5" s="36" t="inlineStr">
        <is>
          <t>Chateau Luxe Event Venue</t>
        </is>
      </c>
      <c r="B5" s="28" t="inlineStr">
        <is>
          <t>Event</t>
        </is>
      </c>
      <c r="C5" s="8" t="inlineStr">
        <is>
          <t>x</t>
        </is>
      </c>
      <c r="D5" s="28" t="inlineStr">
        <is>
          <t>1175 E Lone Cactus Dr, Phoenix, AZ 85024</t>
        </is>
      </c>
      <c r="E5" s="8" t="inlineStr">
        <is>
          <t>Cave Creek</t>
        </is>
      </c>
      <c r="F5" s="8">
        <f>16232668747</f>
        <v/>
      </c>
      <c r="G5" s="205" t="n"/>
      <c r="H5" s="80" t="n"/>
      <c r="I5" s="88" t="n"/>
      <c r="J5" s="28" t="n"/>
      <c r="K5" s="34" t="n"/>
      <c r="L5" s="45" t="n"/>
      <c r="M5" s="65" t="n"/>
      <c r="N5" s="65" t="n"/>
      <c r="O5" s="65" t="n"/>
      <c r="P5" s="65" t="n"/>
      <c r="Q5" s="65" t="n"/>
      <c r="R5" s="65" t="n"/>
      <c r="S5" s="18" t="inlineStr">
        <is>
          <t>KA</t>
        </is>
      </c>
      <c r="T5" s="18" t="inlineStr">
        <is>
          <t xml:space="preserve">Ben COO </t>
        </is>
      </c>
      <c r="U5" s="30" t="n"/>
      <c r="V5" s="18" t="inlineStr">
        <is>
          <t>info@chateauluxeaz.com</t>
        </is>
      </c>
      <c r="W5" s="18" t="inlineStr">
        <is>
          <t>Britanny</t>
        </is>
      </c>
      <c r="X5" s="18" t="n"/>
      <c r="Y5" s="65" t="n"/>
      <c r="Z5" s="65" t="n"/>
      <c r="AA5" s="28" t="n"/>
      <c r="AB5" s="28" t="n"/>
      <c r="AC5" s="28" t="n"/>
      <c r="AD5" s="28" t="n"/>
      <c r="AE5" s="28" t="n"/>
      <c r="AF5" s="28" t="n"/>
      <c r="AG5" s="28" t="n"/>
      <c r="AH5" s="28" t="n"/>
      <c r="AI5" s="28" t="n"/>
      <c r="AJ5" s="28" t="n"/>
      <c r="AK5" s="28" t="n"/>
      <c r="AL5" s="65" t="n"/>
      <c r="AM5" s="65" t="n"/>
      <c r="AN5" s="65" t="n"/>
      <c r="AO5" s="65" t="n"/>
      <c r="AP5" s="65" t="n"/>
    </row>
    <row r="6" ht="51.75" customHeight="1" s="222">
      <c r="A6" s="36" t="inlineStr">
        <is>
          <t>Warehouse215</t>
        </is>
      </c>
      <c r="B6" s="28" t="inlineStr">
        <is>
          <t>Event</t>
        </is>
      </c>
      <c r="C6" s="8" t="n"/>
      <c r="D6" s="37" t="inlineStr">
        <is>
          <t>215 E Grant St, Phoenix, AZ 85004</t>
        </is>
      </c>
      <c r="E6" s="8" t="inlineStr">
        <is>
          <t>Downtown</t>
        </is>
      </c>
      <c r="F6" s="8" t="n"/>
      <c r="G6" s="20" t="inlineStr">
        <is>
          <t>https://www.warehouse215.com/</t>
        </is>
      </c>
      <c r="H6" s="80" t="n"/>
      <c r="I6" s="93" t="n"/>
      <c r="J6" s="28" t="n"/>
      <c r="K6" s="34" t="n"/>
      <c r="L6" s="45" t="n"/>
      <c r="M6" s="65" t="n"/>
      <c r="N6" s="65" t="n"/>
      <c r="O6" s="65" t="n"/>
      <c r="P6" s="65" t="n"/>
      <c r="Q6" s="65" t="n"/>
      <c r="R6" s="39" t="inlineStr">
        <is>
          <t>Darnell- Events Manager</t>
        </is>
      </c>
      <c r="S6" s="18" t="inlineStr">
        <is>
          <t>KA</t>
        </is>
      </c>
      <c r="T6" s="40" t="inlineStr">
        <is>
          <t>Kathye Allen</t>
        </is>
      </c>
      <c r="U6" s="18" t="inlineStr">
        <is>
          <t xml:space="preserve">Executive Assitant </t>
        </is>
      </c>
      <c r="V6" s="65" t="inlineStr">
        <is>
          <t>Kathye.allen@warehouse215.com</t>
        </is>
      </c>
      <c r="W6" s="18" t="n"/>
      <c r="X6" s="18" t="n"/>
      <c r="Y6" s="65" t="n"/>
      <c r="Z6" s="65" t="inlineStr">
        <is>
          <t>Spoke with Kathye, they use their own service but also allow clients to bring in their own, going to send off information and she will share with Darnell who runs points on events</t>
        </is>
      </c>
      <c r="AA6" s="28" t="n"/>
      <c r="AB6" s="28" t="n"/>
      <c r="AC6" s="28" t="n"/>
      <c r="AD6" s="28" t="n"/>
      <c r="AE6" s="28" t="n"/>
      <c r="AF6" s="28" t="n"/>
      <c r="AG6" s="28" t="n"/>
      <c r="AH6" s="28" t="n"/>
      <c r="AI6" s="28" t="n"/>
      <c r="AJ6" s="28" t="n"/>
      <c r="AK6" s="28" t="n"/>
      <c r="AL6" s="65" t="n"/>
      <c r="AM6" s="65" t="n"/>
      <c r="AN6" s="65" t="n"/>
      <c r="AO6" s="65" t="n"/>
      <c r="AP6" s="65" t="n"/>
    </row>
    <row r="7" ht="51.75" customHeight="1" s="222">
      <c r="A7" s="36" t="inlineStr">
        <is>
          <t>435 Collective</t>
        </is>
      </c>
      <c r="B7" s="28" t="inlineStr">
        <is>
          <t>Event</t>
        </is>
      </c>
      <c r="C7" s="8" t="n"/>
      <c r="D7" s="37" t="inlineStr">
        <is>
          <t>435 S 3rd Ave, Phoenix, AZ 85003</t>
        </is>
      </c>
      <c r="E7" s="8" t="inlineStr">
        <is>
          <t>Downtown</t>
        </is>
      </c>
      <c r="F7" s="8">
        <f>14802668440</f>
        <v/>
      </c>
      <c r="G7" s="20" t="inlineStr">
        <is>
          <t>http://435collective.com/</t>
        </is>
      </c>
      <c r="H7" s="80" t="n"/>
      <c r="I7" s="88" t="n"/>
      <c r="J7" s="28" t="n"/>
      <c r="K7" s="34" t="n"/>
      <c r="L7" s="45" t="n"/>
      <c r="M7" s="65" t="n"/>
      <c r="N7" s="65" t="n"/>
      <c r="O7" s="65" t="n"/>
      <c r="P7" s="65" t="n"/>
      <c r="Q7" s="65" t="n"/>
      <c r="R7" s="65" t="n"/>
      <c r="S7" s="18" t="inlineStr">
        <is>
          <t>KA</t>
        </is>
      </c>
      <c r="T7" s="18" t="inlineStr">
        <is>
          <t>Emily Bond</t>
        </is>
      </c>
      <c r="U7" s="18" t="inlineStr">
        <is>
          <t xml:space="preserve">Think owner? </t>
        </is>
      </c>
      <c r="V7" s="41" t="inlineStr">
        <is>
          <t>Ebond@arena.com</t>
        </is>
      </c>
      <c r="W7" s="18" t="n"/>
      <c r="X7" s="18" t="n"/>
      <c r="Y7" s="65" t="n"/>
      <c r="Z7" s="65" t="n"/>
      <c r="AA7" s="28" t="n"/>
      <c r="AB7" s="28" t="n"/>
      <c r="AC7" s="28" t="n"/>
      <c r="AD7" s="28" t="n"/>
      <c r="AE7" s="28" t="n"/>
      <c r="AF7" s="28" t="n"/>
      <c r="AG7" s="28" t="n"/>
      <c r="AH7" s="28" t="n"/>
      <c r="AI7" s="28" t="n"/>
      <c r="AJ7" s="28" t="n"/>
      <c r="AK7" s="28" t="n"/>
      <c r="AL7" s="65" t="n"/>
      <c r="AM7" s="65" t="n"/>
      <c r="AN7" s="65" t="n"/>
      <c r="AO7" s="65" t="n"/>
      <c r="AP7" s="65" t="n"/>
    </row>
    <row r="8" ht="51.75" customHeight="1" s="222">
      <c r="A8" s="28" t="inlineStr">
        <is>
          <t>The Boho Space</t>
        </is>
      </c>
      <c r="B8" s="28" t="inlineStr">
        <is>
          <t>Event</t>
        </is>
      </c>
      <c r="C8" s="8" t="n"/>
      <c r="D8" s="28" t="inlineStr">
        <is>
          <t>3201 N 16th St Suite 16, Phoenix, AZ 85016</t>
        </is>
      </c>
      <c r="E8" s="8" t="inlineStr">
        <is>
          <t>Midtown</t>
        </is>
      </c>
      <c r="F8" s="8">
        <f>16234285577</f>
        <v/>
      </c>
      <c r="G8" s="205" t="n"/>
      <c r="H8" s="80" t="n"/>
      <c r="I8" s="88" t="n"/>
      <c r="J8" s="28" t="n"/>
      <c r="K8" s="34" t="n"/>
      <c r="L8" s="45" t="n"/>
      <c r="M8" s="65" t="n"/>
      <c r="N8" s="65" t="n"/>
      <c r="O8" s="65" t="n"/>
      <c r="P8" s="65" t="n"/>
      <c r="Q8" s="65" t="n"/>
      <c r="R8" s="65" t="n"/>
      <c r="S8" s="18" t="n"/>
      <c r="T8" s="18" t="n"/>
      <c r="U8" s="30" t="n"/>
      <c r="V8" s="18" t="n"/>
      <c r="W8" s="18" t="n"/>
      <c r="X8" s="18" t="n"/>
      <c r="Y8" s="65" t="n"/>
      <c r="Z8" s="65" t="n"/>
      <c r="AA8" s="28" t="n"/>
      <c r="AB8" s="28" t="n"/>
      <c r="AC8" s="28" t="n"/>
      <c r="AD8" s="28" t="n"/>
      <c r="AE8" s="28" t="n"/>
      <c r="AF8" s="28" t="n"/>
      <c r="AG8" s="28" t="n"/>
      <c r="AH8" s="28" t="n"/>
      <c r="AI8" s="28" t="n"/>
      <c r="AJ8" s="28" t="n"/>
      <c r="AK8" s="28" t="n"/>
      <c r="AL8" s="65" t="n"/>
      <c r="AM8" s="65" t="n"/>
      <c r="AN8" s="65" t="n"/>
      <c r="AO8" s="65" t="n"/>
      <c r="AP8" s="65" t="n"/>
    </row>
    <row r="9" ht="51.75" customHeight="1" s="222">
      <c r="A9" s="64" t="inlineStr">
        <is>
          <t>The Teapot</t>
        </is>
      </c>
      <c r="B9" s="28" t="inlineStr">
        <is>
          <t>Event</t>
        </is>
      </c>
      <c r="C9" s="8" t="n"/>
      <c r="D9" s="28" t="n"/>
      <c r="E9" s="8" t="inlineStr">
        <is>
          <t>Scottsdale</t>
        </is>
      </c>
      <c r="F9" s="8" t="n"/>
      <c r="G9" s="205" t="n"/>
      <c r="H9" s="80" t="n"/>
      <c r="I9" s="88" t="n"/>
      <c r="J9" s="28" t="n"/>
      <c r="K9" s="34" t="n"/>
      <c r="L9" s="45" t="n"/>
      <c r="M9" s="65" t="n"/>
      <c r="N9" s="65" t="n"/>
      <c r="O9" s="65" t="n"/>
      <c r="P9" s="65" t="n"/>
      <c r="Q9" s="65" t="n"/>
      <c r="R9" s="65" t="n"/>
      <c r="S9" s="18" t="inlineStr">
        <is>
          <t>KA</t>
        </is>
      </c>
      <c r="T9" s="18" t="n"/>
      <c r="U9" s="50" t="n"/>
      <c r="V9" s="18" t="inlineStr">
        <is>
          <t>no email provided, left inquiry on their website</t>
        </is>
      </c>
      <c r="W9" s="18" t="n"/>
      <c r="X9" s="18" t="n"/>
      <c r="Y9" s="65" t="n"/>
      <c r="Z9" s="65" t="inlineStr">
        <is>
          <t xml:space="preserve">Sent email inquiry </t>
        </is>
      </c>
      <c r="AA9" s="28" t="n"/>
      <c r="AB9" s="28" t="n"/>
      <c r="AC9" s="28" t="n"/>
      <c r="AD9" s="28" t="n"/>
      <c r="AE9" s="28" t="n"/>
      <c r="AF9" s="28" t="n"/>
      <c r="AG9" s="28" t="n"/>
      <c r="AH9" s="28" t="n"/>
      <c r="AI9" s="28" t="n"/>
      <c r="AJ9" s="28" t="n"/>
      <c r="AK9" s="28" t="n"/>
      <c r="AL9" s="65" t="n"/>
      <c r="AM9" s="65" t="n"/>
      <c r="AN9" s="65" t="n"/>
      <c r="AO9" s="65" t="n"/>
      <c r="AP9" s="65" t="n"/>
    </row>
    <row r="10" ht="51.75" customHeight="1" s="222">
      <c r="A10" s="64" t="inlineStr">
        <is>
          <t>monOrchid</t>
        </is>
      </c>
      <c r="B10" s="28" t="inlineStr">
        <is>
          <t>Event</t>
        </is>
      </c>
      <c r="C10" s="8" t="n"/>
      <c r="D10" s="28" t="inlineStr">
        <is>
          <t>214 E Roosevelt St, Phoenix, AZ 85004</t>
        </is>
      </c>
      <c r="E10" s="8" t="inlineStr">
        <is>
          <t>Downtown</t>
        </is>
      </c>
      <c r="F10" s="8">
        <f>16024923235</f>
        <v/>
      </c>
      <c r="G10" s="20" t="inlineStr">
        <is>
          <t>https://monorchid.com/</t>
        </is>
      </c>
      <c r="H10" s="80" t="n"/>
      <c r="I10" s="88" t="n"/>
      <c r="J10" s="28" t="n"/>
      <c r="K10" s="34" t="n"/>
      <c r="L10" s="45" t="n"/>
      <c r="M10" s="65" t="n"/>
      <c r="N10" s="65" t="n"/>
      <c r="O10" s="65" t="n"/>
      <c r="P10" s="65" t="n"/>
      <c r="Q10" s="65" t="n"/>
      <c r="R10" s="65" t="n"/>
      <c r="S10" s="55" t="inlineStr">
        <is>
          <t>KA</t>
        </is>
      </c>
      <c r="T10" s="18" t="n"/>
      <c r="U10" s="30" t="n"/>
      <c r="V10" s="18" t="inlineStr">
        <is>
          <t>event@monorchidphx.com</t>
        </is>
      </c>
      <c r="W10" s="18" t="n"/>
      <c r="X10" s="18" t="n"/>
      <c r="Y10" s="65" t="n"/>
      <c r="Z10" s="65" t="inlineStr">
        <is>
          <t xml:space="preserve">Sent email inquiry </t>
        </is>
      </c>
      <c r="AA10" s="28" t="n"/>
      <c r="AB10" s="28" t="n"/>
      <c r="AC10" s="28" t="n"/>
      <c r="AD10" s="28" t="n"/>
      <c r="AE10" s="28" t="n"/>
      <c r="AF10" s="28" t="n"/>
      <c r="AG10" s="28" t="n"/>
      <c r="AH10" s="28" t="n"/>
      <c r="AI10" s="28" t="n"/>
      <c r="AJ10" s="28" t="n"/>
      <c r="AK10" s="28" t="n"/>
      <c r="AL10" s="65" t="n"/>
      <c r="AM10" s="65" t="n"/>
      <c r="AN10" s="65" t="n"/>
      <c r="AO10" s="65" t="n"/>
      <c r="AP10" s="65" t="n"/>
    </row>
    <row r="11" ht="51.75" customHeight="1" s="222">
      <c r="A11" s="64" t="inlineStr">
        <is>
          <t>The Dauz Venue</t>
        </is>
      </c>
      <c r="B11" s="28" t="inlineStr">
        <is>
          <t>Event</t>
        </is>
      </c>
      <c r="C11" s="8" t="n"/>
      <c r="D11" s="28" t="inlineStr">
        <is>
          <t>750 W Polk St, Phoenix, AZ 85007</t>
        </is>
      </c>
      <c r="E11" s="8" t="inlineStr">
        <is>
          <t>Downtown</t>
        </is>
      </c>
      <c r="F11" s="8">
        <f>16022570750</f>
        <v/>
      </c>
      <c r="G11" s="20" t="inlineStr">
        <is>
          <t>http://thedauz.com/</t>
        </is>
      </c>
      <c r="H11" s="80" t="n"/>
      <c r="I11" s="88" t="n"/>
      <c r="J11" s="28" t="n"/>
      <c r="K11" s="34" t="n"/>
      <c r="L11" s="45" t="n"/>
      <c r="M11" s="65" t="n"/>
      <c r="N11" s="28" t="n"/>
      <c r="O11" s="28" t="n"/>
      <c r="P11" s="28" t="n"/>
      <c r="Q11" s="65" t="n"/>
      <c r="R11" s="65" t="n"/>
      <c r="S11" s="18" t="inlineStr">
        <is>
          <t>KA</t>
        </is>
      </c>
      <c r="T11" s="18" t="n"/>
      <c r="U11" s="30" t="n"/>
      <c r="V11" s="18" t="inlineStr">
        <is>
          <t>deedee@thedauz.com</t>
        </is>
      </c>
      <c r="W11" s="18" t="n"/>
      <c r="X11" s="18" t="n"/>
      <c r="Y11" s="28" t="n"/>
      <c r="Z11" s="28" t="n"/>
      <c r="AA11" s="28" t="n"/>
      <c r="AB11" s="28" t="n"/>
      <c r="AC11" s="28" t="n"/>
      <c r="AD11" s="28" t="n"/>
      <c r="AE11" s="28" t="n"/>
      <c r="AF11" s="28" t="n"/>
      <c r="AG11" s="28" t="n"/>
      <c r="AH11" s="28" t="n"/>
      <c r="AI11" s="28" t="n"/>
      <c r="AJ11" s="28" t="n"/>
      <c r="AK11" s="28" t="n"/>
      <c r="AL11" s="28" t="n"/>
      <c r="AM11" s="28" t="n"/>
      <c r="AN11" s="28" t="n"/>
      <c r="AO11" s="28" t="n"/>
      <c r="AP11" s="28" t="n"/>
    </row>
    <row r="12" ht="51.75" customHeight="1" s="222">
      <c r="A12" s="28" t="inlineStr">
        <is>
          <t>Antigua Garden</t>
        </is>
      </c>
      <c r="B12" s="28" t="inlineStr">
        <is>
          <t>Event</t>
        </is>
      </c>
      <c r="C12" s="8" t="n"/>
      <c r="D12" s="28" t="inlineStr">
        <is>
          <t>2645 N 16th St, Phoenix, AZ 85006</t>
        </is>
      </c>
      <c r="E12" s="8" t="inlineStr">
        <is>
          <t>Downtown</t>
        </is>
      </c>
      <c r="F12" s="8">
        <f>16027590042</f>
        <v/>
      </c>
      <c r="G12" s="20" t="inlineStr">
        <is>
          <t>https://antiguagarden.com/</t>
        </is>
      </c>
      <c r="H12" s="80" t="n"/>
      <c r="I12" s="88" t="n"/>
      <c r="J12" s="28" t="n"/>
      <c r="K12" s="34" t="n"/>
      <c r="L12" s="45" t="n"/>
      <c r="M12" s="65" t="n"/>
      <c r="N12" s="65" t="n"/>
      <c r="O12" s="65" t="n"/>
      <c r="P12" s="65" t="n"/>
      <c r="Q12" s="65" t="n"/>
      <c r="R12" s="65" t="n"/>
      <c r="S12" s="18" t="n"/>
      <c r="T12" s="18" t="n"/>
      <c r="U12" s="30" t="n"/>
      <c r="V12" s="18" t="n"/>
      <c r="W12" s="18" t="inlineStr">
        <is>
          <t>602-759-0042</t>
        </is>
      </c>
      <c r="X12" s="18" t="n"/>
      <c r="Y12" s="65" t="n"/>
      <c r="Z12" s="65" t="n"/>
      <c r="AA12" s="28" t="n"/>
      <c r="AB12" s="28" t="n"/>
      <c r="AC12" s="28" t="n"/>
      <c r="AD12" s="28" t="n"/>
      <c r="AE12" s="28" t="n"/>
      <c r="AF12" s="28" t="n"/>
      <c r="AG12" s="28" t="n"/>
      <c r="AH12" s="28" t="n"/>
      <c r="AI12" s="28" t="n"/>
      <c r="AJ12" s="28" t="n"/>
      <c r="AK12" s="28" t="n"/>
      <c r="AL12" s="65" t="n"/>
      <c r="AM12" s="65" t="n"/>
      <c r="AN12" s="65" t="n"/>
      <c r="AO12" s="65" t="n"/>
      <c r="AP12" s="65" t="n"/>
    </row>
    <row r="13" ht="51.75" customHeight="1" s="222">
      <c r="A13" s="28" t="inlineStr">
        <is>
          <t>The Icehouse</t>
        </is>
      </c>
      <c r="B13" s="28" t="inlineStr">
        <is>
          <t>Event</t>
        </is>
      </c>
      <c r="C13" s="8" t="n"/>
      <c r="D13" s="28" t="inlineStr">
        <is>
          <t>429 W Jackson St, Phoenix, AZ 85003</t>
        </is>
      </c>
      <c r="E13" s="8" t="inlineStr">
        <is>
          <t>Downtown</t>
        </is>
      </c>
      <c r="F13" s="8">
        <f>14804286028</f>
        <v/>
      </c>
      <c r="G13" s="20" t="inlineStr">
        <is>
          <t>https://openvenues.com/venue/the-icehouse/</t>
        </is>
      </c>
      <c r="H13" s="80" t="n"/>
      <c r="I13" s="88" t="n"/>
      <c r="J13" s="28" t="n"/>
      <c r="K13" s="34" t="n"/>
      <c r="L13" s="45" t="n"/>
      <c r="M13" s="65" t="n"/>
      <c r="N13" s="65" t="n"/>
      <c r="O13" s="65" t="n"/>
      <c r="P13" s="65" t="n"/>
      <c r="Q13" s="65" t="n"/>
      <c r="R13" s="65" t="n"/>
      <c r="S13" s="18" t="n"/>
      <c r="T13" s="18" t="n"/>
      <c r="U13" s="30" t="n"/>
      <c r="V13" s="48" t="inlineStr">
        <is>
          <t>concierge@openvenues.com</t>
        </is>
      </c>
      <c r="W13" s="18" t="n"/>
      <c r="X13" s="18" t="n"/>
      <c r="Y13" s="65" t="n"/>
      <c r="Z13" s="65" t="n"/>
      <c r="AA13" s="28" t="n"/>
      <c r="AB13" s="28" t="n"/>
      <c r="AC13" s="28" t="n"/>
      <c r="AD13" s="28" t="n"/>
      <c r="AE13" s="28" t="n"/>
      <c r="AF13" s="28" t="n"/>
      <c r="AG13" s="28" t="n"/>
      <c r="AH13" s="28" t="n"/>
      <c r="AI13" s="28" t="n"/>
      <c r="AJ13" s="28" t="n"/>
      <c r="AK13" s="28" t="n"/>
      <c r="AL13" s="65" t="n"/>
      <c r="AM13" s="65" t="n"/>
      <c r="AN13" s="65" t="n"/>
      <c r="AO13" s="65" t="n"/>
      <c r="AP13" s="65" t="n"/>
    </row>
    <row r="14" ht="51.75" customHeight="1" s="222">
      <c r="A14" s="28" t="inlineStr">
        <is>
          <t>Encanto 18</t>
        </is>
      </c>
      <c r="B14" s="28" t="inlineStr">
        <is>
          <t>Event</t>
        </is>
      </c>
      <c r="C14" s="8" t="n"/>
      <c r="D14" s="28" t="inlineStr">
        <is>
          <t>2775 N 15th Ave, Phoenix, AZ 85007</t>
        </is>
      </c>
      <c r="E14" s="8" t="inlineStr">
        <is>
          <t>Downtown</t>
        </is>
      </c>
      <c r="F14" s="8">
        <f>16025344653</f>
        <v/>
      </c>
      <c r="G14" s="205" t="n"/>
      <c r="H14" s="80" t="n"/>
      <c r="I14" s="88" t="n"/>
      <c r="J14" s="28" t="n"/>
      <c r="K14" s="34" t="n"/>
      <c r="L14" s="45" t="n"/>
      <c r="M14" s="65" t="n"/>
      <c r="N14" s="65" t="n"/>
      <c r="O14" s="65" t="n"/>
      <c r="P14" s="65" t="n"/>
      <c r="Q14" s="65" t="n"/>
      <c r="R14" s="65" t="n"/>
      <c r="S14" s="18" t="n"/>
      <c r="T14" s="18" t="n"/>
      <c r="U14" s="18" t="inlineStr">
        <is>
          <t>Event manager</t>
        </is>
      </c>
      <c r="V14" s="18" t="inlineStr">
        <is>
          <t>Michael.swartz@phoenix.gov</t>
        </is>
      </c>
      <c r="W14" s="18" t="n"/>
      <c r="X14" s="18" t="n"/>
      <c r="Y14" s="65" t="inlineStr">
        <is>
          <t xml:space="preserve">Owned by the city </t>
        </is>
      </c>
      <c r="Z14" s="65" t="n"/>
      <c r="AA14" s="28" t="n"/>
      <c r="AB14" s="28" t="n"/>
      <c r="AC14" s="28" t="n"/>
      <c r="AD14" s="28" t="n"/>
      <c r="AE14" s="28" t="n"/>
      <c r="AF14" s="28" t="n"/>
      <c r="AG14" s="28" t="n"/>
      <c r="AH14" s="28" t="n"/>
      <c r="AI14" s="28" t="n"/>
      <c r="AJ14" s="28" t="n"/>
      <c r="AK14" s="28" t="n"/>
      <c r="AL14" s="65" t="n"/>
      <c r="AM14" s="65" t="n"/>
      <c r="AN14" s="65" t="n"/>
      <c r="AO14" s="65" t="n"/>
      <c r="AP14" s="65" t="n"/>
    </row>
    <row r="15" ht="51.75" customHeight="1" s="222">
      <c r="A15" s="28" t="inlineStr">
        <is>
          <t>The Duce</t>
        </is>
      </c>
      <c r="B15" s="28" t="inlineStr">
        <is>
          <t>Event</t>
        </is>
      </c>
      <c r="C15" s="8" t="n"/>
      <c r="D15" s="28" t="inlineStr">
        <is>
          <t>525 S Central Ave, Phoenix, AZ 85004, USA</t>
        </is>
      </c>
      <c r="E15" s="8" t="inlineStr">
        <is>
          <t>Downtown</t>
        </is>
      </c>
      <c r="F15" s="8" t="n"/>
      <c r="G15" s="205" t="n"/>
      <c r="H15" s="80" t="n"/>
      <c r="I15" s="88" t="n"/>
      <c r="J15" s="28" t="n"/>
      <c r="K15" s="34" t="n"/>
      <c r="L15" s="45" t="n"/>
      <c r="M15" s="65" t="n"/>
      <c r="N15" s="65" t="n"/>
      <c r="O15" s="65" t="n"/>
      <c r="P15" s="65" t="n"/>
      <c r="Q15" s="65" t="n"/>
      <c r="R15" s="65" t="n"/>
      <c r="S15" s="18" t="n"/>
      <c r="T15" s="18" t="n"/>
      <c r="U15" s="30" t="n"/>
      <c r="V15" s="18" t="n"/>
      <c r="W15" s="18" t="n"/>
      <c r="X15" s="18" t="n"/>
      <c r="Y15" s="65" t="n"/>
      <c r="Z15" s="65" t="n"/>
      <c r="AA15" s="28" t="n"/>
      <c r="AB15" s="28" t="n"/>
      <c r="AC15" s="28" t="n"/>
      <c r="AD15" s="28" t="n"/>
      <c r="AE15" s="28" t="n"/>
      <c r="AF15" s="28" t="n"/>
      <c r="AG15" s="28" t="n"/>
      <c r="AH15" s="28" t="n"/>
      <c r="AI15" s="28" t="n"/>
      <c r="AJ15" s="28" t="n"/>
      <c r="AK15" s="28" t="n"/>
      <c r="AL15" s="65" t="n"/>
      <c r="AM15" s="65" t="n"/>
      <c r="AN15" s="65" t="n"/>
      <c r="AO15" s="65" t="n"/>
      <c r="AP15" s="65" t="n"/>
    </row>
    <row r="16" ht="51.75" customHeight="1" s="222">
      <c r="A16" s="36" t="inlineStr">
        <is>
          <t>Wedgewood Weddings</t>
        </is>
      </c>
      <c r="B16" s="28" t="inlineStr">
        <is>
          <t>Event</t>
        </is>
      </c>
      <c r="C16" s="8" t="n"/>
      <c r="D16" s="28" t="inlineStr">
        <is>
          <t>1742 N Lindsay Rd, Mesa, AZ 85213, USA</t>
        </is>
      </c>
      <c r="E16" s="8" t="inlineStr">
        <is>
          <t>Mesa</t>
        </is>
      </c>
      <c r="F16" s="8" t="n">
        <v>9805532210</v>
      </c>
      <c r="G16" s="20" t="inlineStr">
        <is>
          <t>https://www.wedgewoodweddings.com/lindsaygrove?matchtype=e&amp;device=c&amp;utm_source=google&amp;utm_medium=cpc&amp;utm_campaign={name}&amp;utm_term=lindsay%20grove%20by%20wedgewood%20weddings&amp;hsa_cam=11618124935&amp;hsa_ad=774357435985&amp;hsa_acc=1860597723&amp;hsa_mt=e&amp;hsa_net=adwords&amp;hsa_ver=3&amp;hsa_src=g&amp;hsa_tgt=kwd-893510079835&amp;hsa_grp=113660654112&amp;hsa_kw=lindsay%20grove%20by%20wedgewood%20weddings&amp;gad_source=1&amp;gad_campaignid=11618124935&amp;gbraid=0AAAAAD4sybBqp77uJaz5cPxSvqfv0aDIC&amp;gclid=Cj0KCQiA6Y7KBhCkARIsAOxhqtMBkVtwqAaX4TF7kDJJWFt7CSWobTib9e3EcxKY0cwd2C9c87tjmdkaAgqAEALw_wcB</t>
        </is>
      </c>
      <c r="H16" s="80" t="n"/>
      <c r="I16" s="88" t="n"/>
      <c r="J16" s="28" t="n"/>
      <c r="K16" s="34" t="n"/>
      <c r="L16" s="45" t="n"/>
      <c r="M16" s="65" t="n"/>
      <c r="N16" s="65" t="n"/>
      <c r="O16" s="65" t="n"/>
      <c r="P16" s="65" t="n"/>
      <c r="Q16" s="65" t="n"/>
      <c r="R16" s="49" t="n"/>
      <c r="S16" s="18" t="inlineStr">
        <is>
          <t>KA</t>
        </is>
      </c>
      <c r="T16" s="18" t="n"/>
      <c r="U16" s="50" t="n"/>
      <c r="V16" s="18" t="inlineStr">
        <is>
          <t>events@wedgewoodweddings.com</t>
        </is>
      </c>
      <c r="W16" s="18" t="n"/>
      <c r="X16" s="18" t="n"/>
      <c r="Y16" s="65" t="n"/>
      <c r="Z16" s="65" t="inlineStr">
        <is>
          <t>Tons of locations across the country. Some in Charlotte and in Phoenix</t>
        </is>
      </c>
      <c r="AA16" s="28" t="n"/>
      <c r="AB16" s="28" t="n"/>
      <c r="AC16" s="28" t="n"/>
      <c r="AD16" s="28" t="n"/>
      <c r="AE16" s="28" t="n"/>
      <c r="AF16" s="28" t="n"/>
      <c r="AG16" s="28" t="n"/>
      <c r="AH16" s="28" t="n"/>
      <c r="AI16" s="28" t="n"/>
      <c r="AJ16" s="28" t="n"/>
      <c r="AK16" s="28" t="n"/>
      <c r="AL16" s="65" t="n"/>
      <c r="AM16" s="65" t="n"/>
      <c r="AN16" s="65" t="n"/>
      <c r="AO16" s="65" t="n"/>
      <c r="AP16" s="65" t="n"/>
    </row>
    <row r="17" ht="61.5" customHeight="1" s="222">
      <c r="A17" s="36" t="inlineStr">
        <is>
          <t>The Legacy Ballroom</t>
        </is>
      </c>
      <c r="B17" s="28" t="inlineStr">
        <is>
          <t>Event</t>
        </is>
      </c>
      <c r="C17" s="8" t="n"/>
      <c r="D17" s="28" t="inlineStr">
        <is>
          <t>4530 E Gold Dust Ave, Phoenix, AZ 85028</t>
        </is>
      </c>
      <c r="E17" s="8" t="n"/>
      <c r="F17" s="8" t="n"/>
      <c r="G17" s="205" t="n"/>
      <c r="H17" s="80" t="n"/>
      <c r="I17" s="88" t="n"/>
      <c r="J17" s="28" t="n"/>
      <c r="K17" s="34" t="n"/>
      <c r="L17" s="45" t="n"/>
      <c r="M17" s="65" t="n"/>
      <c r="N17" s="65" t="n"/>
      <c r="O17" s="65" t="n"/>
      <c r="P17" s="65" t="n"/>
      <c r="Q17" s="65" t="n"/>
      <c r="R17" s="49" t="inlineStr">
        <is>
          <t>Sam</t>
        </is>
      </c>
      <c r="S17" s="18" t="n"/>
      <c r="T17" s="18" t="inlineStr">
        <is>
          <t>info@thelegacyballroom.com</t>
        </is>
      </c>
      <c r="U17" s="30" t="n"/>
      <c r="V17" s="18" t="n"/>
      <c r="W17" s="18" t="n"/>
      <c r="X17" s="18" t="n"/>
      <c r="Y17" s="65" t="n"/>
      <c r="Z17" s="65" t="n"/>
      <c r="AA17" s="28" t="n"/>
      <c r="AB17" s="28" t="n"/>
      <c r="AC17" s="28" t="n"/>
      <c r="AD17" s="28" t="n"/>
      <c r="AE17" s="28" t="n"/>
      <c r="AF17" s="28" t="n"/>
      <c r="AG17" s="28" t="n"/>
      <c r="AH17" s="28" t="n"/>
      <c r="AI17" s="28" t="n"/>
      <c r="AJ17" s="28" t="n"/>
      <c r="AK17" s="28" t="n"/>
      <c r="AL17" s="65" t="n"/>
      <c r="AM17" s="65" t="n"/>
      <c r="AN17" s="65" t="n"/>
      <c r="AO17" s="65" t="n"/>
      <c r="AP17" s="65" t="n"/>
    </row>
    <row r="18" ht="51.75" customHeight="1" s="222">
      <c r="A18" s="64" t="inlineStr">
        <is>
          <t>TPC Scottsdale</t>
        </is>
      </c>
      <c r="B18" s="28" t="inlineStr">
        <is>
          <t>Golf</t>
        </is>
      </c>
      <c r="C18" s="8" t="n"/>
      <c r="D18" s="28" t="inlineStr">
        <is>
          <t>17020 Hayden Rd, Scottsdale, AZ 85255</t>
        </is>
      </c>
      <c r="E18" s="8" t="inlineStr">
        <is>
          <t>North Scottsdale</t>
        </is>
      </c>
      <c r="F18" s="8">
        <f>14805854334</f>
        <v/>
      </c>
      <c r="G18" s="52" t="inlineStr">
        <is>
          <t>http://tpc.com/scottsdale</t>
        </is>
      </c>
      <c r="H18" s="80" t="n"/>
      <c r="I18" s="93" t="n"/>
      <c r="J18" s="8" t="n"/>
      <c r="K18" s="67" t="n"/>
      <c r="L18" s="65" t="n"/>
      <c r="M18" s="28" t="n"/>
      <c r="N18" s="28" t="n"/>
      <c r="O18" s="28" t="n"/>
      <c r="P18" s="28" t="n"/>
      <c r="Q18" s="28" t="n"/>
      <c r="R18" s="28" t="n"/>
      <c r="S18" s="18" t="n"/>
      <c r="T18" s="18" t="n"/>
      <c r="U18" s="18" t="inlineStr">
        <is>
          <t>Generic Email</t>
        </is>
      </c>
      <c r="V18" s="18" t="inlineStr">
        <is>
          <t>contactscottsdale@pgatourhq.com</t>
        </is>
      </c>
      <c r="W18" s="18" t="n"/>
      <c r="X18" s="18" t="n"/>
      <c r="Y18" s="28" t="n"/>
      <c r="Z18" s="28" t="inlineStr">
        <is>
          <t>Talked with Andrew on sales side, they have a vendor they are happy with at the moment</t>
        </is>
      </c>
      <c r="AA18" s="28" t="inlineStr">
        <is>
          <t>x</t>
        </is>
      </c>
      <c r="AB18" s="28" t="n"/>
      <c r="AC18" s="28" t="n"/>
      <c r="AD18" s="28" t="n"/>
      <c r="AE18" s="28" t="n"/>
      <c r="AF18" s="28" t="n"/>
      <c r="AG18" s="28" t="n"/>
      <c r="AH18" s="28" t="n"/>
      <c r="AI18" s="28" t="n"/>
      <c r="AJ18" s="28" t="n"/>
      <c r="AK18" s="28" t="n"/>
      <c r="AL18" s="28" t="n"/>
      <c r="AM18" s="28" t="n"/>
      <c r="AN18" s="28" t="n"/>
      <c r="AO18" s="28" t="n"/>
      <c r="AP18" s="28" t="n"/>
    </row>
    <row r="19" ht="51.75" customHeight="1" s="222">
      <c r="A19" s="36" t="inlineStr">
        <is>
          <t>Raven Golf Club</t>
        </is>
      </c>
      <c r="B19" s="28" t="inlineStr">
        <is>
          <t>Golf</t>
        </is>
      </c>
      <c r="C19" s="8" t="n"/>
      <c r="D19" s="28" t="inlineStr">
        <is>
          <t>3636 E Baseline Rd, Phoenix, AZ 85042</t>
        </is>
      </c>
      <c r="E19" s="8" t="inlineStr">
        <is>
          <t>South Mountain</t>
        </is>
      </c>
      <c r="F19" s="8">
        <f>16022433636</f>
        <v/>
      </c>
      <c r="G19" s="20" t="inlineStr">
        <is>
          <t>https://www.ravenphx.com/</t>
        </is>
      </c>
      <c r="H19" s="80" t="n"/>
      <c r="I19" s="88" t="n"/>
      <c r="J19" s="28" t="n"/>
      <c r="K19" s="34" t="n"/>
      <c r="L19" s="45" t="n"/>
      <c r="M19" s="65" t="n"/>
      <c r="N19" s="65" t="n"/>
      <c r="O19" s="65" t="n"/>
      <c r="P19" s="65" t="n"/>
      <c r="Q19" s="65" t="n"/>
      <c r="R19" s="65" t="n"/>
      <c r="S19" s="18" t="inlineStr">
        <is>
          <t>BT</t>
        </is>
      </c>
      <c r="T19" s="18" t="inlineStr">
        <is>
          <t>Chelsea- Event Manager, Matthew- GM</t>
        </is>
      </c>
      <c r="U19" s="18" t="inlineStr">
        <is>
          <t>Events and GM</t>
        </is>
      </c>
      <c r="V19" s="18" t="inlineStr">
        <is>
          <t>Cnavarrette@arcisgolf.com, Mphillips@arcisgolf.com</t>
        </is>
      </c>
      <c r="W19" s="18" t="n"/>
      <c r="X19" s="18" t="n"/>
      <c r="Y19" s="65" t="n"/>
      <c r="Z19" s="65" t="inlineStr">
        <is>
          <t>transfered to a sales member and he didnt know who to give my information to. He said he would ask around for me. He was excited to talk when i mentioned we have worked for qual hallow before</t>
        </is>
      </c>
      <c r="AA19" s="28" t="n"/>
      <c r="AB19" s="28" t="n"/>
      <c r="AC19" s="28" t="n"/>
      <c r="AD19" s="28" t="n"/>
      <c r="AE19" s="28" t="n"/>
      <c r="AF19" s="28" t="n"/>
      <c r="AG19" s="28" t="n"/>
      <c r="AH19" s="28" t="n"/>
      <c r="AI19" s="28" t="n"/>
      <c r="AJ19" s="28" t="n"/>
      <c r="AK19" s="28" t="n"/>
      <c r="AL19" s="65" t="n"/>
      <c r="AM19" s="65" t="n"/>
      <c r="AN19" s="65" t="n"/>
      <c r="AO19" s="65" t="n"/>
      <c r="AP19" s="65" t="n"/>
    </row>
    <row r="20" ht="51.75" customHeight="1" s="222">
      <c r="A20" s="64" t="inlineStr">
        <is>
          <t>Papago Golf Club</t>
        </is>
      </c>
      <c r="B20" s="28" t="inlineStr">
        <is>
          <t>Golf</t>
        </is>
      </c>
      <c r="C20" s="8" t="n"/>
      <c r="D20" s="28" t="inlineStr">
        <is>
          <t>5595 E Karsten Wy, Phoenix, AZ 85008</t>
        </is>
      </c>
      <c r="E20" s="8" t="inlineStr">
        <is>
          <t>Tempe</t>
        </is>
      </c>
      <c r="F20" s="8">
        <f>16022758428</f>
        <v/>
      </c>
      <c r="G20" s="20" t="inlineStr">
        <is>
          <t>https://www.papagogolfclub.com/?utm_source=extnet&amp;utm_medium=yext</t>
        </is>
      </c>
      <c r="H20" s="80" t="n"/>
      <c r="I20" s="88" t="n"/>
      <c r="J20" s="28" t="n"/>
      <c r="K20" s="34" t="n"/>
      <c r="L20" s="28" t="n"/>
      <c r="M20" s="65" t="n"/>
      <c r="N20" s="104" t="n"/>
      <c r="O20" s="104" t="n"/>
      <c r="P20" s="28" t="n"/>
      <c r="Q20" s="65" t="n"/>
      <c r="R20" s="65" t="n"/>
      <c r="S20" s="18" t="n"/>
      <c r="T20" s="18" t="n"/>
      <c r="U20" s="18" t="inlineStr">
        <is>
          <t>Kellil Meirick</t>
        </is>
      </c>
      <c r="V20" s="18" t="inlineStr">
        <is>
          <t>kmeirick@golfpapago.com</t>
        </is>
      </c>
      <c r="W20" s="18" t="n"/>
      <c r="X20" s="18" t="n"/>
      <c r="Y20" s="28" t="n"/>
      <c r="Z20" s="28" t="n"/>
      <c r="AA20" s="28" t="n"/>
      <c r="AB20" s="28" t="n"/>
      <c r="AC20" s="28" t="n"/>
      <c r="AD20" s="28" t="n"/>
      <c r="AE20" s="28" t="n"/>
      <c r="AF20" s="28" t="n"/>
      <c r="AG20" s="28" t="n"/>
      <c r="AH20" s="28" t="n"/>
      <c r="AI20" s="28" t="n"/>
      <c r="AJ20" s="28" t="n"/>
      <c r="AK20" s="28" t="n"/>
      <c r="AL20" s="104" t="n"/>
      <c r="AM20" s="104" t="n"/>
      <c r="AN20" s="28" t="n"/>
      <c r="AO20" s="28" t="n"/>
      <c r="AP20" s="28" t="n"/>
    </row>
    <row r="21" ht="51.75" customHeight="1" s="222">
      <c r="A21" s="28" t="inlineStr">
        <is>
          <t>Reliance Hospitality</t>
        </is>
      </c>
      <c r="B21" s="28" t="inlineStr">
        <is>
          <t>Hospitality Group</t>
        </is>
      </c>
      <c r="C21" s="8" t="n"/>
      <c r="D21" s="28" t="n"/>
      <c r="E21" s="8" t="n"/>
      <c r="F21" s="8" t="n"/>
      <c r="G21" s="205" t="n"/>
      <c r="H21" s="54" t="n"/>
      <c r="I21" s="88" t="n"/>
      <c r="J21" s="28" t="n"/>
      <c r="K21" s="34" t="n"/>
      <c r="L21" s="45" t="n"/>
      <c r="M21" s="65" t="n"/>
      <c r="N21" s="65" t="n"/>
      <c r="O21" s="65" t="n"/>
      <c r="P21" s="65" t="n"/>
      <c r="Q21" s="65" t="n"/>
      <c r="R21" s="65" t="n"/>
      <c r="S21" s="18" t="n"/>
      <c r="T21" s="18" t="inlineStr">
        <is>
          <t>Jason Moore VP of ops &amp; Marcy Westrom CEO</t>
        </is>
      </c>
      <c r="U21" s="50" t="n"/>
      <c r="V21" s="18" t="n"/>
      <c r="W21" s="18" t="n"/>
      <c r="X21" s="18" t="n"/>
      <c r="Y21" s="65" t="n"/>
      <c r="Z21" s="65" t="n"/>
      <c r="AA21" s="28" t="n"/>
      <c r="AB21" s="28" t="n"/>
      <c r="AC21" s="28" t="n"/>
      <c r="AD21" s="28" t="n"/>
      <c r="AE21" s="28" t="n"/>
      <c r="AF21" s="28" t="n"/>
      <c r="AG21" s="28" t="n"/>
      <c r="AH21" s="28" t="n"/>
      <c r="AI21" s="28" t="n"/>
      <c r="AJ21" s="28" t="n"/>
      <c r="AK21" s="28" t="n"/>
      <c r="AL21" s="65" t="n"/>
      <c r="AM21" s="65" t="n"/>
      <c r="AN21" s="65" t="n"/>
      <c r="AO21" s="65" t="n"/>
      <c r="AP21" s="65" t="n"/>
    </row>
    <row r="22" ht="51.75" customHeight="1" s="222">
      <c r="A22" s="28" t="inlineStr">
        <is>
          <t>Integrity Lodging</t>
        </is>
      </c>
      <c r="B22" s="28" t="inlineStr">
        <is>
          <t>Hospitality Group</t>
        </is>
      </c>
      <c r="C22" s="8" t="n"/>
      <c r="D22" s="28" t="n"/>
      <c r="E22" s="8" t="n"/>
      <c r="F22" s="8" t="n"/>
      <c r="G22" s="205" t="n"/>
      <c r="H22" s="54" t="n"/>
      <c r="I22" s="88" t="n"/>
      <c r="J22" s="28" t="n"/>
      <c r="K22" s="34" t="n"/>
      <c r="L22" s="45" t="n"/>
      <c r="M22" s="65" t="n"/>
      <c r="N22" s="65" t="n"/>
      <c r="O22" s="65" t="n"/>
      <c r="P22" s="65" t="n"/>
      <c r="Q22" s="65" t="n"/>
      <c r="R22" s="65" t="n"/>
      <c r="S22" s="18" t="n"/>
      <c r="T22" s="18" t="n"/>
      <c r="U22" s="30" t="n"/>
      <c r="V22" s="18" t="n"/>
      <c r="W22" s="18" t="n"/>
      <c r="X22" s="18" t="n"/>
      <c r="Y22" s="65" t="n"/>
      <c r="Z22" s="65" t="n"/>
      <c r="AA22" s="28" t="inlineStr">
        <is>
          <t>requested connecting</t>
        </is>
      </c>
      <c r="AB22" s="28" t="n"/>
      <c r="AC22" s="28" t="n"/>
      <c r="AD22" s="28" t="n"/>
      <c r="AE22" s="28" t="n"/>
      <c r="AF22" s="28" t="n"/>
      <c r="AG22" s="28" t="n"/>
      <c r="AH22" s="28" t="n"/>
      <c r="AI22" s="28" t="n"/>
      <c r="AJ22" s="28" t="n"/>
      <c r="AK22" s="28" t="n"/>
      <c r="AL22" s="65" t="n"/>
      <c r="AM22" s="65" t="n"/>
      <c r="AN22" s="65" t="n"/>
      <c r="AO22" s="65" t="n"/>
      <c r="AP22" s="65" t="n"/>
    </row>
    <row r="23" ht="51.75" customHeight="1" s="222">
      <c r="A23" s="28" t="inlineStr">
        <is>
          <t>Riot Hospitality Group</t>
        </is>
      </c>
      <c r="B23" s="28" t="inlineStr">
        <is>
          <t>Hospitality Group</t>
        </is>
      </c>
      <c r="C23" s="8" t="n"/>
      <c r="D23" s="28" t="n"/>
      <c r="E23" s="8" t="n"/>
      <c r="F23" s="8" t="n"/>
      <c r="G23" s="205" t="n"/>
      <c r="H23" s="54" t="n"/>
      <c r="I23" s="88" t="n"/>
      <c r="J23" s="28" t="n"/>
      <c r="K23" s="34" t="n"/>
      <c r="L23" s="45" t="n"/>
      <c r="M23" s="65" t="n"/>
      <c r="N23" s="65" t="n"/>
      <c r="O23" s="65" t="n"/>
      <c r="P23" s="65" t="n"/>
      <c r="Q23" s="65" t="n"/>
      <c r="R23" s="65" t="n"/>
      <c r="S23" s="18" t="n"/>
      <c r="T23" s="18" t="n"/>
      <c r="U23" s="30" t="n"/>
      <c r="V23" s="18" t="n"/>
      <c r="W23" s="18" t="n"/>
      <c r="X23" s="18" t="n"/>
      <c r="Y23" s="65" t="n"/>
      <c r="Z23" s="65" t="n"/>
      <c r="AA23" s="28" t="n"/>
      <c r="AB23" s="28" t="n"/>
      <c r="AC23" s="28" t="n"/>
      <c r="AD23" s="28" t="n"/>
      <c r="AE23" s="28" t="n"/>
      <c r="AF23" s="28" t="n"/>
      <c r="AG23" s="28" t="n"/>
      <c r="AH23" s="28" t="n"/>
      <c r="AI23" s="28" t="n"/>
      <c r="AJ23" s="28" t="n"/>
      <c r="AK23" s="28" t="n"/>
      <c r="AL23" s="65" t="n"/>
      <c r="AM23" s="65" t="n"/>
      <c r="AN23" s="65" t="n"/>
      <c r="AO23" s="65" t="n"/>
      <c r="AP23" s="65" t="n"/>
    </row>
    <row r="24" ht="51.75" customHeight="1" s="222">
      <c r="A24" s="28" t="inlineStr">
        <is>
          <t>Heavlin Management Company (HMC)</t>
        </is>
      </c>
      <c r="B24" s="28" t="inlineStr">
        <is>
          <t>Hospitality Group</t>
        </is>
      </c>
      <c r="C24" s="8" t="n"/>
      <c r="D24" s="28" t="n"/>
      <c r="E24" s="8" t="n"/>
      <c r="F24" s="8" t="n"/>
      <c r="G24" s="205" t="n"/>
      <c r="H24" s="54" t="n"/>
      <c r="I24" s="88" t="n"/>
      <c r="J24" s="28" t="n"/>
      <c r="K24" s="34" t="n"/>
      <c r="L24" s="45" t="n"/>
      <c r="M24" s="65" t="n"/>
      <c r="N24" s="65" t="n"/>
      <c r="O24" s="65" t="n"/>
      <c r="P24" s="65" t="n"/>
      <c r="Q24" s="65" t="n"/>
      <c r="R24" s="65" t="n"/>
      <c r="S24" s="18" t="n"/>
      <c r="T24" s="18" t="n"/>
      <c r="U24" s="30" t="n"/>
      <c r="V24" s="18" t="n"/>
      <c r="W24" s="55" t="n"/>
      <c r="X24" s="18" t="n"/>
      <c r="Y24" s="65" t="n"/>
      <c r="Z24" s="65" t="n"/>
      <c r="AA24" s="28" t="n"/>
      <c r="AB24" s="28" t="n"/>
      <c r="AC24" s="28" t="n"/>
      <c r="AD24" s="28" t="n"/>
      <c r="AE24" s="28" t="n"/>
      <c r="AF24" s="28" t="n"/>
      <c r="AG24" s="28" t="n"/>
      <c r="AH24" s="28" t="n"/>
      <c r="AI24" s="28" t="n"/>
      <c r="AJ24" s="28" t="n"/>
      <c r="AK24" s="28" t="n"/>
      <c r="AL24" s="65" t="n"/>
      <c r="AM24" s="65" t="n"/>
      <c r="AN24" s="65" t="n"/>
      <c r="AO24" s="65" t="n"/>
      <c r="AP24" s="65" t="n"/>
    </row>
    <row r="25" ht="51.75" customHeight="1" s="222">
      <c r="A25" s="28" t="inlineStr">
        <is>
          <t>Aligned Hospitality Management</t>
        </is>
      </c>
      <c r="B25" s="28" t="inlineStr">
        <is>
          <t>Hospitality Group</t>
        </is>
      </c>
      <c r="C25" s="8" t="n"/>
      <c r="D25" s="28" t="n"/>
      <c r="E25" s="8" t="n"/>
      <c r="F25" s="8" t="n"/>
      <c r="G25" s="205" t="n"/>
      <c r="H25" s="54" t="n"/>
      <c r="I25" s="88" t="n"/>
      <c r="J25" s="28" t="n"/>
      <c r="K25" s="34" t="n"/>
      <c r="L25" s="45" t="n"/>
      <c r="M25" s="65" t="n"/>
      <c r="N25" s="65" t="n"/>
      <c r="O25" s="65" t="n"/>
      <c r="P25" s="65" t="n"/>
      <c r="Q25" s="65" t="n"/>
      <c r="R25" s="65" t="n"/>
      <c r="S25" s="18" t="n"/>
      <c r="T25" s="18" t="n"/>
      <c r="U25" s="30" t="n"/>
      <c r="V25" s="18" t="n"/>
      <c r="W25" s="18" t="n"/>
      <c r="X25" s="18" t="n"/>
      <c r="Y25" s="65" t="n"/>
      <c r="Z25" s="65" t="n"/>
      <c r="AA25" s="28" t="n"/>
      <c r="AB25" s="28" t="n"/>
      <c r="AC25" s="28" t="n"/>
      <c r="AD25" s="28" t="n"/>
      <c r="AE25" s="28" t="n"/>
      <c r="AF25" s="28" t="n"/>
      <c r="AG25" s="28" t="n"/>
      <c r="AH25" s="28" t="n"/>
      <c r="AI25" s="28" t="n"/>
      <c r="AJ25" s="28" t="n"/>
      <c r="AK25" s="28" t="n"/>
      <c r="AL25" s="65" t="n"/>
      <c r="AM25" s="65" t="n"/>
      <c r="AN25" s="65" t="n"/>
      <c r="AO25" s="65" t="n"/>
      <c r="AP25" s="65" t="n"/>
    </row>
    <row r="26" ht="51.75" customHeight="1" s="222">
      <c r="A26" s="28" t="inlineStr">
        <is>
          <t>Aimbridge Hospitality</t>
        </is>
      </c>
      <c r="B26" s="28" t="inlineStr">
        <is>
          <t>Hospitality Group</t>
        </is>
      </c>
      <c r="C26" s="8" t="n"/>
      <c r="D26" s="28" t="n"/>
      <c r="E26" s="8" t="n"/>
      <c r="F26" s="8" t="n"/>
      <c r="G26" s="205" t="n"/>
      <c r="H26" s="54" t="n"/>
      <c r="I26" s="88" t="n"/>
      <c r="J26" s="28" t="n"/>
      <c r="K26" s="34" t="n"/>
      <c r="L26" s="45" t="n"/>
      <c r="M26" s="65" t="n"/>
      <c r="N26" s="65" t="n"/>
      <c r="O26" s="65" t="n"/>
      <c r="P26" s="65" t="n"/>
      <c r="Q26" s="65" t="n"/>
      <c r="R26" s="65" t="n"/>
      <c r="S26" s="18" t="n"/>
      <c r="T26" s="18" t="n"/>
      <c r="U26" s="30" t="n"/>
      <c r="V26" s="18" t="n"/>
      <c r="W26" s="18" t="n"/>
      <c r="X26" s="18" t="n"/>
      <c r="Y26" s="65" t="n"/>
      <c r="Z26" s="65" t="n"/>
      <c r="AA26" s="28" t="n"/>
      <c r="AB26" s="28" t="n"/>
      <c r="AC26" s="28" t="n"/>
      <c r="AD26" s="28" t="n"/>
      <c r="AE26" s="28" t="n"/>
      <c r="AF26" s="28" t="n"/>
      <c r="AG26" s="28" t="n"/>
      <c r="AH26" s="28" t="n"/>
      <c r="AI26" s="28" t="n"/>
      <c r="AJ26" s="28" t="n"/>
      <c r="AK26" s="28" t="n"/>
      <c r="AL26" s="65" t="n"/>
      <c r="AM26" s="65" t="n"/>
      <c r="AN26" s="65" t="n"/>
      <c r="AO26" s="65" t="n"/>
      <c r="AP26" s="65" t="n"/>
    </row>
    <row r="27" ht="51.75" customHeight="1" s="222">
      <c r="A27" s="28" t="inlineStr">
        <is>
          <t>Crescent Hotels &amp; Resorts</t>
        </is>
      </c>
      <c r="B27" s="28" t="inlineStr">
        <is>
          <t>Hospitality Group</t>
        </is>
      </c>
      <c r="C27" s="8" t="n"/>
      <c r="D27" s="28" t="n"/>
      <c r="E27" s="8" t="n"/>
      <c r="F27" s="8" t="n"/>
      <c r="G27" s="205" t="n"/>
      <c r="H27" s="54" t="n"/>
      <c r="I27" s="88" t="n"/>
      <c r="J27" s="28" t="n"/>
      <c r="K27" s="34" t="n"/>
      <c r="L27" s="45" t="n"/>
      <c r="M27" s="65" t="n"/>
      <c r="N27" s="65" t="n"/>
      <c r="O27" s="65" t="n"/>
      <c r="P27" s="65" t="n"/>
      <c r="Q27" s="65" t="n"/>
      <c r="R27" s="65" t="n"/>
      <c r="S27" s="18" t="n"/>
      <c r="T27" s="18" t="n"/>
      <c r="U27" s="30" t="n"/>
      <c r="V27" s="18" t="n"/>
      <c r="W27" s="18" t="n"/>
      <c r="X27" s="18" t="n"/>
      <c r="Y27" s="65" t="n"/>
      <c r="Z27" s="65" t="n"/>
      <c r="AA27" s="28" t="n"/>
      <c r="AB27" s="28" t="n"/>
      <c r="AC27" s="28" t="n"/>
      <c r="AD27" s="28" t="n"/>
      <c r="AE27" s="28" t="n"/>
      <c r="AF27" s="28" t="n"/>
      <c r="AG27" s="28" t="n"/>
      <c r="AH27" s="28" t="n"/>
      <c r="AI27" s="28" t="n"/>
      <c r="AJ27" s="28" t="n"/>
      <c r="AK27" s="28" t="n"/>
      <c r="AL27" s="65" t="n"/>
      <c r="AM27" s="65" t="n"/>
      <c r="AN27" s="65" t="n"/>
      <c r="AO27" s="65" t="n"/>
      <c r="AP27" s="65" t="n"/>
    </row>
    <row r="28" ht="51.75" customHeight="1" s="222">
      <c r="A28" s="28" t="inlineStr">
        <is>
          <t>Southwest Hospitality Management</t>
        </is>
      </c>
      <c r="B28" s="28" t="inlineStr">
        <is>
          <t>Hospitality Group</t>
        </is>
      </c>
      <c r="C28" s="8" t="n"/>
      <c r="D28" s="28" t="n"/>
      <c r="E28" s="8" t="n"/>
      <c r="F28" s="8" t="n"/>
      <c r="G28" s="205" t="n"/>
      <c r="H28" s="93" t="n"/>
      <c r="I28" s="88" t="n"/>
      <c r="J28" s="28" t="n"/>
      <c r="K28" s="34" t="n"/>
      <c r="L28" s="45" t="n"/>
      <c r="M28" s="65" t="n"/>
      <c r="N28" s="65" t="n"/>
      <c r="O28" s="65" t="n"/>
      <c r="P28" s="65" t="n"/>
      <c r="Q28" s="65" t="n"/>
      <c r="R28" s="65" t="n"/>
      <c r="S28" s="18" t="n"/>
      <c r="T28" s="18" t="n"/>
      <c r="U28" s="30" t="n"/>
      <c r="V28" s="18" t="n"/>
      <c r="W28" s="18" t="n"/>
      <c r="X28" s="18" t="n"/>
      <c r="Y28" s="65" t="n"/>
      <c r="Z28" s="65" t="n"/>
      <c r="AA28" s="28" t="n"/>
      <c r="AB28" s="28" t="n"/>
      <c r="AC28" s="28" t="n"/>
      <c r="AD28" s="28" t="n"/>
      <c r="AE28" s="28" t="n"/>
      <c r="AF28" s="28" t="n"/>
      <c r="AG28" s="28" t="n"/>
      <c r="AH28" s="28" t="n"/>
      <c r="AI28" s="28" t="n"/>
      <c r="AJ28" s="28" t="n"/>
      <c r="AK28" s="28" t="n"/>
      <c r="AL28" s="65" t="n"/>
      <c r="AM28" s="65" t="n"/>
      <c r="AN28" s="65" t="n"/>
      <c r="AO28" s="65" t="n"/>
      <c r="AP28" s="65" t="n"/>
    </row>
    <row r="29" ht="51.75" customHeight="1" s="222">
      <c r="A29" s="28" t="inlineStr">
        <is>
          <t>Desert Hospitality Management</t>
        </is>
      </c>
      <c r="B29" s="28" t="inlineStr">
        <is>
          <t>Hospitality Group</t>
        </is>
      </c>
      <c r="C29" s="8" t="n"/>
      <c r="D29" s="28" t="n"/>
      <c r="E29" s="8" t="n"/>
      <c r="F29" s="8" t="n"/>
      <c r="G29" s="183" t="n"/>
      <c r="H29" s="93" t="n"/>
      <c r="I29" s="88" t="n"/>
      <c r="J29" s="28" t="n"/>
      <c r="K29" s="34" t="n"/>
      <c r="L29" s="45" t="n"/>
      <c r="M29" s="65" t="n"/>
      <c r="N29" s="65" t="n"/>
      <c r="O29" s="65" t="n"/>
      <c r="P29" s="65" t="n"/>
      <c r="Q29" s="65" t="n"/>
      <c r="R29" s="65" t="n"/>
      <c r="S29" s="18" t="n"/>
      <c r="T29" s="18" t="n"/>
      <c r="U29" s="30" t="n"/>
      <c r="V29" s="18" t="n"/>
      <c r="W29" s="18" t="n"/>
      <c r="X29" s="18" t="n"/>
      <c r="Y29" s="65" t="n"/>
      <c r="Z29" s="65" t="n"/>
      <c r="AA29" s="28" t="n"/>
      <c r="AB29" s="28" t="n"/>
      <c r="AC29" s="28" t="n"/>
      <c r="AD29" s="28" t="n"/>
      <c r="AE29" s="28" t="n"/>
      <c r="AF29" s="28" t="n"/>
      <c r="AG29" s="28" t="n"/>
      <c r="AH29" s="28" t="n"/>
      <c r="AI29" s="28" t="n"/>
      <c r="AJ29" s="28" t="n"/>
      <c r="AK29" s="28" t="n"/>
      <c r="AL29" s="65" t="n"/>
      <c r="AM29" s="65" t="n"/>
      <c r="AN29" s="65" t="n"/>
      <c r="AO29" s="65" t="n"/>
      <c r="AP29" s="65" t="n"/>
    </row>
    <row r="30" ht="51.75" customHeight="1" s="222">
      <c r="A30" s="28" t="inlineStr">
        <is>
          <t>NCG Hospitality</t>
        </is>
      </c>
      <c r="B30" s="28" t="inlineStr">
        <is>
          <t>Hospitality Group</t>
        </is>
      </c>
      <c r="C30" s="8" t="n"/>
      <c r="D30" s="28" t="n"/>
      <c r="E30" s="8" t="n"/>
      <c r="F30" s="8" t="n"/>
      <c r="G30" s="205" t="n"/>
      <c r="H30" s="93" t="n"/>
      <c r="I30" s="88" t="n"/>
      <c r="J30" s="28" t="n"/>
      <c r="K30" s="34" t="n"/>
      <c r="L30" s="45" t="n"/>
      <c r="M30" s="98" t="n"/>
      <c r="N30" s="65" t="n"/>
      <c r="O30" s="65" t="n"/>
      <c r="P30" s="65" t="n"/>
      <c r="Q30" s="98" t="n"/>
      <c r="R30" s="98" t="n"/>
      <c r="S30" s="55" t="n"/>
      <c r="T30" s="18" t="n"/>
      <c r="U30" s="50" t="n"/>
      <c r="V30" s="18" t="n"/>
      <c r="W30" s="18" t="n"/>
      <c r="X30" s="18" t="n"/>
      <c r="Y30" s="65" t="n"/>
      <c r="Z30" s="65" t="n"/>
      <c r="AA30" s="28" t="n"/>
      <c r="AB30" s="28" t="n"/>
      <c r="AC30" s="28" t="n"/>
      <c r="AD30" s="28" t="n"/>
      <c r="AE30" s="28" t="n"/>
      <c r="AF30" s="28" t="n"/>
      <c r="AG30" s="28" t="n"/>
      <c r="AH30" s="28" t="n"/>
      <c r="AI30" s="28" t="n"/>
      <c r="AJ30" s="28" t="n"/>
      <c r="AK30" s="28" t="n"/>
      <c r="AL30" s="65" t="n"/>
      <c r="AM30" s="65" t="n"/>
      <c r="AN30" s="65" t="n"/>
      <c r="AO30" s="65" t="n"/>
      <c r="AP30" s="65" t="n"/>
    </row>
    <row r="31" ht="51.75" customHeight="1" s="222">
      <c r="A31" s="28" t="inlineStr">
        <is>
          <t>Classic Hotels &amp; Resorts</t>
        </is>
      </c>
      <c r="B31" s="28" t="inlineStr">
        <is>
          <t>Hospitality Group</t>
        </is>
      </c>
      <c r="C31" s="8" t="n"/>
      <c r="D31" s="28" t="n"/>
      <c r="E31" s="8" t="n"/>
      <c r="F31" s="8" t="n"/>
      <c r="G31" s="205" t="n"/>
      <c r="H31" s="93" t="n"/>
      <c r="I31" s="88" t="n"/>
      <c r="J31" s="28" t="n"/>
      <c r="K31" s="34" t="n"/>
      <c r="L31" s="45" t="n"/>
      <c r="M31" s="65" t="n"/>
      <c r="N31" s="65" t="n"/>
      <c r="O31" s="65" t="n"/>
      <c r="P31" s="65" t="n"/>
      <c r="Q31" s="65" t="n"/>
      <c r="R31" s="65" t="n"/>
      <c r="S31" s="18" t="n"/>
      <c r="T31" s="18" t="n"/>
      <c r="U31" s="30" t="n"/>
      <c r="V31" s="18" t="n"/>
      <c r="W31" s="18" t="n"/>
      <c r="X31" s="18" t="n"/>
      <c r="Y31" s="65" t="n"/>
      <c r="Z31" s="65" t="n"/>
      <c r="AA31" s="28" t="n"/>
      <c r="AB31" s="28" t="n"/>
      <c r="AC31" s="28" t="n"/>
      <c r="AD31" s="28" t="n"/>
      <c r="AE31" s="28" t="n"/>
      <c r="AF31" s="28" t="n"/>
      <c r="AG31" s="28" t="n"/>
      <c r="AH31" s="28" t="n"/>
      <c r="AI31" s="28" t="n"/>
      <c r="AJ31" s="28" t="n"/>
      <c r="AK31" s="28" t="n"/>
      <c r="AL31" s="65" t="n"/>
      <c r="AM31" s="65" t="n"/>
      <c r="AN31" s="65" t="n"/>
      <c r="AO31" s="65" t="n"/>
      <c r="AP31" s="65" t="n"/>
    </row>
    <row r="32" ht="51.75" customHeight="1" s="222">
      <c r="A32" s="65" t="inlineStr">
        <is>
          <t>Carter Concepts Restaurant Group</t>
        </is>
      </c>
      <c r="B32" s="28" t="inlineStr">
        <is>
          <t>Hospitality Group</t>
        </is>
      </c>
      <c r="C32" s="8" t="n"/>
      <c r="D32" s="28" t="n"/>
      <c r="E32" s="28" t="n"/>
      <c r="F32" s="28" t="n"/>
      <c r="G32" s="205" t="n"/>
      <c r="H32" s="93" t="n"/>
      <c r="I32" s="88" t="n"/>
      <c r="J32" s="28" t="n"/>
      <c r="K32" s="34" t="n"/>
      <c r="L32" s="45" t="n"/>
      <c r="M32" s="65" t="n"/>
      <c r="N32" s="65" t="n"/>
      <c r="O32" s="65" t="n"/>
      <c r="P32" s="65" t="n"/>
      <c r="Q32" s="65" t="n"/>
      <c r="R32" s="65" t="n"/>
      <c r="S32" s="18" t="n"/>
      <c r="T32" s="18" t="n"/>
      <c r="U32" s="30" t="n"/>
      <c r="V32" s="18" t="n"/>
      <c r="W32" s="18" t="n"/>
      <c r="X32" s="18" t="n"/>
      <c r="Y32" s="65" t="n"/>
      <c r="Z32" s="65" t="n"/>
      <c r="AA32" s="28" t="n"/>
      <c r="AB32" s="28" t="n"/>
      <c r="AC32" s="28" t="n"/>
      <c r="AD32" s="28" t="n"/>
      <c r="AE32" s="28" t="n"/>
      <c r="AF32" s="28" t="n"/>
      <c r="AG32" s="28" t="n"/>
      <c r="AH32" s="28" t="n"/>
      <c r="AI32" s="28" t="n"/>
      <c r="AJ32" s="28" t="n"/>
      <c r="AK32" s="28" t="n"/>
      <c r="AL32" s="65" t="n"/>
      <c r="AM32" s="65" t="n"/>
      <c r="AN32" s="65" t="n"/>
      <c r="AO32" s="65" t="n"/>
      <c r="AP32" s="65" t="n"/>
    </row>
    <row r="33" ht="51.75" customHeight="1" s="222">
      <c r="A33" s="28" t="inlineStr">
        <is>
          <t>Courtyard Phoenix Airport</t>
        </is>
      </c>
      <c r="B33" s="8" t="inlineStr">
        <is>
          <t>Hotel</t>
        </is>
      </c>
      <c r="C33" s="8" t="n"/>
      <c r="D33" s="28" t="inlineStr">
        <is>
          <t>2621 S 47th St, Phoenix, AZ 85034</t>
        </is>
      </c>
      <c r="E33" s="8" t="inlineStr">
        <is>
          <t>Airport</t>
        </is>
      </c>
      <c r="F33" s="8">
        <f>14809664300</f>
        <v/>
      </c>
      <c r="G33" s="58" t="inlineStr">
        <is>
          <t>https://www.marriott.com/en-us/hotels/phxca-courtyard-phoenix-airport/overview/?scid=f2ae0541-1279-4f24-b197-a979c79310b0</t>
        </is>
      </c>
      <c r="H33" s="80" t="n">
        <v>15</v>
      </c>
      <c r="I33" s="88" t="inlineStr">
        <is>
          <t>No Valet</t>
        </is>
      </c>
      <c r="J33" s="28" t="n">
        <v>145</v>
      </c>
      <c r="K33" s="34" t="n">
        <v>0.5600000000000001</v>
      </c>
      <c r="L33" s="45" t="n">
        <v>18</v>
      </c>
      <c r="M33" s="65" t="n"/>
      <c r="N33" s="28" t="n"/>
      <c r="O33" s="28" t="n"/>
      <c r="P33" s="28" t="n"/>
      <c r="Q33" s="65" t="n"/>
      <c r="R33" s="65" t="n"/>
      <c r="S33" s="18" t="n"/>
      <c r="T33" s="18" t="inlineStr">
        <is>
          <t>Charles Padilla</t>
        </is>
      </c>
      <c r="U33" s="18" t="inlineStr">
        <is>
          <t>GM</t>
        </is>
      </c>
      <c r="V33" s="18" t="n"/>
      <c r="W33" s="18" t="n"/>
      <c r="X33" s="18" t="n"/>
      <c r="Y33" s="28" t="n"/>
      <c r="Z33" s="28" t="n"/>
      <c r="AA33" s="28" t="n"/>
      <c r="AB33" s="28" t="n"/>
      <c r="AC33" s="28" t="n"/>
      <c r="AD33" s="28" t="n"/>
      <c r="AE33" s="28" t="n"/>
      <c r="AF33" s="28" t="n"/>
      <c r="AG33" s="28" t="n"/>
      <c r="AH33" s="28" t="n"/>
      <c r="AI33" s="28" t="n"/>
      <c r="AJ33" s="28" t="n"/>
      <c r="AK33" s="28" t="n"/>
      <c r="AL33" s="28" t="n"/>
      <c r="AM33" s="28" t="n"/>
      <c r="AN33" s="28" t="n"/>
      <c r="AO33" s="28" t="n"/>
      <c r="AP33" s="28" t="n"/>
    </row>
    <row r="34" ht="51.75" customHeight="1" s="222">
      <c r="A34" s="28" t="inlineStr">
        <is>
          <t>Hilton Phoenix Airport</t>
        </is>
      </c>
      <c r="B34" s="8" t="inlineStr">
        <is>
          <t>Hotel</t>
        </is>
      </c>
      <c r="C34" s="8" t="n"/>
      <c r="D34" s="74" t="inlineStr">
        <is>
          <t>2435 S 47th St, Phoenix, AZ 85034</t>
        </is>
      </c>
      <c r="E34" s="8" t="inlineStr">
        <is>
          <t>Airport</t>
        </is>
      </c>
      <c r="F34" s="8">
        <f>14808941600</f>
        <v/>
      </c>
      <c r="G34" s="20" t="inlineStr">
        <is>
          <t>https://www.hilton.com/en/hotels/phxahhf-hilton-phoenix-airport/?SEO_id=GMB-AMER-HH-PHXAHHF&amp;y_source=1_MTIyMDg0Ni03MTUtbG9jYXRpb24ud2Vic2l0ZQ%3D%3D</t>
        </is>
      </c>
      <c r="H34" s="80" t="n">
        <v>10</v>
      </c>
      <c r="I34" s="88" t="inlineStr">
        <is>
          <t>No Valet</t>
        </is>
      </c>
      <c r="J34" s="8" t="n">
        <v>259</v>
      </c>
      <c r="K34" s="34" t="n">
        <v>0.53</v>
      </c>
      <c r="L34" s="65" t="n">
        <v>51</v>
      </c>
      <c r="M34" s="28" t="n"/>
      <c r="N34" s="28" t="n"/>
      <c r="O34" s="28" t="n"/>
      <c r="P34" s="28" t="n"/>
      <c r="Q34" s="28" t="n"/>
      <c r="R34" s="28" t="n"/>
      <c r="S34" s="18" t="n"/>
      <c r="T34" s="18" t="n"/>
      <c r="U34" s="30" t="n"/>
      <c r="V34" s="18" t="n"/>
      <c r="W34" s="18" t="n"/>
      <c r="X34" s="18" t="n"/>
      <c r="Y34" s="28" t="n"/>
      <c r="Z34" s="28" t="n"/>
      <c r="AA34" s="28" t="n"/>
      <c r="AB34" s="28" t="n"/>
      <c r="AC34" s="28" t="n"/>
      <c r="AD34" s="28" t="n"/>
      <c r="AE34" s="28" t="n"/>
      <c r="AF34" s="28" t="n"/>
      <c r="AG34" s="28" t="n"/>
      <c r="AH34" s="28" t="n"/>
      <c r="AI34" s="28" t="n"/>
      <c r="AJ34" s="28" t="n"/>
      <c r="AK34" s="28" t="n"/>
      <c r="AL34" s="28" t="n"/>
      <c r="AM34" s="28" t="n"/>
      <c r="AN34" s="28" t="n"/>
      <c r="AO34" s="28" t="n"/>
      <c r="AP34" s="28" t="n"/>
    </row>
    <row r="35" ht="51.75" customHeight="1" s="222">
      <c r="A35" s="28" t="inlineStr">
        <is>
          <t>Marriott Phoenix Airport</t>
        </is>
      </c>
      <c r="B35" s="8" t="inlineStr">
        <is>
          <t>Hotel</t>
        </is>
      </c>
      <c r="C35" s="8" t="n"/>
      <c r="D35" s="28" t="inlineStr">
        <is>
          <t>1101 N 44th St, Phoenix, AZ 85008</t>
        </is>
      </c>
      <c r="E35" s="8" t="inlineStr">
        <is>
          <t>Airport</t>
        </is>
      </c>
      <c r="F35" s="8">
        <f>16022737373</f>
        <v/>
      </c>
      <c r="G35" s="20" t="inlineStr">
        <is>
          <t>https://www.marriott.com/en-us/hotels/phxap-marriott-phoenix-airport/overview/?scid=f2ae0541-1279-4f24-b197-a979c79310b0</t>
        </is>
      </c>
      <c r="H35" s="80" t="n">
        <v>10</v>
      </c>
      <c r="I35" s="88" t="inlineStr">
        <is>
          <t>No Valet</t>
        </is>
      </c>
      <c r="J35" s="8" t="n">
        <v>347</v>
      </c>
      <c r="K35" s="34" t="n">
        <v>0.65</v>
      </c>
      <c r="L35" s="65" t="n">
        <v>46</v>
      </c>
      <c r="M35" s="65" t="n"/>
      <c r="N35" s="28" t="n"/>
      <c r="O35" s="28" t="n"/>
      <c r="P35" s="28" t="n"/>
      <c r="Q35" s="65" t="n"/>
      <c r="R35" s="65" t="n"/>
      <c r="S35" s="18" t="n"/>
      <c r="T35" s="18" t="n"/>
      <c r="U35" s="30" t="n"/>
      <c r="V35" s="18" t="n"/>
      <c r="W35" s="18" t="n"/>
      <c r="X35" s="18" t="n"/>
      <c r="Y35" s="28" t="n"/>
      <c r="Z35" s="28" t="n"/>
      <c r="AA35" s="28" t="n"/>
      <c r="AB35" s="28" t="n"/>
      <c r="AC35" s="28" t="n"/>
      <c r="AD35" s="28" t="n"/>
      <c r="AE35" s="28" t="n"/>
      <c r="AF35" s="28" t="n"/>
      <c r="AG35" s="28" t="n"/>
      <c r="AH35" s="28" t="n"/>
      <c r="AI35" s="28" t="n"/>
      <c r="AJ35" s="28" t="n"/>
      <c r="AK35" s="28" t="n"/>
      <c r="AL35" s="28" t="n"/>
      <c r="AM35" s="28" t="n"/>
      <c r="AN35" s="28" t="n"/>
      <c r="AO35" s="28" t="n"/>
      <c r="AP35" s="28" t="n"/>
    </row>
    <row r="36" ht="51.75" customHeight="1" s="222">
      <c r="A36" s="28" t="inlineStr">
        <is>
          <t>Arizona Biltmore, LXR Hotels &amp; Resorts</t>
        </is>
      </c>
      <c r="B36" s="8" t="inlineStr">
        <is>
          <t>Hotel</t>
        </is>
      </c>
      <c r="C36" s="8" t="n"/>
      <c r="D36" s="28" t="inlineStr">
        <is>
          <t>2400 E Missouri Ave, Phoenix, AZ 85016</t>
        </is>
      </c>
      <c r="E36" s="8" t="inlineStr">
        <is>
          <t>Biltmore</t>
        </is>
      </c>
      <c r="F36" s="26" t="inlineStr">
        <is>
          <t>(602) 955-6600</t>
        </is>
      </c>
      <c r="G36" s="59" t="inlineStr">
        <is>
          <t>https://www.hilton.com/en/hotels/phxbmol-arizona-biltmore/rooms/</t>
        </is>
      </c>
      <c r="H36" s="80" t="n"/>
      <c r="I36" s="93" t="inlineStr">
        <is>
          <t>valet only</t>
        </is>
      </c>
      <c r="J36" s="8" t="n">
        <v>750</v>
      </c>
      <c r="K36" s="67" t="n">
        <v>0.35</v>
      </c>
      <c r="L36" s="65" t="n">
        <v>156</v>
      </c>
      <c r="M36" s="73" t="n"/>
      <c r="N36" s="65" t="n"/>
      <c r="O36" s="65" t="n"/>
      <c r="P36" s="65" t="n"/>
      <c r="Q36" s="73" t="n"/>
      <c r="R36" s="73" t="n"/>
      <c r="S36" s="55" t="n"/>
      <c r="T36" s="18" t="inlineStr">
        <is>
          <t>Jessica Carlson</t>
        </is>
      </c>
      <c r="U36" s="55" t="inlineStr">
        <is>
          <t>Resort Manager</t>
        </is>
      </c>
      <c r="V36" s="18" t="n"/>
      <c r="W36" s="18" t="n"/>
      <c r="X36" s="18" t="n"/>
      <c r="Y36" s="65" t="n"/>
      <c r="Z36" s="65" t="n"/>
      <c r="AA36" s="28" t="n"/>
      <c r="AB36" s="28" t="n"/>
      <c r="AC36" s="28" t="n"/>
      <c r="AD36" s="28" t="n"/>
      <c r="AE36" s="28" t="n"/>
      <c r="AF36" s="28" t="n"/>
      <c r="AG36" s="28" t="n"/>
      <c r="AH36" s="28" t="n"/>
      <c r="AI36" s="28" t="n"/>
      <c r="AJ36" s="28" t="n"/>
      <c r="AK36" s="28" t="n"/>
      <c r="AL36" s="65" t="n"/>
      <c r="AM36" s="65" t="n"/>
      <c r="AN36" s="65" t="n"/>
      <c r="AO36" s="65" t="n"/>
      <c r="AP36" s="65" t="n"/>
    </row>
    <row r="37" ht="51.75" customHeight="1" s="222">
      <c r="A37" s="36" t="inlineStr">
        <is>
          <t>Embassy Suites by Hilton Phoenix Biltmore</t>
        </is>
      </c>
      <c r="B37" s="8" t="inlineStr">
        <is>
          <t>Hotel</t>
        </is>
      </c>
      <c r="C37" s="8" t="inlineStr">
        <is>
          <t>x</t>
        </is>
      </c>
      <c r="D37" s="28" t="inlineStr">
        <is>
          <t>2630 E Camelback Rd, Phoenix, AZ 85016</t>
        </is>
      </c>
      <c r="E37" s="8" t="inlineStr">
        <is>
          <t>Blitmore</t>
        </is>
      </c>
      <c r="F37" s="8">
        <f>16029553992</f>
        <v/>
      </c>
      <c r="G37" s="58" t="inlineStr">
        <is>
          <t>https://www.hilton.com/en/hotels/phxcbes-embassy-suites-phoenix-biltmore/?SEO_id=GMB-AMER-ES-PHXCBES&amp;y_source=1_MTExMDAzNC03MTUtbG9jYXRpb24ud2Vic2l0ZQ%3D%3D</t>
        </is>
      </c>
      <c r="H37" s="80" t="n">
        <v>14</v>
      </c>
      <c r="I37" s="93" t="inlineStr">
        <is>
          <t>No Valet</t>
        </is>
      </c>
      <c r="J37" s="105" t="n">
        <v>232</v>
      </c>
      <c r="K37" s="62" t="n">
        <v>0.2</v>
      </c>
      <c r="L37" s="63" t="n">
        <v>51</v>
      </c>
      <c r="M37" s="28" t="n"/>
      <c r="N37" s="28" t="n"/>
      <c r="O37" s="28" t="n"/>
      <c r="P37" s="28" t="n"/>
      <c r="Q37" s="28" t="n"/>
      <c r="R37" s="28" t="n"/>
      <c r="S37" s="18" t="n"/>
      <c r="T37" s="18" t="inlineStr">
        <is>
          <t>Vinnie Walia</t>
        </is>
      </c>
      <c r="U37" s="18" t="inlineStr">
        <is>
          <t>GM</t>
        </is>
      </c>
      <c r="V37" s="18" t="inlineStr">
        <is>
          <t>phxcb_embassy@hilton.com</t>
        </is>
      </c>
      <c r="W37" s="39" t="n"/>
      <c r="X37" s="18" t="n"/>
      <c r="Y37" s="28" t="n"/>
      <c r="Z37" s="28" t="inlineStr">
        <is>
          <t>called and talked to blake at front desk, said to call back monday for operations manager</t>
        </is>
      </c>
      <c r="AA37" s="28" t="n"/>
      <c r="AB37" s="28" t="n"/>
      <c r="AC37" s="28" t="n"/>
      <c r="AD37" s="28" t="n"/>
      <c r="AE37" s="28" t="n"/>
      <c r="AF37" s="28" t="n"/>
      <c r="AG37" s="28" t="n"/>
      <c r="AH37" s="28" t="n"/>
      <c r="AI37" s="28" t="n"/>
      <c r="AJ37" s="28" t="n"/>
      <c r="AK37" s="28" t="n"/>
      <c r="AL37" s="28" t="n"/>
      <c r="AM37" s="28" t="n"/>
      <c r="AN37" s="28" t="n"/>
      <c r="AO37" s="28" t="n"/>
      <c r="AP37" s="28" t="n"/>
    </row>
    <row r="38" ht="51.75" customHeight="1" s="222">
      <c r="A38" s="64" t="inlineStr">
        <is>
          <t>Hampton Inn Phoenix-Biltmore</t>
        </is>
      </c>
      <c r="B38" s="8" t="inlineStr">
        <is>
          <t>Hotel</t>
        </is>
      </c>
      <c r="C38" s="8" t="n"/>
      <c r="D38" s="28" t="inlineStr">
        <is>
          <t>2310 E Highland Ave, Phoenix, AZ 85016</t>
        </is>
      </c>
      <c r="E38" s="8" t="inlineStr">
        <is>
          <t>Blitmore</t>
        </is>
      </c>
      <c r="F38" s="8">
        <f>16029565221</f>
        <v/>
      </c>
      <c r="G38" s="58" t="inlineStr">
        <is>
          <t>https://www.hilton.com/en/hotels/phxehhx-hampton-phoenix-biltmore/?SEO_id=GMB-AMER-HX-PHXEHHX&amp;y_source=1_MjA4MzE5Ny03MTUtbG9jYXRpb24ud2Vic2l0ZQ%3D%3D</t>
        </is>
      </c>
      <c r="H38" s="80" t="n"/>
      <c r="I38" s="88" t="n"/>
      <c r="J38" s="8" t="n">
        <v>121</v>
      </c>
      <c r="K38" s="34" t="n">
        <v>0.42</v>
      </c>
      <c r="L38" s="65" t="n">
        <v>33</v>
      </c>
      <c r="M38" s="65" t="n"/>
      <c r="N38" s="28" t="n"/>
      <c r="O38" s="28" t="n"/>
      <c r="P38" s="28" t="n"/>
      <c r="Q38" s="65" t="n"/>
      <c r="R38" s="65" t="n"/>
      <c r="S38" s="18" t="n"/>
      <c r="T38" s="18" t="n"/>
      <c r="U38" s="30" t="n"/>
      <c r="V38" s="18" t="n"/>
      <c r="W38" s="18" t="n"/>
      <c r="X38" s="18" t="n"/>
      <c r="Y38" s="28" t="n"/>
      <c r="Z38" s="28" t="n"/>
      <c r="AA38" s="28" t="n"/>
      <c r="AB38" s="28" t="n"/>
      <c r="AC38" s="28" t="n"/>
      <c r="AD38" s="28" t="n"/>
      <c r="AE38" s="28" t="n"/>
      <c r="AF38" s="28" t="n"/>
      <c r="AG38" s="28" t="n"/>
      <c r="AH38" s="28" t="n"/>
      <c r="AI38" s="28" t="n"/>
      <c r="AJ38" s="28" t="n"/>
      <c r="AK38" s="28" t="n"/>
      <c r="AL38" s="28" t="n"/>
      <c r="AM38" s="28" t="n"/>
      <c r="AN38" s="28" t="n"/>
      <c r="AO38" s="28" t="n"/>
      <c r="AP38" s="28" t="n"/>
    </row>
    <row r="39" ht="51.75" customHeight="1" s="222">
      <c r="A39" s="64" t="inlineStr">
        <is>
          <t>The Camby, Autograph Collection</t>
        </is>
      </c>
      <c r="B39" s="8" t="inlineStr">
        <is>
          <t>Hotel</t>
        </is>
      </c>
      <c r="C39" s="8" t="n"/>
      <c r="D39" s="28" t="inlineStr">
        <is>
          <t>2401 E Camelback Rd, Phoenix, AZ 85016</t>
        </is>
      </c>
      <c r="E39" s="8" t="inlineStr">
        <is>
          <t>Blitmore</t>
        </is>
      </c>
      <c r="F39" s="8">
        <f>16024680700</f>
        <v/>
      </c>
      <c r="G39" s="66" t="inlineStr">
        <is>
          <t>https://www.marriott.com/en-us/hotels/phxak-the-camby-autograph-collection/overview/?scid=f2ae0541-1279-4f24-b197-a979c79310b0</t>
        </is>
      </c>
      <c r="H39" s="80" t="n"/>
      <c r="I39" s="93" t="n">
        <v>40</v>
      </c>
      <c r="J39" s="8" t="n">
        <v>279</v>
      </c>
      <c r="K39" s="67" t="n">
        <v>0.45</v>
      </c>
      <c r="L39" s="65" t="n">
        <v>95</v>
      </c>
      <c r="M39" s="69" t="n"/>
      <c r="N39" s="69" t="n"/>
      <c r="O39" s="69" t="n"/>
      <c r="P39" s="69" t="n"/>
      <c r="Q39" s="69" t="n"/>
      <c r="R39" s="69" t="n"/>
      <c r="S39" s="71" t="n"/>
      <c r="T39" s="71" t="inlineStr">
        <is>
          <t>Christine Menzel</t>
        </is>
      </c>
      <c r="U39" s="18" t="inlineStr">
        <is>
          <t>GM</t>
        </is>
      </c>
      <c r="V39" s="71" t="inlineStr">
        <is>
          <t>Cmenzel@thecamby.com</t>
        </is>
      </c>
      <c r="W39" s="71" t="n"/>
      <c r="X39" s="71" t="n"/>
      <c r="Y39" s="69" t="n"/>
      <c r="Z39" s="69" t="n"/>
      <c r="AA39" s="28" t="n"/>
      <c r="AB39" s="28" t="n"/>
      <c r="AC39" s="28" t="n"/>
      <c r="AD39" s="28" t="n"/>
      <c r="AE39" s="28" t="n"/>
      <c r="AF39" s="28" t="n"/>
      <c r="AG39" s="28" t="n"/>
      <c r="AH39" s="28" t="n"/>
      <c r="AI39" s="28" t="n"/>
      <c r="AJ39" s="28" t="n"/>
      <c r="AK39" s="28" t="n"/>
      <c r="AL39" s="69" t="n"/>
      <c r="AM39" s="69" t="n"/>
      <c r="AN39" s="69" t="n"/>
      <c r="AO39" s="69" t="n"/>
      <c r="AP39" s="69" t="n"/>
    </row>
    <row r="40" ht="51.75" customHeight="1" s="222">
      <c r="A40" s="64" t="inlineStr">
        <is>
          <t>AC Hotel Phoenix Biltmore</t>
        </is>
      </c>
      <c r="B40" s="8" t="inlineStr">
        <is>
          <t>Hotel</t>
        </is>
      </c>
      <c r="C40" s="8" t="n"/>
      <c r="D40" s="28" t="inlineStr">
        <is>
          <t>2811 E Camelback Rd, Phoenix, AZ 85016</t>
        </is>
      </c>
      <c r="E40" s="8" t="inlineStr">
        <is>
          <t>Blitmore</t>
        </is>
      </c>
      <c r="F40" s="8">
        <f>16028526500</f>
        <v/>
      </c>
      <c r="G40" s="58" t="inlineStr">
        <is>
          <t>https://www.marriott.com/en-us/hotels/phxab-ac-hotel-phoenix-biltmore/overview/?scid=f2ae0541-1279-4f24-b197-a979c79310b0</t>
        </is>
      </c>
      <c r="H40" s="80" t="n">
        <v>12</v>
      </c>
      <c r="I40" s="93" t="inlineStr">
        <is>
          <t>No Valet</t>
        </is>
      </c>
      <c r="J40" s="8" t="n">
        <v>160</v>
      </c>
      <c r="K40" s="67" t="n">
        <v>0.68</v>
      </c>
      <c r="L40" s="65" t="n">
        <v>19</v>
      </c>
      <c r="M40" s="28" t="n"/>
      <c r="N40" s="28" t="n"/>
      <c r="O40" s="28" t="n"/>
      <c r="P40" s="28" t="n"/>
      <c r="Q40" s="28" t="n"/>
      <c r="R40" s="28" t="n"/>
      <c r="S40" s="18" t="n"/>
      <c r="T40" s="18" t="inlineStr">
        <is>
          <t>April Mosley</t>
        </is>
      </c>
      <c r="U40" s="18" t="inlineStr">
        <is>
          <t>GM</t>
        </is>
      </c>
      <c r="V40" s="18" t="n"/>
      <c r="W40" s="18" t="n"/>
      <c r="X40" s="18" t="n"/>
      <c r="Y40" s="28" t="n"/>
      <c r="Z40" s="28" t="inlineStr">
        <is>
          <t>linked in message</t>
        </is>
      </c>
      <c r="AA40" s="28" t="n"/>
      <c r="AB40" s="28" t="n"/>
      <c r="AC40" s="28" t="n"/>
      <c r="AD40" s="28" t="n"/>
      <c r="AE40" s="28" t="n"/>
      <c r="AF40" s="28" t="n"/>
      <c r="AG40" s="28" t="n"/>
      <c r="AH40" s="28" t="n"/>
      <c r="AI40" s="28" t="n"/>
      <c r="AJ40" s="28" t="n"/>
      <c r="AK40" s="28" t="n"/>
      <c r="AL40" s="28" t="n"/>
      <c r="AM40" s="28" t="n"/>
      <c r="AN40" s="28" t="n"/>
      <c r="AO40" s="28" t="n"/>
      <c r="AP40" s="28" t="n"/>
    </row>
    <row r="41" ht="51.75" customHeight="1" s="222">
      <c r="A41" s="64" t="inlineStr">
        <is>
          <t>Sonesta Select Phoenix Camelback</t>
        </is>
      </c>
      <c r="B41" s="8" t="inlineStr">
        <is>
          <t>Hotel</t>
        </is>
      </c>
      <c r="C41" s="8" t="n"/>
      <c r="D41" s="28" t="inlineStr">
        <is>
          <t>2101 E Camelback Rd, Phoenix, AZ 85016</t>
        </is>
      </c>
      <c r="E41" s="8" t="inlineStr">
        <is>
          <t>Blitmore</t>
        </is>
      </c>
      <c r="F41" s="8">
        <f>16029555200</f>
        <v/>
      </c>
      <c r="G41" s="58" t="inlineStr">
        <is>
          <t>https://www.sonesta.com/sonesta-select/az/phoenix/sonesta-select-phoenix-camelback</t>
        </is>
      </c>
      <c r="H41" s="80" t="inlineStr">
        <is>
          <t>Free</t>
        </is>
      </c>
      <c r="I41" s="93" t="n"/>
      <c r="J41" s="8" t="n">
        <v>155</v>
      </c>
      <c r="K41" s="72" t="n">
        <v>0.71</v>
      </c>
      <c r="L41" s="65" t="n">
        <v>21</v>
      </c>
      <c r="M41" s="69" t="n"/>
      <c r="N41" s="28" t="n"/>
      <c r="O41" s="28" t="n"/>
      <c r="P41" s="28" t="n"/>
      <c r="Q41" s="69" t="n"/>
      <c r="R41" s="69" t="n"/>
      <c r="S41" s="71" t="n"/>
      <c r="T41" s="71" t="inlineStr">
        <is>
          <t>Rachel Fesler</t>
        </is>
      </c>
      <c r="U41" s="18" t="inlineStr">
        <is>
          <t>Area Gm</t>
        </is>
      </c>
      <c r="V41" s="18" t="inlineStr">
        <is>
          <t>Rachel.fesler@sonesta.com</t>
        </is>
      </c>
      <c r="W41" s="18" t="n"/>
      <c r="X41" s="18" t="n"/>
      <c r="Y41" s="28" t="n"/>
      <c r="Z41" s="28" t="n"/>
      <c r="AA41" s="28" t="n"/>
      <c r="AB41" s="28" t="n"/>
      <c r="AC41" s="28" t="n"/>
      <c r="AD41" s="28" t="n"/>
      <c r="AE41" s="28" t="n"/>
      <c r="AF41" s="28" t="n"/>
      <c r="AG41" s="28" t="n"/>
      <c r="AH41" s="28" t="n"/>
      <c r="AI41" s="28" t="n"/>
      <c r="AJ41" s="28" t="n"/>
      <c r="AK41" s="28" t="n"/>
      <c r="AL41" s="28" t="n"/>
      <c r="AM41" s="28" t="n"/>
      <c r="AN41" s="28" t="n"/>
      <c r="AO41" s="28" t="n"/>
      <c r="AP41" s="28" t="n"/>
    </row>
    <row r="42" ht="51.75" customHeight="1" s="222">
      <c r="A42" s="36" t="inlineStr">
        <is>
          <t>Hilton Garden Inn Chandler Downtown</t>
        </is>
      </c>
      <c r="B42" s="8" t="inlineStr">
        <is>
          <t>Hotel</t>
        </is>
      </c>
      <c r="C42" s="105" t="inlineStr">
        <is>
          <t>x</t>
        </is>
      </c>
      <c r="D42" s="73" t="inlineStr">
        <is>
          <t>150 S Arizona Ave, Chandler, AZ 85225</t>
        </is>
      </c>
      <c r="E42" s="8" t="inlineStr">
        <is>
          <t>Chandler</t>
        </is>
      </c>
      <c r="F42" s="8">
        <f>16234718400</f>
        <v/>
      </c>
      <c r="G42" s="58" t="inlineStr">
        <is>
          <t>https://www.hilton.com/en/hotels/phxazgi-hilton-garden-inn-chandler-downtown/?SEO_id=GMB-AMER-GI-PHXAZGI&amp;y_source=1_MTU1MTEwNzctNzE1LWxvY2F0aW9uLndlYnNpdGU%3D</t>
        </is>
      </c>
      <c r="H42" s="80" t="n">
        <v>15</v>
      </c>
      <c r="I42" s="93" t="inlineStr">
        <is>
          <t>No Valet</t>
        </is>
      </c>
      <c r="J42" s="28" t="n">
        <v>110</v>
      </c>
      <c r="K42" s="34" t="n">
        <v>0.16</v>
      </c>
      <c r="L42" s="45" t="n">
        <v>31</v>
      </c>
      <c r="M42" s="65" t="n"/>
      <c r="N42" s="65" t="n"/>
      <c r="O42" s="65" t="n"/>
      <c r="P42" s="65" t="n"/>
      <c r="Q42" s="65" t="n"/>
      <c r="R42" s="65" t="n"/>
      <c r="S42" s="18" t="inlineStr">
        <is>
          <t>KA</t>
        </is>
      </c>
      <c r="T42" s="18" t="inlineStr">
        <is>
          <t>Daron Brotherton</t>
        </is>
      </c>
      <c r="U42" s="18" t="inlineStr">
        <is>
          <t>GM</t>
        </is>
      </c>
      <c r="V42" s="18" t="n"/>
      <c r="W42" s="18" t="n"/>
      <c r="X42" s="18" t="n"/>
      <c r="Y42" s="65" t="n"/>
      <c r="Z42" s="65" t="inlineStr">
        <is>
          <t>Called and jason no longer gm, left voicemail for Daron, must be new to the role at this property</t>
        </is>
      </c>
      <c r="AA42" s="28" t="inlineStr">
        <is>
          <t>Messaging him on linked in</t>
        </is>
      </c>
      <c r="AB42" s="28" t="n"/>
      <c r="AC42" s="28" t="n"/>
      <c r="AD42" s="28" t="n"/>
      <c r="AE42" s="28" t="n"/>
      <c r="AF42" s="28" t="n"/>
      <c r="AG42" s="28" t="n"/>
      <c r="AH42" s="28" t="n"/>
      <c r="AI42" s="28" t="n"/>
      <c r="AJ42" s="28" t="n"/>
      <c r="AK42" s="28" t="n"/>
      <c r="AL42" s="65" t="n"/>
      <c r="AM42" s="65" t="n"/>
      <c r="AN42" s="65" t="n"/>
      <c r="AO42" s="65" t="n"/>
      <c r="AP42" s="65" t="n"/>
    </row>
    <row r="43" ht="51.75" customHeight="1" s="222">
      <c r="A43" s="28" t="inlineStr">
        <is>
          <t>Element Chandler Fashion Center</t>
        </is>
      </c>
      <c r="B43" s="8" t="inlineStr">
        <is>
          <t>Hotel</t>
        </is>
      </c>
      <c r="C43" s="8" t="n"/>
      <c r="D43" s="28" t="inlineStr">
        <is>
          <t>44 S Chandler Village Dr, Chandler, AZ 85226</t>
        </is>
      </c>
      <c r="E43" s="8" t="inlineStr">
        <is>
          <t>Chandler</t>
        </is>
      </c>
      <c r="F43" s="8">
        <f>14805537277</f>
        <v/>
      </c>
      <c r="G43" s="58" t="inlineStr">
        <is>
          <t>https://www.marriott.com/en-us/hotels/phxel-element-chandler-fashion-center/overview/?scid=f2ae0541-1279-4f24-b197-a979c79310b0</t>
        </is>
      </c>
      <c r="H43" s="80" t="n">
        <v>10</v>
      </c>
      <c r="I43" s="88" t="inlineStr">
        <is>
          <t>No Valet</t>
        </is>
      </c>
      <c r="J43" s="28" t="n">
        <v>107</v>
      </c>
      <c r="K43" s="34" t="n">
        <v>0.5600000000000001</v>
      </c>
      <c r="L43" s="45" t="n">
        <v>16</v>
      </c>
      <c r="M43" s="65" t="n"/>
      <c r="N43" s="65" t="n"/>
      <c r="O43" s="65" t="n"/>
      <c r="P43" s="65" t="n"/>
      <c r="Q43" s="65" t="n"/>
      <c r="R43" s="65" t="n"/>
      <c r="S43" s="18" t="n"/>
      <c r="T43" s="18" t="n"/>
      <c r="U43" s="30" t="n"/>
      <c r="V43" s="18" t="n"/>
      <c r="W43" s="18" t="n"/>
      <c r="X43" s="18" t="n"/>
      <c r="Y43" s="65" t="n"/>
      <c r="Z43" s="65" t="n"/>
      <c r="AA43" s="28" t="n"/>
      <c r="AB43" s="28" t="n"/>
      <c r="AC43" s="28" t="n"/>
      <c r="AD43" s="28" t="n"/>
      <c r="AE43" s="28" t="n"/>
      <c r="AF43" s="28" t="n"/>
      <c r="AG43" s="28" t="n"/>
      <c r="AH43" s="28" t="n"/>
      <c r="AI43" s="28" t="n"/>
      <c r="AJ43" s="28" t="n"/>
      <c r="AK43" s="28" t="n"/>
      <c r="AL43" s="65" t="n"/>
      <c r="AM43" s="65" t="n"/>
      <c r="AN43" s="65" t="n"/>
      <c r="AO43" s="65" t="n"/>
      <c r="AP43" s="65" t="n"/>
    </row>
    <row r="44" ht="51.75" customHeight="1" s="222">
      <c r="A44" s="28" t="inlineStr">
        <is>
          <t>AC Hotel Phoenix Downtown</t>
        </is>
      </c>
      <c r="B44" s="8" t="inlineStr">
        <is>
          <t>Hotel</t>
        </is>
      </c>
      <c r="C44" s="8" t="inlineStr">
        <is>
          <t>x</t>
        </is>
      </c>
      <c r="D44" s="28" t="inlineStr">
        <is>
          <t>414 N 5th St, Phoenix, AZ 85004</t>
        </is>
      </c>
      <c r="E44" s="8" t="inlineStr">
        <is>
          <t>Downtown</t>
        </is>
      </c>
      <c r="F44" s="26" t="inlineStr">
        <is>
          <t>(602) 258-1771</t>
        </is>
      </c>
      <c r="G44" s="58" t="inlineStr">
        <is>
          <t>https://www.marriott.com/en-us/hotels/phxad-ac-hotel-phoenix-downtown/overview/?scid=f2ae0541-1279-4f24-b197-a979c79310b0</t>
        </is>
      </c>
      <c r="H44" s="80" t="n">
        <v>34</v>
      </c>
      <c r="I44" s="88" t="inlineStr">
        <is>
          <t>No Valet</t>
        </is>
      </c>
      <c r="J44" s="28" t="n">
        <v>199</v>
      </c>
      <c r="K44" s="34" t="n">
        <v>0.3</v>
      </c>
      <c r="L44" s="45" t="n">
        <v>37</v>
      </c>
      <c r="M44" s="65" t="n"/>
      <c r="N44" s="65" t="n"/>
      <c r="O44" s="65" t="n"/>
      <c r="P44" s="65" t="n"/>
      <c r="Q44" s="65" t="n"/>
      <c r="R44" s="65" t="n"/>
      <c r="S44" s="65" t="inlineStr">
        <is>
          <t>BT</t>
        </is>
      </c>
      <c r="T44" s="18" t="inlineStr">
        <is>
          <t>shayan - area gm</t>
        </is>
      </c>
      <c r="U44" s="18" t="inlineStr">
        <is>
          <t>Brian Hanus AGM</t>
        </is>
      </c>
      <c r="V44" s="18" t="n"/>
      <c r="W44" s="18" t="n"/>
      <c r="X44" s="18" t="n"/>
      <c r="Y44" s="65" t="n"/>
      <c r="Z44" s="65" t="inlineStr">
        <is>
          <t>called left voicemail. explained that were new to area and wanted to get an introduction</t>
        </is>
      </c>
      <c r="AA44" s="28" t="n"/>
      <c r="AB44" s="28" t="inlineStr">
        <is>
          <t xml:space="preserve">front desk hung up on me </t>
        </is>
      </c>
      <c r="AC44" s="28" t="n"/>
      <c r="AD44" s="28" t="n"/>
      <c r="AE44" s="28" t="n"/>
      <c r="AF44" s="28" t="n"/>
      <c r="AG44" s="28" t="n"/>
      <c r="AH44" s="28" t="n"/>
      <c r="AI44" s="28" t="n"/>
      <c r="AJ44" s="28" t="n"/>
      <c r="AK44" s="28" t="n"/>
      <c r="AL44" s="65" t="n"/>
      <c r="AM44" s="65" t="n"/>
      <c r="AN44" s="65" t="n"/>
      <c r="AO44" s="65" t="n"/>
      <c r="AP44" s="65" t="n"/>
    </row>
    <row r="45" ht="51.75" customHeight="1" s="222">
      <c r="A45" s="28" t="inlineStr">
        <is>
          <t>Embassy Suites by Hilton Phoenix Downtown North</t>
        </is>
      </c>
      <c r="B45" s="8" t="inlineStr">
        <is>
          <t>Hotel</t>
        </is>
      </c>
      <c r="C45" s="8" t="inlineStr">
        <is>
          <t>x</t>
        </is>
      </c>
      <c r="D45" s="74" t="inlineStr">
        <is>
          <t>10 E Thomas Rd, Phoenix, AZ 85012</t>
        </is>
      </c>
      <c r="E45" s="8" t="inlineStr">
        <is>
          <t>Downtown</t>
        </is>
      </c>
      <c r="F45" s="8">
        <f>16022221111</f>
        <v/>
      </c>
      <c r="G45" s="58" t="inlineStr">
        <is>
          <t>https://www.hilton.com/en/hotels/phxeses-embassy-suites-phoenix-downtown-north/?SEO_id=GMB-AMER-ES-PHXESES&amp;y_source=1_ODUzMzQzOC03MTUtbG9jYXRpb24ud2Vic2l0ZQ%3D%3D</t>
        </is>
      </c>
      <c r="H45" s="80" t="n">
        <v>32</v>
      </c>
      <c r="I45" s="88" t="inlineStr">
        <is>
          <t>No Valet</t>
        </is>
      </c>
      <c r="J45" s="28" t="n">
        <v>242</v>
      </c>
      <c r="K45" s="34" t="n">
        <v>0.32</v>
      </c>
      <c r="L45" s="45" t="n">
        <v>68</v>
      </c>
      <c r="M45" s="65" t="n"/>
      <c r="N45" s="28" t="n"/>
      <c r="O45" s="28" t="n"/>
      <c r="P45" s="28" t="n"/>
      <c r="Q45" s="65" t="n"/>
      <c r="R45" s="65" t="n"/>
      <c r="S45" s="65" t="inlineStr">
        <is>
          <t>BT</t>
        </is>
      </c>
      <c r="T45" s="18" t="inlineStr">
        <is>
          <t>brian clark</t>
        </is>
      </c>
      <c r="U45" s="39" t="n"/>
      <c r="V45" s="30" t="inlineStr">
        <is>
          <t>brian.clark@hilton.com</t>
        </is>
      </c>
      <c r="W45" s="18" t="n"/>
      <c r="X45" s="18" t="n"/>
      <c r="Y45" s="28" t="n"/>
      <c r="Z45" s="28" t="inlineStr">
        <is>
          <t xml:space="preserve">call but brian was ooo </t>
        </is>
      </c>
      <c r="AA45" s="28" t="n"/>
      <c r="AB45" s="28" t="inlineStr">
        <is>
          <t>Emailed Brian-korey</t>
        </is>
      </c>
      <c r="AC45" s="28" t="n"/>
      <c r="AD45" s="28" t="n"/>
      <c r="AE45" s="28" t="n"/>
      <c r="AF45" s="28" t="n"/>
      <c r="AG45" s="28" t="n"/>
      <c r="AH45" s="28" t="n"/>
      <c r="AI45" s="28" t="n"/>
      <c r="AJ45" s="28" t="n"/>
      <c r="AK45" s="28" t="n"/>
      <c r="AL45" s="28" t="n"/>
      <c r="AM45" s="28" t="n"/>
      <c r="AN45" s="28" t="n"/>
      <c r="AO45" s="28" t="n"/>
      <c r="AP45" s="28" t="n"/>
    </row>
    <row r="46" ht="51.75" customHeight="1" s="222">
      <c r="A46" s="36" t="inlineStr">
        <is>
          <t>Cambria Hotel Downtown Phoenix Convention Center</t>
        </is>
      </c>
      <c r="B46" s="8" t="inlineStr">
        <is>
          <t>Hotel</t>
        </is>
      </c>
      <c r="C46" s="8" t="inlineStr">
        <is>
          <t>x</t>
        </is>
      </c>
      <c r="D46" s="28" t="inlineStr">
        <is>
          <t>222 E Portland St, Phoenix, AZ 85004</t>
        </is>
      </c>
      <c r="E46" s="8" t="inlineStr">
        <is>
          <t>Downtown</t>
        </is>
      </c>
      <c r="F46" s="8">
        <f>16234628271</f>
        <v/>
      </c>
      <c r="G46" s="58" t="inlineStr">
        <is>
          <t>https://www.choicehotels.com/arizona/phoenix/cambria-hotels/az474?mc=llgoxxpx</t>
        </is>
      </c>
      <c r="H46" s="80" t="n">
        <v>25</v>
      </c>
      <c r="I46" s="88" t="n">
        <v>41</v>
      </c>
      <c r="J46" s="28" t="n">
        <v>127</v>
      </c>
      <c r="K46" s="34" t="n">
        <v>0.14</v>
      </c>
      <c r="L46" s="65" t="n">
        <v>113</v>
      </c>
      <c r="M46" s="65" t="n"/>
      <c r="N46" s="65" t="n"/>
      <c r="O46" s="65" t="n"/>
      <c r="P46" s="65" t="inlineStr">
        <is>
          <t>Premium Parking</t>
        </is>
      </c>
      <c r="Q46" s="65" t="n"/>
      <c r="R46" s="65" t="n"/>
      <c r="S46" s="65" t="inlineStr">
        <is>
          <t>BT</t>
        </is>
      </c>
      <c r="T46" s="18" t="inlineStr">
        <is>
          <t>Chris Rhoades</t>
        </is>
      </c>
      <c r="U46" s="30" t="n"/>
      <c r="V46" s="18" t="inlineStr">
        <is>
          <t>Chris.rhoades@cambriadtphx.com</t>
        </is>
      </c>
      <c r="W46" s="18" t="n"/>
      <c r="X46" s="18" t="n"/>
      <c r="Y46" s="65" t="n"/>
      <c r="Z46" s="65" t="inlineStr">
        <is>
          <t xml:space="preserve">Monday Tuesdsay after 11am, and Friday? </t>
        </is>
      </c>
      <c r="AA46" s="28" t="n"/>
      <c r="AB46" s="28" t="inlineStr">
        <is>
          <t>Meeting with Monday</t>
        </is>
      </c>
      <c r="AC46" s="28" t="n"/>
      <c r="AD46" s="28" t="n"/>
      <c r="AE46" s="28" t="n"/>
      <c r="AF46" s="28" t="n"/>
      <c r="AG46" s="28" t="n"/>
      <c r="AH46" s="28" t="n"/>
      <c r="AI46" s="28" t="n"/>
      <c r="AJ46" s="28" t="n"/>
      <c r="AK46" s="28" t="n"/>
      <c r="AL46" s="65" t="n"/>
      <c r="AM46" s="65" t="n"/>
      <c r="AN46" s="65" t="n"/>
      <c r="AO46" s="65" t="n"/>
      <c r="AP46" s="65" t="n"/>
    </row>
    <row r="47" ht="51.75" customHeight="1" s="222">
      <c r="A47" s="64" t="inlineStr">
        <is>
          <t>Courtyard Phoenix Downtown</t>
        </is>
      </c>
      <c r="B47" s="8" t="inlineStr">
        <is>
          <t>Hotel</t>
        </is>
      </c>
      <c r="C47" s="8" t="inlineStr">
        <is>
          <t>x</t>
        </is>
      </c>
      <c r="D47" s="75" t="inlineStr">
        <is>
          <t>132 S Central Ave, Phoenix, AZ 85004</t>
        </is>
      </c>
      <c r="E47" s="8" t="inlineStr">
        <is>
          <t>Downtown</t>
        </is>
      </c>
      <c r="F47" s="8">
        <f>16026032001</f>
        <v/>
      </c>
      <c r="G47" s="76" t="inlineStr">
        <is>
          <t>https://www.marriott.com/en-us/hotels/phxxt-courtyard-phoenix-downtown/overview/?scid=f2ae0541-1279-4f24-b197-a979c79310b0</t>
        </is>
      </c>
      <c r="H47" s="88" t="n"/>
      <c r="I47" s="99" t="n">
        <v>45</v>
      </c>
      <c r="J47" s="65" t="n">
        <v>120</v>
      </c>
      <c r="K47" s="34" t="n">
        <v>0.2</v>
      </c>
      <c r="L47" s="65" t="n">
        <v>64</v>
      </c>
      <c r="M47" s="65" t="n"/>
      <c r="N47" s="88" t="n"/>
      <c r="O47" s="80" t="n"/>
      <c r="P47" s="80" t="inlineStr">
        <is>
          <t>Laz</t>
        </is>
      </c>
      <c r="Q47" s="65" t="n"/>
      <c r="R47" s="65" t="n"/>
      <c r="S47" s="65" t="inlineStr">
        <is>
          <t>KA</t>
        </is>
      </c>
      <c r="T47" s="55" t="inlineStr">
        <is>
          <t xml:space="preserve">Trent Collicott </t>
        </is>
      </c>
      <c r="U47" s="18" t="inlineStr">
        <is>
          <t>Dual GM</t>
        </is>
      </c>
      <c r="V47" s="18" t="inlineStr">
        <is>
          <t>trent.collicott@marriott.com</t>
        </is>
      </c>
      <c r="W47" s="82" t="n"/>
      <c r="X47" s="82" t="n"/>
      <c r="Y47" s="80" t="n"/>
      <c r="Z47" s="80" t="inlineStr">
        <is>
          <t>Left voicemail and just asked to possibly get time to introduce ourselves and showcase SOPHI and how we elevate current parking experience</t>
        </is>
      </c>
      <c r="AA47" s="28" t="inlineStr">
        <is>
          <t>x</t>
        </is>
      </c>
      <c r="AB47" s="28" t="inlineStr">
        <is>
          <t>Voicemail</t>
        </is>
      </c>
      <c r="AC47" s="28" t="n"/>
      <c r="AD47" s="28" t="n"/>
      <c r="AE47" s="28" t="inlineStr">
        <is>
          <t>called and left voicemail again, front desk said they didnt know his email</t>
        </is>
      </c>
      <c r="AF47" s="28" t="n"/>
      <c r="AG47" s="28" t="n"/>
      <c r="AH47" s="28" t="n"/>
      <c r="AI47" s="28" t="n"/>
      <c r="AJ47" s="28" t="n"/>
      <c r="AK47" s="28" t="n"/>
      <c r="AL47" s="80" t="n"/>
      <c r="AM47" s="88" t="n"/>
      <c r="AN47" s="80" t="n"/>
      <c r="AO47" s="80" t="n"/>
      <c r="AP47" s="80" t="n"/>
    </row>
    <row r="48" ht="51.75" customHeight="1" s="222">
      <c r="A48" s="28" t="inlineStr">
        <is>
          <t>Hilton Garden Inn Phoenix Downtown</t>
        </is>
      </c>
      <c r="B48" s="8" t="inlineStr">
        <is>
          <t>Hotel</t>
        </is>
      </c>
      <c r="C48" s="8" t="inlineStr">
        <is>
          <t>x</t>
        </is>
      </c>
      <c r="D48" s="75" t="inlineStr">
        <is>
          <t>15 E Monroe St, Phoenix, AZ 85004</t>
        </is>
      </c>
      <c r="E48" s="8" t="inlineStr">
        <is>
          <t>Downtown</t>
        </is>
      </c>
      <c r="F48" s="8">
        <f>16023430006</f>
        <v/>
      </c>
      <c r="G48" s="76" t="inlineStr">
        <is>
          <t>https://www.hilton.com/en/hotels/phxdogi-hilton-garden-inn-phoenix-downtown/?SEO_id=GMB-AMER-GI-PHXDOGI&amp;y_source=1_MjY5OTI4MS03MTUtbG9jYXRpb24ud2Vic2l0ZQ%3D%3D</t>
        </is>
      </c>
      <c r="H48" s="88" t="n"/>
      <c r="I48" s="99" t="n">
        <v>43</v>
      </c>
      <c r="J48" s="65" t="n">
        <v>170</v>
      </c>
      <c r="K48" s="34" t="n">
        <v>0.3</v>
      </c>
      <c r="L48" s="65" t="n">
        <v>136</v>
      </c>
      <c r="M48" s="65" t="n"/>
      <c r="N48" s="88" t="n"/>
      <c r="O48" s="80" t="n"/>
      <c r="P48" s="80" t="n"/>
      <c r="Q48" s="65" t="n"/>
      <c r="R48" s="65" t="n"/>
      <c r="S48" s="65" t="inlineStr">
        <is>
          <t>KA</t>
        </is>
      </c>
      <c r="T48" s="18" t="inlineStr">
        <is>
          <t xml:space="preserve">Araceli </t>
        </is>
      </c>
      <c r="U48" s="18" t="inlineStr">
        <is>
          <t xml:space="preserve">GM </t>
        </is>
      </c>
      <c r="V48" s="82" t="inlineStr">
        <is>
          <t>Aaydogan@csmcorp.net</t>
        </is>
      </c>
      <c r="W48" s="82" t="inlineStr">
        <is>
          <t xml:space="preserve">Alex </t>
        </is>
      </c>
      <c r="X48" s="82" t="n"/>
      <c r="Y48" s="80" t="n"/>
      <c r="Z48" s="28" t="inlineStr">
        <is>
          <t>Called talked to vivian at FD, she referred me to her AGM's email address</t>
        </is>
      </c>
      <c r="AA48" s="28" t="n"/>
      <c r="AB48" s="28" t="inlineStr">
        <is>
          <t>Called talked to vivian at FD, she referred me to her AGM's email address</t>
        </is>
      </c>
      <c r="AC48" s="28" t="n"/>
      <c r="AD48" s="28" t="n"/>
      <c r="AE48" s="28" t="n"/>
      <c r="AF48" s="28" t="n"/>
      <c r="AG48" s="28" t="n"/>
      <c r="AH48" s="28" t="n"/>
      <c r="AI48" s="28" t="n"/>
      <c r="AJ48" s="28" t="n"/>
      <c r="AK48" s="28" t="n"/>
      <c r="AL48" s="80" t="n"/>
      <c r="AM48" s="88" t="n"/>
      <c r="AN48" s="80" t="n"/>
      <c r="AO48" s="80" t="n"/>
      <c r="AP48" s="80" t="n"/>
    </row>
    <row r="49" ht="51.75" customHeight="1" s="222">
      <c r="A49" s="64" t="inlineStr">
        <is>
          <t>Residence Inn by Marriott Phoenix Downtown</t>
        </is>
      </c>
      <c r="B49" s="8" t="inlineStr">
        <is>
          <t>Hotel</t>
        </is>
      </c>
      <c r="C49" s="8" t="inlineStr">
        <is>
          <t>x</t>
        </is>
      </c>
      <c r="D49" s="37" t="inlineStr">
        <is>
          <t>132 S Central Ave, Phoenix, AZ 85004</t>
        </is>
      </c>
      <c r="E49" s="8" t="inlineStr">
        <is>
          <t>Downtown</t>
        </is>
      </c>
      <c r="F49" s="8">
        <f>16026032000</f>
        <v/>
      </c>
      <c r="G49" s="20" t="inlineStr">
        <is>
          <t>https://www.marriott.com/en-us/hotels/phxtw-residence-inn-phoenix-downtown/overview/?scid=f2ae0541-1279-4f24-b197-a979c79310b0</t>
        </is>
      </c>
      <c r="H49" s="80" t="n"/>
      <c r="I49" s="88" t="n">
        <v>45</v>
      </c>
      <c r="J49" s="28" t="n"/>
      <c r="K49" s="34" t="n">
        <v>0.3</v>
      </c>
      <c r="L49" s="45" t="n">
        <v>87</v>
      </c>
      <c r="M49" s="65" t="n"/>
      <c r="N49" s="65" t="n"/>
      <c r="O49" s="65" t="n"/>
      <c r="P49" s="65" t="inlineStr">
        <is>
          <t>Laz</t>
        </is>
      </c>
      <c r="Q49" s="65" t="n"/>
      <c r="R49" s="65" t="n"/>
      <c r="S49" s="18" t="inlineStr">
        <is>
          <t>KA</t>
        </is>
      </c>
      <c r="T49" s="18" t="inlineStr">
        <is>
          <t xml:space="preserve">Trent Collicott </t>
        </is>
      </c>
      <c r="U49" s="18" t="inlineStr">
        <is>
          <t>Dual GM</t>
        </is>
      </c>
      <c r="V49" s="18" t="inlineStr">
        <is>
          <t>trent.collicott@marriott.com</t>
        </is>
      </c>
      <c r="W49" s="18" t="n"/>
      <c r="X49" s="18" t="n"/>
      <c r="Y49" s="65" t="n"/>
      <c r="Z49" s="65" t="inlineStr">
        <is>
          <t xml:space="preserve">Same POC as courtyard! </t>
        </is>
      </c>
      <c r="AA49" s="28" t="inlineStr">
        <is>
          <t>x</t>
        </is>
      </c>
      <c r="AB49" s="28" t="inlineStr">
        <is>
          <t>** courtyard</t>
        </is>
      </c>
      <c r="AC49" s="28" t="n"/>
      <c r="AD49" s="28" t="n"/>
      <c r="AE49" s="28" t="inlineStr">
        <is>
          <t>called and left voicemail again, front desk said they didnt know his email</t>
        </is>
      </c>
      <c r="AF49" s="28" t="n"/>
      <c r="AG49" s="28" t="n"/>
      <c r="AH49" s="28" t="n"/>
      <c r="AI49" s="28" t="n"/>
      <c r="AJ49" s="28" t="n"/>
      <c r="AK49" s="28" t="n"/>
      <c r="AL49" s="65" t="n"/>
      <c r="AM49" s="65" t="n"/>
      <c r="AN49" s="65" t="n"/>
      <c r="AO49" s="65" t="n"/>
      <c r="AP49" s="65" t="n"/>
    </row>
    <row r="50" ht="51.75" customHeight="1" s="222">
      <c r="A50" s="28" t="inlineStr">
        <is>
          <t>Moxy Phoenix Downtown</t>
        </is>
      </c>
      <c r="B50" s="8" t="inlineStr">
        <is>
          <t>Hotel</t>
        </is>
      </c>
      <c r="C50" s="8" t="inlineStr">
        <is>
          <t>x</t>
        </is>
      </c>
      <c r="D50" s="75" t="inlineStr">
        <is>
          <t>116 S Central Ave, Phoenix, AZ 85004</t>
        </is>
      </c>
      <c r="E50" s="8" t="inlineStr">
        <is>
          <t>Downtown</t>
        </is>
      </c>
      <c r="F50" s="8">
        <f>16232911200</f>
        <v/>
      </c>
      <c r="G50" s="76" t="inlineStr">
        <is>
          <t>https://www.marriott.com/en-us/hotels/phxod-moxy-phoenix-downtown/overview/?scid=f2ae0541-1279-4f24-b197-a979c79310b0</t>
        </is>
      </c>
      <c r="H50" s="88" t="n"/>
      <c r="I50" s="99" t="n">
        <v>45</v>
      </c>
      <c r="J50" s="65" t="n">
        <v>164</v>
      </c>
      <c r="K50" s="34" t="n">
        <v>0.31</v>
      </c>
      <c r="L50" s="65" t="n">
        <v>13</v>
      </c>
      <c r="M50" s="28" t="n"/>
      <c r="N50" s="88" t="n"/>
      <c r="O50" s="80" t="n"/>
      <c r="P50" s="80" t="n"/>
      <c r="Q50" s="28" t="n"/>
      <c r="R50" s="28" t="n"/>
      <c r="S50" s="28" t="inlineStr">
        <is>
          <t>KA</t>
        </is>
      </c>
      <c r="T50" s="18" t="inlineStr">
        <is>
          <t>Eren Bicakci</t>
        </is>
      </c>
      <c r="U50" s="18" t="inlineStr">
        <is>
          <t>GM</t>
        </is>
      </c>
      <c r="V50" s="83" t="inlineStr">
        <is>
          <t>Ebicakci@pegghospitalitygroup.com</t>
        </is>
      </c>
      <c r="W50" s="82" t="n"/>
      <c r="X50" s="82" t="n"/>
      <c r="Y50" s="80" t="n"/>
      <c r="Z50" s="80" t="inlineStr">
        <is>
          <t>Left Voicemail for Eren to call back and grabbed his email from FD</t>
        </is>
      </c>
      <c r="AA50" s="28" t="n"/>
      <c r="AB50" s="28" t="n"/>
      <c r="AC50" s="28" t="n"/>
      <c r="AD50" s="28" t="inlineStr">
        <is>
          <t>sent intro email</t>
        </is>
      </c>
      <c r="AE50" s="28" t="n"/>
      <c r="AF50" s="28" t="n"/>
      <c r="AG50" s="28" t="n"/>
      <c r="AH50" s="28" t="n"/>
      <c r="AI50" s="28" t="n"/>
      <c r="AJ50" s="28" t="n"/>
      <c r="AK50" s="28" t="n"/>
      <c r="AL50" s="80" t="n"/>
      <c r="AM50" s="88" t="n"/>
      <c r="AN50" s="80" t="n"/>
      <c r="AO50" s="80" t="n"/>
      <c r="AP50" s="80" t="n"/>
    </row>
    <row r="51" ht="51.75" customHeight="1" s="222">
      <c r="A51" s="28" t="inlineStr">
        <is>
          <t>Kimpton Hotel Palomar Phoenix</t>
        </is>
      </c>
      <c r="B51" s="8" t="inlineStr">
        <is>
          <t>Hotel</t>
        </is>
      </c>
      <c r="C51" s="8" t="n"/>
      <c r="D51" s="75" t="inlineStr">
        <is>
          <t>2 E Jefferson St, Phoenix, AZ 85004</t>
        </is>
      </c>
      <c r="E51" s="8" t="inlineStr">
        <is>
          <t>Downtown</t>
        </is>
      </c>
      <c r="F51" s="8">
        <f>16022536633</f>
        <v/>
      </c>
      <c r="G51" s="76" t="inlineStr">
        <is>
          <t>https://www.hotelpalomar-phoenix.com/?&amp;cm_mmc=WEB-_-KI-_-AMER-_-EN-_-EV-_-Google%20Business%20Profile-_-DD-_-palomar%20phoenix</t>
        </is>
      </c>
      <c r="H51" s="88" t="n">
        <v>30</v>
      </c>
      <c r="I51" s="88" t="n">
        <v>44</v>
      </c>
      <c r="J51" s="65" t="n">
        <v>242</v>
      </c>
      <c r="K51" s="34" t="n">
        <v>0.5</v>
      </c>
      <c r="L51" s="65" t="n">
        <v>131</v>
      </c>
      <c r="M51" s="65" t="n"/>
      <c r="N51" s="88" t="n"/>
      <c r="O51" s="80" t="n"/>
      <c r="P51" s="80" t="n"/>
      <c r="Q51" s="65" t="n"/>
      <c r="R51" s="65" t="n"/>
      <c r="S51" s="65" t="inlineStr">
        <is>
          <t>KA</t>
        </is>
      </c>
      <c r="T51" s="18" t="n"/>
      <c r="U51" s="18" t="n"/>
      <c r="V51" s="82" t="n"/>
      <c r="W51" s="82" t="n"/>
      <c r="X51" s="82" t="n"/>
      <c r="Y51" s="80" t="n"/>
      <c r="Z51" s="80" t="n"/>
      <c r="AA51" s="28" t="n"/>
      <c r="AB51" s="28" t="n"/>
      <c r="AC51" s="28" t="n"/>
      <c r="AD51" s="28" t="n"/>
      <c r="AE51" s="28" t="n"/>
      <c r="AF51" s="28" t="n"/>
      <c r="AG51" s="28" t="n"/>
      <c r="AH51" s="28" t="n"/>
      <c r="AI51" s="28" t="n"/>
      <c r="AJ51" s="28" t="n"/>
      <c r="AK51" s="28" t="n"/>
      <c r="AL51" s="80" t="n"/>
      <c r="AM51" s="88" t="n"/>
      <c r="AN51" s="80" t="n"/>
      <c r="AO51" s="80" t="n"/>
      <c r="AP51" s="80" t="n"/>
    </row>
    <row r="52" ht="51.75" customHeight="1" s="222">
      <c r="A52" s="28" t="inlineStr">
        <is>
          <t>Home2 Suites by Hilton Phoenix Downtown</t>
        </is>
      </c>
      <c r="B52" s="8" t="inlineStr">
        <is>
          <t>Hotel</t>
        </is>
      </c>
      <c r="C52" s="8" t="inlineStr">
        <is>
          <t>x</t>
        </is>
      </c>
      <c r="D52" s="75" t="inlineStr">
        <is>
          <t>125 E Jackson St, Phoenix, AZ 85004</t>
        </is>
      </c>
      <c r="E52" s="8" t="inlineStr">
        <is>
          <t>Downtown</t>
        </is>
      </c>
      <c r="F52" s="8">
        <f>16026031111</f>
        <v/>
      </c>
      <c r="G52" s="76" t="inlineStr">
        <is>
          <t>https://www.hilton.com/en/hotels/phxpxht-home2-suites-phoenix-downtown/?SEO_id=GMB-AMER-HT-PHXPXHT&amp;y_source=1_OTgxMzcxMzgtNzE1LWxvY2F0aW9uLndlYnNpdGU%3D</t>
        </is>
      </c>
      <c r="H52" s="88" t="n"/>
      <c r="I52" s="99" t="n">
        <v>45</v>
      </c>
      <c r="J52" s="65" t="n">
        <v>148</v>
      </c>
      <c r="K52" s="34" t="n">
        <v>0.34</v>
      </c>
      <c r="L52" s="65" t="n">
        <v>72</v>
      </c>
      <c r="M52" s="28" t="n"/>
      <c r="N52" s="88" t="n"/>
      <c r="O52" s="80" t="n"/>
      <c r="P52" s="80" t="n"/>
      <c r="Q52" s="28" t="n"/>
      <c r="R52" s="28" t="n"/>
      <c r="S52" s="28" t="inlineStr">
        <is>
          <t>BT</t>
        </is>
      </c>
      <c r="T52" s="18" t="inlineStr">
        <is>
          <t>Kovava</t>
        </is>
      </c>
      <c r="U52" s="18" t="inlineStr">
        <is>
          <t>gm</t>
        </is>
      </c>
      <c r="V52" s="18" t="inlineStr">
        <is>
          <t>Kshipman@ih-corp.com</t>
        </is>
      </c>
      <c r="W52" s="82" t="n"/>
      <c r="X52" s="82" t="n"/>
      <c r="Y52" s="80" t="n"/>
      <c r="Z52" s="80" t="inlineStr">
        <is>
          <t>very happy with their current program and wouldnt consider changes, wild</t>
        </is>
      </c>
      <c r="AA52" s="28" t="n"/>
      <c r="AB52" s="28" t="inlineStr">
        <is>
          <t>x phone not working</t>
        </is>
      </c>
      <c r="AC52" s="28" t="n"/>
      <c r="AD52" s="28" t="n"/>
      <c r="AE52" s="28" t="n"/>
      <c r="AF52" s="28" t="n"/>
      <c r="AG52" s="28" t="n"/>
      <c r="AH52" s="28" t="n"/>
      <c r="AI52" s="28" t="n"/>
      <c r="AJ52" s="28" t="n"/>
      <c r="AK52" s="28" t="n"/>
      <c r="AL52" s="80" t="n"/>
      <c r="AM52" s="88" t="n"/>
      <c r="AN52" s="80" t="n"/>
      <c r="AO52" s="80" t="n"/>
      <c r="AP52" s="80" t="n"/>
    </row>
    <row r="53" ht="51.75" customHeight="1" s="222">
      <c r="A53" s="36" t="inlineStr">
        <is>
          <t>Renaissance Phoenix Downtown Hotel</t>
        </is>
      </c>
      <c r="B53" s="8" t="inlineStr">
        <is>
          <t>Hotel</t>
        </is>
      </c>
      <c r="C53" s="8" t="inlineStr">
        <is>
          <t>x</t>
        </is>
      </c>
      <c r="D53" s="28" t="inlineStr">
        <is>
          <t>100 N 1st St, Phoenix, AZ 85004</t>
        </is>
      </c>
      <c r="E53" s="8" t="inlineStr">
        <is>
          <t>Downtown</t>
        </is>
      </c>
      <c r="F53" s="8">
        <f>16023330000</f>
        <v/>
      </c>
      <c r="G53" s="84" t="n"/>
      <c r="H53" s="88" t="n"/>
      <c r="I53" s="88" t="n">
        <v>42</v>
      </c>
      <c r="J53" s="65" t="n">
        <v>518</v>
      </c>
      <c r="K53" s="34" t="n">
        <v>0.39</v>
      </c>
      <c r="L53" s="65" t="n">
        <v>150</v>
      </c>
      <c r="M53" s="65" t="n"/>
      <c r="N53" s="65" t="n"/>
      <c r="O53" s="80" t="n"/>
      <c r="P53" s="80" t="inlineStr">
        <is>
          <t>TownePark</t>
        </is>
      </c>
      <c r="Q53" s="65" t="n"/>
      <c r="R53" s="65" t="n"/>
      <c r="S53" s="85" t="inlineStr">
        <is>
          <t>BT</t>
        </is>
      </c>
      <c r="T53" s="18" t="inlineStr">
        <is>
          <t>Brittany</t>
        </is>
      </c>
      <c r="U53" s="39" t="n"/>
      <c r="V53" s="18" t="inlineStr">
        <is>
          <t>brittany.a.raymond@marriott.com</t>
        </is>
      </c>
      <c r="W53" s="82" t="n"/>
      <c r="X53" s="82" t="n"/>
      <c r="Y53" s="80" t="n"/>
      <c r="Z53" s="80" t="inlineStr">
        <is>
          <t>she said theyre in contract with current provider. i asked if she knew when it renewed because we would love to get a proposal infront of them before the time comes. she said to email her some information about sophi and shed get back to me (could tell she just wanted to get me off the phone, she was typing the entire call)</t>
        </is>
      </c>
      <c r="AA53" s="28" t="n"/>
      <c r="AB53" s="28" t="inlineStr">
        <is>
          <t>x</t>
        </is>
      </c>
      <c r="AC53" s="28" t="n"/>
      <c r="AD53" s="28" t="inlineStr">
        <is>
          <t>sent her some information about sOPHI</t>
        </is>
      </c>
      <c r="AE53" s="28" t="n"/>
      <c r="AF53" s="28" t="n"/>
      <c r="AG53" s="28" t="n"/>
      <c r="AH53" s="28" t="n"/>
      <c r="AI53" s="28" t="n"/>
      <c r="AJ53" s="28" t="n"/>
      <c r="AK53" s="28" t="n"/>
      <c r="AL53" s="80" t="n"/>
      <c r="AM53" s="65" t="n"/>
      <c r="AN53" s="80" t="n"/>
      <c r="AO53" s="80" t="n"/>
      <c r="AP53" s="80" t="n"/>
    </row>
    <row r="54" ht="51.75" customHeight="1" s="222">
      <c r="A54" s="28" t="inlineStr">
        <is>
          <t>Sheraton Phoenix Downtown</t>
        </is>
      </c>
      <c r="B54" s="8" t="inlineStr">
        <is>
          <t>Hotel</t>
        </is>
      </c>
      <c r="C54" s="8" t="inlineStr">
        <is>
          <t>x</t>
        </is>
      </c>
      <c r="D54" s="75" t="inlineStr">
        <is>
          <t>340 N 3rd St, Phoenix, AZ 85004</t>
        </is>
      </c>
      <c r="E54" s="8" t="inlineStr">
        <is>
          <t>Downtown</t>
        </is>
      </c>
      <c r="F54" s="8">
        <f>16022622500</f>
        <v/>
      </c>
      <c r="G54" s="76" t="inlineStr">
        <is>
          <t>https://www.marriott.com/en-us/hotels/phxgp-sheraton-phoenix-downtown/overview/?scid=f2ae0541-1279-4f24-b197-a979c79310b0</t>
        </is>
      </c>
      <c r="H54" s="88" t="n">
        <v>36</v>
      </c>
      <c r="I54" s="99" t="n">
        <v>46</v>
      </c>
      <c r="J54" s="65" t="n">
        <v>1000</v>
      </c>
      <c r="K54" s="34" t="n">
        <v>0.41</v>
      </c>
      <c r="L54" s="65" t="n">
        <v>219</v>
      </c>
      <c r="M54" s="65" t="n"/>
      <c r="N54" s="88" t="n"/>
      <c r="O54" s="80" t="n"/>
      <c r="P54" s="80" t="inlineStr">
        <is>
          <t>TownePark</t>
        </is>
      </c>
      <c r="Q54" s="65" t="n"/>
      <c r="R54" s="65" t="n"/>
      <c r="S54" s="65" t="inlineStr">
        <is>
          <t>BT</t>
        </is>
      </c>
      <c r="T54" s="18" t="inlineStr">
        <is>
          <t>Christopher Scott</t>
        </is>
      </c>
      <c r="U54" s="18" t="inlineStr">
        <is>
          <t>Director Rooms Op</t>
        </is>
      </c>
      <c r="V54" s="82" t="n"/>
      <c r="W54" s="82" t="n"/>
      <c r="X54" s="82" t="n"/>
      <c r="Y54" s="80" t="n"/>
      <c r="Z54" s="80" t="n"/>
      <c r="AA54" s="28" t="n"/>
      <c r="AB54" s="28" t="inlineStr">
        <is>
          <t>Couldn't get through waiting on hold longer than 10 min, hung up will try later</t>
        </is>
      </c>
      <c r="AC54" s="28" t="n"/>
      <c r="AD54" s="28" t="n"/>
      <c r="AE54" s="28" t="n"/>
      <c r="AF54" s="28" t="n"/>
      <c r="AG54" s="28" t="n"/>
      <c r="AH54" s="28" t="n"/>
      <c r="AI54" s="28" t="n"/>
      <c r="AJ54" s="28" t="n"/>
      <c r="AK54" s="28" t="n"/>
      <c r="AL54" s="80" t="n"/>
      <c r="AM54" s="88" t="n"/>
      <c r="AN54" s="80" t="n"/>
      <c r="AO54" s="80" t="n"/>
      <c r="AP54" s="80" t="n"/>
    </row>
    <row r="55" ht="51.75" customHeight="1" s="222">
      <c r="A55" s="28" t="inlineStr">
        <is>
          <t>The Westin Phoenix Downtown</t>
        </is>
      </c>
      <c r="B55" s="8" t="inlineStr">
        <is>
          <t>Hotel</t>
        </is>
      </c>
      <c r="C55" s="8" t="inlineStr">
        <is>
          <t>x</t>
        </is>
      </c>
      <c r="D55" s="28" t="inlineStr">
        <is>
          <t>333 N Central Ave, Phoenix, AZ 85004</t>
        </is>
      </c>
      <c r="E55" s="8" t="inlineStr">
        <is>
          <t>Downtown</t>
        </is>
      </c>
      <c r="F55" s="8">
        <f>16024293500</f>
        <v/>
      </c>
      <c r="G55" s="20" t="inlineStr">
        <is>
          <t>https://www.marriott.com/en-us/hotels/phxiw-the-westin-phoenix-downtown/overview/?scid=f2ae0541-1279-4f24-b197-a979c79310b0</t>
        </is>
      </c>
      <c r="H55" s="80" t="n">
        <v>35</v>
      </c>
      <c r="I55" s="88" t="n">
        <v>45</v>
      </c>
      <c r="J55" s="28" t="n">
        <v>242</v>
      </c>
      <c r="K55" s="34" t="n">
        <v>0.38</v>
      </c>
      <c r="L55" s="45" t="n">
        <v>131</v>
      </c>
      <c r="M55" s="65" t="n"/>
      <c r="N55" s="65" t="n"/>
      <c r="O55" s="65" t="n"/>
      <c r="P55" s="65" t="n"/>
      <c r="Q55" s="65" t="n"/>
      <c r="R55" s="65" t="n"/>
      <c r="S55" s="18" t="n"/>
      <c r="T55" s="18" t="inlineStr">
        <is>
          <t>Jeremy Raynor</t>
        </is>
      </c>
      <c r="U55" s="18" t="inlineStr">
        <is>
          <t>GM</t>
        </is>
      </c>
      <c r="V55" s="18" t="n"/>
      <c r="W55" s="18" t="n"/>
      <c r="X55" s="18" t="n"/>
      <c r="Y55" s="65" t="n"/>
      <c r="Z55" s="65" t="n"/>
      <c r="AA55" s="28" t="n"/>
      <c r="AB55" s="28" t="n"/>
      <c r="AC55" s="28" t="n"/>
      <c r="AD55" s="28" t="n"/>
      <c r="AE55" s="28" t="n"/>
      <c r="AF55" s="28" t="n"/>
      <c r="AG55" s="28" t="n"/>
      <c r="AH55" s="28" t="n"/>
      <c r="AI55" s="28" t="n"/>
      <c r="AJ55" s="28" t="n"/>
      <c r="AK55" s="28" t="n"/>
      <c r="AL55" s="65" t="n"/>
      <c r="AM55" s="65" t="n"/>
      <c r="AN55" s="65" t="n"/>
      <c r="AO55" s="65" t="n"/>
      <c r="AP55" s="65" t="n"/>
    </row>
    <row r="56" ht="51.75" customHeight="1" s="222">
      <c r="A56" s="28" t="inlineStr">
        <is>
          <t>Hotel San Carlos</t>
        </is>
      </c>
      <c r="B56" s="8" t="inlineStr">
        <is>
          <t>Hotel</t>
        </is>
      </c>
      <c r="C56" s="8" t="inlineStr">
        <is>
          <t>x</t>
        </is>
      </c>
      <c r="D56" s="75" t="inlineStr">
        <is>
          <t>202 N Central Ave, Phoenix, AZ 85004</t>
        </is>
      </c>
      <c r="E56" s="8" t="inlineStr">
        <is>
          <t>Downtown</t>
        </is>
      </c>
      <c r="F56" s="8">
        <f>16022534121</f>
        <v/>
      </c>
      <c r="G56" s="76" t="inlineStr">
        <is>
          <t>https://hotelsancarlos.com/?utm_source=google-gbp&amp;utm_medium=organic&amp;utm_campaign=gbp</t>
        </is>
      </c>
      <c r="H56" s="88" t="n"/>
      <c r="I56" s="93" t="inlineStr">
        <is>
          <t>No Valet</t>
        </is>
      </c>
      <c r="J56" s="65" t="n">
        <v>128</v>
      </c>
      <c r="K56" s="34" t="n">
        <v>0.24</v>
      </c>
      <c r="L56" s="65" t="n">
        <v>41</v>
      </c>
      <c r="M56" s="65" t="n"/>
      <c r="N56" s="88" t="n"/>
      <c r="O56" s="80" t="n"/>
      <c r="P56" s="80" t="n"/>
      <c r="Q56" s="65" t="n"/>
      <c r="R56" s="65" t="n"/>
      <c r="S56" s="65" t="n"/>
      <c r="T56" s="18" t="inlineStr">
        <is>
          <t>Angela Hentz</t>
        </is>
      </c>
      <c r="U56" s="18" t="inlineStr">
        <is>
          <t>GM</t>
        </is>
      </c>
      <c r="V56" s="82" t="inlineStr">
        <is>
          <t>Angela@hotelsancarlos.com</t>
        </is>
      </c>
      <c r="W56" s="82" t="n"/>
      <c r="X56" s="82" t="n"/>
      <c r="Y56" s="80" t="n"/>
      <c r="Z56" s="80" t="inlineStr">
        <is>
          <t>Angela is still the GM, left a voicemail and emailed</t>
        </is>
      </c>
      <c r="AA56" s="28" t="n"/>
      <c r="AB56" s="28" t="n"/>
      <c r="AC56" s="28" t="n"/>
      <c r="AD56" s="28" t="n"/>
      <c r="AE56" s="28" t="n"/>
      <c r="AF56" s="28" t="n"/>
      <c r="AG56" s="28" t="n"/>
      <c r="AH56" s="28" t="n"/>
      <c r="AI56" s="28" t="n"/>
      <c r="AJ56" s="28" t="n"/>
      <c r="AK56" s="28" t="n"/>
      <c r="AL56" s="80" t="n"/>
      <c r="AM56" s="88" t="n"/>
      <c r="AN56" s="80" t="n"/>
      <c r="AO56" s="80" t="n"/>
      <c r="AP56" s="80" t="n"/>
    </row>
    <row r="57" ht="51.75" customHeight="1" s="222">
      <c r="A57" s="64" t="inlineStr">
        <is>
          <t>Hampton Inn &amp; Suites Phoenix Downtown</t>
        </is>
      </c>
      <c r="B57" s="8" t="inlineStr">
        <is>
          <t>Hotel</t>
        </is>
      </c>
      <c r="C57" s="8" t="n"/>
      <c r="D57" s="75" t="inlineStr">
        <is>
          <t>77 E Polk St, Phoenix, AZ 85004</t>
        </is>
      </c>
      <c r="E57" s="8" t="inlineStr">
        <is>
          <t>Downtown</t>
        </is>
      </c>
      <c r="F57" s="8">
        <f>16027101240</f>
        <v/>
      </c>
      <c r="G57" s="76" t="inlineStr">
        <is>
          <t>https://www.hilton.com/en/hotels/phxcthx-hampton-suites-phoenix-downtown/?SEO_id=GMB-AMER-HX-PHXCTHX&amp;y_source=1_OTQwMzQyNC03MTUtbG9jYXRpb24ud2Vic2l0ZQ%3D%3D</t>
        </is>
      </c>
      <c r="H57" s="88" t="n"/>
      <c r="I57" s="99" t="n">
        <v>42</v>
      </c>
      <c r="J57" s="65" t="n">
        <v>210</v>
      </c>
      <c r="K57" s="34" t="n">
        <v>0.31</v>
      </c>
      <c r="L57" s="65" t="n">
        <v>153</v>
      </c>
      <c r="M57" s="65" t="n"/>
      <c r="N57" s="88" t="n"/>
      <c r="O57" s="80" t="n"/>
      <c r="P57" s="80" t="n"/>
      <c r="Q57" s="65" t="n"/>
      <c r="R57" s="65" t="n"/>
      <c r="S57" s="65" t="n"/>
      <c r="T57" s="18" t="inlineStr">
        <is>
          <t>Cory Gruber</t>
        </is>
      </c>
      <c r="U57" s="18" t="inlineStr">
        <is>
          <t>GM</t>
        </is>
      </c>
      <c r="V57" s="82" t="inlineStr">
        <is>
          <t>Cgruber@ncghospitality.com</t>
        </is>
      </c>
      <c r="W57" s="82" t="n"/>
      <c r="X57" s="82" t="n"/>
      <c r="Y57" s="80" t="n"/>
      <c r="Z57" s="80" t="inlineStr">
        <is>
          <t>Cory, connected with her on linked in, emailed and left voicemail</t>
        </is>
      </c>
      <c r="AA57" s="28" t="n"/>
      <c r="AB57" s="28" t="n"/>
      <c r="AC57" s="28" t="n"/>
      <c r="AD57" s="28" t="n"/>
      <c r="AE57" s="28" t="n"/>
      <c r="AF57" s="28" t="n"/>
      <c r="AG57" s="28" t="n"/>
      <c r="AH57" s="28" t="n"/>
      <c r="AI57" s="28" t="n"/>
      <c r="AJ57" s="28" t="n"/>
      <c r="AK57" s="28" t="n"/>
      <c r="AL57" s="80" t="n"/>
      <c r="AM57" s="88" t="n"/>
      <c r="AN57" s="80" t="n"/>
      <c r="AO57" s="80" t="n"/>
      <c r="AP57" s="80" t="n"/>
    </row>
    <row r="58" ht="51.75" customHeight="1" s="222">
      <c r="A58" s="28" t="inlineStr">
        <is>
          <t>Hyatt Place Phoenix / Downtown</t>
        </is>
      </c>
      <c r="B58" s="8" t="inlineStr">
        <is>
          <t>Hotel</t>
        </is>
      </c>
      <c r="C58" s="8" t="n"/>
      <c r="D58" s="28" t="inlineStr">
        <is>
          <t>150 W Adams St, Phoenix, AZ 85003</t>
        </is>
      </c>
      <c r="E58" s="8" t="inlineStr">
        <is>
          <t>Downtown</t>
        </is>
      </c>
      <c r="F58" s="8">
        <f>16023884888</f>
        <v/>
      </c>
      <c r="G58" s="205" t="n"/>
      <c r="H58" s="88" t="n">
        <v>34</v>
      </c>
      <c r="I58" s="88" t="n">
        <v>44</v>
      </c>
      <c r="J58" s="28" t="n">
        <v>238</v>
      </c>
      <c r="K58" s="67" t="n">
        <v>0.35</v>
      </c>
      <c r="L58" s="28" t="n">
        <v>78</v>
      </c>
      <c r="M58" s="28" t="n"/>
      <c r="N58" s="65" t="n"/>
      <c r="O58" s="80" t="n"/>
      <c r="P58" s="80" t="n"/>
      <c r="Q58" s="28" t="n"/>
      <c r="R58" s="28" t="n"/>
      <c r="S58" s="18" t="n"/>
      <c r="T58" s="18" t="inlineStr">
        <is>
          <t>Danielle Klus</t>
        </is>
      </c>
      <c r="U58" s="18" t="n"/>
      <c r="V58" s="82" t="n"/>
      <c r="W58" s="82" t="n"/>
      <c r="X58" s="82" t="n"/>
      <c r="Y58" s="80" t="n"/>
      <c r="Z58" s="80" t="n"/>
      <c r="AA58" s="28" t="n"/>
      <c r="AB58" s="28" t="n"/>
      <c r="AC58" s="28" t="n"/>
      <c r="AD58" s="28" t="n"/>
      <c r="AE58" s="28" t="n"/>
      <c r="AF58" s="28" t="n"/>
      <c r="AG58" s="28" t="n"/>
      <c r="AH58" s="28" t="n"/>
      <c r="AI58" s="28" t="n"/>
      <c r="AJ58" s="28" t="n"/>
      <c r="AK58" s="28" t="n"/>
      <c r="AL58" s="80" t="n"/>
      <c r="AM58" s="65" t="n"/>
      <c r="AN58" s="80" t="n"/>
      <c r="AO58" s="80" t="n"/>
      <c r="AP58" s="80" t="n"/>
    </row>
    <row r="59" ht="51.75" customHeight="1" s="222">
      <c r="A59" s="28" t="inlineStr">
        <is>
          <t>FOUND:RE Phoenix Hotel</t>
        </is>
      </c>
      <c r="B59" s="8" t="inlineStr">
        <is>
          <t>Hotel</t>
        </is>
      </c>
      <c r="C59" s="8" t="n"/>
      <c r="D59" s="74" t="inlineStr">
        <is>
          <t>1100 N Central Ave, Phoenix, AZ 85004</t>
        </is>
      </c>
      <c r="E59" s="8" t="inlineStr">
        <is>
          <t>Downtown</t>
        </is>
      </c>
      <c r="F59" s="8">
        <f>16028758000</f>
        <v/>
      </c>
      <c r="G59" s="58" t="inlineStr">
        <is>
          <t>https://www.foundrehotels.com/</t>
        </is>
      </c>
      <c r="H59" s="80" t="n">
        <v>35</v>
      </c>
      <c r="I59" s="88" t="n">
        <v>45</v>
      </c>
      <c r="J59" s="8" t="n">
        <v>104</v>
      </c>
      <c r="K59" s="34" t="n">
        <v>0.36</v>
      </c>
      <c r="L59" s="65" t="n">
        <v>78</v>
      </c>
      <c r="M59" s="65" t="n"/>
      <c r="N59" s="28" t="n"/>
      <c r="O59" s="28" t="n"/>
      <c r="P59" s="28" t="n"/>
      <c r="Q59" s="65" t="n"/>
      <c r="R59" s="65" t="n"/>
      <c r="S59" s="65" t="n"/>
      <c r="T59" s="18" t="inlineStr">
        <is>
          <t>chris genung</t>
        </is>
      </c>
      <c r="U59" s="30" t="n"/>
      <c r="V59" s="18" t="n"/>
      <c r="W59" s="18" t="n"/>
      <c r="X59" s="18" t="n"/>
      <c r="Y59" s="28" t="n"/>
      <c r="Z59" s="28" t="n"/>
      <c r="AA59" s="28" t="n"/>
      <c r="AB59" s="28" t="n"/>
      <c r="AC59" s="28" t="n"/>
      <c r="AD59" s="28" t="n"/>
      <c r="AE59" s="28" t="n"/>
      <c r="AF59" s="28" t="n"/>
      <c r="AG59" s="28" t="n"/>
      <c r="AH59" s="28" t="n"/>
      <c r="AI59" s="28" t="n"/>
      <c r="AJ59" s="28" t="n"/>
      <c r="AK59" s="28" t="n"/>
      <c r="AL59" s="28" t="n"/>
      <c r="AM59" s="28" t="n"/>
      <c r="AN59" s="28" t="n"/>
      <c r="AO59" s="28" t="n"/>
      <c r="AP59" s="28" t="n"/>
    </row>
    <row r="60" ht="51.75" customHeight="1" s="222">
      <c r="A60" s="36" t="inlineStr">
        <is>
          <t>Hyatt Regency Phoenix</t>
        </is>
      </c>
      <c r="B60" s="8" t="inlineStr">
        <is>
          <t>Hotel</t>
        </is>
      </c>
      <c r="C60" s="8" t="n"/>
      <c r="D60" s="28" t="inlineStr">
        <is>
          <t>122 N 2nd St, Phoenix, AZ 85004</t>
        </is>
      </c>
      <c r="E60" s="8" t="inlineStr">
        <is>
          <t>Downtown</t>
        </is>
      </c>
      <c r="F60" s="8" t="n">
        <v>16022521234</v>
      </c>
      <c r="G60" s="58" t="inlineStr">
        <is>
          <t>https://www.hyatt.com/hyatt-regency/en-US/phxrp-hyatt-regency-phoenix?src=corp_lclb_google_seo_phxrp&amp;utm_source=google&amp;utm_medium=organic&amp;utm_campaign=lmr</t>
        </is>
      </c>
      <c r="H60" s="80" t="n">
        <v>34</v>
      </c>
      <c r="I60" s="93" t="n">
        <v>44</v>
      </c>
      <c r="J60" s="8" t="n">
        <v>693</v>
      </c>
      <c r="K60" s="67" t="n">
        <v>0.37</v>
      </c>
      <c r="L60" s="65" t="n">
        <v>188</v>
      </c>
      <c r="M60" s="28" t="n"/>
      <c r="N60" s="28" t="n"/>
      <c r="O60" s="28" t="n"/>
      <c r="P60" s="28" t="n"/>
      <c r="Q60" s="28" t="n"/>
      <c r="R60" s="28" t="n"/>
      <c r="S60" s="18" t="n"/>
      <c r="T60" s="18" t="inlineStr">
        <is>
          <t>Eric Fink</t>
        </is>
      </c>
      <c r="U60" s="18" t="inlineStr">
        <is>
          <t>GM</t>
        </is>
      </c>
      <c r="V60" s="18" t="n"/>
      <c r="W60" s="18" t="n"/>
      <c r="X60" s="18" t="n"/>
      <c r="Y60" s="28" t="n"/>
      <c r="Z60" s="28" t="inlineStr">
        <is>
          <t>linked in messages</t>
        </is>
      </c>
      <c r="AA60" s="28" t="n"/>
      <c r="AB60" s="28" t="n"/>
      <c r="AC60" s="28" t="n"/>
      <c r="AD60" s="28" t="n"/>
      <c r="AE60" s="28" t="n"/>
      <c r="AF60" s="28" t="n"/>
      <c r="AG60" s="28" t="n"/>
      <c r="AH60" s="28" t="n"/>
      <c r="AI60" s="28" t="n"/>
      <c r="AJ60" s="28" t="n"/>
      <c r="AK60" s="28" t="n"/>
      <c r="AL60" s="28" t="n"/>
      <c r="AM60" s="28" t="n"/>
      <c r="AN60" s="28" t="n"/>
      <c r="AO60" s="28" t="n"/>
      <c r="AP60" s="28" t="n"/>
    </row>
    <row r="61" ht="51.75" customHeight="1" s="222">
      <c r="A61" s="36" t="inlineStr">
        <is>
          <t>Egyptian Motor Hotel BW Signature Collection</t>
        </is>
      </c>
      <c r="B61" s="8" t="inlineStr">
        <is>
          <t>Hotel</t>
        </is>
      </c>
      <c r="C61" s="8" t="n"/>
      <c r="D61" s="28" t="inlineStr">
        <is>
          <t>765 Grand Ave, Phoenix, AZ 85007</t>
        </is>
      </c>
      <c r="E61" s="8" t="inlineStr">
        <is>
          <t>Downtown</t>
        </is>
      </c>
      <c r="F61" s="26" t="inlineStr">
        <is>
          <t>(602) 807-5225</t>
        </is>
      </c>
      <c r="G61" s="20" t="inlineStr">
        <is>
          <t>https://www.egyptianmotorhotel.com/eat-drink.htm</t>
        </is>
      </c>
      <c r="H61" s="80" t="inlineStr">
        <is>
          <t>Fee</t>
        </is>
      </c>
      <c r="I61" s="93" t="inlineStr">
        <is>
          <t>No Valet</t>
        </is>
      </c>
      <c r="J61" s="28" t="n">
        <v>49</v>
      </c>
      <c r="K61" s="34" t="n">
        <v>0.54</v>
      </c>
      <c r="L61" s="45" t="n">
        <v>13</v>
      </c>
      <c r="M61" s="65" t="n"/>
      <c r="N61" s="65" t="n"/>
      <c r="O61" s="65" t="n"/>
      <c r="P61" s="65" t="n"/>
      <c r="Q61" s="65" t="n"/>
      <c r="R61" s="65" t="n"/>
      <c r="S61" s="18" t="n"/>
      <c r="T61" s="40" t="inlineStr">
        <is>
          <t>Tamara Vildosola</t>
        </is>
      </c>
      <c r="U61" s="30" t="n"/>
      <c r="V61" s="18" t="n"/>
      <c r="W61" s="18" t="n"/>
      <c r="X61" s="18" t="n"/>
      <c r="Y61" s="65" t="n"/>
      <c r="Z61" s="65" t="n"/>
      <c r="AA61" s="28" t="n"/>
      <c r="AB61" s="28" t="n"/>
      <c r="AC61" s="28" t="n"/>
      <c r="AD61" s="28" t="n"/>
      <c r="AE61" s="28" t="n"/>
      <c r="AF61" s="28" t="n"/>
      <c r="AG61" s="28" t="n"/>
      <c r="AH61" s="28" t="n"/>
      <c r="AI61" s="28" t="n"/>
      <c r="AJ61" s="28" t="n"/>
      <c r="AK61" s="28" t="n"/>
      <c r="AL61" s="65" t="n"/>
      <c r="AM61" s="65" t="n"/>
      <c r="AN61" s="65" t="n"/>
      <c r="AO61" s="65" t="n"/>
      <c r="AP61" s="65" t="n"/>
    </row>
    <row r="62" ht="51.75" customHeight="1" s="222">
      <c r="A62" s="28" t="inlineStr">
        <is>
          <t>DoubleTree by Hilton Hotel Phoenix - Gilbert</t>
        </is>
      </c>
      <c r="B62" s="8" t="inlineStr">
        <is>
          <t>Hotel</t>
        </is>
      </c>
      <c r="C62" s="8" t="n"/>
      <c r="D62" s="28" t="inlineStr">
        <is>
          <t>1800 S Santan Village Pkwy, Gilbert, AZ 85295</t>
        </is>
      </c>
      <c r="E62" s="8" t="inlineStr">
        <is>
          <t>Gilbert</t>
        </is>
      </c>
      <c r="F62" s="8" t="n">
        <v>14808094100</v>
      </c>
      <c r="G62" s="86" t="inlineStr">
        <is>
          <t>https://www.hilton.com/en/hotels/phxstdt-doubletree-phoenix-gilbert/?SEO_id=GMB-AMER-DT-PHXSTDT&amp;y_source=1_MTM3MjY1Ny03MTUtbG9jYXRpb24ud2Vic2l0ZQ%3D%3D</t>
        </is>
      </c>
      <c r="H62" s="88" t="inlineStr">
        <is>
          <t>Free</t>
        </is>
      </c>
      <c r="I62" s="88" t="inlineStr">
        <is>
          <t>No Valet</t>
        </is>
      </c>
      <c r="J62" s="65" t="n">
        <v>121</v>
      </c>
      <c r="K62" s="34" t="n">
        <v>0.5</v>
      </c>
      <c r="L62" s="65" t="n">
        <v>22</v>
      </c>
      <c r="M62" s="28" t="n"/>
      <c r="N62" s="65" t="n"/>
      <c r="O62" s="80" t="n"/>
      <c r="P62" s="80" t="n"/>
      <c r="Q62" s="28" t="n"/>
      <c r="R62" s="28" t="n"/>
      <c r="S62" s="18" t="n"/>
      <c r="T62" s="18" t="n"/>
      <c r="U62" s="18" t="n"/>
      <c r="V62" s="82" t="n"/>
      <c r="W62" s="82" t="n"/>
      <c r="X62" s="82" t="n"/>
      <c r="Y62" s="80" t="n"/>
      <c r="Z62" s="80" t="n"/>
      <c r="AA62" s="28" t="n"/>
      <c r="AB62" s="28" t="n"/>
      <c r="AC62" s="28" t="n"/>
      <c r="AD62" s="28" t="n"/>
      <c r="AE62" s="28" t="n"/>
      <c r="AF62" s="28" t="n"/>
      <c r="AG62" s="28" t="n"/>
      <c r="AH62" s="28" t="n"/>
      <c r="AI62" s="28" t="n"/>
      <c r="AJ62" s="28" t="n"/>
      <c r="AK62" s="28" t="n"/>
      <c r="AL62" s="80" t="n"/>
      <c r="AM62" s="65" t="n"/>
      <c r="AN62" s="80" t="n"/>
      <c r="AO62" s="80" t="n"/>
      <c r="AP62" s="80" t="n"/>
    </row>
    <row r="63" ht="51.75" customHeight="1" s="222">
      <c r="A63" s="28" t="inlineStr">
        <is>
          <t>TownePlace Suites by Marriott Phoenix Glendale Sports &amp; Entertainment District</t>
        </is>
      </c>
      <c r="B63" s="8" t="inlineStr">
        <is>
          <t>Hotel</t>
        </is>
      </c>
      <c r="C63" s="8" t="n"/>
      <c r="D63" s="28" t="inlineStr">
        <is>
          <t>7271 N Zanjero Blvd, Glendale, AZ 85305</t>
        </is>
      </c>
      <c r="E63" s="8" t="inlineStr">
        <is>
          <t>Glendale</t>
        </is>
      </c>
      <c r="F63" s="28">
        <f>16238722100</f>
        <v/>
      </c>
      <c r="G63" s="59" t="inlineStr">
        <is>
          <t>https://www.marriott.com/en-us/hotels/phxtg-towneplace-suites-phoenix-glendale-sports-and-entertainment-district/overview/?scid=f2ae0541-1279-4f24-b197-a979c79310b0</t>
        </is>
      </c>
      <c r="H63" s="80" t="n">
        <v>10</v>
      </c>
      <c r="I63" s="88" t="inlineStr">
        <is>
          <t>No Valet</t>
        </is>
      </c>
      <c r="J63" s="28" t="n"/>
      <c r="K63" s="34" t="n">
        <v>0.17</v>
      </c>
      <c r="L63" s="45" t="n">
        <v>6</v>
      </c>
      <c r="M63" s="65" t="n"/>
      <c r="N63" s="65" t="n"/>
      <c r="O63" s="65" t="n"/>
      <c r="P63" s="65" t="n"/>
      <c r="Q63" s="65" t="n"/>
      <c r="R63" s="65" t="n"/>
      <c r="S63" s="18" t="n"/>
      <c r="T63" s="18" t="n"/>
      <c r="U63" s="30" t="n"/>
      <c r="V63" s="18" t="n"/>
      <c r="W63" s="18" t="n"/>
      <c r="X63" s="18" t="n"/>
      <c r="Y63" s="65" t="n"/>
      <c r="Z63" s="65" t="n"/>
      <c r="AA63" s="28" t="n"/>
      <c r="AB63" s="28" t="n"/>
      <c r="AC63" s="28" t="n"/>
      <c r="AD63" s="28" t="n"/>
      <c r="AE63" s="28" t="n"/>
      <c r="AF63" s="28" t="n"/>
      <c r="AG63" s="28" t="n"/>
      <c r="AH63" s="28" t="n"/>
      <c r="AI63" s="28" t="n"/>
      <c r="AJ63" s="28" t="n"/>
      <c r="AK63" s="28" t="n"/>
      <c r="AL63" s="65" t="n"/>
      <c r="AM63" s="65" t="n"/>
      <c r="AN63" s="65" t="n"/>
      <c r="AO63" s="65" t="n"/>
      <c r="AP63" s="65" t="n"/>
    </row>
    <row r="64" ht="51.75" customHeight="1" s="222">
      <c r="A64" s="28" t="inlineStr">
        <is>
          <t>SpringHill Suites by Marriott Phoenix Glendale Sports &amp; Entertainment District</t>
        </is>
      </c>
      <c r="B64" s="8" t="inlineStr">
        <is>
          <t>Hotel</t>
        </is>
      </c>
      <c r="C64" s="8" t="n"/>
      <c r="D64" s="74" t="inlineStr">
        <is>
          <t>7370 N. Zanjero (Janjero) Boulevard, Glendale, AZ 85305</t>
        </is>
      </c>
      <c r="E64" s="8" t="inlineStr">
        <is>
          <t>Glendale</t>
        </is>
      </c>
      <c r="F64" s="8">
        <f>16237729200</f>
        <v/>
      </c>
      <c r="G64" s="20" t="inlineStr">
        <is>
          <t>https://www.marriott.com/en-us/hotels/phxgl-springhill-suites-phoenix-glendale-sports-and-entertainment-district/overview/?scid=f2ae0541-1279-4f24-b197-a979c79310b0</t>
        </is>
      </c>
      <c r="H64" s="80" t="n">
        <v>10</v>
      </c>
      <c r="I64" s="88" t="inlineStr">
        <is>
          <t>No Valet</t>
        </is>
      </c>
      <c r="J64" s="28" t="n">
        <v>120</v>
      </c>
      <c r="K64" s="34" t="n">
        <v>0.35</v>
      </c>
      <c r="L64" s="45" t="n">
        <v>17</v>
      </c>
      <c r="M64" s="65" t="n"/>
      <c r="N64" s="28" t="n"/>
      <c r="O64" s="28" t="n"/>
      <c r="P64" s="28" t="n"/>
      <c r="Q64" s="65" t="n"/>
      <c r="R64" s="65" t="n"/>
      <c r="S64" s="18" t="n"/>
      <c r="T64" s="18" t="n"/>
      <c r="U64" s="30" t="n"/>
      <c r="V64" s="18" t="n"/>
      <c r="W64" s="18" t="n"/>
      <c r="X64" s="18" t="n"/>
      <c r="Y64" s="28" t="n"/>
      <c r="Z64" s="28" t="n"/>
      <c r="AA64" s="28" t="n"/>
      <c r="AB64" s="28" t="n"/>
      <c r="AC64" s="28" t="n"/>
      <c r="AD64" s="28" t="n"/>
      <c r="AE64" s="28" t="n"/>
      <c r="AF64" s="28" t="n"/>
      <c r="AG64" s="28" t="n"/>
      <c r="AH64" s="28" t="n"/>
      <c r="AI64" s="28" t="n"/>
      <c r="AJ64" s="28" t="n"/>
      <c r="AK64" s="28" t="n"/>
      <c r="AL64" s="28" t="n"/>
      <c r="AM64" s="28" t="n"/>
      <c r="AN64" s="28" t="n"/>
      <c r="AO64" s="28" t="n"/>
      <c r="AP64" s="28" t="n"/>
    </row>
    <row r="65" ht="51.75" customHeight="1" s="222">
      <c r="A65" s="28" t="inlineStr">
        <is>
          <t>Tru by Hilton Phoenix Glendale Westgate</t>
        </is>
      </c>
      <c r="B65" s="8" t="inlineStr">
        <is>
          <t>Hotel</t>
        </is>
      </c>
      <c r="C65" s="8" t="n"/>
      <c r="D65" s="28" t="inlineStr">
        <is>
          <t>6610 N 95th Ave, Glendale, AZ 85305</t>
        </is>
      </c>
      <c r="E65" s="8" t="inlineStr">
        <is>
          <t>Glendale</t>
        </is>
      </c>
      <c r="F65" s="8">
        <f>16232503551</f>
        <v/>
      </c>
      <c r="G65" s="20" t="inlineStr">
        <is>
          <t>https://www.hilton.com/en/hotels/phxpgru-tru-phoenix-glendale-westgate/?SEO_id=GMB-AMER-RU-PHXPGRU&amp;y_source=1_MTkzMTU4MzYtNzE1LWxvY2F0aW9uLndlYnNpdGU%3D</t>
        </is>
      </c>
      <c r="H65" s="80" t="n">
        <v>18</v>
      </c>
      <c r="I65" s="88" t="inlineStr">
        <is>
          <t>No Valet</t>
        </is>
      </c>
      <c r="J65" s="28" t="n"/>
      <c r="K65" s="34" t="n">
        <v>0.35</v>
      </c>
      <c r="L65" s="45" t="n">
        <v>17</v>
      </c>
      <c r="M65" s="65" t="n"/>
      <c r="N65" s="65" t="n"/>
      <c r="O65" s="65" t="n"/>
      <c r="P65" s="65" t="n"/>
      <c r="Q65" s="65" t="n"/>
      <c r="R65" s="65" t="n"/>
      <c r="S65" s="18" t="n"/>
      <c r="T65" s="18" t="n"/>
      <c r="U65" s="30" t="n"/>
      <c r="V65" s="18" t="n"/>
      <c r="W65" s="18" t="n"/>
      <c r="X65" s="18" t="n"/>
      <c r="Y65" s="65" t="n"/>
      <c r="Z65" s="65" t="n"/>
      <c r="AA65" s="28" t="n"/>
      <c r="AB65" s="28" t="n"/>
      <c r="AC65" s="28" t="n"/>
      <c r="AD65" s="28" t="n"/>
      <c r="AE65" s="28" t="n"/>
      <c r="AF65" s="28" t="n"/>
      <c r="AG65" s="28" t="n"/>
      <c r="AH65" s="28" t="n"/>
      <c r="AI65" s="28" t="n"/>
      <c r="AJ65" s="28" t="n"/>
      <c r="AK65" s="28" t="n"/>
      <c r="AL65" s="65" t="n"/>
      <c r="AM65" s="65" t="n"/>
      <c r="AN65" s="65" t="n"/>
      <c r="AO65" s="65" t="n"/>
      <c r="AP65" s="65" t="n"/>
    </row>
    <row r="66" ht="51.75" customHeight="1" s="222">
      <c r="A66" s="28" t="inlineStr">
        <is>
          <t>Residence Inn by Marriott Phoenix Glendale Sports &amp; Entertainment District</t>
        </is>
      </c>
      <c r="B66" s="8" t="inlineStr">
        <is>
          <t>Hotel</t>
        </is>
      </c>
      <c r="C66" s="8" t="n"/>
      <c r="D66" s="74" t="inlineStr">
        <is>
          <t>7350 N Zanjero Blvd, Glendale, AZ 85305</t>
        </is>
      </c>
      <c r="E66" s="8" t="inlineStr">
        <is>
          <t>Glendale</t>
        </is>
      </c>
      <c r="F66" s="8">
        <f>16237728900</f>
        <v/>
      </c>
      <c r="G66" s="20" t="inlineStr">
        <is>
          <t>https://www.marriott.com/en-us/hotels/phxgi-residence-inn-phoenix-glendale-sports-and-entertainment-district/overview/?scid=f2ae0541-1279-4f24-b197-a979c79310b0</t>
        </is>
      </c>
      <c r="H66" s="80" t="n">
        <v>10</v>
      </c>
      <c r="I66" s="88" t="inlineStr">
        <is>
          <t>No Valet</t>
        </is>
      </c>
      <c r="J66" s="28" t="n"/>
      <c r="K66" s="34" t="n">
        <v>0.43</v>
      </c>
      <c r="L66" s="45" t="n">
        <v>7</v>
      </c>
      <c r="M66" s="65" t="n"/>
      <c r="N66" s="65" t="n"/>
      <c r="O66" s="65" t="n"/>
      <c r="P66" s="65" t="n"/>
      <c r="Q66" s="65" t="n"/>
      <c r="R66" s="65" t="n"/>
      <c r="S66" s="18" t="n"/>
      <c r="T66" s="18" t="n"/>
      <c r="U66" s="30" t="n"/>
      <c r="V66" s="18" t="n"/>
      <c r="W66" s="18" t="n"/>
      <c r="X66" s="18" t="n"/>
      <c r="Y66" s="65" t="n"/>
      <c r="Z66" s="65" t="n"/>
      <c r="AA66" s="28" t="n"/>
      <c r="AB66" s="28" t="n"/>
      <c r="AC66" s="28" t="n"/>
      <c r="AD66" s="28" t="n"/>
      <c r="AE66" s="28" t="n"/>
      <c r="AF66" s="28" t="n"/>
      <c r="AG66" s="28" t="n"/>
      <c r="AH66" s="28" t="n"/>
      <c r="AI66" s="28" t="n"/>
      <c r="AJ66" s="28" t="n"/>
      <c r="AK66" s="28" t="n"/>
      <c r="AL66" s="65" t="n"/>
      <c r="AM66" s="65" t="n"/>
      <c r="AN66" s="65" t="n"/>
      <c r="AO66" s="65" t="n"/>
      <c r="AP66" s="65" t="n"/>
    </row>
    <row r="67" ht="51.75" customHeight="1" s="222">
      <c r="A67" s="28" t="inlineStr">
        <is>
          <t>Hampton Inn &amp; Suites Phoenix Glendale-Westgate</t>
        </is>
      </c>
      <c r="B67" s="8" t="inlineStr">
        <is>
          <t>Hotel</t>
        </is>
      </c>
      <c r="C67" s="8" t="n"/>
      <c r="D67" s="37" t="inlineStr">
        <is>
          <t>6630 N 95th Ave, Glendale, AZ 85305</t>
        </is>
      </c>
      <c r="E67" s="8" t="inlineStr">
        <is>
          <t>Glendale</t>
        </is>
      </c>
      <c r="F67" s="8">
        <f>16232717771</f>
        <v/>
      </c>
      <c r="G67" s="20" t="inlineStr">
        <is>
          <t>https://www.hilton.com/en/hotels/phxglhx-hampton-suites-phoenix-glendale-westgate/?SEO_id=GMB-AMER-HX-PHXGLHX&amp;y_source=1_MjA4NDc3Ny03MTUtbG9jYXRpb24ud2Vic2l0ZQ%3D%3D</t>
        </is>
      </c>
      <c r="H67" s="80" t="n">
        <v>18</v>
      </c>
      <c r="I67" s="88" t="inlineStr">
        <is>
          <t>No Valet</t>
        </is>
      </c>
      <c r="J67" s="28" t="n">
        <v>149</v>
      </c>
      <c r="K67" s="34" t="n">
        <v>0.52</v>
      </c>
      <c r="L67" s="45" t="n">
        <v>25</v>
      </c>
      <c r="M67" s="65" t="n"/>
      <c r="N67" s="65" t="n"/>
      <c r="O67" s="65" t="n"/>
      <c r="P67" s="65" t="n"/>
      <c r="Q67" s="65" t="n"/>
      <c r="R67" s="65" t="n"/>
      <c r="S67" s="18" t="n"/>
      <c r="T67" s="18" t="n"/>
      <c r="U67" s="30" t="n"/>
      <c r="V67" s="18" t="n"/>
      <c r="W67" s="18" t="n"/>
      <c r="X67" s="18" t="n"/>
      <c r="Y67" s="65" t="n"/>
      <c r="Z67" s="65" t="n"/>
      <c r="AA67" s="28" t="n"/>
      <c r="AB67" s="28" t="n"/>
      <c r="AC67" s="28" t="n"/>
      <c r="AD67" s="28" t="n"/>
      <c r="AE67" s="28" t="n"/>
      <c r="AF67" s="28" t="n"/>
      <c r="AG67" s="28" t="n"/>
      <c r="AH67" s="28" t="n"/>
      <c r="AI67" s="28" t="n"/>
      <c r="AJ67" s="28" t="n"/>
      <c r="AK67" s="28" t="n"/>
      <c r="AL67" s="65" t="n"/>
      <c r="AM67" s="65" t="n"/>
      <c r="AN67" s="65" t="n"/>
      <c r="AO67" s="65" t="n"/>
      <c r="AP67" s="65" t="n"/>
    </row>
    <row r="68" ht="51.75" customHeight="1" s="222">
      <c r="A68" s="28" t="inlineStr">
        <is>
          <t>Staybridge Suites Phoenix - Glendale Sports Dist by IHG</t>
        </is>
      </c>
      <c r="B68" s="8" t="inlineStr">
        <is>
          <t>Hotel</t>
        </is>
      </c>
      <c r="C68" s="8" t="n"/>
      <c r="D68" s="74" t="inlineStr">
        <is>
          <t>9340 W Cabela Dr, Glendale, AZ 85305</t>
        </is>
      </c>
      <c r="E68" s="8" t="inlineStr">
        <is>
          <t>Glendale</t>
        </is>
      </c>
      <c r="F68" s="8">
        <f>16238420000</f>
        <v/>
      </c>
      <c r="G68" s="20" t="inlineStr">
        <is>
          <t>https://www.ihg.com/staybridge/hotels/us/en/glendale/phxgz/hoteldetail?cm_mmc=GoogleMaps-_-SB-_-US-_-PHXGZ</t>
        </is>
      </c>
      <c r="H68" s="80" t="inlineStr">
        <is>
          <t>Free</t>
        </is>
      </c>
      <c r="I68" s="88" t="inlineStr">
        <is>
          <t>No Valet</t>
        </is>
      </c>
      <c r="J68" s="28" t="n">
        <v>116</v>
      </c>
      <c r="K68" s="34" t="n">
        <v>0.6</v>
      </c>
      <c r="L68" s="45" t="n">
        <v>5</v>
      </c>
      <c r="M68" s="65" t="n"/>
      <c r="N68" s="65" t="n"/>
      <c r="O68" s="65" t="n"/>
      <c r="P68" s="65" t="n"/>
      <c r="Q68" s="65" t="n"/>
      <c r="R68" s="65" t="n"/>
      <c r="S68" s="18" t="n"/>
      <c r="T68" s="18" t="n"/>
      <c r="U68" s="30" t="n"/>
      <c r="V68" s="18" t="n"/>
      <c r="W68" s="18" t="n"/>
      <c r="X68" s="18" t="n"/>
      <c r="Y68" s="65" t="n"/>
      <c r="Z68" s="65" t="n"/>
      <c r="AA68" s="28" t="n"/>
      <c r="AB68" s="28" t="n"/>
      <c r="AC68" s="28" t="n"/>
      <c r="AD68" s="28" t="n"/>
      <c r="AE68" s="28" t="n"/>
      <c r="AF68" s="28" t="n"/>
      <c r="AG68" s="28" t="n"/>
      <c r="AH68" s="28" t="n"/>
      <c r="AI68" s="28" t="n"/>
      <c r="AJ68" s="28" t="n"/>
      <c r="AK68" s="28" t="n"/>
      <c r="AL68" s="65" t="n"/>
      <c r="AM68" s="65" t="n"/>
      <c r="AN68" s="65" t="n"/>
      <c r="AO68" s="65" t="n"/>
      <c r="AP68" s="65" t="n"/>
    </row>
    <row r="69" ht="51.75" customHeight="1" s="222">
      <c r="A69" s="28" t="inlineStr">
        <is>
          <t>Renaissance Phoenix Glendale Hotel &amp; Conference Center</t>
        </is>
      </c>
      <c r="B69" s="8" t="inlineStr">
        <is>
          <t>Hotel</t>
        </is>
      </c>
      <c r="C69" s="8" t="n"/>
      <c r="D69" s="28" t="inlineStr">
        <is>
          <t>9495 W Entertainment Blvd, Glendale, AZ 85305</t>
        </is>
      </c>
      <c r="E69" s="8" t="inlineStr">
        <is>
          <t>Glendale</t>
        </is>
      </c>
      <c r="F69" s="8" t="n">
        <v>16239373700</v>
      </c>
      <c r="G69" s="58" t="inlineStr">
        <is>
          <t>https://www.marriott.com/en-us/hotels/phxgr-renaissance-phoenix-glendale-hotel-and-conference-center/overview/?scid=f2ae0541-1279-4f24-b197-a979c79310b0</t>
        </is>
      </c>
      <c r="H69" s="80" t="n">
        <v>20</v>
      </c>
      <c r="I69" s="88" t="n">
        <v>26</v>
      </c>
      <c r="J69" s="28" t="n">
        <v>324</v>
      </c>
      <c r="K69" s="34" t="n">
        <v>0.78</v>
      </c>
      <c r="L69" s="45" t="n">
        <v>448</v>
      </c>
      <c r="M69" s="65" t="n"/>
      <c r="N69" s="65" t="n"/>
      <c r="O69" s="65" t="n"/>
      <c r="P69" s="65" t="n"/>
      <c r="Q69" s="65" t="n"/>
      <c r="R69" s="65" t="n"/>
      <c r="S69" s="18" t="n"/>
      <c r="T69" s="18" t="n"/>
      <c r="U69" s="30" t="n"/>
      <c r="V69" s="18" t="n"/>
      <c r="W69" s="18" t="n"/>
      <c r="X69" s="18" t="n"/>
      <c r="Y69" s="65" t="n"/>
      <c r="Z69" s="65" t="n"/>
      <c r="AA69" s="28" t="n"/>
      <c r="AB69" s="28" t="n"/>
      <c r="AC69" s="28" t="n"/>
      <c r="AD69" s="28" t="n"/>
      <c r="AE69" s="28" t="n"/>
      <c r="AF69" s="28" t="n"/>
      <c r="AG69" s="28" t="n"/>
      <c r="AH69" s="28" t="n"/>
      <c r="AI69" s="28" t="n"/>
      <c r="AJ69" s="28" t="n"/>
      <c r="AK69" s="28" t="n"/>
      <c r="AL69" s="65" t="n"/>
      <c r="AM69" s="65" t="n"/>
      <c r="AN69" s="65" t="n"/>
      <c r="AO69" s="65" t="n"/>
      <c r="AP69" s="65" t="n"/>
    </row>
    <row r="70" ht="41.25" customHeight="1" s="222">
      <c r="A70" s="28" t="inlineStr">
        <is>
          <t>Holiday Inn Express &amp; Suites Phoenix - Glendale Sports Dist</t>
        </is>
      </c>
      <c r="B70" s="8" t="inlineStr">
        <is>
          <t>Hotel</t>
        </is>
      </c>
      <c r="C70" s="8" t="n"/>
      <c r="D70" s="28" t="inlineStr">
        <is>
          <t>9310 W Cabela Dr, Glendale, AZ 85305</t>
        </is>
      </c>
      <c r="E70" s="8" t="inlineStr">
        <is>
          <t>Glendale</t>
        </is>
      </c>
      <c r="F70" s="8">
        <f>16239398888</f>
        <v/>
      </c>
      <c r="G70" s="20" t="inlineStr">
        <is>
          <t>https://www.ihg.com/holidayinnexpress/hotels/us/en/glendale/phxgg/hoteldetail?cm_mmc=GoogleMaps-_-EX-_-US-_-PHXGG</t>
        </is>
      </c>
      <c r="H70" s="80" t="inlineStr">
        <is>
          <t>Free</t>
        </is>
      </c>
      <c r="I70" s="88" t="inlineStr">
        <is>
          <t>No Valet</t>
        </is>
      </c>
      <c r="J70" s="28" t="n">
        <v>96</v>
      </c>
      <c r="K70" s="34" t="n">
        <v>0.78</v>
      </c>
      <c r="L70" s="45" t="n">
        <v>9</v>
      </c>
      <c r="M70" s="65" t="n"/>
      <c r="N70" s="65" t="n"/>
      <c r="O70" s="65" t="n"/>
      <c r="P70" s="65" t="n"/>
      <c r="Q70" s="65" t="n"/>
      <c r="R70" s="65" t="n"/>
      <c r="S70" s="18" t="n"/>
      <c r="T70" s="18" t="n"/>
      <c r="U70" s="30" t="n"/>
      <c r="V70" s="18" t="n"/>
      <c r="W70" s="18" t="n"/>
      <c r="X70" s="18" t="n"/>
      <c r="Y70" s="65" t="n"/>
      <c r="Z70" s="65" t="n"/>
      <c r="AA70" s="28" t="n"/>
      <c r="AB70" s="28" t="n"/>
      <c r="AC70" s="28" t="n"/>
      <c r="AD70" s="28" t="n"/>
      <c r="AE70" s="28" t="n"/>
      <c r="AF70" s="28" t="n"/>
      <c r="AG70" s="28" t="n"/>
      <c r="AH70" s="28" t="n"/>
      <c r="AI70" s="28" t="n"/>
      <c r="AJ70" s="28" t="n"/>
      <c r="AK70" s="28" t="n"/>
      <c r="AL70" s="65" t="n"/>
      <c r="AM70" s="65" t="n"/>
      <c r="AN70" s="65" t="n"/>
      <c r="AO70" s="65" t="n"/>
      <c r="AP70" s="65" t="n"/>
    </row>
    <row r="71" ht="51.75" customHeight="1" s="222">
      <c r="A71" s="64" t="inlineStr">
        <is>
          <t>Arizona Grand Resort &amp; Spa</t>
        </is>
      </c>
      <c r="B71" s="8" t="inlineStr">
        <is>
          <t>Hotel</t>
        </is>
      </c>
      <c r="C71" s="8" t="inlineStr">
        <is>
          <t>x</t>
        </is>
      </c>
      <c r="D71" s="74" t="inlineStr">
        <is>
          <t>8000 South Arizona Grand E, Phoenix, AZ 85044</t>
        </is>
      </c>
      <c r="E71" s="8" t="inlineStr">
        <is>
          <t>Guadalupe</t>
        </is>
      </c>
      <c r="F71" s="8">
        <f>18778004888</f>
        <v/>
      </c>
      <c r="G71" s="20" t="inlineStr">
        <is>
          <t>https://www.arizonagrandresort.com/</t>
        </is>
      </c>
      <c r="H71" s="80" t="inlineStr">
        <is>
          <t>Resort Fee</t>
        </is>
      </c>
      <c r="I71" s="88" t="inlineStr">
        <is>
          <t>No Valet</t>
        </is>
      </c>
      <c r="J71" s="8" t="n">
        <v>744</v>
      </c>
      <c r="K71" s="34" t="n">
        <v>0.29</v>
      </c>
      <c r="L71" s="65" t="n">
        <v>192</v>
      </c>
      <c r="M71" s="28" t="n"/>
      <c r="N71" s="28" t="n"/>
      <c r="O71" s="28" t="n"/>
      <c r="P71" s="28" t="n"/>
      <c r="Q71" s="28" t="n"/>
      <c r="R71" s="28" t="n"/>
      <c r="S71" s="18" t="n"/>
      <c r="T71" s="18" t="inlineStr">
        <is>
          <t>Paul</t>
        </is>
      </c>
      <c r="U71" s="18" t="inlineStr">
        <is>
          <t>GM</t>
        </is>
      </c>
      <c r="V71" s="18" t="n"/>
      <c r="W71" s="18" t="n"/>
      <c r="X71" s="18" t="n"/>
      <c r="Y71" s="28" t="n"/>
      <c r="Z71" s="28" t="n"/>
      <c r="AA71" s="28" t="n"/>
      <c r="AB71" s="28" t="n"/>
      <c r="AC71" s="28" t="n"/>
      <c r="AD71" s="28" t="n"/>
      <c r="AE71" s="28" t="n"/>
      <c r="AF71" s="28" t="n"/>
      <c r="AG71" s="28" t="n"/>
      <c r="AH71" s="28" t="n"/>
      <c r="AI71" s="28" t="n"/>
      <c r="AJ71" s="28" t="n"/>
      <c r="AK71" s="28" t="n"/>
      <c r="AL71" s="28" t="n"/>
      <c r="AM71" s="28" t="n"/>
      <c r="AN71" s="28" t="n"/>
      <c r="AO71" s="28" t="n"/>
      <c r="AP71" s="28" t="n"/>
    </row>
    <row r="72" ht="51.75" customHeight="1" s="222">
      <c r="A72" s="28" t="inlineStr">
        <is>
          <t>Legacy Golf Resort</t>
        </is>
      </c>
      <c r="B72" s="8" t="inlineStr">
        <is>
          <t>Hotel</t>
        </is>
      </c>
      <c r="C72" s="8" t="n"/>
      <c r="D72" s="74" t="inlineStr">
        <is>
          <t>6808 S 32nd St, Phoenix, AZ 85042</t>
        </is>
      </c>
      <c r="E72" s="8" t="inlineStr">
        <is>
          <t>Guadalupe</t>
        </is>
      </c>
      <c r="F72" s="8">
        <f>16023055500</f>
        <v/>
      </c>
      <c r="G72" s="20" t="inlineStr">
        <is>
          <t>https://www.extraholidays.com/phoenix-arizona/legacy-golf-resort?utm_medium=listing&amp;utm_source=google-local&amp;utm_campaign=na_gmb_na_locallisting_na_allusers&amp;utm_content=svclegacygolf</t>
        </is>
      </c>
      <c r="H72" s="80" t="inlineStr">
        <is>
          <t>Free</t>
        </is>
      </c>
      <c r="I72" s="88" t="inlineStr">
        <is>
          <t>No Valet</t>
        </is>
      </c>
      <c r="J72" s="28" t="n"/>
      <c r="K72" s="34" t="n">
        <v>0.43</v>
      </c>
      <c r="L72" s="45" t="n">
        <v>40</v>
      </c>
      <c r="M72" s="65" t="n"/>
      <c r="N72" s="28" t="n"/>
      <c r="O72" s="28" t="n"/>
      <c r="P72" s="28" t="n"/>
      <c r="Q72" s="65" t="n"/>
      <c r="R72" s="65" t="n"/>
      <c r="S72" s="18" t="n"/>
      <c r="T72" s="18" t="n"/>
      <c r="U72" s="30" t="n"/>
      <c r="V72" s="18" t="n"/>
      <c r="W72" s="18" t="n"/>
      <c r="X72" s="18" t="n"/>
      <c r="Y72" s="28" t="n"/>
      <c r="Z72" s="28" t="n"/>
      <c r="AA72" s="28" t="n"/>
      <c r="AB72" s="28" t="n"/>
      <c r="AC72" s="28" t="n"/>
      <c r="AD72" s="28" t="n"/>
      <c r="AE72" s="28" t="n"/>
      <c r="AF72" s="28" t="n"/>
      <c r="AG72" s="28" t="n"/>
      <c r="AH72" s="28" t="n"/>
      <c r="AI72" s="28" t="n"/>
      <c r="AJ72" s="28" t="n"/>
      <c r="AK72" s="28" t="n"/>
      <c r="AL72" s="28" t="n"/>
      <c r="AM72" s="28" t="n"/>
      <c r="AN72" s="28" t="n"/>
      <c r="AO72" s="28" t="n"/>
      <c r="AP72" s="28" t="n"/>
    </row>
    <row r="73" ht="51.75" customHeight="1" s="222">
      <c r="A73" s="28" t="inlineStr">
        <is>
          <t>WorldMark Phoenix - South Mountain Preserve</t>
        </is>
      </c>
      <c r="B73" s="8" t="inlineStr">
        <is>
          <t>Hotel</t>
        </is>
      </c>
      <c r="C73" s="8" t="n"/>
      <c r="D73" s="74" t="inlineStr">
        <is>
          <t>4647 E Francisco Dr, Phoenix, AZ 85044</t>
        </is>
      </c>
      <c r="E73" s="8" t="inlineStr">
        <is>
          <t>Guadalupe</t>
        </is>
      </c>
      <c r="F73" s="8">
        <f>16023861900</f>
        <v/>
      </c>
      <c r="G73" s="20" t="inlineStr">
        <is>
          <t>https://www.extraholidays.com/phoenix-arizona/worldmark-phoenix?utm_medium=listing&amp;utm_source=google-local&amp;utm_campaign=na_gmb_na_locallisting_na_allusers&amp;utm_content=wmphoenixsouthmountainpreserve</t>
        </is>
      </c>
      <c r="H73" s="80" t="inlineStr">
        <is>
          <t>Free</t>
        </is>
      </c>
      <c r="I73" s="88" t="inlineStr">
        <is>
          <t>No Valet</t>
        </is>
      </c>
      <c r="J73" s="28" t="n"/>
      <c r="K73" s="34" t="n">
        <v>0.64</v>
      </c>
      <c r="L73" s="65" t="n">
        <v>66</v>
      </c>
      <c r="M73" s="65" t="n"/>
      <c r="N73" s="65" t="n"/>
      <c r="O73" s="65" t="n"/>
      <c r="P73" s="65" t="n"/>
      <c r="Q73" s="65" t="n"/>
      <c r="R73" s="65" t="n"/>
      <c r="S73" s="18" t="n"/>
      <c r="T73" s="18" t="n"/>
      <c r="U73" s="30" t="n"/>
      <c r="V73" s="18" t="n"/>
      <c r="W73" s="18" t="n"/>
      <c r="X73" s="18" t="n"/>
      <c r="Y73" s="65" t="n"/>
      <c r="Z73" s="65" t="n"/>
      <c r="AA73" s="28" t="n"/>
      <c r="AB73" s="28" t="n"/>
      <c r="AC73" s="28" t="n"/>
      <c r="AD73" s="28" t="n"/>
      <c r="AE73" s="28" t="n"/>
      <c r="AF73" s="28" t="n"/>
      <c r="AG73" s="28" t="n"/>
      <c r="AH73" s="28" t="n"/>
      <c r="AI73" s="28" t="n"/>
      <c r="AJ73" s="28" t="n"/>
      <c r="AK73" s="28" t="n"/>
      <c r="AL73" s="65" t="n"/>
      <c r="AM73" s="65" t="n"/>
      <c r="AN73" s="65" t="inlineStr">
        <is>
          <t>says parking is limited on website</t>
        </is>
      </c>
      <c r="AO73" s="65" t="n"/>
      <c r="AP73" s="65" t="n"/>
    </row>
    <row r="74" ht="51.75" customHeight="1" s="222">
      <c r="A74" s="28" t="inlineStr">
        <is>
          <t>The Wigwam</t>
        </is>
      </c>
      <c r="B74" s="8" t="inlineStr">
        <is>
          <t>Hotel</t>
        </is>
      </c>
      <c r="C74" s="8" t="n"/>
      <c r="D74" s="28" t="inlineStr">
        <is>
          <t>300 E Wigwam Blvd, Litchfield Park, AZ 85340</t>
        </is>
      </c>
      <c r="E74" s="8" t="inlineStr">
        <is>
          <t>Litchfield</t>
        </is>
      </c>
      <c r="F74" s="8" t="n">
        <v>18442391641</v>
      </c>
      <c r="G74" s="58" t="inlineStr">
        <is>
          <t>https://www.wigwamarizona.com/?utm_source=google&amp;utm_medium=organic&amp;utm_campaign=gbp_listing</t>
        </is>
      </c>
      <c r="H74" s="80" t="n">
        <v>42</v>
      </c>
      <c r="I74" s="88" t="n">
        <v>42</v>
      </c>
      <c r="J74" s="28" t="n">
        <v>331</v>
      </c>
      <c r="K74" s="34" t="n">
        <v>0.5</v>
      </c>
      <c r="L74" s="45" t="n">
        <v>62</v>
      </c>
      <c r="M74" s="65" t="n"/>
      <c r="N74" s="65" t="n"/>
      <c r="O74" s="65" t="n"/>
      <c r="P74" s="65" t="n"/>
      <c r="Q74" s="65" t="n"/>
      <c r="R74" s="65" t="n"/>
      <c r="S74" s="18" t="n"/>
      <c r="T74" s="18" t="n"/>
      <c r="U74" s="30" t="n"/>
      <c r="V74" s="18" t="n"/>
      <c r="W74" s="18" t="n"/>
      <c r="X74" s="18" t="n"/>
      <c r="Y74" s="65" t="n"/>
      <c r="Z74" s="65" t="n"/>
      <c r="AA74" s="28" t="n"/>
      <c r="AB74" s="28" t="n"/>
      <c r="AC74" s="28" t="n"/>
      <c r="AD74" s="28" t="n"/>
      <c r="AE74" s="28" t="n"/>
      <c r="AF74" s="28" t="n"/>
      <c r="AG74" s="28" t="n"/>
      <c r="AH74" s="28" t="n"/>
      <c r="AI74" s="28" t="n"/>
      <c r="AJ74" s="28" t="n"/>
      <c r="AK74" s="28" t="n"/>
      <c r="AL74" s="65" t="n"/>
      <c r="AM74" s="65" t="n"/>
      <c r="AN74" s="65" t="n"/>
      <c r="AO74" s="65" t="n"/>
      <c r="AP74" s="65" t="n"/>
    </row>
    <row r="75" ht="51.75" customHeight="1" s="222">
      <c r="A75" s="28" t="inlineStr">
        <is>
          <t>Sheraton Mesa Hotel at Wrigleyville West</t>
        </is>
      </c>
      <c r="B75" s="8" t="inlineStr">
        <is>
          <t>Hotel</t>
        </is>
      </c>
      <c r="C75" s="8" t="n"/>
      <c r="D75" s="28" t="inlineStr">
        <is>
          <t>860 N Riverview, Mesa, AZ 85201</t>
        </is>
      </c>
      <c r="E75" s="8" t="inlineStr">
        <is>
          <t>Mesa</t>
        </is>
      </c>
      <c r="F75" s="8">
        <f>14806641221</f>
        <v/>
      </c>
      <c r="G75" s="20" t="inlineStr">
        <is>
          <t>https://www.marriott.com/en-us/hotels/phxww-sheraton-mesa-hotel-at-wrigleyville-west/overview/?scid=f2ae0541-1279-4f24-b197-a979c79310b0</t>
        </is>
      </c>
      <c r="H75" s="80" t="inlineStr">
        <is>
          <t>Free</t>
        </is>
      </c>
      <c r="I75" s="88" t="inlineStr">
        <is>
          <t>No Valet</t>
        </is>
      </c>
      <c r="J75" s="28" t="n">
        <v>180</v>
      </c>
      <c r="K75" s="34" t="n">
        <v>0.38</v>
      </c>
      <c r="L75" s="45" t="n">
        <v>42</v>
      </c>
      <c r="M75" s="65" t="n"/>
      <c r="N75" s="65" t="n"/>
      <c r="O75" s="65" t="n"/>
      <c r="P75" s="65" t="n"/>
      <c r="Q75" s="65" t="n"/>
      <c r="R75" s="65" t="n"/>
      <c r="S75" s="18" t="n"/>
      <c r="T75" s="18" t="inlineStr">
        <is>
          <t>Kevin Thorpe</t>
        </is>
      </c>
      <c r="U75" s="18" t="inlineStr">
        <is>
          <t>GM</t>
        </is>
      </c>
      <c r="V75" s="18" t="n"/>
      <c r="W75" s="18" t="n"/>
      <c r="X75" s="18" t="n"/>
      <c r="Y75" s="65" t="n"/>
      <c r="Z75" s="65" t="n"/>
      <c r="AA75" s="28" t="n"/>
      <c r="AB75" s="28" t="n"/>
      <c r="AC75" s="28" t="n"/>
      <c r="AD75" s="28" t="n"/>
      <c r="AE75" s="28" t="n"/>
      <c r="AF75" s="28" t="n"/>
      <c r="AG75" s="28" t="n"/>
      <c r="AH75" s="28" t="n"/>
      <c r="AI75" s="28" t="n"/>
      <c r="AJ75" s="28" t="n"/>
      <c r="AK75" s="28" t="n"/>
      <c r="AL75" s="65" t="n"/>
      <c r="AM75" s="65" t="n"/>
      <c r="AN75" s="65" t="n"/>
      <c r="AO75" s="65" t="n"/>
      <c r="AP75" s="65" t="n"/>
    </row>
    <row r="76" ht="51.75" customHeight="1" s="222">
      <c r="A76" s="28" t="inlineStr">
        <is>
          <t>Delta Hotels Phoenix Mesa</t>
        </is>
      </c>
      <c r="B76" s="8" t="inlineStr">
        <is>
          <t>Hotel</t>
        </is>
      </c>
      <c r="C76" s="8" t="n"/>
      <c r="D76" s="75" t="inlineStr">
        <is>
          <t>200 N Centennial Way, Mesa, AZ 85201</t>
        </is>
      </c>
      <c r="E76" s="8" t="inlineStr">
        <is>
          <t>Mesa</t>
        </is>
      </c>
      <c r="F76" s="8">
        <f>14808988300</f>
        <v/>
      </c>
      <c r="G76" s="76" t="inlineStr">
        <is>
          <t>https://www.marriott.com/en-us/hotels/phxde-delta-hotels-phoenix-mesa/overview/?scid=f2ae0541-1279-4f24-b197-a979c79310b0</t>
        </is>
      </c>
      <c r="H76" s="88" t="inlineStr">
        <is>
          <t>Free</t>
        </is>
      </c>
      <c r="I76" s="99" t="inlineStr">
        <is>
          <t>No Valet</t>
        </is>
      </c>
      <c r="J76" s="65" t="n">
        <v>274</v>
      </c>
      <c r="K76" s="34" t="n">
        <v>0.39</v>
      </c>
      <c r="L76" s="65" t="n">
        <v>41</v>
      </c>
      <c r="M76" s="65" t="n"/>
      <c r="N76" s="88" t="n"/>
      <c r="O76" s="80" t="n"/>
      <c r="P76" s="80" t="n"/>
      <c r="Q76" s="65" t="n"/>
      <c r="R76" s="65" t="n"/>
      <c r="S76" s="18" t="n"/>
      <c r="T76" s="18" t="inlineStr">
        <is>
          <t>Janet Woolf</t>
        </is>
      </c>
      <c r="U76" s="18" t="inlineStr">
        <is>
          <t>GM</t>
        </is>
      </c>
      <c r="V76" s="82" t="n"/>
      <c r="W76" s="82" t="n"/>
      <c r="X76" s="82" t="n"/>
      <c r="Y76" s="80" t="n"/>
      <c r="Z76" s="80" t="n"/>
      <c r="AA76" s="28" t="n"/>
      <c r="AB76" s="28" t="n"/>
      <c r="AC76" s="28" t="n"/>
      <c r="AD76" s="28" t="n"/>
      <c r="AE76" s="28" t="n"/>
      <c r="AF76" s="28" t="n"/>
      <c r="AG76" s="28" t="n"/>
      <c r="AH76" s="28" t="n"/>
      <c r="AI76" s="28" t="n"/>
      <c r="AJ76" s="28" t="n"/>
      <c r="AK76" s="28" t="n"/>
      <c r="AL76" s="80" t="n"/>
      <c r="AM76" s="88" t="n"/>
      <c r="AN76" s="80" t="n"/>
      <c r="AO76" s="80" t="n"/>
      <c r="AP76" s="80" t="n"/>
    </row>
    <row r="77" ht="51.75" customHeight="1" s="222">
      <c r="A77" s="28" t="inlineStr">
        <is>
          <t>Courtyard by Marriott Phoenix Mesa</t>
        </is>
      </c>
      <c r="B77" s="8" t="inlineStr">
        <is>
          <t>Hotel</t>
        </is>
      </c>
      <c r="C77" s="8" t="n"/>
      <c r="D77" s="74" t="inlineStr">
        <is>
          <t>1221 S Westwood, Mesa, AZ 85210</t>
        </is>
      </c>
      <c r="E77" s="8" t="inlineStr">
        <is>
          <t>Mesa</t>
        </is>
      </c>
      <c r="F77" s="8">
        <f>14804613000</f>
        <v/>
      </c>
      <c r="G77" s="20" t="inlineStr">
        <is>
          <t>https://www.marriott.com/en-us/hotels/phxme-courtyard-phoenix-mesa/overview/?scid=f2ae0541-1279-4f24-b197-a979c79310b0</t>
        </is>
      </c>
      <c r="H77" s="80" t="n">
        <v>10</v>
      </c>
      <c r="I77" s="88" t="inlineStr">
        <is>
          <t>No Valet</t>
        </is>
      </c>
      <c r="J77" s="28" t="n">
        <v>149</v>
      </c>
      <c r="K77" s="34" t="n">
        <v>0.44</v>
      </c>
      <c r="L77" s="45" t="n">
        <v>18</v>
      </c>
      <c r="M77" s="65" t="n"/>
      <c r="N77" s="65" t="n"/>
      <c r="O77" s="65" t="n"/>
      <c r="P77" s="65" t="n"/>
      <c r="Q77" s="65" t="n"/>
      <c r="R77" s="65" t="n"/>
      <c r="S77" s="18" t="n"/>
      <c r="T77" s="18" t="inlineStr">
        <is>
          <t>Eric Valenzuela</t>
        </is>
      </c>
      <c r="U77" s="18" t="inlineStr">
        <is>
          <t>GM</t>
        </is>
      </c>
      <c r="V77" s="18" t="n"/>
      <c r="W77" s="18" t="n"/>
      <c r="X77" s="18" t="n"/>
      <c r="Y77" s="65" t="n"/>
      <c r="Z77" s="65" t="n"/>
      <c r="AA77" s="28" t="n"/>
      <c r="AB77" s="28" t="n"/>
      <c r="AC77" s="28" t="n"/>
      <c r="AD77" s="28" t="n"/>
      <c r="AE77" s="28" t="n"/>
      <c r="AF77" s="28" t="n"/>
      <c r="AG77" s="28" t="n"/>
      <c r="AH77" s="28" t="n"/>
      <c r="AI77" s="28" t="n"/>
      <c r="AJ77" s="28" t="n"/>
      <c r="AK77" s="28" t="n"/>
      <c r="AL77" s="65" t="n"/>
      <c r="AM77" s="65" t="n"/>
      <c r="AN77" s="65" t="n"/>
      <c r="AO77" s="65" t="n"/>
      <c r="AP77" s="65" t="n"/>
    </row>
    <row r="78" ht="51.75" customHeight="1" s="222">
      <c r="A78" s="28" t="inlineStr">
        <is>
          <t>Four Points by Sheraton at Phoenix Mesa Gateway Airport</t>
        </is>
      </c>
      <c r="B78" s="8" t="inlineStr">
        <is>
          <t>Hotel</t>
        </is>
      </c>
      <c r="C78" s="8" t="n"/>
      <c r="D78" s="28" t="inlineStr">
        <is>
          <t>6850 E Williams Field Rd, Mesa, AZ 85212</t>
        </is>
      </c>
      <c r="E78" s="8" t="inlineStr">
        <is>
          <t>Mesa</t>
        </is>
      </c>
      <c r="F78" s="8">
        <f>14805792100</f>
        <v/>
      </c>
      <c r="G78" s="20" t="inlineStr">
        <is>
          <t>https://www.marriott.com/en-us/hotels/phxma-four-points-at-phoenix-mesa-gateway-airport/overview/?scid=f2ae0541-1279-4f24-b197-a979c79310b0</t>
        </is>
      </c>
      <c r="H78" s="80" t="n">
        <v>10</v>
      </c>
      <c r="I78" s="93" t="inlineStr">
        <is>
          <t>No Valet</t>
        </is>
      </c>
      <c r="J78" s="28" t="n">
        <v>134</v>
      </c>
      <c r="K78" s="34" t="n">
        <v>0.7</v>
      </c>
      <c r="L78" s="45" t="n">
        <v>20</v>
      </c>
      <c r="M78" s="65" t="n"/>
      <c r="N78" s="65" t="n"/>
      <c r="O78" s="65" t="n"/>
      <c r="P78" s="65" t="n"/>
      <c r="Q78" s="65" t="n"/>
      <c r="R78" s="65" t="n"/>
      <c r="S78" s="18" t="n"/>
      <c r="T78" s="18" t="inlineStr">
        <is>
          <t>Amanda Jones</t>
        </is>
      </c>
      <c r="U78" s="18" t="inlineStr">
        <is>
          <t>Ops Manager</t>
        </is>
      </c>
      <c r="V78" s="18" t="n"/>
      <c r="W78" s="18" t="n"/>
      <c r="X78" s="18" t="n"/>
      <c r="Y78" s="65" t="n"/>
      <c r="Z78" s="65" t="n"/>
      <c r="AA78" s="28" t="n"/>
      <c r="AB78" s="28" t="n"/>
      <c r="AC78" s="28" t="n"/>
      <c r="AD78" s="28" t="n"/>
      <c r="AE78" s="28" t="n"/>
      <c r="AF78" s="28" t="n"/>
      <c r="AG78" s="28" t="n"/>
      <c r="AH78" s="28" t="n"/>
      <c r="AI78" s="28" t="n"/>
      <c r="AJ78" s="28" t="n"/>
      <c r="AK78" s="28" t="n"/>
      <c r="AL78" s="65" t="n"/>
      <c r="AM78" s="65" t="n"/>
      <c r="AN78" s="65" t="n"/>
      <c r="AO78" s="65" t="n"/>
      <c r="AP78" s="65" t="n"/>
    </row>
    <row r="79" ht="51.75" customHeight="1" s="222">
      <c r="A79" s="28" t="inlineStr">
        <is>
          <t>DoubleTree by Hilton Phoenix Mesa</t>
        </is>
      </c>
      <c r="B79" s="8" t="inlineStr">
        <is>
          <t>Hotel</t>
        </is>
      </c>
      <c r="C79" s="8" t="n"/>
      <c r="D79" s="28" t="inlineStr">
        <is>
          <t>1011 W Holmes Ave, Mesa, AZ 85210</t>
        </is>
      </c>
      <c r="E79" s="8" t="inlineStr">
        <is>
          <t>Mesa</t>
        </is>
      </c>
      <c r="F79" s="8" t="n">
        <v>14808335555</v>
      </c>
      <c r="G79" s="87" t="inlineStr">
        <is>
          <t>https://www.hilton.com/en/hotels/meswhdt-doubletree-phoenix-mesa/?SEO_id=GMB-AMER-DT-MESWHDT&amp;y_source=1_MTY1MDA5NzktNzE1LWxvY2F0aW9uLndlYnNpdGU%3D</t>
        </is>
      </c>
      <c r="H79" s="88" t="inlineStr">
        <is>
          <t>Free</t>
        </is>
      </c>
      <c r="I79" s="88" t="inlineStr">
        <is>
          <t>No Valet</t>
        </is>
      </c>
      <c r="J79" s="65" t="n">
        <v>262</v>
      </c>
      <c r="K79" s="34" t="n">
        <v>0.75</v>
      </c>
      <c r="L79" s="65" t="n">
        <v>32</v>
      </c>
      <c r="M79" s="65" t="n"/>
      <c r="N79" s="65" t="n"/>
      <c r="O79" s="80" t="n"/>
      <c r="P79" s="80" t="n"/>
      <c r="Q79" s="65" t="n"/>
      <c r="R79" s="65" t="n"/>
      <c r="S79" s="18" t="n"/>
      <c r="T79" s="18" t="inlineStr">
        <is>
          <t>Bryan Heintz</t>
        </is>
      </c>
      <c r="U79" s="18" t="inlineStr">
        <is>
          <t>GM</t>
        </is>
      </c>
      <c r="V79" s="82" t="n"/>
      <c r="W79" s="82" t="n"/>
      <c r="X79" s="82" t="n"/>
      <c r="Y79" s="80" t="n"/>
      <c r="Z79" s="80" t="n"/>
      <c r="AA79" s="28" t="n"/>
      <c r="AB79" s="28" t="n"/>
      <c r="AC79" s="28" t="n"/>
      <c r="AD79" s="28" t="n"/>
      <c r="AE79" s="28" t="n"/>
      <c r="AF79" s="28" t="n"/>
      <c r="AG79" s="28" t="n"/>
      <c r="AH79" s="28" t="n"/>
      <c r="AI79" s="28" t="n"/>
      <c r="AJ79" s="28" t="n"/>
      <c r="AK79" s="28" t="n"/>
      <c r="AL79" s="80" t="n"/>
      <c r="AM79" s="65" t="n"/>
      <c r="AN79" s="80" t="n"/>
      <c r="AO79" s="80" t="n"/>
      <c r="AP79" s="80" t="n"/>
    </row>
    <row r="80" ht="51.75" customHeight="1" s="222">
      <c r="A80" s="28" t="inlineStr">
        <is>
          <t>Courtyard by Marriott Mesa at Wrigleyville West</t>
        </is>
      </c>
      <c r="B80" s="8" t="inlineStr">
        <is>
          <t>Hotel</t>
        </is>
      </c>
      <c r="C80" s="8" t="n"/>
      <c r="D80" s="28" t="inlineStr">
        <is>
          <t>2224 W Rio Salado Pkwy, Mesa, AZ 85201</t>
        </is>
      </c>
      <c r="E80" s="8" t="inlineStr">
        <is>
          <t>Mesa</t>
        </is>
      </c>
      <c r="F80" s="8">
        <f>14805908000</f>
        <v/>
      </c>
      <c r="G80" s="20" t="inlineStr">
        <is>
          <t>https://www.marriott.com/en-us/hotels/phxce-courtyard-mesa-at-wrigleyville-west/overview/?scid=f2ae0541-1279-4f24-b197-a979c79310b0</t>
        </is>
      </c>
      <c r="H80" s="80" t="inlineStr">
        <is>
          <t>Free</t>
        </is>
      </c>
      <c r="I80" s="88" t="inlineStr">
        <is>
          <t>No Valet</t>
        </is>
      </c>
      <c r="J80" s="28" t="n">
        <v>129</v>
      </c>
      <c r="K80" s="34" t="n">
        <v>1</v>
      </c>
      <c r="L80" s="45" t="n">
        <v>6</v>
      </c>
      <c r="M80" s="65" t="n"/>
      <c r="N80" s="65" t="n"/>
      <c r="O80" s="65" t="n"/>
      <c r="P80" s="65" t="n"/>
      <c r="Q80" s="65" t="n"/>
      <c r="R80" s="65" t="n"/>
      <c r="S80" s="18" t="n"/>
      <c r="T80" s="18" t="inlineStr">
        <is>
          <t>Charles Barron</t>
        </is>
      </c>
      <c r="U80" s="18" t="inlineStr">
        <is>
          <t>GM</t>
        </is>
      </c>
      <c r="V80" s="18" t="n"/>
      <c r="W80" s="18" t="n"/>
      <c r="X80" s="18" t="n"/>
      <c r="Y80" s="65" t="n"/>
      <c r="Z80" s="65" t="n"/>
      <c r="AA80" s="28" t="n"/>
      <c r="AB80" s="28" t="n"/>
      <c r="AC80" s="28" t="n"/>
      <c r="AD80" s="28" t="n"/>
      <c r="AE80" s="28" t="n"/>
      <c r="AF80" s="28" t="n"/>
      <c r="AG80" s="28" t="n"/>
      <c r="AH80" s="28" t="n"/>
      <c r="AI80" s="28" t="n"/>
      <c r="AJ80" s="28" t="n"/>
      <c r="AK80" s="28" t="n"/>
      <c r="AL80" s="65" t="n"/>
      <c r="AM80" s="65" t="n"/>
      <c r="AN80" s="65" t="n"/>
      <c r="AO80" s="65" t="n"/>
      <c r="AP80" s="65" t="n"/>
    </row>
    <row r="81" ht="51.75" customHeight="1" s="222">
      <c r="A81" s="28" t="inlineStr">
        <is>
          <t>DoubleTree by Hilton Phoenix Midtown</t>
        </is>
      </c>
      <c r="B81" s="8" t="inlineStr">
        <is>
          <t>Hotel</t>
        </is>
      </c>
      <c r="C81" s="8" t="inlineStr">
        <is>
          <t>x</t>
        </is>
      </c>
      <c r="D81" s="28" t="inlineStr">
        <is>
          <t>4000 N Central Ave, Phoenix, AZ 85012</t>
        </is>
      </c>
      <c r="E81" s="8" t="inlineStr">
        <is>
          <t>Midtown</t>
        </is>
      </c>
      <c r="F81" s="8">
        <f>16022799811</f>
        <v/>
      </c>
      <c r="G81" s="20" t="inlineStr">
        <is>
          <t>https://www.hilton.com/en/hotels/phxardt-doubletree-phoenix-midtown/?SEO_id=GMB-AMER-DT-PHXARDT&amp;y_source=1_MjA4Mzk4NS03MTUtbG9jYXRpb24ud2Vic2l0ZQ%3D%3D</t>
        </is>
      </c>
      <c r="H81" s="80" t="inlineStr">
        <is>
          <t>Free</t>
        </is>
      </c>
      <c r="I81" s="93" t="n"/>
      <c r="J81" s="8" t="n">
        <v>156</v>
      </c>
      <c r="K81" s="67" t="n">
        <v>0.3</v>
      </c>
      <c r="L81" s="65" t="n">
        <v>70</v>
      </c>
      <c r="M81" s="28" t="n"/>
      <c r="N81" s="28" t="n"/>
      <c r="O81" s="18" t="inlineStr">
        <is>
          <t>Ace Parking</t>
        </is>
      </c>
      <c r="P81" s="28" t="n"/>
      <c r="Q81" s="28" t="n"/>
      <c r="R81" s="28" t="n"/>
      <c r="S81" s="18" t="inlineStr">
        <is>
          <t>BT</t>
        </is>
      </c>
      <c r="T81" s="18" t="inlineStr">
        <is>
          <t>Jack Wright</t>
        </is>
      </c>
      <c r="U81" s="18" t="inlineStr">
        <is>
          <t>GM</t>
        </is>
      </c>
      <c r="V81" s="18" t="n"/>
      <c r="W81" s="18" t="n"/>
      <c r="X81" s="18" t="n"/>
      <c r="Y81" s="28" t="n"/>
      <c r="Z81" s="28" t="inlineStr">
        <is>
          <t>Called left voicemail</t>
        </is>
      </c>
      <c r="AA81" s="28" t="n"/>
      <c r="AB81" s="28" t="inlineStr">
        <is>
          <t>Called left voicemail</t>
        </is>
      </c>
      <c r="AC81" s="28" t="n"/>
      <c r="AD81" s="28" t="n"/>
      <c r="AE81" s="28" t="n"/>
      <c r="AF81" s="28" t="n"/>
      <c r="AG81" s="28" t="n"/>
      <c r="AH81" s="28" t="n"/>
      <c r="AI81" s="28" t="n"/>
      <c r="AJ81" s="28" t="n"/>
      <c r="AK81" s="28" t="n"/>
      <c r="AL81" s="28" t="n"/>
      <c r="AM81" s="28" t="n"/>
      <c r="AN81" s="28" t="inlineStr">
        <is>
          <t>far away self parking terrible reviews</t>
        </is>
      </c>
      <c r="AO81" s="28" t="n"/>
      <c r="AP81" s="28" t="n"/>
    </row>
    <row r="82" ht="51.75" customHeight="1" s="222">
      <c r="A82" s="28" t="inlineStr">
        <is>
          <t>Rise Uptown Hotel</t>
        </is>
      </c>
      <c r="B82" s="8" t="inlineStr">
        <is>
          <t>Hotel</t>
        </is>
      </c>
      <c r="C82" s="8" t="inlineStr">
        <is>
          <t>x</t>
        </is>
      </c>
      <c r="D82" s="28" t="inlineStr">
        <is>
          <t>400 W Camelback Rd, Phoenix, AZ 85013</t>
        </is>
      </c>
      <c r="E82" s="8" t="inlineStr">
        <is>
          <t>Midtown</t>
        </is>
      </c>
      <c r="F82" s="26" t="inlineStr">
        <is>
          <t>(480) 536-8900</t>
        </is>
      </c>
      <c r="G82" s="20" t="inlineStr">
        <is>
          <t>https://www.google.com/aclk?sa=L&amp;ai=DChsSEwj5ro-q_N2PAxULJEQIHSpsNvwYACICCAEQAxoCZHo&amp;co=1&amp;ase=2&amp;gclid=CjwKCAjwlaTGBhANEiwAoRgXBceLXnbv5QWWVKOlNKgztmJ1y-EVIQDo-MotZrLXTyDgvElFh4BMzxoCtAIQAvD_BwE&amp;ei=a7TJaOjPMfLOkPIPsJ2y4QM&amp;cce=2&amp;category=acrcp_v1_32&amp;sig=AOD64_19cjeJIWDu7MzREcj1Mnmc2ElJiA&amp;q&amp;sqi=2&amp;nis=4&amp;adurl&amp;ved=2ahUKEwiosYiq_N2PAxVyJ0QIHbCOLDwQ0Qx6BAhfEAQ</t>
        </is>
      </c>
      <c r="H82" s="80" t="inlineStr">
        <is>
          <t>Free</t>
        </is>
      </c>
      <c r="I82" s="93" t="n"/>
      <c r="J82" s="8" t="n"/>
      <c r="K82" s="67" t="n">
        <v>0.28</v>
      </c>
      <c r="L82" s="65" t="n">
        <v>29</v>
      </c>
      <c r="M82" s="69" t="n"/>
      <c r="N82" s="69" t="n"/>
      <c r="O82" s="69" t="n"/>
      <c r="P82" s="69" t="n"/>
      <c r="Q82" s="69" t="n"/>
      <c r="R82" s="69" t="n"/>
      <c r="S82" s="71" t="n"/>
      <c r="T82" s="71" t="n"/>
      <c r="U82" s="30" t="n"/>
      <c r="V82" s="71" t="n"/>
      <c r="W82" s="71" t="n"/>
      <c r="X82" s="71" t="n"/>
      <c r="Y82" s="69" t="n"/>
      <c r="Z82" s="69" t="n"/>
      <c r="AA82" s="28" t="n"/>
      <c r="AB82" s="28" t="n"/>
      <c r="AC82" s="28" t="n"/>
      <c r="AD82" s="28" t="n"/>
      <c r="AE82" s="28" t="n"/>
      <c r="AF82" s="28" t="n"/>
      <c r="AG82" s="28" t="n"/>
      <c r="AH82" s="28" t="n"/>
      <c r="AI82" s="28" t="n"/>
      <c r="AJ82" s="28" t="n"/>
      <c r="AK82" s="28" t="n"/>
      <c r="AL82" s="69" t="n"/>
      <c r="AM82" s="69" t="n"/>
      <c r="AN82" s="69" t="n"/>
      <c r="AO82" s="69" t="n"/>
      <c r="AP82" s="69" t="n"/>
    </row>
    <row r="83" ht="51.75" customHeight="1" s="222">
      <c r="A83" s="36" t="inlineStr">
        <is>
          <t>Home2 Suites by Hilton Phoenix Midtown</t>
        </is>
      </c>
      <c r="B83" s="8" t="inlineStr">
        <is>
          <t>Hotel</t>
        </is>
      </c>
      <c r="C83" s="8" t="n"/>
      <c r="D83" s="28" t="inlineStr">
        <is>
          <t>3150 N Central Ave, Phoenix, AZ 85012</t>
        </is>
      </c>
      <c r="E83" s="8" t="inlineStr">
        <is>
          <t>Midtown</t>
        </is>
      </c>
      <c r="F83" s="8">
        <f>16022773150</f>
        <v/>
      </c>
      <c r="G83" s="58" t="inlineStr">
        <is>
          <t>https://www.hilton.com/en/hotels/phxmmht-home2-suites-phoenix-midtown/?SEO_id=GMB-AMER-HT-PHXMMHT&amp;y_source=1_OTgxMzgwNzQtNzE1LWxvY2F0aW9uLndlYnNpdGU%3D</t>
        </is>
      </c>
      <c r="H83" s="80" t="n">
        <v>10</v>
      </c>
      <c r="I83" s="93" t="n"/>
      <c r="J83" s="28" t="n">
        <v>103</v>
      </c>
      <c r="K83" s="34" t="n">
        <v>0.18</v>
      </c>
      <c r="L83" s="65" t="n">
        <v>6</v>
      </c>
      <c r="M83" s="65" t="n"/>
      <c r="N83" s="65" t="n"/>
      <c r="O83" s="65" t="n"/>
      <c r="P83" s="65" t="n"/>
      <c r="Q83" s="65" t="n"/>
      <c r="R83" s="65" t="n"/>
      <c r="S83" s="18" t="n"/>
      <c r="T83" s="18" t="inlineStr">
        <is>
          <t>Patricia Manzanares</t>
        </is>
      </c>
      <c r="U83" s="18" t="inlineStr">
        <is>
          <t>Dual GM</t>
        </is>
      </c>
      <c r="V83" s="18" t="inlineStr">
        <is>
          <t>Patricia.manzanares@hilton.com</t>
        </is>
      </c>
      <c r="W83" s="18" t="n"/>
      <c r="X83" s="18" t="n"/>
      <c r="Y83" s="65" t="n"/>
      <c r="Z83" s="65" t="inlineStr">
        <is>
          <t>Called again after first time, spoke with her, they haven't gotten valet approved yet to but has my contact written down</t>
        </is>
      </c>
      <c r="AA83" s="28" t="n"/>
      <c r="AB83" s="28" t="n"/>
      <c r="AC83" s="28" t="n"/>
      <c r="AD83" s="28" t="n"/>
      <c r="AE83" s="28" t="n"/>
      <c r="AF83" s="28" t="n"/>
      <c r="AG83" s="28" t="n"/>
      <c r="AH83" s="28" t="n"/>
      <c r="AI83" s="28" t="n"/>
      <c r="AJ83" s="28" t="n"/>
      <c r="AK83" s="28" t="n"/>
      <c r="AL83" s="65" t="n"/>
      <c r="AM83" s="65" t="n"/>
      <c r="AN83" s="65" t="n"/>
      <c r="AO83" s="65" t="n"/>
      <c r="AP83" s="65" t="n"/>
    </row>
    <row r="84" ht="51.75" customHeight="1" s="222">
      <c r="A84" s="36" t="inlineStr">
        <is>
          <t>The Clarendon Hotel and Spa</t>
        </is>
      </c>
      <c r="B84" s="8" t="inlineStr">
        <is>
          <t>Hotel</t>
        </is>
      </c>
      <c r="C84" s="8" t="n"/>
      <c r="D84" s="28" t="inlineStr">
        <is>
          <t>401 W Clarendon Ave, Phoenix, AZ 85013</t>
        </is>
      </c>
      <c r="E84" s="8" t="inlineStr">
        <is>
          <t>Midtown</t>
        </is>
      </c>
      <c r="F84" s="8" t="n">
        <v>16022527363</v>
      </c>
      <c r="G84" s="58" t="inlineStr">
        <is>
          <t>http://www.goclarendon.com/</t>
        </is>
      </c>
      <c r="H84" s="80" t="n"/>
      <c r="I84" s="88" t="inlineStr">
        <is>
          <t>No Valet</t>
        </is>
      </c>
      <c r="J84" s="28" t="n">
        <v>105</v>
      </c>
      <c r="K84" s="34" t="n">
        <v>0.25</v>
      </c>
      <c r="L84" s="45" t="n">
        <v>130</v>
      </c>
      <c r="M84" s="65" t="n"/>
      <c r="N84" s="65" t="n"/>
      <c r="O84" s="65" t="n"/>
      <c r="P84" s="65" t="n"/>
      <c r="Q84" s="65" t="n"/>
      <c r="R84" s="65" t="n"/>
      <c r="S84" s="18" t="n"/>
      <c r="T84" s="18" t="inlineStr">
        <is>
          <t>Gill GM</t>
        </is>
      </c>
      <c r="U84" s="18" t="inlineStr">
        <is>
          <t>brent AGM</t>
        </is>
      </c>
      <c r="V84" s="18" t="inlineStr">
        <is>
          <t xml:space="preserve">brentjames@goclarendon.com </t>
        </is>
      </c>
      <c r="W84" s="18" t="n"/>
      <c r="X84" s="18" t="n"/>
      <c r="Y84" s="65" t="n"/>
      <c r="Z84" s="65" t="inlineStr">
        <is>
          <t>said no and i was like total understand, usually for smaller hotels they dont need valet but sometimes they want it to improve service, generate more money, improve reviews etc. gained his interest by disarminig and he ended up asking for more info</t>
        </is>
      </c>
      <c r="AA84" s="28" t="n"/>
      <c r="AB84" s="28" t="n"/>
      <c r="AC84" s="28" t="n"/>
      <c r="AD84" s="28" t="n"/>
      <c r="AE84" s="28" t="n"/>
      <c r="AF84" s="28" t="n"/>
      <c r="AG84" s="28" t="n"/>
      <c r="AH84" s="28" t="n"/>
      <c r="AI84" s="28" t="n"/>
      <c r="AJ84" s="28" t="n"/>
      <c r="AK84" s="28" t="n"/>
      <c r="AL84" s="65" t="n"/>
      <c r="AM84" s="65" t="n"/>
      <c r="AN84" s="65" t="n"/>
      <c r="AO84" s="65" t="n"/>
      <c r="AP84" s="65" t="n"/>
    </row>
    <row r="85" ht="51.75" customHeight="1" s="222">
      <c r="A85" s="28" t="inlineStr">
        <is>
          <t>Fairfield Inn &amp; Suites Phoenix Midtown</t>
        </is>
      </c>
      <c r="B85" s="8" t="inlineStr">
        <is>
          <t>Hotel</t>
        </is>
      </c>
      <c r="C85" s="8" t="n"/>
      <c r="D85" s="28" t="inlineStr">
        <is>
          <t>2520 N Central Ave, Phoenix, AZ 85004</t>
        </is>
      </c>
      <c r="E85" s="8" t="inlineStr">
        <is>
          <t>Midtown</t>
        </is>
      </c>
      <c r="F85" s="8" t="inlineStr">
        <is>
          <t>(602) 716-9900</t>
        </is>
      </c>
      <c r="G85" s="20" t="inlineStr">
        <is>
          <t>https://www.marriott.com/en-us/hotels/phxas-fairfield-inn-and-suites-phoenix-midtown/overview/?scid=f2ae0541-1279-4f24-b197-a979c79310b0</t>
        </is>
      </c>
      <c r="H85" s="80" t="n">
        <v>7</v>
      </c>
      <c r="I85" s="93" t="inlineStr">
        <is>
          <t>No Valet</t>
        </is>
      </c>
      <c r="J85" s="28" t="n">
        <v>107</v>
      </c>
      <c r="K85" s="34" t="n">
        <v>0.58</v>
      </c>
      <c r="L85" s="65" t="n">
        <v>24</v>
      </c>
      <c r="M85" s="65" t="n"/>
      <c r="N85" s="65" t="n"/>
      <c r="O85" s="65" t="n"/>
      <c r="P85" s="65" t="n"/>
      <c r="Q85" s="65" t="n"/>
      <c r="R85" s="65" t="n"/>
      <c r="S85" s="18" t="n"/>
      <c r="T85" s="18" t="inlineStr">
        <is>
          <t>Kassie Maloney</t>
        </is>
      </c>
      <c r="U85" s="18" t="inlineStr">
        <is>
          <t>GM</t>
        </is>
      </c>
      <c r="V85" s="18" t="n"/>
      <c r="W85" s="18" t="n"/>
      <c r="X85" s="18" t="n"/>
      <c r="Y85" s="65" t="n"/>
      <c r="Z85" s="65" t="n"/>
      <c r="AA85" s="28" t="n"/>
      <c r="AB85" s="28" t="n"/>
      <c r="AC85" s="28" t="n"/>
      <c r="AD85" s="28" t="n"/>
      <c r="AE85" s="28" t="n"/>
      <c r="AF85" s="28" t="n"/>
      <c r="AG85" s="28" t="n"/>
      <c r="AH85" s="28" t="n"/>
      <c r="AI85" s="28" t="n"/>
      <c r="AJ85" s="28" t="n"/>
      <c r="AK85" s="28" t="n"/>
      <c r="AL85" s="65" t="n"/>
      <c r="AM85" s="65" t="n"/>
      <c r="AN85" s="65" t="n"/>
      <c r="AO85" s="65" t="n"/>
      <c r="AP85" s="65" t="n"/>
    </row>
    <row r="86" ht="51.75" customHeight="1" s="222">
      <c r="A86" s="28" t="inlineStr">
        <is>
          <t>Hilton Garden Inn Phoenix Midtown</t>
        </is>
      </c>
      <c r="B86" s="8" t="inlineStr">
        <is>
          <t>Hotel</t>
        </is>
      </c>
      <c r="C86" s="8" t="n"/>
      <c r="D86" s="28" t="inlineStr">
        <is>
          <t>4000 N Central Ave, Phoenix, AZ 85012</t>
        </is>
      </c>
      <c r="E86" s="8" t="inlineStr">
        <is>
          <t>Midtown</t>
        </is>
      </c>
      <c r="F86" s="8">
        <f>16022799811</f>
        <v/>
      </c>
      <c r="G86" s="58" t="inlineStr">
        <is>
          <t>https://www.hilton.com/en/hotels/phxmdgi-hilton-garden-inn-phoenix-midtown/?SEO_id=GMB-AMER-GI-PHXMDGI&amp;y_source=1_MjA4Mzk4NS03MTUtbG9jYXRpb24ud2Vic2l0ZQ%3D%3D</t>
        </is>
      </c>
      <c r="H86" s="80" t="n"/>
      <c r="I86" s="93" t="n"/>
      <c r="J86" s="8" t="n">
        <v>156</v>
      </c>
      <c r="K86" s="67" t="n"/>
      <c r="L86" s="65" t="n"/>
      <c r="M86" s="69" t="n"/>
      <c r="N86" s="69" t="n"/>
      <c r="O86" s="69" t="n"/>
      <c r="P86" s="69" t="n"/>
      <c r="Q86" s="69" t="n"/>
      <c r="R86" s="69" t="n"/>
      <c r="S86" s="71" t="n"/>
      <c r="T86" s="71" t="n"/>
      <c r="U86" s="30" t="n"/>
      <c r="V86" s="71" t="n"/>
      <c r="W86" s="71" t="n"/>
      <c r="X86" s="71" t="n"/>
      <c r="Y86" s="69" t="n"/>
      <c r="Z86" s="69" t="n"/>
      <c r="AA86" s="28" t="n"/>
      <c r="AB86" s="28" t="n"/>
      <c r="AC86" s="28" t="n"/>
      <c r="AD86" s="28" t="n"/>
      <c r="AE86" s="28" t="n"/>
      <c r="AF86" s="28" t="n"/>
      <c r="AG86" s="28" t="n"/>
      <c r="AH86" s="28" t="n"/>
      <c r="AI86" s="28" t="n"/>
      <c r="AJ86" s="28" t="n"/>
      <c r="AK86" s="28" t="n"/>
      <c r="AL86" s="69" t="n"/>
      <c r="AM86" s="69" t="n"/>
      <c r="AN86" s="69" t="n"/>
      <c r="AO86" s="69" t="n"/>
      <c r="AP86" s="69" t="n"/>
    </row>
    <row r="87" ht="51.75" customHeight="1" s="222">
      <c r="A87" s="64" t="inlineStr">
        <is>
          <t>JW Marriott Phoenix Desert Ridge Resort &amp; Spa</t>
        </is>
      </c>
      <c r="B87" s="8" t="inlineStr">
        <is>
          <t>Hotel</t>
        </is>
      </c>
      <c r="C87" s="8" t="inlineStr">
        <is>
          <t>x</t>
        </is>
      </c>
      <c r="D87" s="28" t="inlineStr">
        <is>
          <t>5350 E Marriott Dr, Phoenix, AZ 85054</t>
        </is>
      </c>
      <c r="E87" s="8" t="inlineStr">
        <is>
          <t>North Scottsdale</t>
        </is>
      </c>
      <c r="F87" s="8" t="n">
        <v>14802935000</v>
      </c>
      <c r="G87" s="58" t="inlineStr">
        <is>
          <t>https://www.marriott.com/en-us/hotels/phxdr-jw-marriott-phoenix-desert-ridge-resort-and-spa/overview/?scid=f2ae0541-1279-4f24-b197-a979c79310b0</t>
        </is>
      </c>
      <c r="H87" s="80" t="n">
        <v>29</v>
      </c>
      <c r="I87" s="88" t="n">
        <v>46</v>
      </c>
      <c r="J87" s="28" t="n">
        <v>950</v>
      </c>
      <c r="K87" s="34" t="n">
        <v>0.34</v>
      </c>
      <c r="L87" s="45" t="n">
        <v>154</v>
      </c>
      <c r="M87" s="65" t="n"/>
      <c r="N87" s="65" t="n"/>
      <c r="O87" s="65" t="n"/>
      <c r="P87" s="65" t="n"/>
      <c r="Q87" s="65" t="n"/>
      <c r="R87" s="65" t="n"/>
      <c r="S87" s="18" t="n"/>
      <c r="T87" s="18" t="inlineStr">
        <is>
          <t>Paige Lund</t>
        </is>
      </c>
      <c r="U87" s="18" t="inlineStr">
        <is>
          <t>paige-GM, Connie-asst</t>
        </is>
      </c>
      <c r="V87" s="18" t="inlineStr">
        <is>
          <t>Connie.ogden@marriott.com</t>
        </is>
      </c>
      <c r="W87" s="18" t="n"/>
      <c r="X87" s="18" t="n"/>
      <c r="Y87" s="65" t="n"/>
      <c r="Z87" s="65" t="inlineStr">
        <is>
          <t>spoke with connie, shes going to push our information to the right person who oversees valet and parking</t>
        </is>
      </c>
      <c r="AA87" s="28" t="n"/>
      <c r="AB87" s="28" t="n"/>
      <c r="AC87" s="28" t="n"/>
      <c r="AD87" s="28" t="n"/>
      <c r="AE87" s="28" t="n"/>
      <c r="AF87" s="28" t="n"/>
      <c r="AG87" s="28" t="n"/>
      <c r="AH87" s="28" t="n"/>
      <c r="AI87" s="28" t="n"/>
      <c r="AJ87" s="28" t="n"/>
      <c r="AK87" s="28" t="n"/>
      <c r="AL87" s="65" t="n"/>
      <c r="AM87" s="65" t="n"/>
      <c r="AN87" s="65" t="n"/>
      <c r="AO87" s="65" t="n"/>
      <c r="AP87" s="65" t="n"/>
    </row>
    <row r="88" ht="51.75" customHeight="1" s="222">
      <c r="A88" s="28" t="inlineStr">
        <is>
          <t>Marriott's Canyon Villas</t>
        </is>
      </c>
      <c r="B88" s="8" t="inlineStr">
        <is>
          <t>Hotel</t>
        </is>
      </c>
      <c r="C88" s="8" t="n"/>
      <c r="D88" s="28" t="inlineStr">
        <is>
          <t>5220 E Marriott Dr, Phoenix, AZ 85054</t>
        </is>
      </c>
      <c r="E88" s="8" t="inlineStr">
        <is>
          <t>North Scottsdale</t>
        </is>
      </c>
      <c r="F88" s="8" t="n">
        <v>14806293200</v>
      </c>
      <c r="G88" s="58" t="inlineStr">
        <is>
          <t>https://www.marriott.com/en-us/hotels/phxcv-marriotts-canyon-villas/overview/?scid=f2ae0541-1279-4f24-b197-a979c79310b0</t>
        </is>
      </c>
      <c r="H88" s="80" t="n">
        <v>25</v>
      </c>
      <c r="I88" s="88" t="inlineStr">
        <is>
          <t>No Valet</t>
        </is>
      </c>
      <c r="J88" s="28" t="n">
        <v>252</v>
      </c>
      <c r="K88" s="34" t="n">
        <v>0.5</v>
      </c>
      <c r="L88" s="45" t="n">
        <v>20</v>
      </c>
      <c r="M88" s="65" t="n"/>
      <c r="N88" s="65" t="n"/>
      <c r="O88" s="65" t="n"/>
      <c r="P88" s="65" t="n"/>
      <c r="Q88" s="65" t="n"/>
      <c r="R88" s="65" t="n"/>
      <c r="S88" s="18" t="n"/>
      <c r="T88" s="18" t="inlineStr">
        <is>
          <t>Sue Tan</t>
        </is>
      </c>
      <c r="U88" s="30" t="n"/>
      <c r="V88" s="18" t="n"/>
      <c r="W88" s="18" t="n"/>
      <c r="X88" s="18" t="n"/>
      <c r="Y88" s="65" t="n"/>
      <c r="Z88" s="65" t="n"/>
      <c r="AA88" s="28" t="n"/>
      <c r="AB88" s="28" t="n"/>
      <c r="AC88" s="28" t="n"/>
      <c r="AD88" s="28" t="n"/>
      <c r="AE88" s="28" t="n"/>
      <c r="AF88" s="28" t="n"/>
      <c r="AG88" s="28" t="n"/>
      <c r="AH88" s="28" t="n"/>
      <c r="AI88" s="28" t="n"/>
      <c r="AJ88" s="28" t="n"/>
      <c r="AK88" s="28" t="n"/>
      <c r="AL88" s="65" t="n"/>
      <c r="AM88" s="65" t="n"/>
      <c r="AN88" s="65" t="n"/>
      <c r="AO88" s="65" t="n"/>
      <c r="AP88" s="65" t="n"/>
    </row>
    <row r="89" ht="51.75" customHeight="1" s="222">
      <c r="A89" s="28" t="inlineStr">
        <is>
          <t>Fairmont Gold Lounge</t>
        </is>
      </c>
      <c r="B89" s="28" t="inlineStr">
        <is>
          <t>Hotel</t>
        </is>
      </c>
      <c r="C89" s="8" t="n"/>
      <c r="D89" s="28" t="inlineStr">
        <is>
          <t>7600 E Hartford Dr, Scottsdale, AZ 85255</t>
        </is>
      </c>
      <c r="E89" s="8" t="inlineStr">
        <is>
          <t>North Scottsdale</t>
        </is>
      </c>
      <c r="F89" s="8">
        <f>14805854848</f>
        <v/>
      </c>
      <c r="G89" s="20" t="inlineStr">
        <is>
          <t>https://www.fairmont.com/en/fairmont-gold.html</t>
        </is>
      </c>
      <c r="H89" s="80" t="n"/>
      <c r="I89" s="88" t="n"/>
      <c r="J89" s="28" t="n"/>
      <c r="K89" s="34" t="n"/>
      <c r="L89" s="65" t="n"/>
      <c r="M89" s="65" t="n"/>
      <c r="N89" s="65" t="n"/>
      <c r="O89" s="65" t="n"/>
      <c r="P89" s="65" t="n"/>
      <c r="Q89" s="65" t="n"/>
      <c r="R89" s="65" t="n"/>
      <c r="S89" s="18" t="n"/>
      <c r="T89" s="18" t="n"/>
      <c r="U89" s="30" t="n"/>
      <c r="V89" s="18" t="n"/>
      <c r="W89" s="18" t="n"/>
      <c r="X89" s="18" t="n"/>
      <c r="Y89" s="65" t="n"/>
      <c r="Z89" s="65" t="n"/>
      <c r="AA89" s="28" t="n"/>
      <c r="AB89" s="28" t="n"/>
      <c r="AC89" s="28" t="n"/>
      <c r="AD89" s="28" t="n"/>
      <c r="AE89" s="28" t="n"/>
      <c r="AF89" s="28" t="n"/>
      <c r="AG89" s="28" t="n"/>
      <c r="AH89" s="28" t="n"/>
      <c r="AI89" s="28" t="n"/>
      <c r="AJ89" s="28" t="n"/>
      <c r="AK89" s="28" t="n"/>
      <c r="AL89" s="65" t="n"/>
      <c r="AM89" s="65" t="n"/>
      <c r="AN89" s="65" t="n"/>
      <c r="AO89" s="65" t="n"/>
      <c r="AP89" s="65" t="n"/>
    </row>
    <row r="90" ht="51.75" customHeight="1" s="222">
      <c r="A90" s="28" t="inlineStr">
        <is>
          <t>AC Hotel Scottsdale North</t>
        </is>
      </c>
      <c r="B90" s="8" t="inlineStr">
        <is>
          <t>Hotel</t>
        </is>
      </c>
      <c r="C90" s="8" t="inlineStr">
        <is>
          <t>x</t>
        </is>
      </c>
      <c r="D90" s="28" t="inlineStr">
        <is>
          <t>15200 N Kierland Blvd, Scottsdale, AZ 85254</t>
        </is>
      </c>
      <c r="E90" s="8" t="inlineStr">
        <is>
          <t>Scottsdale</t>
        </is>
      </c>
      <c r="F90" s="8" t="n">
        <v>14806075555</v>
      </c>
      <c r="G90" s="20" t="inlineStr">
        <is>
          <t>https://www.marriott.com/en-us/hotels/phxax-ac-hotel-scottsdale-north/overview/?scid=f2ae0541-1279-4f24-b197-a979c79310b0</t>
        </is>
      </c>
      <c r="H90" s="93" t="n">
        <v>29</v>
      </c>
      <c r="I90" s="88" t="inlineStr">
        <is>
          <t>No Valet</t>
        </is>
      </c>
      <c r="J90" s="28" t="n">
        <v>165</v>
      </c>
      <c r="K90" s="67" t="n">
        <v>0.24</v>
      </c>
      <c r="L90" s="28" t="n">
        <v>17</v>
      </c>
      <c r="M90" s="28" t="n"/>
      <c r="N90" s="28" t="n"/>
      <c r="O90" s="80" t="n"/>
      <c r="P90" s="80" t="n"/>
      <c r="Q90" s="28" t="n"/>
      <c r="R90" s="28" t="n"/>
      <c r="S90" s="18" t="inlineStr">
        <is>
          <t>BT</t>
        </is>
      </c>
      <c r="T90" s="18" t="inlineStr">
        <is>
          <t>Ximena Sanchez</t>
        </is>
      </c>
      <c r="U90" s="18" t="inlineStr">
        <is>
          <t>GM</t>
        </is>
      </c>
      <c r="V90" s="82" t="inlineStr">
        <is>
          <t>ximena.sanchez@marriott.com</t>
        </is>
      </c>
      <c r="W90" s="82" t="n"/>
      <c r="X90" s="82" t="n"/>
      <c r="Y90" s="80" t="n"/>
      <c r="Z90" s="28" t="inlineStr">
        <is>
          <t>called no voicemail, got email</t>
        </is>
      </c>
      <c r="AA90" s="28" t="inlineStr">
        <is>
          <t>x</t>
        </is>
      </c>
      <c r="AB90" s="28" t="inlineStr">
        <is>
          <t>called no voicemail, got email</t>
        </is>
      </c>
      <c r="AC90" s="28" t="n"/>
      <c r="AD90" s="28" t="inlineStr">
        <is>
          <t>sent email</t>
        </is>
      </c>
      <c r="AE90" s="28" t="n"/>
      <c r="AF90" s="28" t="n"/>
      <c r="AG90" s="28" t="n"/>
      <c r="AH90" s="28" t="n"/>
      <c r="AI90" s="28" t="n"/>
      <c r="AJ90" s="28" t="n"/>
      <c r="AK90" s="28" t="n"/>
      <c r="AL90" s="80" t="n"/>
      <c r="AM90" s="28" t="n"/>
      <c r="AN90" s="80" t="n"/>
      <c r="AO90" s="80" t="n"/>
      <c r="AP90" s="80" t="n"/>
    </row>
    <row r="91" ht="51.75" customHeight="1" s="222">
      <c r="A91" s="36" t="inlineStr">
        <is>
          <t>Courtyard Scottsdale Old Town</t>
        </is>
      </c>
      <c r="B91" s="8" t="inlineStr">
        <is>
          <t>Hotel</t>
        </is>
      </c>
      <c r="C91" s="8" t="inlineStr">
        <is>
          <t>x</t>
        </is>
      </c>
      <c r="D91" s="75" t="inlineStr">
        <is>
          <t>3311 N Scottsdale Rd, Scottsdale, AZ 85251</t>
        </is>
      </c>
      <c r="E91" s="8" t="inlineStr">
        <is>
          <t>Scottsdale</t>
        </is>
      </c>
      <c r="F91" s="8">
        <f>14804297785</f>
        <v/>
      </c>
      <c r="G91" s="76" t="inlineStr">
        <is>
          <t>https://www.marriott.com/en-us/hotels/phxsc-courtyard-scottsdale-old-town/overview/?scid=f2ae0541-1279-4f24-b197-a979c79310b0</t>
        </is>
      </c>
      <c r="H91" s="88" t="n">
        <v>12</v>
      </c>
      <c r="I91" s="99" t="inlineStr">
        <is>
          <t>No Valet</t>
        </is>
      </c>
      <c r="J91" s="65" t="n">
        <v>180</v>
      </c>
      <c r="K91" s="34" t="n">
        <v>0.38</v>
      </c>
      <c r="L91" s="65" t="n">
        <v>24</v>
      </c>
      <c r="M91" s="65" t="n"/>
      <c r="N91" s="88" t="n"/>
      <c r="O91" s="80" t="n"/>
      <c r="P91" s="80" t="n"/>
      <c r="Q91" s="65" t="n"/>
      <c r="R91" s="65" t="n"/>
      <c r="S91" s="18" t="inlineStr">
        <is>
          <t>BT</t>
        </is>
      </c>
      <c r="T91" s="18" t="inlineStr">
        <is>
          <t>Victoria gm and alli (soon to be agm)</t>
        </is>
      </c>
      <c r="U91" s="18" t="n"/>
      <c r="V91" s="82" t="n"/>
      <c r="W91" s="82" t="n"/>
      <c r="X91" s="82" t="n"/>
      <c r="Y91" s="80" t="n"/>
      <c r="Z91" s="28" t="inlineStr">
        <is>
          <t>called and left voicemail.</t>
        </is>
      </c>
      <c r="AA91" s="28" t="n"/>
      <c r="AB91" s="28" t="inlineStr">
        <is>
          <t>called and left voicemail.</t>
        </is>
      </c>
      <c r="AC91" s="28" t="n"/>
      <c r="AD91" s="28" t="n"/>
      <c r="AE91" s="28" t="n"/>
      <c r="AF91" s="28" t="n"/>
      <c r="AG91" s="28" t="n"/>
      <c r="AH91" s="28" t="n"/>
      <c r="AI91" s="28" t="n"/>
      <c r="AJ91" s="28" t="n"/>
      <c r="AK91" s="28" t="n"/>
      <c r="AL91" s="80" t="n"/>
      <c r="AM91" s="88" t="n"/>
      <c r="AN91" s="80" t="n"/>
      <c r="AO91" s="80" t="n"/>
      <c r="AP91" s="80" t="n"/>
    </row>
    <row r="92" ht="51.75" customHeight="1" s="222">
      <c r="A92" s="36" t="inlineStr">
        <is>
          <t>Scottsdale Marriott Old Town</t>
        </is>
      </c>
      <c r="B92" s="8" t="inlineStr">
        <is>
          <t>Hotel</t>
        </is>
      </c>
      <c r="C92" s="8" t="inlineStr">
        <is>
          <t>x</t>
        </is>
      </c>
      <c r="D92" s="75" t="inlineStr">
        <is>
          <t>7325 E 3rd Ave, Scottsdale, AZ 85251</t>
        </is>
      </c>
      <c r="E92" s="8" t="inlineStr">
        <is>
          <t>Scottsdale</t>
        </is>
      </c>
      <c r="F92" s="8">
        <f>14809451550</f>
        <v/>
      </c>
      <c r="G92" s="76" t="inlineStr">
        <is>
          <t>https://www.marriott.com/en-us/hotels/phxst-scottsdale-marriott-old-town/overview/?scid=f2ae0541-1279-4f24-b197-a979c79310b0</t>
        </is>
      </c>
      <c r="H92" s="88" t="n">
        <v>30</v>
      </c>
      <c r="I92" s="99" t="inlineStr">
        <is>
          <t>No Valet</t>
        </is>
      </c>
      <c r="J92" s="65" t="n">
        <v>243</v>
      </c>
      <c r="K92" s="34" t="n">
        <v>0.44</v>
      </c>
      <c r="L92" s="65" t="n">
        <v>39</v>
      </c>
      <c r="M92" s="65" t="n"/>
      <c r="N92" s="88" t="n"/>
      <c r="O92" s="65" t="n"/>
      <c r="P92" s="80" t="n"/>
      <c r="Q92" s="65" t="n"/>
      <c r="R92" s="65" t="n"/>
      <c r="S92" s="18" t="inlineStr">
        <is>
          <t>BT</t>
        </is>
      </c>
      <c r="T92" s="18" t="inlineStr">
        <is>
          <t>Erica Avila &amp; Briana Naegeli</t>
        </is>
      </c>
      <c r="U92" s="18" t="inlineStr">
        <is>
          <t>Rooms operations manager &amp; GM</t>
        </is>
      </c>
      <c r="V92" s="18" t="n"/>
      <c r="W92" s="82" t="n">
        <v>4808746045</v>
      </c>
      <c r="X92" s="82" t="n"/>
      <c r="Y92" s="80" t="n"/>
      <c r="Z92" s="80" t="n"/>
      <c r="AA92" s="28" t="n"/>
      <c r="AB92" s="28" t="n"/>
      <c r="AC92" s="28" t="n"/>
      <c r="AD92" s="28" t="n"/>
      <c r="AE92" s="28" t="n"/>
      <c r="AF92" s="28" t="n"/>
      <c r="AG92" s="28" t="n"/>
      <c r="AH92" s="28" t="n"/>
      <c r="AI92" s="28" t="n"/>
      <c r="AJ92" s="28" t="n"/>
      <c r="AK92" s="28" t="n"/>
      <c r="AL92" s="65" t="n"/>
      <c r="AM92" s="88" t="n"/>
      <c r="AN92" s="80" t="n"/>
      <c r="AO92" s="80" t="n"/>
      <c r="AP92" s="80" t="n"/>
    </row>
    <row r="93" ht="51.75" customHeight="1" s="222">
      <c r="A93" s="28" t="inlineStr">
        <is>
          <t>The Monarch</t>
        </is>
      </c>
      <c r="B93" s="8" t="inlineStr">
        <is>
          <t>Hotel</t>
        </is>
      </c>
      <c r="C93" s="8" t="n"/>
      <c r="D93" s="75" t="inlineStr">
        <is>
          <t>4000 N Drinkwater Blvd, Scottsdale, AZ 85251</t>
        </is>
      </c>
      <c r="E93" s="8" t="inlineStr">
        <is>
          <t>Scottsdale</t>
        </is>
      </c>
      <c r="F93" s="8">
        <f>16233527272</f>
        <v/>
      </c>
      <c r="G93" s="76" t="inlineStr">
        <is>
          <t>https://www.themonarchscottsdale.com/</t>
        </is>
      </c>
      <c r="H93" s="88" t="n">
        <v>15</v>
      </c>
      <c r="I93" s="99" t="inlineStr">
        <is>
          <t>No Valet</t>
        </is>
      </c>
      <c r="J93" s="65" t="n">
        <v>194</v>
      </c>
      <c r="K93" s="34" t="n">
        <v>0.33</v>
      </c>
      <c r="L93" s="65" t="n">
        <v>57</v>
      </c>
      <c r="M93" s="65" t="n"/>
      <c r="N93" s="88" t="n"/>
      <c r="O93" s="80" t="n"/>
      <c r="P93" s="80" t="n"/>
      <c r="Q93" s="65" t="n"/>
      <c r="R93" s="65" t="n"/>
      <c r="S93" s="18" t="inlineStr">
        <is>
          <t>BT</t>
        </is>
      </c>
      <c r="T93" s="18" t="inlineStr">
        <is>
          <t>Nate Lopez GM Bryce Milller AGM</t>
        </is>
      </c>
      <c r="U93" s="18" t="n"/>
      <c r="V93" s="82" t="n"/>
      <c r="W93" s="82" t="n"/>
      <c r="X93" s="82" t="n"/>
      <c r="Y93" s="80" t="n"/>
      <c r="Z93" s="80" t="inlineStr">
        <is>
          <t>said would be interested in pitching valet for events but rooms are too cheap to add valet services (had a room for $50)</t>
        </is>
      </c>
      <c r="AA93" s="28" t="n"/>
      <c r="AB93" s="28" t="n"/>
      <c r="AC93" s="28" t="n"/>
      <c r="AD93" s="28" t="n"/>
      <c r="AE93" s="28" t="n"/>
      <c r="AF93" s="28" t="n"/>
      <c r="AG93" s="28" t="n"/>
      <c r="AH93" s="28" t="n"/>
      <c r="AI93" s="28" t="n"/>
      <c r="AJ93" s="28" t="n"/>
      <c r="AK93" s="28" t="n"/>
      <c r="AL93" s="80" t="n"/>
      <c r="AM93" s="88" t="n"/>
      <c r="AN93" s="80" t="n"/>
      <c r="AO93" s="80" t="n"/>
      <c r="AP93" s="80" t="n"/>
    </row>
    <row r="94" ht="51.75" customHeight="1" s="222">
      <c r="A94" s="36" t="inlineStr">
        <is>
          <t>Hotel Adeline, Scottsdale, a Tribute Portfolio Hotel</t>
        </is>
      </c>
      <c r="B94" s="8" t="inlineStr">
        <is>
          <t>Hotel</t>
        </is>
      </c>
      <c r="C94" s="8" t="inlineStr">
        <is>
          <t>x</t>
        </is>
      </c>
      <c r="D94" s="75" t="inlineStr">
        <is>
          <t>5101 N Scottsdale Rd, Scottsdale, AZ 85250</t>
        </is>
      </c>
      <c r="E94" s="8" t="inlineStr">
        <is>
          <t>Scottsdale</t>
        </is>
      </c>
      <c r="F94" s="8">
        <f>14802847700</f>
        <v/>
      </c>
      <c r="G94" s="76" t="inlineStr">
        <is>
          <t>https://www.marriott.com/en-us/hotels/phxtx-hotel-adeline-scottsdale-a-tribute-portfolio-hotel/overview/?scid=f2ae0541-1279-4f24-b197-a979c79310b0</t>
        </is>
      </c>
      <c r="H94" s="88" t="n">
        <v>25</v>
      </c>
      <c r="I94" s="99" t="inlineStr">
        <is>
          <t>No Valet</t>
        </is>
      </c>
      <c r="J94" s="65" t="n">
        <v>213</v>
      </c>
      <c r="K94" s="34" t="n">
        <v>0.39</v>
      </c>
      <c r="L94" s="65" t="n">
        <v>38</v>
      </c>
      <c r="M94" s="65" t="n"/>
      <c r="N94" s="88" t="n"/>
      <c r="O94" s="80" t="n"/>
      <c r="P94" s="80" t="n"/>
      <c r="Q94" s="65" t="n"/>
      <c r="R94" s="65" t="n"/>
      <c r="S94" s="18" t="inlineStr">
        <is>
          <t>BT</t>
        </is>
      </c>
      <c r="T94" s="18" t="inlineStr">
        <is>
          <t>Trevor Curran</t>
        </is>
      </c>
      <c r="U94" s="18" t="inlineStr">
        <is>
          <t>GM</t>
        </is>
      </c>
      <c r="V94" s="82" t="inlineStr">
        <is>
          <t>trevor.curran@pyramidglobal.com</t>
        </is>
      </c>
      <c r="W94" s="82" t="n">
        <v>5413061305</v>
      </c>
      <c r="X94" s="82" t="n"/>
      <c r="Y94" s="80" t="n"/>
      <c r="Z94" s="80" t="inlineStr">
        <is>
          <t>1/26 just sent newemail trying to reconnect with maybe more security focus</t>
        </is>
      </c>
      <c r="AA94" s="28" t="n"/>
      <c r="AB94" s="28" t="n"/>
      <c r="AC94" s="28" t="n"/>
      <c r="AD94" s="28" t="n"/>
      <c r="AE94" s="28" t="n"/>
      <c r="AF94" s="28" t="n"/>
      <c r="AG94" s="28" t="n"/>
      <c r="AH94" s="28" t="n"/>
      <c r="AI94" s="28" t="n"/>
      <c r="AJ94" s="28" t="n"/>
      <c r="AK94" s="28" t="n"/>
      <c r="AL94" s="80" t="n"/>
      <c r="AM94" s="88" t="n"/>
      <c r="AN94" s="80" t="n"/>
      <c r="AO94" s="80" t="n"/>
      <c r="AP94" s="80" t="n"/>
    </row>
    <row r="95" ht="51.75" customHeight="1" s="222">
      <c r="A95" s="28" t="inlineStr">
        <is>
          <t>Embassy Suites by Hilton Scottsdale Resort</t>
        </is>
      </c>
      <c r="B95" s="8" t="inlineStr">
        <is>
          <t>Hotel</t>
        </is>
      </c>
      <c r="C95" s="8" t="inlineStr">
        <is>
          <t>x</t>
        </is>
      </c>
      <c r="D95" s="75" t="inlineStr">
        <is>
          <t>5001 N Scottsdale Rd, Scottsdale, AZ 85250</t>
        </is>
      </c>
      <c r="E95" s="8" t="inlineStr">
        <is>
          <t>Scottsdale</t>
        </is>
      </c>
      <c r="F95" s="8">
        <f>14809491414</f>
        <v/>
      </c>
      <c r="G95" s="76" t="inlineStr">
        <is>
          <t>https://www.hilton.com/en/hotels/scteses-embassy-suites-scottsdale-resort/?SEO_id=GMB-AMER-ES-SCTESES&amp;y_source=1_MzM1NTM1NC03MTUtbG9jYXRpb24ud2Vic2l0ZQ%3D%3D</t>
        </is>
      </c>
      <c r="H95" s="88" t="inlineStr">
        <is>
          <t>Free</t>
        </is>
      </c>
      <c r="I95" s="99" t="inlineStr">
        <is>
          <t>No Valet</t>
        </is>
      </c>
      <c r="J95" s="65" t="n">
        <v>312</v>
      </c>
      <c r="K95" s="34" t="n">
        <v>0.44</v>
      </c>
      <c r="L95" s="65" t="n">
        <v>77</v>
      </c>
      <c r="M95" s="65" t="n"/>
      <c r="N95" s="88" t="n"/>
      <c r="O95" s="80" t="n"/>
      <c r="P95" s="80" t="n"/>
      <c r="Q95" s="65" t="n"/>
      <c r="R95" s="65" t="n"/>
      <c r="S95" s="18" t="inlineStr">
        <is>
          <t>BT</t>
        </is>
      </c>
      <c r="T95" s="18" t="inlineStr">
        <is>
          <t>David Smith</t>
        </is>
      </c>
      <c r="U95" s="18" t="inlineStr">
        <is>
          <t>GM</t>
        </is>
      </c>
      <c r="V95" s="82" t="n"/>
      <c r="W95" s="82" t="n"/>
      <c r="X95" s="82" t="n"/>
      <c r="Y95" s="80" t="n"/>
      <c r="Z95" s="80" t="inlineStr">
        <is>
          <t>got off the phone with him, said give him a call back in october or november. he said theyre struggling with room ocupancy rn and want to get it back to normal before potentially starting valet services. chatted about weather and moving from midwest (hes from ohio)</t>
        </is>
      </c>
      <c r="AA95" s="28" t="n"/>
      <c r="AB95" s="28" t="n"/>
      <c r="AC95" s="28" t="n"/>
      <c r="AD95" s="28" t="n"/>
      <c r="AE95" s="28" t="n"/>
      <c r="AF95" s="28" t="n"/>
      <c r="AG95" s="28" t="n"/>
      <c r="AH95" s="28" t="n"/>
      <c r="AI95" s="28" t="n"/>
      <c r="AJ95" s="28" t="n"/>
      <c r="AK95" s="28" t="n"/>
      <c r="AL95" s="80" t="n"/>
      <c r="AM95" s="88" t="n"/>
      <c r="AN95" s="80" t="n"/>
      <c r="AO95" s="80" t="n"/>
      <c r="AP95" s="80" t="n"/>
    </row>
    <row r="96" ht="51.75" customHeight="1" s="222">
      <c r="A96" s="28" t="inlineStr">
        <is>
          <t>Senna House Hotel Scottsdale, Curio Collection by Hilton</t>
        </is>
      </c>
      <c r="B96" s="8" t="inlineStr">
        <is>
          <t>Hotel</t>
        </is>
      </c>
      <c r="C96" s="8" t="n"/>
      <c r="D96" s="75" t="inlineStr">
        <is>
          <t>7501 E Camelback Rd, Scottsdale, AZ 85251</t>
        </is>
      </c>
      <c r="E96" s="8" t="inlineStr">
        <is>
          <t>Scottsdale</t>
        </is>
      </c>
      <c r="F96" s="105">
        <f>14809465500</f>
        <v/>
      </c>
      <c r="G96" s="76" t="inlineStr">
        <is>
          <t>https://www.hilton.com/en/hotels/phxttqq-senna-house-hotel-scottsdale/?SEO_id=GMB-AMER-QQ-PHXTTQQ&amp;y_source=1_Mjc3Mjk2MjQtNzE1LWxvY2F0aW9uLndlYnNpdGU%3D</t>
        </is>
      </c>
      <c r="H96" s="88" t="n"/>
      <c r="I96" s="99" t="n">
        <v>40</v>
      </c>
      <c r="J96" s="65" t="n">
        <v>169</v>
      </c>
      <c r="K96" s="34" t="n">
        <v>0.5</v>
      </c>
      <c r="L96" s="65" t="n">
        <v>26</v>
      </c>
      <c r="M96" s="65" t="n"/>
      <c r="N96" s="88" t="n"/>
      <c r="O96" s="80" t="n"/>
      <c r="P96" s="80" t="inlineStr">
        <is>
          <t>Epic</t>
        </is>
      </c>
      <c r="Q96" s="65" t="n"/>
      <c r="R96" s="65" t="n"/>
      <c r="S96" s="18" t="inlineStr">
        <is>
          <t>BT</t>
        </is>
      </c>
      <c r="T96" s="18" t="inlineStr">
        <is>
          <t>Melissa Hall &amp; Sam Kavathas</t>
        </is>
      </c>
      <c r="U96" s="18" t="n"/>
      <c r="V96" s="82" t="n"/>
      <c r="W96" s="82" t="n"/>
      <c r="X96" s="82" t="n"/>
      <c r="Y96" s="80" t="n"/>
      <c r="Z96" s="80" t="inlineStr">
        <is>
          <t>said theyve had same provider from launch and likes them</t>
        </is>
      </c>
      <c r="AA96" s="28" t="n"/>
      <c r="AB96" s="28" t="n"/>
      <c r="AC96" s="28" t="n"/>
      <c r="AD96" s="28" t="n"/>
      <c r="AE96" s="28" t="n"/>
      <c r="AF96" s="28" t="n"/>
      <c r="AG96" s="28" t="n"/>
      <c r="AH96" s="28" t="n"/>
      <c r="AI96" s="28" t="n"/>
      <c r="AJ96" s="28" t="n"/>
      <c r="AK96" s="28" t="n"/>
      <c r="AL96" s="80" t="n"/>
      <c r="AM96" s="88" t="n"/>
      <c r="AN96" s="80" t="n"/>
      <c r="AO96" s="80" t="n"/>
      <c r="AP96" s="80" t="n"/>
    </row>
    <row r="97" ht="51.75" customHeight="1" s="222">
      <c r="A97" s="28" t="inlineStr">
        <is>
          <t>The REMI Scottsdale, Autograph Collection</t>
        </is>
      </c>
      <c r="B97" s="8" t="inlineStr">
        <is>
          <t>Hotel</t>
        </is>
      </c>
      <c r="C97" s="8" t="n"/>
      <c r="D97" s="75" t="inlineStr">
        <is>
          <t>4415 N Buckboard Trail, Scottsdale, AZ 85251</t>
        </is>
      </c>
      <c r="E97" s="8" t="inlineStr">
        <is>
          <t>Scottsdale</t>
        </is>
      </c>
      <c r="F97" s="105" t="inlineStr">
        <is>
          <t>1 480-770-4415</t>
        </is>
      </c>
      <c r="G97" s="76" t="inlineStr">
        <is>
          <t>https://www.marriott.com/en-us/hotels/phxda-the-remi-scottsdale-autograph-collection/overview/?scid=f2ae0541-1279-4f24-b197-a979c79310b0</t>
        </is>
      </c>
      <c r="H97" s="88" t="inlineStr">
        <is>
          <t>None</t>
        </is>
      </c>
      <c r="I97" s="99" t="inlineStr">
        <is>
          <t>Valet Only</t>
        </is>
      </c>
      <c r="J97" s="65" t="n"/>
      <c r="K97" s="34" t="n"/>
      <c r="L97" s="65" t="n"/>
      <c r="M97" s="65" t="n"/>
      <c r="N97" s="88" t="n"/>
      <c r="O97" s="80" t="n"/>
      <c r="P97" s="80" t="n"/>
      <c r="Q97" s="65" t="n"/>
      <c r="R97" s="65" t="n"/>
      <c r="S97" s="18" t="inlineStr">
        <is>
          <t>BT</t>
        </is>
      </c>
      <c r="T97" s="18" t="inlineStr">
        <is>
          <t>Beth Brainard</t>
        </is>
      </c>
      <c r="U97" s="18" t="n"/>
      <c r="V97" s="82" t="n"/>
      <c r="W97" s="82" t="n"/>
      <c r="X97" s="82" t="n"/>
      <c r="Y97" s="80" t="n"/>
      <c r="Z97" s="80" t="n"/>
      <c r="AA97" s="28" t="n"/>
      <c r="AB97" s="28" t="n"/>
      <c r="AC97" s="28" t="n"/>
      <c r="AD97" s="28" t="n"/>
      <c r="AE97" s="28" t="n"/>
      <c r="AF97" s="28" t="n"/>
      <c r="AG97" s="28" t="n"/>
      <c r="AH97" s="28" t="n"/>
      <c r="AI97" s="28" t="n"/>
      <c r="AJ97" s="28" t="n"/>
      <c r="AK97" s="28" t="n"/>
      <c r="AL97" s="80" t="n"/>
      <c r="AM97" s="88" t="n"/>
      <c r="AN97" s="80" t="n"/>
      <c r="AO97" s="80" t="n"/>
      <c r="AP97" s="80" t="n"/>
    </row>
    <row r="98" ht="51.75" customHeight="1" s="222">
      <c r="A98" s="64" t="inlineStr">
        <is>
          <t>Caesars Republic Scottsdale, a Hilton Hotel</t>
        </is>
      </c>
      <c r="B98" s="8" t="inlineStr">
        <is>
          <t>Hotel</t>
        </is>
      </c>
      <c r="C98" s="8" t="inlineStr">
        <is>
          <t>x</t>
        </is>
      </c>
      <c r="D98" s="28" t="inlineStr">
        <is>
          <t>4747 N Goldwater Blvd, Scottsdale, AZ 85251</t>
        </is>
      </c>
      <c r="E98" s="8" t="inlineStr">
        <is>
          <t>Scottsdale</t>
        </is>
      </c>
      <c r="F98" s="89" t="inlineStr">
        <is>
          <t>(480) 903-4747</t>
        </is>
      </c>
      <c r="G98" s="20" t="inlineStr">
        <is>
          <t>https://www.caesarsrepublicscottsdale.com/</t>
        </is>
      </c>
      <c r="H98" s="80" t="n">
        <v>28</v>
      </c>
      <c r="I98" s="93" t="n">
        <v>40</v>
      </c>
      <c r="J98" s="8" t="n">
        <v>265</v>
      </c>
      <c r="K98" s="67" t="n">
        <v>0.23</v>
      </c>
      <c r="L98" s="45" t="n">
        <v>22</v>
      </c>
      <c r="M98" s="69" t="n"/>
      <c r="N98" s="69" t="n"/>
      <c r="O98" s="92" t="n"/>
      <c r="P98" s="92" t="n"/>
      <c r="Q98" s="69" t="n"/>
      <c r="R98" s="69" t="n"/>
      <c r="S98" s="71" t="n"/>
      <c r="T98" s="71" t="inlineStr">
        <is>
          <t>Ryan Kirby</t>
        </is>
      </c>
      <c r="U98" s="18" t="inlineStr">
        <is>
          <t>GM</t>
        </is>
      </c>
      <c r="V98" s="106" t="inlineStr">
        <is>
          <t>Ryan.kirby@hilton.com</t>
        </is>
      </c>
      <c r="W98" s="71" t="n"/>
      <c r="X98" s="71" t="n"/>
      <c r="Y98" s="69" t="n"/>
      <c r="Z98" s="92" t="inlineStr">
        <is>
          <t>emailed ryan and left vm</t>
        </is>
      </c>
      <c r="AA98" s="28" t="n"/>
      <c r="AB98" s="28" t="n"/>
      <c r="AC98" s="28" t="n"/>
      <c r="AD98" s="28" t="n"/>
      <c r="AE98" s="28" t="n"/>
      <c r="AF98" s="28" t="n"/>
      <c r="AG98" s="28" t="n"/>
      <c r="AH98" s="28" t="n"/>
      <c r="AI98" s="28" t="n"/>
      <c r="AJ98" s="28" t="n"/>
      <c r="AK98" s="28" t="n"/>
      <c r="AL98" s="92" t="n"/>
      <c r="AM98" s="69" t="n"/>
      <c r="AN98" s="92" t="n"/>
      <c r="AO98" s="92" t="n"/>
      <c r="AP98" s="92" t="n"/>
    </row>
    <row r="99" ht="51.75" customHeight="1" s="222">
      <c r="A99" s="64" t="inlineStr">
        <is>
          <t>DoubleTree Resort by Hilton Paradise Valley-Scottsdale</t>
        </is>
      </c>
      <c r="B99" s="8" t="inlineStr">
        <is>
          <t>Hotel</t>
        </is>
      </c>
      <c r="C99" s="8" t="inlineStr">
        <is>
          <t>x</t>
        </is>
      </c>
      <c r="D99" s="75" t="inlineStr">
        <is>
          <t>5401 N Scottsdale Rd Scottsdale,Az 85250</t>
        </is>
      </c>
      <c r="E99" s="8" t="inlineStr">
        <is>
          <t>Scottsdale</t>
        </is>
      </c>
      <c r="F99" s="105" t="n">
        <v>4809475400</v>
      </c>
      <c r="G99" s="87" t="inlineStr">
        <is>
          <t>https://www.hilton.com/en/hotels/phxsjdt-doubletree-resort-paradise-valley-scottsdale/?SEO_id=GMB-AMER-DT-PHXSJDT&amp;y_source=1_MTM3Mjc3My03MTUtbG9jYXRpb24ud2Vic2l0ZQ%3D%3D</t>
        </is>
      </c>
      <c r="H99" s="88" t="inlineStr">
        <is>
          <t>Free</t>
        </is>
      </c>
      <c r="I99" s="99" t="n">
        <v>20</v>
      </c>
      <c r="J99" s="65" t="n">
        <v>378</v>
      </c>
      <c r="K99" s="34" t="n">
        <v>0.4</v>
      </c>
      <c r="L99" s="65" t="n">
        <v>75</v>
      </c>
      <c r="M99" s="65" t="n"/>
      <c r="N99" s="88" t="n"/>
      <c r="O99" s="80" t="n"/>
      <c r="P99" s="80" t="n"/>
      <c r="Q99" s="65" t="n"/>
      <c r="R99" s="65" t="n"/>
      <c r="S99" s="18" t="n"/>
      <c r="T99" s="18" t="inlineStr">
        <is>
          <t>Paul Hills</t>
        </is>
      </c>
      <c r="U99" s="18" t="inlineStr">
        <is>
          <t>GM</t>
        </is>
      </c>
      <c r="V99" s="82" t="inlineStr">
        <is>
          <t>paul.hills@hilton.com</t>
        </is>
      </c>
      <c r="W99" s="82" t="n"/>
      <c r="X99" s="82" t="n"/>
      <c r="Y99" s="80" t="n"/>
      <c r="Z99" s="69" t="inlineStr">
        <is>
          <t>emailed paul and left vm</t>
        </is>
      </c>
      <c r="AA99" s="28" t="n"/>
      <c r="AB99" s="28" t="n"/>
      <c r="AC99" s="28" t="n"/>
      <c r="AD99" s="28" t="n"/>
      <c r="AE99" s="28" t="n"/>
      <c r="AF99" s="28" t="n"/>
      <c r="AG99" s="28" t="n"/>
      <c r="AH99" s="28" t="n"/>
      <c r="AI99" s="28" t="n"/>
      <c r="AJ99" s="28" t="n"/>
      <c r="AK99" s="28" t="n"/>
      <c r="AL99" s="80" t="n"/>
      <c r="AM99" s="88" t="n"/>
      <c r="AN99" s="80" t="n"/>
      <c r="AO99" s="80" t="n"/>
      <c r="AP99" s="80" t="n"/>
    </row>
    <row r="100" ht="51.75" customHeight="1" s="222">
      <c r="A100" s="28" t="inlineStr">
        <is>
          <t>Home2 Suites by Hilton Scottsdale North</t>
        </is>
      </c>
      <c r="B100" s="8" t="inlineStr">
        <is>
          <t>Hotel</t>
        </is>
      </c>
      <c r="C100" s="8" t="n"/>
      <c r="D100" s="28" t="inlineStr">
        <is>
          <t>20001 N Scottsdale Rd, Scottsdale, AZ 85255</t>
        </is>
      </c>
      <c r="E100" s="8" t="inlineStr">
        <is>
          <t>Scottsdale</t>
        </is>
      </c>
      <c r="F100" s="105" t="n">
        <v>14807411100</v>
      </c>
      <c r="G100" s="20" t="inlineStr">
        <is>
          <t>https://www.hilton.com/en/hotels/phxtsht-home2-suites-north-scottsdale-mayo-clinic/?SEO_id=GMB-AMER-HT-PHXTSHT&amp;y_source=1_NDIyNTAwMzQtNzE1LWxvY2F0aW9uLndlYnNpdGU%3D</t>
        </is>
      </c>
      <c r="H100" s="93" t="n"/>
      <c r="I100" s="88" t="n"/>
      <c r="J100" s="28" t="n">
        <v>130</v>
      </c>
      <c r="K100" s="67" t="n">
        <v>0</v>
      </c>
      <c r="L100" s="28" t="n">
        <v>5</v>
      </c>
      <c r="M100" s="69" t="n"/>
      <c r="N100" s="93" t="n"/>
      <c r="O100" s="80" t="n"/>
      <c r="P100" s="80" t="n"/>
      <c r="Q100" s="69" t="n"/>
      <c r="R100" s="69" t="n"/>
      <c r="S100" s="71" t="n"/>
      <c r="T100" s="71" t="n"/>
      <c r="U100" s="71" t="n"/>
      <c r="V100" s="82" t="n"/>
      <c r="W100" s="82" t="n"/>
      <c r="X100" s="82" t="n"/>
      <c r="Y100" s="80" t="n"/>
      <c r="Z100" s="80" t="n"/>
      <c r="AA100" s="28" t="n"/>
      <c r="AB100" s="28" t="n"/>
      <c r="AC100" s="28" t="n"/>
      <c r="AD100" s="28" t="n"/>
      <c r="AE100" s="28" t="n"/>
      <c r="AF100" s="28" t="n"/>
      <c r="AG100" s="28" t="n"/>
      <c r="AH100" s="28" t="n"/>
      <c r="AI100" s="28" t="n"/>
      <c r="AJ100" s="28" t="n"/>
      <c r="AK100" s="28" t="n"/>
      <c r="AL100" s="80" t="n"/>
      <c r="AM100" s="93" t="n"/>
      <c r="AN100" s="80" t="n"/>
      <c r="AO100" s="80" t="n"/>
      <c r="AP100" s="80" t="n"/>
    </row>
    <row r="101" ht="51.75" customHeight="1" s="222">
      <c r="A101" s="28" t="inlineStr">
        <is>
          <t>Courtyard Scottsdale North</t>
        </is>
      </c>
      <c r="B101" s="8" t="inlineStr">
        <is>
          <t>Hotel</t>
        </is>
      </c>
      <c r="C101" s="8" t="n"/>
      <c r="D101" s="28" t="inlineStr">
        <is>
          <t>17010 N Scottsdale Rd, Scottsdale, AZ 85255</t>
        </is>
      </c>
      <c r="E101" s="8" t="inlineStr">
        <is>
          <t>Scottsdale</t>
        </is>
      </c>
      <c r="F101" s="105" t="n">
        <v>14809228400</v>
      </c>
      <c r="G101" s="20" t="inlineStr">
        <is>
          <t>https://www.marriott.com/en-us/hotels/phxcn-courtyard-scottsdale-north/overview/?scid=f2ae0541-1279-4f24-b197-a979c79310b0</t>
        </is>
      </c>
      <c r="H101" s="93" t="n">
        <v>11</v>
      </c>
      <c r="I101" s="99" t="inlineStr">
        <is>
          <t>No Valet</t>
        </is>
      </c>
      <c r="J101" s="28" t="n">
        <v>153</v>
      </c>
      <c r="K101" s="67" t="n">
        <v>0.06</v>
      </c>
      <c r="L101" s="28" t="n">
        <v>17</v>
      </c>
      <c r="M101" s="28" t="n"/>
      <c r="N101" s="28" t="n"/>
      <c r="O101" s="80" t="n"/>
      <c r="P101" s="80" t="n"/>
      <c r="Q101" s="28" t="n"/>
      <c r="R101" s="28" t="n"/>
      <c r="S101" s="18" t="n"/>
      <c r="T101" s="18" t="inlineStr">
        <is>
          <t>Tabitha Tofavaha</t>
        </is>
      </c>
      <c r="U101" s="18" t="inlineStr">
        <is>
          <t>Dual GM</t>
        </is>
      </c>
      <c r="V101" s="82" t="n"/>
      <c r="W101" s="82" t="n"/>
      <c r="X101" s="82" t="n"/>
      <c r="Y101" s="80" t="n"/>
      <c r="Z101" s="80" t="n"/>
      <c r="AA101" s="28" t="n"/>
      <c r="AB101" s="28" t="n"/>
      <c r="AC101" s="28" t="n"/>
      <c r="AD101" s="28" t="n"/>
      <c r="AE101" s="28" t="n"/>
      <c r="AF101" s="28" t="n"/>
      <c r="AG101" s="28" t="n"/>
      <c r="AH101" s="28" t="n"/>
      <c r="AI101" s="28" t="n"/>
      <c r="AJ101" s="28" t="n"/>
      <c r="AK101" s="28" t="n"/>
      <c r="AL101" s="80" t="n"/>
      <c r="AM101" s="28" t="n"/>
      <c r="AN101" s="80" t="n"/>
      <c r="AO101" s="80" t="n"/>
      <c r="AP101" s="80" t="n"/>
    </row>
    <row r="102" ht="51.75" customHeight="1" s="222">
      <c r="A102" s="28" t="inlineStr">
        <is>
          <t>Cambria Hotel Phoenix - North Scottsdale</t>
        </is>
      </c>
      <c r="B102" s="8" t="inlineStr">
        <is>
          <t>Hotel</t>
        </is>
      </c>
      <c r="C102" s="8" t="n"/>
      <c r="D102" s="28" t="inlineStr">
        <is>
          <t>4425 E Irma Ln, Phoenix, AZ 85050</t>
        </is>
      </c>
      <c r="E102" s="8" t="inlineStr">
        <is>
          <t>Scottsdale</t>
        </is>
      </c>
      <c r="F102" s="105" t="n">
        <v>14804807394</v>
      </c>
      <c r="G102" s="20" t="inlineStr">
        <is>
          <t>https://www.choicehotels.com/arizona/phoenix/cambria-hotels/az379?mc=llgoxxpx</t>
        </is>
      </c>
      <c r="H102" s="93" t="inlineStr">
        <is>
          <t>Free</t>
        </is>
      </c>
      <c r="I102" s="88" t="inlineStr">
        <is>
          <t>No Valet</t>
        </is>
      </c>
      <c r="J102" s="28" t="n">
        <v>130</v>
      </c>
      <c r="K102" s="67" t="n">
        <v>0.15</v>
      </c>
      <c r="L102" s="28" t="n">
        <v>110</v>
      </c>
      <c r="M102" s="69" t="n"/>
      <c r="N102" s="28" t="n"/>
      <c r="O102" s="80" t="n"/>
      <c r="P102" s="80" t="n"/>
      <c r="Q102" s="69" t="n"/>
      <c r="R102" s="69" t="n"/>
      <c r="S102" s="71" t="n"/>
      <c r="T102" s="71" t="n"/>
      <c r="U102" s="71" t="n"/>
      <c r="V102" s="82" t="n"/>
      <c r="W102" s="82" t="n"/>
      <c r="X102" s="82" t="n"/>
      <c r="Y102" s="80" t="n"/>
      <c r="Z102" s="80" t="n"/>
      <c r="AA102" s="28" t="n"/>
      <c r="AB102" s="28" t="n"/>
      <c r="AC102" s="28" t="n"/>
      <c r="AD102" s="28" t="n"/>
      <c r="AE102" s="28" t="n"/>
      <c r="AF102" s="28" t="n"/>
      <c r="AG102" s="28" t="n"/>
      <c r="AH102" s="28" t="n"/>
      <c r="AI102" s="28" t="n"/>
      <c r="AJ102" s="28" t="n"/>
      <c r="AK102" s="28" t="n"/>
      <c r="AL102" s="80" t="n"/>
      <c r="AM102" s="28" t="n"/>
      <c r="AN102" s="80" t="n"/>
      <c r="AO102" s="80" t="n"/>
      <c r="AP102" s="80" t="n"/>
    </row>
    <row r="103" ht="51.75" customHeight="1" s="222">
      <c r="A103" s="28" t="inlineStr">
        <is>
          <t>Great Wolf Lodge Water Park | Arizona</t>
        </is>
      </c>
      <c r="B103" s="8" t="inlineStr">
        <is>
          <t>Hotel</t>
        </is>
      </c>
      <c r="C103" s="8" t="n"/>
      <c r="D103" s="28" t="inlineStr">
        <is>
          <t>7333 N Pima Rd, Scottsdale, AZ 85258</t>
        </is>
      </c>
      <c r="E103" s="8" t="inlineStr">
        <is>
          <t>Scottsdale</t>
        </is>
      </c>
      <c r="F103" s="8">
        <f>14809489653</f>
        <v/>
      </c>
      <c r="G103" s="20" t="inlineStr">
        <is>
          <t>https://www.greatwolf.com/arizona?utm_source=google&amp;utm_medium=organic&amp;utm_campaign=gmb-arizona</t>
        </is>
      </c>
      <c r="H103" s="80" t="n">
        <v>19</v>
      </c>
      <c r="I103" s="88" t="inlineStr">
        <is>
          <t>No Valet</t>
        </is>
      </c>
      <c r="J103" s="28" t="n"/>
      <c r="K103" s="34" t="n">
        <v>0.19</v>
      </c>
      <c r="L103" s="45" t="n">
        <v>154</v>
      </c>
      <c r="M103" s="65" t="n"/>
      <c r="N103" s="65" t="n"/>
      <c r="O103" s="65" t="n"/>
      <c r="P103" s="65" t="n"/>
      <c r="Q103" s="65" t="n"/>
      <c r="R103" s="65" t="n"/>
      <c r="S103" s="18" t="n"/>
      <c r="T103" s="18" t="inlineStr">
        <is>
          <t>Scott Snofsky</t>
        </is>
      </c>
      <c r="U103" s="18" t="inlineStr">
        <is>
          <t>GM</t>
        </is>
      </c>
      <c r="V103" s="18" t="n"/>
      <c r="W103" s="18" t="n"/>
      <c r="X103" s="18" t="n"/>
      <c r="Y103" s="65" t="n"/>
      <c r="Z103" s="65" t="n"/>
      <c r="AA103" s="28" t="n"/>
      <c r="AB103" s="28" t="n"/>
      <c r="AC103" s="28" t="n"/>
      <c r="AD103" s="28" t="n"/>
      <c r="AE103" s="28" t="n"/>
      <c r="AF103" s="28" t="n"/>
      <c r="AG103" s="28" t="n"/>
      <c r="AH103" s="28" t="n"/>
      <c r="AI103" s="28" t="n"/>
      <c r="AJ103" s="28" t="n"/>
      <c r="AK103" s="28" t="n"/>
      <c r="AL103" s="65" t="n"/>
      <c r="AM103" s="65" t="n"/>
      <c r="AN103" s="65" t="n"/>
      <c r="AO103" s="65" t="n"/>
      <c r="AP103" s="65" t="n"/>
    </row>
    <row r="104" ht="51.75" customHeight="1" s="222">
      <c r="A104" s="28" t="inlineStr">
        <is>
          <t>Residence Inn Scottsdale North</t>
        </is>
      </c>
      <c r="B104" s="8" t="inlineStr">
        <is>
          <t>Hotel</t>
        </is>
      </c>
      <c r="C104" s="8" t="n"/>
      <c r="D104" s="28" t="inlineStr">
        <is>
          <t>17011 N Scottsdale Rd, Scottsdale, AZ 85255</t>
        </is>
      </c>
      <c r="E104" s="8" t="inlineStr">
        <is>
          <t>Scottsdale</t>
        </is>
      </c>
      <c r="F104" s="105" t="n">
        <v>14805634120</v>
      </c>
      <c r="G104" s="20" t="inlineStr">
        <is>
          <t>https://www.marriott.com/en-us/hotels/phxrn-residence-inn-scottsdale-north/overview/?scid=f2ae0541-1279-4f24-b197-a979c79310b0</t>
        </is>
      </c>
      <c r="H104" s="93" t="n">
        <v>11</v>
      </c>
      <c r="I104" s="94" t="inlineStr">
        <is>
          <t>No Valet</t>
        </is>
      </c>
      <c r="J104" s="28" t="n">
        <v>120</v>
      </c>
      <c r="K104" s="67" t="n">
        <v>0.3</v>
      </c>
      <c r="L104" s="28" t="n">
        <v>10</v>
      </c>
      <c r="M104" s="28" t="n"/>
      <c r="N104" s="93" t="n"/>
      <c r="O104" s="123" t="n"/>
      <c r="P104" s="123" t="n"/>
      <c r="Q104" s="28" t="n"/>
      <c r="R104" s="28" t="n"/>
      <c r="S104" s="18" t="n"/>
      <c r="T104" s="18" t="n"/>
      <c r="U104" s="18" t="n"/>
      <c r="V104" s="82" t="n"/>
      <c r="W104" s="82" t="n"/>
      <c r="X104" s="82" t="n"/>
      <c r="Y104" s="80" t="n"/>
      <c r="Z104" s="123" t="n"/>
      <c r="AA104" s="28" t="n"/>
      <c r="AB104" s="28" t="n"/>
      <c r="AC104" s="28" t="n"/>
      <c r="AD104" s="28" t="n"/>
      <c r="AE104" s="28" t="n"/>
      <c r="AF104" s="28" t="n"/>
      <c r="AG104" s="28" t="n"/>
      <c r="AH104" s="28" t="n"/>
      <c r="AI104" s="28" t="n"/>
      <c r="AJ104" s="28" t="n"/>
      <c r="AK104" s="28" t="n"/>
      <c r="AL104" s="123" t="n"/>
      <c r="AM104" s="93" t="n"/>
      <c r="AN104" s="123" t="n"/>
      <c r="AO104" s="123" t="n"/>
      <c r="AP104" s="123" t="n"/>
    </row>
    <row r="105" ht="51.75" customHeight="1" s="222">
      <c r="A105" s="28" t="inlineStr">
        <is>
          <t>Orange Tree Resort</t>
        </is>
      </c>
      <c r="B105" s="8" t="inlineStr">
        <is>
          <t>Hotel</t>
        </is>
      </c>
      <c r="C105" s="8" t="n"/>
      <c r="D105" s="28" t="inlineStr">
        <is>
          <t>10601 N 56th St, Scottsdale, AZ 85254</t>
        </is>
      </c>
      <c r="E105" s="8" t="inlineStr">
        <is>
          <t>Scottsdale</t>
        </is>
      </c>
      <c r="F105" s="8" t="inlineStr">
        <is>
          <t>(480) 948-6100</t>
        </is>
      </c>
      <c r="G105" s="20" t="inlineStr">
        <is>
          <t>https://www.extraholidays.com/scottsdale-arizona/orange-tree-resort</t>
        </is>
      </c>
      <c r="H105" s="80" t="inlineStr">
        <is>
          <t>Free</t>
        </is>
      </c>
      <c r="I105" s="93" t="inlineStr">
        <is>
          <t>No Valet</t>
        </is>
      </c>
      <c r="J105" s="8" t="n"/>
      <c r="K105" s="67" t="n">
        <v>0.3</v>
      </c>
      <c r="L105" s="65" t="n">
        <v>131</v>
      </c>
      <c r="M105" s="73" t="n"/>
      <c r="N105" s="28" t="n"/>
      <c r="O105" s="28" t="n"/>
      <c r="P105" s="28" t="n"/>
      <c r="Q105" s="73" t="n"/>
      <c r="R105" s="73" t="n"/>
      <c r="S105" s="18" t="n"/>
      <c r="T105" s="18" t="n"/>
      <c r="U105" s="50" t="n"/>
      <c r="V105" s="18" t="n"/>
      <c r="W105" s="18" t="n"/>
      <c r="X105" s="18" t="n"/>
      <c r="Y105" s="28" t="n"/>
      <c r="Z105" s="28" t="n"/>
      <c r="AA105" s="28" t="n"/>
      <c r="AB105" s="28" t="n"/>
      <c r="AC105" s="28" t="n"/>
      <c r="AD105" s="28" t="n"/>
      <c r="AE105" s="28" t="n"/>
      <c r="AF105" s="28" t="n"/>
      <c r="AG105" s="28" t="n"/>
      <c r="AH105" s="28" t="n"/>
      <c r="AI105" s="28" t="n"/>
      <c r="AJ105" s="28" t="n"/>
      <c r="AK105" s="28" t="n"/>
      <c r="AL105" s="28" t="n"/>
      <c r="AM105" s="28" t="n"/>
      <c r="AN105" s="28" t="n"/>
      <c r="AO105" s="28" t="n"/>
      <c r="AP105" s="28" t="n"/>
    </row>
    <row r="106" ht="51.75" customHeight="1" s="222">
      <c r="A106" s="28" t="inlineStr">
        <is>
          <t>The Westin Kierland Resort &amp; Spa</t>
        </is>
      </c>
      <c r="B106" s="8" t="inlineStr">
        <is>
          <t>Hotel</t>
        </is>
      </c>
      <c r="C106" s="8" t="n"/>
      <c r="D106" s="75" t="inlineStr">
        <is>
          <t>6902 E Greenway Pkwy, Scottsdale, AZ 85254</t>
        </is>
      </c>
      <c r="E106" s="8" t="inlineStr">
        <is>
          <t>Scottsdale</t>
        </is>
      </c>
      <c r="F106" s="8" t="n">
        <v>14806241000</v>
      </c>
      <c r="G106" s="87" t="inlineStr">
        <is>
          <t>https://www.marriott.com/en-us/hotels/phxws-the-westin-kierland-resort-and-spa/overview/?scid=f2ae0541-1279-4f24-b197-a979c79310b0</t>
        </is>
      </c>
      <c r="H106" s="88" t="n">
        <v>29</v>
      </c>
      <c r="I106" s="99" t="n">
        <v>40</v>
      </c>
      <c r="J106" s="65" t="n">
        <v>735</v>
      </c>
      <c r="K106" s="34" t="n">
        <v>0.34</v>
      </c>
      <c r="L106" s="65" t="n">
        <v>87</v>
      </c>
      <c r="M106" s="65" t="n"/>
      <c r="N106" s="88" t="n"/>
      <c r="O106" s="80" t="n"/>
      <c r="P106" s="80" t="n"/>
      <c r="Q106" s="65" t="n"/>
      <c r="R106" s="65" t="n"/>
      <c r="S106" s="18" t="n"/>
      <c r="T106" s="18" t="inlineStr">
        <is>
          <t>Derek Ellis</t>
        </is>
      </c>
      <c r="U106" s="18" t="inlineStr">
        <is>
          <t>GM</t>
        </is>
      </c>
      <c r="V106" s="82" t="n"/>
      <c r="W106" s="82" t="n"/>
      <c r="X106" s="82" t="n"/>
      <c r="Y106" s="80" t="n"/>
      <c r="Z106" s="80" t="n"/>
      <c r="AA106" s="28" t="n"/>
      <c r="AB106" s="28" t="n"/>
      <c r="AC106" s="28" t="n"/>
      <c r="AD106" s="28" t="n"/>
      <c r="AE106" s="28" t="n"/>
      <c r="AF106" s="28" t="n"/>
      <c r="AG106" s="28" t="n"/>
      <c r="AH106" s="28" t="n"/>
      <c r="AI106" s="28" t="n"/>
      <c r="AJ106" s="28" t="n"/>
      <c r="AK106" s="28" t="n"/>
      <c r="AL106" s="80" t="n"/>
      <c r="AM106" s="88" t="n"/>
      <c r="AN106" s="80" t="n"/>
      <c r="AO106" s="80" t="n"/>
      <c r="AP106" s="80" t="n"/>
    </row>
    <row r="107" ht="51.75" customHeight="1" s="222">
      <c r="A107" s="28" t="inlineStr">
        <is>
          <t>Fairmont Scottsdale Princess</t>
        </is>
      </c>
      <c r="B107" s="8" t="inlineStr">
        <is>
          <t>Hotel</t>
        </is>
      </c>
      <c r="C107" s="8" t="n"/>
      <c r="D107" s="75" t="inlineStr">
        <is>
          <t>7575 E Princess Dr, Scottsdale, AZ 85255</t>
        </is>
      </c>
      <c r="E107" s="8" t="inlineStr">
        <is>
          <t>Scottsdale</t>
        </is>
      </c>
      <c r="F107" s="105" t="inlineStr">
        <is>
          <t>480.585.4848</t>
        </is>
      </c>
      <c r="G107" s="87" t="inlineStr">
        <is>
          <t>https://www.scottsdaleprincess.com/faqs</t>
        </is>
      </c>
      <c r="H107" s="88" t="n">
        <v>28</v>
      </c>
      <c r="I107" s="96" t="n">
        <v>40</v>
      </c>
      <c r="J107" s="65" t="n">
        <v>750</v>
      </c>
      <c r="K107" s="34" t="n">
        <v>0.36</v>
      </c>
      <c r="L107" s="65" t="n">
        <v>177</v>
      </c>
      <c r="M107" s="65" t="n"/>
      <c r="N107" s="88" t="n"/>
      <c r="O107" s="80" t="n"/>
      <c r="P107" s="80" t="n"/>
      <c r="Q107" s="65" t="n"/>
      <c r="R107" s="65" t="n"/>
      <c r="S107" s="18" t="n"/>
      <c r="T107" s="18" t="inlineStr">
        <is>
          <t>Jack Miller</t>
        </is>
      </c>
      <c r="U107" s="18" t="n"/>
      <c r="V107" s="82" t="n"/>
      <c r="W107" s="82" t="n"/>
      <c r="X107" s="82" t="n"/>
      <c r="Y107" s="80" t="n"/>
      <c r="Z107" s="80" t="n"/>
      <c r="AA107" s="28" t="n"/>
      <c r="AB107" s="28" t="n"/>
      <c r="AC107" s="28" t="n"/>
      <c r="AD107" s="28" t="n"/>
      <c r="AE107" s="28" t="n"/>
      <c r="AF107" s="28" t="n"/>
      <c r="AG107" s="28" t="n"/>
      <c r="AH107" s="28" t="n"/>
      <c r="AI107" s="28" t="n"/>
      <c r="AJ107" s="28" t="n"/>
      <c r="AK107" s="28" t="n"/>
      <c r="AL107" s="80" t="n"/>
      <c r="AM107" s="88" t="n"/>
      <c r="AN107" s="80" t="n"/>
      <c r="AO107" s="80" t="n"/>
      <c r="AP107" s="80" t="n"/>
    </row>
    <row r="108" ht="51.75" customHeight="1" s="222">
      <c r="A108" s="28" t="inlineStr">
        <is>
          <t>Grand Hyatt Scottsdale Resort</t>
        </is>
      </c>
      <c r="B108" s="8" t="inlineStr">
        <is>
          <t>Hotel</t>
        </is>
      </c>
      <c r="C108" s="8" t="n"/>
      <c r="D108" s="75" t="inlineStr">
        <is>
          <t>7500 E Doubletree Ranch Rd, Scottsdale, AZ 85258</t>
        </is>
      </c>
      <c r="E108" s="8" t="inlineStr">
        <is>
          <t>Scottsdale</t>
        </is>
      </c>
      <c r="F108" s="8" t="n">
        <v>14804441234</v>
      </c>
      <c r="G108" s="87" t="inlineStr">
        <is>
          <t>https://www.hyatt.com/grand-hyatt/en-US/scott-grand-hyatt-scottsdale-resort?src=corp_lclb_google_seo_scott&amp;utm_source=google&amp;utm_medium=organic&amp;utm_campaign=lmr</t>
        </is>
      </c>
      <c r="H108" s="88" t="n"/>
      <c r="I108" s="99" t="inlineStr">
        <is>
          <t>Has Valet</t>
        </is>
      </c>
      <c r="J108" s="65" t="n">
        <v>496</v>
      </c>
      <c r="K108" s="34" t="n">
        <v>0.37</v>
      </c>
      <c r="L108" s="65" t="n">
        <v>112</v>
      </c>
      <c r="M108" s="65" t="n"/>
      <c r="N108" s="88" t="n"/>
      <c r="O108" s="80" t="n"/>
      <c r="P108" s="80" t="n"/>
      <c r="Q108" s="65" t="n"/>
      <c r="R108" s="65" t="n"/>
      <c r="S108" s="18" t="n"/>
      <c r="T108" s="18" t="n"/>
      <c r="U108" s="18" t="n"/>
      <c r="V108" s="82" t="n"/>
      <c r="W108" s="82" t="n"/>
      <c r="X108" s="82" t="n"/>
      <c r="Y108" s="80" t="n"/>
      <c r="Z108" s="80" t="n"/>
      <c r="AA108" s="28" t="n"/>
      <c r="AB108" s="28" t="n"/>
      <c r="AC108" s="28" t="n"/>
      <c r="AD108" s="28" t="n"/>
      <c r="AE108" s="28" t="n"/>
      <c r="AF108" s="28" t="n"/>
      <c r="AG108" s="28" t="n"/>
      <c r="AH108" s="28" t="n"/>
      <c r="AI108" s="28" t="n"/>
      <c r="AJ108" s="28" t="n"/>
      <c r="AK108" s="28" t="n"/>
      <c r="AL108" s="80" t="n"/>
      <c r="AM108" s="88" t="n"/>
      <c r="AN108" s="80" t="n"/>
      <c r="AO108" s="80" t="n"/>
      <c r="AP108" s="80" t="n"/>
    </row>
    <row r="109" ht="51.75" customHeight="1" s="222">
      <c r="A109" s="28" t="inlineStr">
        <is>
          <t>The Global Ambassador</t>
        </is>
      </c>
      <c r="B109" s="8" t="inlineStr">
        <is>
          <t>Hotel</t>
        </is>
      </c>
      <c r="C109" s="8" t="n"/>
      <c r="D109" s="75" t="inlineStr">
        <is>
          <t>4360 E Camelback Rd, Phoenix, AZ 85018</t>
        </is>
      </c>
      <c r="E109" s="8" t="inlineStr">
        <is>
          <t>Scottsdale</t>
        </is>
      </c>
      <c r="F109" s="8">
        <f>14808002211</f>
        <v/>
      </c>
      <c r="G109" s="76" t="inlineStr">
        <is>
          <t>https://www.globalambassadorhotel.com/</t>
        </is>
      </c>
      <c r="H109" s="88" t="inlineStr">
        <is>
          <t>None</t>
        </is>
      </c>
      <c r="I109" s="96" t="n">
        <v>35</v>
      </c>
      <c r="J109" s="65" t="n">
        <v>141</v>
      </c>
      <c r="K109" s="97" t="n">
        <v>0.37</v>
      </c>
      <c r="L109" s="98" t="n">
        <v>30</v>
      </c>
      <c r="M109" s="65" t="n"/>
      <c r="N109" s="88" t="n"/>
      <c r="O109" s="80" t="n"/>
      <c r="P109" s="80" t="n"/>
      <c r="Q109" s="65" t="n"/>
      <c r="R109" s="65" t="n"/>
      <c r="S109" s="18" t="n"/>
      <c r="T109" s="18" t="inlineStr">
        <is>
          <t>Tatum Wahl</t>
        </is>
      </c>
      <c r="U109" s="18" t="inlineStr">
        <is>
          <t>FOM</t>
        </is>
      </c>
      <c r="V109" s="82" t="n"/>
      <c r="W109" s="82" t="n"/>
      <c r="X109" s="82" t="n"/>
      <c r="Y109" s="80" t="n"/>
      <c r="Z109" s="80" t="n"/>
      <c r="AA109" s="28" t="n"/>
      <c r="AB109" s="28" t="n"/>
      <c r="AC109" s="28" t="n"/>
      <c r="AD109" s="28" t="n"/>
      <c r="AE109" s="28" t="n"/>
      <c r="AF109" s="28" t="n"/>
      <c r="AG109" s="28" t="n"/>
      <c r="AH109" s="28" t="n"/>
      <c r="AI109" s="28" t="n"/>
      <c r="AJ109" s="28" t="n"/>
      <c r="AK109" s="28" t="n"/>
      <c r="AL109" s="80" t="n"/>
      <c r="AM109" s="88" t="n"/>
      <c r="AN109" s="80" t="n"/>
      <c r="AO109" s="80" t="n"/>
      <c r="AP109" s="80" t="n"/>
    </row>
    <row r="110" ht="51.75" customHeight="1" s="222">
      <c r="A110" s="28" t="inlineStr">
        <is>
          <t>SpringHill Suites Scottsdale North</t>
        </is>
      </c>
      <c r="B110" s="8" t="inlineStr">
        <is>
          <t>Hotel</t>
        </is>
      </c>
      <c r="C110" s="8" t="n"/>
      <c r="D110" s="28" t="inlineStr">
        <is>
          <t>17020 N Scottsdale Rd, Scottsdale, AZ 85255</t>
        </is>
      </c>
      <c r="E110" s="8" t="inlineStr">
        <is>
          <t>Scottsdale</t>
        </is>
      </c>
      <c r="F110" s="8" t="n">
        <v>14809228700</v>
      </c>
      <c r="G110" s="20" t="inlineStr">
        <is>
          <t>https://www.marriott.com/en-us/hotels/phxsh-springhill-suites-scottsdale-north/overview/?scid=f2ae0541-1279-4f24-b197-a979c79310b0</t>
        </is>
      </c>
      <c r="H110" s="93" t="n">
        <v>11</v>
      </c>
      <c r="I110" s="99" t="inlineStr">
        <is>
          <t>No Valet</t>
        </is>
      </c>
      <c r="J110" s="28" t="n">
        <v>121</v>
      </c>
      <c r="K110" s="67" t="n">
        <v>0.38</v>
      </c>
      <c r="L110" s="28" t="n">
        <v>16</v>
      </c>
      <c r="M110" s="69" t="n"/>
      <c r="N110" s="28" t="n"/>
      <c r="O110" s="80" t="n"/>
      <c r="P110" s="80" t="n"/>
      <c r="Q110" s="69" t="n"/>
      <c r="R110" s="69" t="n"/>
      <c r="S110" s="71" t="n"/>
      <c r="T110" s="71" t="inlineStr">
        <is>
          <t>Tabitha Tofavaha</t>
        </is>
      </c>
      <c r="U110" s="71" t="inlineStr">
        <is>
          <t>Dual GM</t>
        </is>
      </c>
      <c r="V110" s="82" t="n"/>
      <c r="W110" s="82" t="n"/>
      <c r="X110" s="82" t="n"/>
      <c r="Y110" s="80" t="n"/>
      <c r="Z110" s="80" t="n"/>
      <c r="AA110" s="28" t="n"/>
      <c r="AB110" s="28" t="n"/>
      <c r="AC110" s="28" t="n"/>
      <c r="AD110" s="28" t="n"/>
      <c r="AE110" s="28" t="n"/>
      <c r="AF110" s="28" t="n"/>
      <c r="AG110" s="28" t="n"/>
      <c r="AH110" s="28" t="n"/>
      <c r="AI110" s="28" t="n"/>
      <c r="AJ110" s="28" t="n"/>
      <c r="AK110" s="28" t="n"/>
      <c r="AL110" s="80" t="n"/>
      <c r="AM110" s="28" t="n"/>
      <c r="AN110" s="80" t="n"/>
      <c r="AO110" s="80" t="n"/>
      <c r="AP110" s="80" t="n"/>
    </row>
    <row r="111" ht="51.75" customHeight="1" s="222">
      <c r="A111" s="28" t="inlineStr">
        <is>
          <t>SpringHill Suites Phoenix Scottsdale</t>
        </is>
      </c>
      <c r="B111" s="8" t="inlineStr">
        <is>
          <t>Hotel</t>
        </is>
      </c>
      <c r="C111" s="8" t="n"/>
      <c r="D111" s="75" t="inlineStr">
        <is>
          <t>1500 N Scottsdale Rd, Scottsdale, AZ 85257</t>
        </is>
      </c>
      <c r="E111" s="8" t="inlineStr">
        <is>
          <t>Scottsdale</t>
        </is>
      </c>
      <c r="F111" s="8">
        <f>14807161600</f>
        <v/>
      </c>
      <c r="G111" s="84" t="n"/>
      <c r="H111" s="88" t="n"/>
      <c r="I111" s="99" t="n"/>
      <c r="J111" s="65" t="n"/>
      <c r="K111" s="34" t="n">
        <v>0.38</v>
      </c>
      <c r="L111" s="65" t="n">
        <v>16</v>
      </c>
      <c r="M111" s="65" t="n"/>
      <c r="N111" s="88" t="n"/>
      <c r="O111" s="80" t="n"/>
      <c r="P111" s="80" t="n"/>
      <c r="Q111" s="65" t="n"/>
      <c r="R111" s="65" t="n"/>
      <c r="S111" s="18" t="n"/>
      <c r="T111" s="18" t="n"/>
      <c r="U111" s="18" t="n"/>
      <c r="V111" s="82" t="n"/>
      <c r="W111" s="82" t="n"/>
      <c r="X111" s="82" t="n"/>
      <c r="Y111" s="80" t="n"/>
      <c r="Z111" s="80" t="n"/>
      <c r="AA111" s="28" t="n"/>
      <c r="AB111" s="28" t="n"/>
      <c r="AC111" s="28" t="n"/>
      <c r="AD111" s="28" t="n"/>
      <c r="AE111" s="28" t="n"/>
      <c r="AF111" s="28" t="n"/>
      <c r="AG111" s="28" t="n"/>
      <c r="AH111" s="28" t="n"/>
      <c r="AI111" s="28" t="n"/>
      <c r="AJ111" s="28" t="n"/>
      <c r="AK111" s="28" t="n"/>
      <c r="AL111" s="80" t="n"/>
      <c r="AM111" s="88" t="n"/>
      <c r="AN111" s="80" t="n"/>
      <c r="AO111" s="80" t="n"/>
      <c r="AP111" s="80" t="n"/>
    </row>
    <row r="112" ht="51.75" customHeight="1" s="222">
      <c r="A112" s="28" t="inlineStr">
        <is>
          <t>Hilton Garden Inn Scottsdale Old Town</t>
        </is>
      </c>
      <c r="B112" s="8" t="inlineStr">
        <is>
          <t>Hotel</t>
        </is>
      </c>
      <c r="C112" s="8" t="n"/>
      <c r="D112" s="75" t="inlineStr">
        <is>
          <t>7324 E Indian School Rd, Scottsdale, AZ 85251</t>
        </is>
      </c>
      <c r="E112" s="8" t="inlineStr">
        <is>
          <t>Scottsdale</t>
        </is>
      </c>
      <c r="F112" s="8">
        <f>14804810400</f>
        <v/>
      </c>
      <c r="G112" s="76" t="inlineStr">
        <is>
          <t>https://www.hilton.com/en/hotels/sctgigi-hilton-garden-inn-scottsdale-old-town/?SEO_id=GMB-AMER-GI-SCTGIGI&amp;y_source=1_MjA4NDkyMS03MTUtbG9jYXRpb24ud2Vic2l0ZQ%3D%3D</t>
        </is>
      </c>
      <c r="H112" s="88" t="n"/>
      <c r="I112" s="99" t="n"/>
      <c r="J112" s="65" t="n">
        <v>199</v>
      </c>
      <c r="K112" s="34" t="n">
        <v>0.39</v>
      </c>
      <c r="L112" s="65" t="n">
        <v>59</v>
      </c>
      <c r="M112" s="65" t="n"/>
      <c r="N112" s="88" t="n"/>
      <c r="O112" s="80" t="n"/>
      <c r="P112" s="80" t="n"/>
      <c r="Q112" s="65" t="n"/>
      <c r="R112" s="65" t="n"/>
      <c r="S112" s="18" t="n"/>
      <c r="T112" s="18" t="n"/>
      <c r="U112" s="18" t="n"/>
      <c r="V112" s="82" t="n"/>
      <c r="W112" s="82" t="n"/>
      <c r="X112" s="82" t="n"/>
      <c r="Y112" s="80" t="n"/>
      <c r="Z112" s="80" t="n"/>
      <c r="AA112" s="28" t="n"/>
      <c r="AB112" s="28" t="n"/>
      <c r="AC112" s="28" t="n"/>
      <c r="AD112" s="28" t="n"/>
      <c r="AE112" s="28" t="n"/>
      <c r="AF112" s="28" t="n"/>
      <c r="AG112" s="28" t="n"/>
      <c r="AH112" s="28" t="n"/>
      <c r="AI112" s="28" t="n"/>
      <c r="AJ112" s="28" t="n"/>
      <c r="AK112" s="28" t="n"/>
      <c r="AL112" s="80" t="n"/>
      <c r="AM112" s="88" t="n"/>
      <c r="AN112" s="80" t="n"/>
      <c r="AO112" s="80" t="n"/>
      <c r="AP112" s="80" t="n"/>
    </row>
    <row r="113" ht="51.75" customHeight="1" s="222">
      <c r="A113" s="28" t="inlineStr">
        <is>
          <t>The Scott Resort &amp; Spa</t>
        </is>
      </c>
      <c r="B113" s="8" t="inlineStr">
        <is>
          <t>Hotel</t>
        </is>
      </c>
      <c r="C113" s="8" t="n"/>
      <c r="D113" s="75" t="inlineStr">
        <is>
          <t>4925 N Scottsdale Rd, Scottsdale, AZ 85251</t>
        </is>
      </c>
      <c r="E113" s="8" t="inlineStr">
        <is>
          <t>Scottsdale</t>
        </is>
      </c>
      <c r="F113" s="8">
        <f>18005287867</f>
        <v/>
      </c>
      <c r="G113" s="76" t="inlineStr">
        <is>
          <t>https://www.thescottresort.com/</t>
        </is>
      </c>
      <c r="H113" s="88" t="inlineStr">
        <is>
          <t>Free</t>
        </is>
      </c>
      <c r="I113" s="99" t="inlineStr">
        <is>
          <t>No Valet</t>
        </is>
      </c>
      <c r="J113" s="65" t="n">
        <v>204</v>
      </c>
      <c r="K113" s="34" t="n">
        <v>0.39</v>
      </c>
      <c r="L113" s="65" t="n">
        <v>46</v>
      </c>
      <c r="M113" s="65" t="n"/>
      <c r="N113" s="88" t="n"/>
      <c r="O113" s="80" t="n"/>
      <c r="P113" s="80" t="n"/>
      <c r="Q113" s="65" t="n"/>
      <c r="R113" s="65" t="n"/>
      <c r="S113" s="18" t="n"/>
      <c r="T113" s="18" t="inlineStr">
        <is>
          <t>Theresa Clem</t>
        </is>
      </c>
      <c r="U113" s="18" t="inlineStr">
        <is>
          <t>FOM</t>
        </is>
      </c>
      <c r="V113" s="82" t="n"/>
      <c r="W113" s="82" t="n"/>
      <c r="X113" s="82" t="n"/>
      <c r="Y113" s="80" t="n"/>
      <c r="Z113" s="80" t="n"/>
      <c r="AA113" s="28" t="n"/>
      <c r="AB113" s="28" t="n"/>
      <c r="AC113" s="28" t="n"/>
      <c r="AD113" s="28" t="n"/>
      <c r="AE113" s="28" t="n"/>
      <c r="AF113" s="28" t="n"/>
      <c r="AG113" s="28" t="n"/>
      <c r="AH113" s="28" t="n"/>
      <c r="AI113" s="28" t="n"/>
      <c r="AJ113" s="28" t="n"/>
      <c r="AK113" s="28" t="n"/>
      <c r="AL113" s="80" t="n"/>
      <c r="AM113" s="88" t="n"/>
      <c r="AN113" s="80" t="n"/>
      <c r="AO113" s="80" t="n"/>
      <c r="AP113" s="80" t="n"/>
    </row>
    <row r="114" ht="51.75" customHeight="1" s="222">
      <c r="A114" s="28" t="inlineStr">
        <is>
          <t>Hyatt Place Scottsdale - North</t>
        </is>
      </c>
      <c r="B114" s="8" t="inlineStr">
        <is>
          <t>Hotel</t>
        </is>
      </c>
      <c r="C114" s="8" t="n"/>
      <c r="D114" s="28" t="inlineStr">
        <is>
          <t>18513 N Scottsdale Rd, Scottsdale, AZ 85255</t>
        </is>
      </c>
      <c r="E114" s="8" t="inlineStr">
        <is>
          <t>Scottsdale</t>
        </is>
      </c>
      <c r="F114" s="8" t="n">
        <v>14805908100</v>
      </c>
      <c r="G114" s="20" t="inlineStr">
        <is>
          <t>https://www.hyatt.com/hyatt-place/en-US/phxzs-hyatt-place-scottsdale-north?src=corp_lclb_google_seo_phxzs&amp;utm_source=google&amp;utm_medium=organic&amp;utm_campaign=lmr</t>
        </is>
      </c>
      <c r="H114" s="93" t="inlineStr">
        <is>
          <t>Free</t>
        </is>
      </c>
      <c r="I114" s="88" t="inlineStr">
        <is>
          <t>No Valet</t>
        </is>
      </c>
      <c r="J114" s="28" t="n">
        <v>136</v>
      </c>
      <c r="K114" s="67" t="n">
        <v>0.41</v>
      </c>
      <c r="L114" s="28" t="n">
        <v>22</v>
      </c>
      <c r="M114" s="28" t="n"/>
      <c r="N114" s="93" t="n"/>
      <c r="O114" s="80" t="n"/>
      <c r="P114" s="80" t="n"/>
      <c r="Q114" s="28" t="n"/>
      <c r="R114" s="28" t="n"/>
      <c r="S114" s="18" t="n"/>
      <c r="T114" s="18" t="n"/>
      <c r="U114" s="18" t="n"/>
      <c r="V114" s="82" t="n"/>
      <c r="W114" s="82" t="n"/>
      <c r="X114" s="82" t="n"/>
      <c r="Y114" s="80" t="n"/>
      <c r="Z114" s="80" t="n"/>
      <c r="AA114" s="28" t="n"/>
      <c r="AB114" s="28" t="n"/>
      <c r="AC114" s="28" t="n"/>
      <c r="AD114" s="28" t="n"/>
      <c r="AE114" s="28" t="n"/>
      <c r="AF114" s="28" t="n"/>
      <c r="AG114" s="28" t="n"/>
      <c r="AH114" s="28" t="n"/>
      <c r="AI114" s="28" t="n"/>
      <c r="AJ114" s="28" t="n"/>
      <c r="AK114" s="28" t="n"/>
      <c r="AL114" s="80" t="n"/>
      <c r="AM114" s="93" t="n"/>
      <c r="AN114" s="80" t="n"/>
      <c r="AO114" s="80" t="n"/>
      <c r="AP114" s="80" t="n"/>
    </row>
    <row r="115" ht="51.75" customHeight="1" s="222">
      <c r="A115" s="28" t="inlineStr">
        <is>
          <t>The McCormick Scottsdale</t>
        </is>
      </c>
      <c r="B115" s="8" t="inlineStr">
        <is>
          <t>Hotel</t>
        </is>
      </c>
      <c r="C115" s="8" t="n"/>
      <c r="D115" s="28" t="inlineStr">
        <is>
          <t>7421 N Scottsdale Rd, Scottsdale, AZ 85253</t>
        </is>
      </c>
      <c r="E115" s="8" t="inlineStr">
        <is>
          <t>Scottsdale</t>
        </is>
      </c>
      <c r="F115" s="89" t="inlineStr">
        <is>
          <t>(800) 535-1865</t>
        </is>
      </c>
      <c r="G115" s="20" t="inlineStr">
        <is>
          <t>https://www.millenniumhotels.com/en/scottsdale/the-mccormick-scottsdale/</t>
        </is>
      </c>
      <c r="H115" s="80" t="inlineStr">
        <is>
          <t>Free</t>
        </is>
      </c>
      <c r="I115" s="93" t="inlineStr">
        <is>
          <t>No Valet</t>
        </is>
      </c>
      <c r="J115" s="8" t="n">
        <v>125</v>
      </c>
      <c r="K115" s="67" t="n">
        <v>0.41</v>
      </c>
      <c r="L115" s="45" t="n">
        <v>32</v>
      </c>
      <c r="M115" s="69" t="n"/>
      <c r="N115" s="69" t="n"/>
      <c r="O115" s="69" t="n"/>
      <c r="P115" s="69" t="n"/>
      <c r="Q115" s="69" t="n"/>
      <c r="R115" s="69" t="n"/>
      <c r="S115" s="71" t="n"/>
      <c r="T115" s="71" t="n"/>
      <c r="U115" s="30" t="n"/>
      <c r="V115" s="71" t="n"/>
      <c r="W115" s="71" t="n"/>
      <c r="X115" s="71" t="n"/>
      <c r="Y115" s="69" t="n"/>
      <c r="Z115" s="69" t="n"/>
      <c r="AA115" s="28" t="n"/>
      <c r="AB115" s="28" t="n"/>
      <c r="AC115" s="28" t="n"/>
      <c r="AD115" s="28" t="n"/>
      <c r="AE115" s="28" t="n"/>
      <c r="AF115" s="28" t="n"/>
      <c r="AG115" s="28" t="n"/>
      <c r="AH115" s="28" t="n"/>
      <c r="AI115" s="28" t="n"/>
      <c r="AJ115" s="28" t="n"/>
      <c r="AK115" s="28" t="n"/>
      <c r="AL115" s="69" t="n"/>
      <c r="AM115" s="69" t="n"/>
      <c r="AN115" s="69" t="n"/>
      <c r="AO115" s="69" t="n"/>
      <c r="AP115" s="69" t="n"/>
    </row>
    <row r="116" ht="51.75" customHeight="1" s="222">
      <c r="A116" s="64" t="inlineStr">
        <is>
          <t>Element Scottsdale at SkySong</t>
        </is>
      </c>
      <c r="B116" s="8" t="inlineStr">
        <is>
          <t>Hotel</t>
        </is>
      </c>
      <c r="C116" s="8" t="inlineStr">
        <is>
          <t>NO</t>
        </is>
      </c>
      <c r="D116" s="28" t="inlineStr">
        <is>
          <t>1345 N Scottsdale Rd, Scottsdale, AZ 85257</t>
        </is>
      </c>
      <c r="E116" s="8" t="inlineStr">
        <is>
          <t>Scottsdale</t>
        </is>
      </c>
      <c r="F116" s="89" t="inlineStr">
        <is>
          <t>(480) 361-0000</t>
        </is>
      </c>
      <c r="G116" s="20" t="inlineStr">
        <is>
          <t>https://www.marriott.com/en-us/hotels/phxes-element-scottsdale-at-skysong/overview/?scid=f2ae0541-1279-4f24-b197-a979c79310b0</t>
        </is>
      </c>
      <c r="H116" s="80" t="n">
        <v>14</v>
      </c>
      <c r="I116" s="93" t="inlineStr">
        <is>
          <t>No Valet</t>
        </is>
      </c>
      <c r="J116" s="8" t="n">
        <v>157</v>
      </c>
      <c r="K116" s="34" t="n">
        <v>0.42</v>
      </c>
      <c r="L116" s="98" t="n">
        <v>26</v>
      </c>
      <c r="M116" s="65" t="n"/>
      <c r="N116" s="65" t="n"/>
      <c r="O116" s="65" t="n"/>
      <c r="P116" s="65" t="n"/>
      <c r="Q116" s="65" t="n"/>
      <c r="R116" s="65" t="n"/>
      <c r="S116" s="18" t="n"/>
      <c r="T116" s="18" t="inlineStr">
        <is>
          <t>Larry Roseth</t>
        </is>
      </c>
      <c r="U116" s="18" t="inlineStr">
        <is>
          <t>GM</t>
        </is>
      </c>
      <c r="V116" s="18" t="inlineStr">
        <is>
          <t>Larry.roseth@elementskysong.com</t>
        </is>
      </c>
      <c r="W116" s="18" t="n"/>
      <c r="X116" s="18" t="n"/>
      <c r="Y116" s="65" t="n"/>
      <c r="Z116" s="65" t="inlineStr">
        <is>
          <t>Not interested, doesn't want the possibility of loosing the garage lease they currently have</t>
        </is>
      </c>
      <c r="AA116" s="28" t="n"/>
      <c r="AB116" s="28" t="n"/>
      <c r="AC116" s="28" t="n"/>
      <c r="AD116" s="28" t="n"/>
      <c r="AE116" s="28" t="n"/>
      <c r="AF116" s="28" t="n"/>
      <c r="AG116" s="28" t="n"/>
      <c r="AH116" s="28" t="n"/>
      <c r="AI116" s="28" t="n"/>
      <c r="AJ116" s="28" t="n"/>
      <c r="AK116" s="28" t="n"/>
      <c r="AL116" s="65" t="n"/>
      <c r="AM116" s="65" t="n"/>
      <c r="AN116" s="65" t="n"/>
      <c r="AO116" s="65" t="n"/>
      <c r="AP116" s="65" t="n"/>
    </row>
    <row r="117" ht="51.75" customHeight="1" s="222">
      <c r="A117" s="28" t="inlineStr">
        <is>
          <t>ADERO Scottsdale Resort, Autograph Collection</t>
        </is>
      </c>
      <c r="B117" s="8" t="inlineStr">
        <is>
          <t>Hotel</t>
        </is>
      </c>
      <c r="C117" s="8" t="n"/>
      <c r="D117" s="28" t="inlineStr">
        <is>
          <t>13225 N Eagle Ridge Dr, Fountain Hills, AZ 85268</t>
        </is>
      </c>
      <c r="E117" s="8" t="inlineStr">
        <is>
          <t>Scottsdale</t>
        </is>
      </c>
      <c r="F117" s="8" t="n">
        <v>14803331900</v>
      </c>
      <c r="G117" s="87" t="inlineStr">
        <is>
          <t>https://www.marriott.com/en-us/hotels/phxaf-adero-scottsdale-resort-autograph-collection/overview/?scid=f2ae0541-1279-4f24-b197-a979c79310b0</t>
        </is>
      </c>
      <c r="H117" s="88" t="n">
        <v>25</v>
      </c>
      <c r="I117" s="88" t="n">
        <v>25</v>
      </c>
      <c r="J117" s="65" t="n">
        <v>177</v>
      </c>
      <c r="K117" s="34" t="n">
        <v>0.43</v>
      </c>
      <c r="L117" s="65" t="n">
        <v>58</v>
      </c>
      <c r="M117" s="65" t="n"/>
      <c r="N117" s="88" t="n"/>
      <c r="O117" s="80" t="n"/>
      <c r="P117" s="80" t="n"/>
      <c r="Q117" s="65" t="n"/>
      <c r="R117" s="65" t="n"/>
      <c r="S117" s="18" t="n"/>
      <c r="T117" s="18" t="n"/>
      <c r="U117" s="18" t="n"/>
      <c r="V117" s="82" t="n"/>
      <c r="W117" s="82" t="n"/>
      <c r="X117" s="82" t="n"/>
      <c r="Y117" s="80" t="n"/>
      <c r="Z117" s="80" t="n"/>
      <c r="AA117" s="28" t="n"/>
      <c r="AB117" s="28" t="n"/>
      <c r="AC117" s="28" t="n"/>
      <c r="AD117" s="28" t="n"/>
      <c r="AE117" s="28" t="n"/>
      <c r="AF117" s="28" t="n"/>
      <c r="AG117" s="28" t="n"/>
      <c r="AH117" s="28" t="n"/>
      <c r="AI117" s="28" t="n"/>
      <c r="AJ117" s="28" t="n"/>
      <c r="AK117" s="28" t="n"/>
      <c r="AL117" s="80" t="n"/>
      <c r="AM117" s="88" t="n"/>
      <c r="AN117" s="80" t="n"/>
      <c r="AO117" s="80" t="n"/>
      <c r="AP117" s="80" t="n"/>
    </row>
    <row r="118" ht="51.75" customHeight="1" s="222">
      <c r="A118" s="28" t="inlineStr">
        <is>
          <t>Best Western Plus Sundial</t>
        </is>
      </c>
      <c r="B118" s="8" t="inlineStr">
        <is>
          <t>Hotel</t>
        </is>
      </c>
      <c r="C118" s="8" t="n"/>
      <c r="D118" s="75" t="inlineStr">
        <is>
          <t>7320 E Camelback Rd, Scottsdale, AZ 85251</t>
        </is>
      </c>
      <c r="E118" s="8" t="inlineStr">
        <is>
          <t>Scottsdale</t>
        </is>
      </c>
      <c r="F118" s="8">
        <f>14809944170</f>
        <v/>
      </c>
      <c r="G118" s="76" t="inlineStr">
        <is>
          <t>https://www.bestwestern.com/en_US/book/hotel-rooms.03147.html?iata=00171880&amp;ssob=BLBWI0004G&amp;cid=BLBWI0004G:google:gmb:03147</t>
        </is>
      </c>
      <c r="H118" s="88" t="n">
        <v>10</v>
      </c>
      <c r="I118" s="99" t="inlineStr">
        <is>
          <t>No Valet</t>
        </is>
      </c>
      <c r="J118" s="65" t="n">
        <v>54</v>
      </c>
      <c r="K118" s="34" t="n">
        <v>0.43</v>
      </c>
      <c r="L118" s="65" t="n">
        <v>44</v>
      </c>
      <c r="M118" s="65" t="n"/>
      <c r="N118" s="88" t="n"/>
      <c r="O118" s="80" t="n"/>
      <c r="P118" s="80" t="n"/>
      <c r="Q118" s="65" t="n"/>
      <c r="R118" s="65" t="n"/>
      <c r="S118" s="18" t="n"/>
      <c r="T118" s="18" t="n"/>
      <c r="U118" s="18" t="n"/>
      <c r="V118" s="82" t="n"/>
      <c r="W118" s="82" t="n"/>
      <c r="X118" s="82" t="n"/>
      <c r="Y118" s="80" t="n"/>
      <c r="Z118" s="80" t="n"/>
      <c r="AA118" s="28" t="n"/>
      <c r="AB118" s="28" t="n"/>
      <c r="AC118" s="28" t="n"/>
      <c r="AD118" s="28" t="n"/>
      <c r="AE118" s="28" t="n"/>
      <c r="AF118" s="28" t="n"/>
      <c r="AG118" s="28" t="n"/>
      <c r="AH118" s="28" t="n"/>
      <c r="AI118" s="28" t="n"/>
      <c r="AJ118" s="28" t="n"/>
      <c r="AK118" s="28" t="n"/>
      <c r="AL118" s="80" t="n"/>
      <c r="AM118" s="88" t="n"/>
      <c r="AN118" s="80" t="n"/>
      <c r="AO118" s="80" t="n"/>
      <c r="AP118" s="80" t="n"/>
    </row>
    <row r="119" ht="51.75" customHeight="1" s="222">
      <c r="A119" s="28" t="inlineStr">
        <is>
          <t>JW Marriott Scottsdale Camelback Inn Resort &amp; Spa</t>
        </is>
      </c>
      <c r="B119" s="8" t="inlineStr">
        <is>
          <t>Hotel</t>
        </is>
      </c>
      <c r="C119" s="8" t="n"/>
      <c r="D119" s="28" t="inlineStr">
        <is>
          <t>5402 E Lincoln Dr, Scottsdale, AZ 85253</t>
        </is>
      </c>
      <c r="E119" s="8" t="inlineStr">
        <is>
          <t>Scottsdale</t>
        </is>
      </c>
      <c r="F119" s="8" t="n">
        <v>14809481700</v>
      </c>
      <c r="G119" s="87" t="inlineStr">
        <is>
          <t>https://www.marriott.com/en-us/hotels/phxcb-jw-marriott-scottsdale-camelback-inn-resort-and-spa/overview/?scid=f2ae0541-1279-4f24-b197-a979c79310b0</t>
        </is>
      </c>
      <c r="H119" s="88" t="inlineStr">
        <is>
          <t>Free</t>
        </is>
      </c>
      <c r="I119" s="99" t="inlineStr">
        <is>
          <t>Has Valet</t>
        </is>
      </c>
      <c r="J119" s="65" t="n">
        <v>453</v>
      </c>
      <c r="K119" s="34" t="n">
        <v>0.46</v>
      </c>
      <c r="L119" s="65" t="n">
        <v>26</v>
      </c>
      <c r="M119" s="65" t="n"/>
      <c r="N119" s="88" t="n"/>
      <c r="O119" s="80" t="n"/>
      <c r="P119" s="80" t="n"/>
      <c r="Q119" s="65" t="n"/>
      <c r="R119" s="65" t="n"/>
      <c r="S119" s="18" t="n"/>
      <c r="T119" s="18" t="n"/>
      <c r="U119" s="18" t="n"/>
      <c r="V119" s="82" t="n"/>
      <c r="W119" s="82" t="n"/>
      <c r="X119" s="82" t="n"/>
      <c r="Y119" s="80" t="n"/>
      <c r="Z119" s="80" t="n"/>
      <c r="AA119" s="28" t="n"/>
      <c r="AB119" s="28" t="n"/>
      <c r="AC119" s="28" t="n"/>
      <c r="AD119" s="28" t="n"/>
      <c r="AE119" s="28" t="n"/>
      <c r="AF119" s="28" t="n"/>
      <c r="AG119" s="28" t="n"/>
      <c r="AH119" s="28" t="n"/>
      <c r="AI119" s="28" t="n"/>
      <c r="AJ119" s="28" t="n"/>
      <c r="AK119" s="28" t="n"/>
      <c r="AL119" s="80" t="n"/>
      <c r="AM119" s="88" t="n"/>
      <c r="AN119" s="80" t="n"/>
      <c r="AO119" s="80" t="n"/>
      <c r="AP119" s="80" t="n"/>
    </row>
    <row r="120" ht="51.75" customHeight="1" s="222">
      <c r="A120" s="28" t="inlineStr">
        <is>
          <t>The Hermosa Inn</t>
        </is>
      </c>
      <c r="B120" s="8" t="inlineStr">
        <is>
          <t>Hotel</t>
        </is>
      </c>
      <c r="C120" s="8" t="n"/>
      <c r="D120" s="28" t="inlineStr">
        <is>
          <t>5532 N Palo Cristi Rd, Paradise Valley, AZ 85253</t>
        </is>
      </c>
      <c r="E120" s="8" t="inlineStr">
        <is>
          <t>Scottsdale</t>
        </is>
      </c>
      <c r="F120" s="8">
        <f>16029558614</f>
        <v/>
      </c>
      <c r="G120" s="58" t="inlineStr">
        <is>
          <t>http://www.hermosainn.com/</t>
        </is>
      </c>
      <c r="H120" s="80" t="n"/>
      <c r="I120" s="93" t="n"/>
      <c r="J120" s="8" t="n">
        <v>43</v>
      </c>
      <c r="K120" s="67" t="n">
        <v>0.46</v>
      </c>
      <c r="L120" s="65" t="n">
        <v>13</v>
      </c>
      <c r="M120" s="69" t="n"/>
      <c r="N120" s="28" t="n"/>
      <c r="O120" s="28" t="n"/>
      <c r="P120" s="28" t="n"/>
      <c r="Q120" s="69" t="n"/>
      <c r="R120" s="69" t="n"/>
      <c r="S120" s="71" t="n"/>
      <c r="T120" s="71" t="n"/>
      <c r="U120" s="30" t="n"/>
      <c r="V120" s="18" t="n"/>
      <c r="W120" s="18" t="n"/>
      <c r="X120" s="18" t="n"/>
      <c r="Y120" s="28" t="n"/>
      <c r="Z120" s="28" t="n"/>
      <c r="AA120" s="28" t="n"/>
      <c r="AB120" s="28" t="n"/>
      <c r="AC120" s="28" t="n"/>
      <c r="AD120" s="28" t="n"/>
      <c r="AE120" s="28" t="n"/>
      <c r="AF120" s="28" t="n"/>
      <c r="AG120" s="28" t="n"/>
      <c r="AH120" s="28" t="n"/>
      <c r="AI120" s="28" t="n"/>
      <c r="AJ120" s="28" t="n"/>
      <c r="AK120" s="28" t="n"/>
      <c r="AL120" s="28" t="n"/>
      <c r="AM120" s="28" t="n"/>
      <c r="AN120" s="28" t="n"/>
      <c r="AO120" s="28" t="n"/>
      <c r="AP120" s="28" t="n"/>
    </row>
    <row r="121" ht="51.75" customHeight="1" s="222">
      <c r="A121" s="28" t="inlineStr">
        <is>
          <t>Holiday Inn Club Vacations Scottsdale Resort</t>
        </is>
      </c>
      <c r="B121" s="8" t="inlineStr">
        <is>
          <t>Hotel</t>
        </is>
      </c>
      <c r="C121" s="8" t="n"/>
      <c r="D121" s="28" t="inlineStr">
        <is>
          <t>7677 E Princess Blvd, Scottsdale, AZ 85255</t>
        </is>
      </c>
      <c r="E121" s="8" t="inlineStr">
        <is>
          <t>Scottsdale</t>
        </is>
      </c>
      <c r="F121" s="8" t="n">
        <v>14802489001</v>
      </c>
      <c r="G121" s="20" t="inlineStr">
        <is>
          <t>https://holidayinnclub.com/explore-resorts/scottsdale-resort?utm_source=local&amp;utm_medium=organic&amp;utm_campaign=scottsdale-gmb-listing</t>
        </is>
      </c>
      <c r="H121" s="93" t="inlineStr">
        <is>
          <t>Free</t>
        </is>
      </c>
      <c r="I121" s="88" t="inlineStr">
        <is>
          <t>No Valet</t>
        </is>
      </c>
      <c r="J121" s="28" t="n">
        <v>213</v>
      </c>
      <c r="K121" s="67" t="n">
        <v>0.48</v>
      </c>
      <c r="L121" s="28" t="n">
        <v>23</v>
      </c>
      <c r="M121" s="28" t="n"/>
      <c r="N121" s="93" t="n"/>
      <c r="O121" s="80" t="n"/>
      <c r="P121" s="80" t="n"/>
      <c r="Q121" s="28" t="n"/>
      <c r="R121" s="28" t="n"/>
      <c r="S121" s="18" t="n"/>
      <c r="T121" s="18" t="n"/>
      <c r="U121" s="18" t="n"/>
      <c r="V121" s="82" t="n"/>
      <c r="W121" s="82" t="n"/>
      <c r="X121" s="82" t="n"/>
      <c r="Y121" s="80" t="n"/>
      <c r="Z121" s="80" t="n"/>
      <c r="AA121" s="28" t="n"/>
      <c r="AB121" s="28" t="n"/>
      <c r="AC121" s="28" t="n"/>
      <c r="AD121" s="28" t="n"/>
      <c r="AE121" s="28" t="n"/>
      <c r="AF121" s="28" t="n"/>
      <c r="AG121" s="28" t="n"/>
      <c r="AH121" s="28" t="n"/>
      <c r="AI121" s="28" t="n"/>
      <c r="AJ121" s="28" t="n"/>
      <c r="AK121" s="28" t="n"/>
      <c r="AL121" s="80" t="n"/>
      <c r="AM121" s="93" t="n"/>
      <c r="AN121" s="80" t="n"/>
      <c r="AO121" s="80" t="n"/>
      <c r="AP121" s="80" t="n"/>
    </row>
    <row r="122" ht="51.75" customHeight="1" s="222">
      <c r="A122" s="28" t="inlineStr">
        <is>
          <t>The Phoenician, a Luxury Collection Resort, Scottsdale</t>
        </is>
      </c>
      <c r="B122" s="8" t="inlineStr">
        <is>
          <t>Hotel</t>
        </is>
      </c>
      <c r="C122" s="8" t="n"/>
      <c r="D122" s="28" t="inlineStr">
        <is>
          <t>6000 E Camelback Rd, Scottsdale, AZ 85251</t>
        </is>
      </c>
      <c r="E122" s="8" t="inlineStr">
        <is>
          <t>Scottsdale</t>
        </is>
      </c>
      <c r="F122" s="89" t="inlineStr">
        <is>
          <t>(480) 941-8200</t>
        </is>
      </c>
      <c r="G122" s="20" t="inlineStr">
        <is>
          <t>https://www.marriott.com/en-us/hotels/phxlc-the-phoenician-a-luxury-collection-resort-scottsdale/overview/</t>
        </is>
      </c>
      <c r="H122" s="80" t="n">
        <v>30</v>
      </c>
      <c r="I122" s="88" t="n">
        <v>46</v>
      </c>
      <c r="J122" s="28" t="n">
        <v>119</v>
      </c>
      <c r="K122" s="34" t="n">
        <v>0.48</v>
      </c>
      <c r="L122" s="45" t="n">
        <v>73</v>
      </c>
      <c r="M122" s="65" t="n"/>
      <c r="N122" s="65" t="n"/>
      <c r="O122" s="65" t="n"/>
      <c r="P122" s="65" t="n"/>
      <c r="Q122" s="65" t="n"/>
      <c r="R122" s="65" t="n"/>
      <c r="S122" s="18" t="n"/>
      <c r="T122" s="18" t="n"/>
      <c r="U122" s="30" t="n"/>
      <c r="V122" s="18" t="n"/>
      <c r="W122" s="18" t="n"/>
      <c r="X122" s="18" t="n"/>
      <c r="Y122" s="65" t="n"/>
      <c r="Z122" s="65" t="n"/>
      <c r="AA122" s="28" t="n"/>
      <c r="AB122" s="28" t="n"/>
      <c r="AC122" s="28" t="n"/>
      <c r="AD122" s="28" t="n"/>
      <c r="AE122" s="28" t="n"/>
      <c r="AF122" s="28" t="n"/>
      <c r="AG122" s="28" t="n"/>
      <c r="AH122" s="28" t="n"/>
      <c r="AI122" s="28" t="n"/>
      <c r="AJ122" s="28" t="n"/>
      <c r="AK122" s="28" t="n"/>
      <c r="AL122" s="65" t="n"/>
      <c r="AM122" s="65" t="n"/>
      <c r="AN122" s="65" t="n"/>
      <c r="AO122" s="65" t="n"/>
      <c r="AP122" s="65" t="n"/>
    </row>
    <row r="123" ht="51.75" customHeight="1" s="222">
      <c r="A123" s="28" t="inlineStr">
        <is>
          <t>Omni Scottsdale Resort &amp; Spa at Montelucia</t>
        </is>
      </c>
      <c r="B123" s="8" t="inlineStr">
        <is>
          <t>Hotel</t>
        </is>
      </c>
      <c r="C123" s="8" t="n"/>
      <c r="D123" s="28" t="inlineStr">
        <is>
          <t>4949 E Lincoln Dr, Scottsdale, AZ 85253</t>
        </is>
      </c>
      <c r="E123" s="8" t="inlineStr">
        <is>
          <t>Scottsdale</t>
        </is>
      </c>
      <c r="F123" s="8" t="n">
        <v>14806273200</v>
      </c>
      <c r="G123" s="87" t="inlineStr">
        <is>
          <t>https://www.omnihotels.com/hotels/scottsdale-montelucia?utm_source=gmblisting&amp;utm_medium=organic</t>
        </is>
      </c>
      <c r="H123" s="88" t="n">
        <v>30</v>
      </c>
      <c r="I123" s="88" t="n">
        <v>35</v>
      </c>
      <c r="J123" s="65" t="n">
        <v>293</v>
      </c>
      <c r="K123" s="34" t="n">
        <v>0.49</v>
      </c>
      <c r="L123" s="65" t="n">
        <v>104</v>
      </c>
      <c r="M123" s="65" t="n"/>
      <c r="N123" s="88" t="n"/>
      <c r="O123" s="80" t="n"/>
      <c r="P123" s="80" t="n"/>
      <c r="Q123" s="65" t="n"/>
      <c r="R123" s="65" t="n"/>
      <c r="S123" s="18" t="n"/>
      <c r="T123" s="18" t="n"/>
      <c r="U123" s="18" t="n"/>
      <c r="V123" s="82" t="n"/>
      <c r="W123" s="82" t="n"/>
      <c r="X123" s="82" t="n"/>
      <c r="Y123" s="80" t="n"/>
      <c r="Z123" s="80" t="n"/>
      <c r="AA123" s="28" t="n"/>
      <c r="AB123" s="28" t="n"/>
      <c r="AC123" s="28" t="n"/>
      <c r="AD123" s="28" t="n"/>
      <c r="AE123" s="28" t="n"/>
      <c r="AF123" s="28" t="n"/>
      <c r="AG123" s="28" t="n"/>
      <c r="AH123" s="28" t="n"/>
      <c r="AI123" s="28" t="n"/>
      <c r="AJ123" s="28" t="n"/>
      <c r="AK123" s="28" t="n"/>
      <c r="AL123" s="80" t="n"/>
      <c r="AM123" s="88" t="n"/>
      <c r="AN123" s="80" t="n"/>
      <c r="AO123" s="80" t="n"/>
      <c r="AP123" s="80" t="n"/>
    </row>
    <row r="124" ht="51.75" customHeight="1" s="222">
      <c r="A124" s="28" t="inlineStr">
        <is>
          <t>Hilton Vacation Club Scottsdale Villa Mirage</t>
        </is>
      </c>
      <c r="B124" s="8" t="inlineStr">
        <is>
          <t>Hotel</t>
        </is>
      </c>
      <c r="C124" s="8" t="n"/>
      <c r="D124" s="75" t="inlineStr">
        <is>
          <t>7887 E Princess Blvd, Scottsdale, AZ 85255</t>
        </is>
      </c>
      <c r="E124" s="8" t="inlineStr">
        <is>
          <t>Scottsdale</t>
        </is>
      </c>
      <c r="F124" s="8" t="n">
        <v>14804734000</v>
      </c>
      <c r="G124" s="87" t="inlineStr">
        <is>
          <t>https://www.hilton.com/en/hotels/phxmrgv-hilton-vacation-club-scottsdale-villa-mirage/?SEO_id=GMB-AMER-GV-PHXMRGV&amp;y_source=1_MjkyMzgyMjAtNzE1LWxvY2F0aW9uLndlYnNpdGU%3D</t>
        </is>
      </c>
      <c r="H124" s="88" t="inlineStr">
        <is>
          <t>Free</t>
        </is>
      </c>
      <c r="I124" s="99" t="inlineStr">
        <is>
          <t>No Valet</t>
        </is>
      </c>
      <c r="J124" s="65" t="n">
        <v>224</v>
      </c>
      <c r="K124" s="34" t="n">
        <v>0.5</v>
      </c>
      <c r="L124" s="65" t="n">
        <v>18</v>
      </c>
      <c r="M124" s="65" t="n"/>
      <c r="N124" s="88" t="n"/>
      <c r="O124" s="80" t="n"/>
      <c r="P124" s="80" t="n"/>
      <c r="Q124" s="65" t="n"/>
      <c r="R124" s="65" t="n"/>
      <c r="S124" s="18" t="n"/>
      <c r="T124" s="18" t="inlineStr">
        <is>
          <t>Steven Horn</t>
        </is>
      </c>
      <c r="U124" s="18" t="n"/>
      <c r="V124" s="82" t="n"/>
      <c r="W124" s="82" t="n"/>
      <c r="X124" s="82" t="n"/>
      <c r="Y124" s="80" t="n"/>
      <c r="Z124" s="80" t="n"/>
      <c r="AA124" s="28" t="n"/>
      <c r="AB124" s="28" t="n"/>
      <c r="AC124" s="28" t="n"/>
      <c r="AD124" s="28" t="n"/>
      <c r="AE124" s="28" t="n"/>
      <c r="AF124" s="28" t="n"/>
      <c r="AG124" s="28" t="n"/>
      <c r="AH124" s="28" t="n"/>
      <c r="AI124" s="28" t="n"/>
      <c r="AJ124" s="28" t="n"/>
      <c r="AK124" s="28" t="n"/>
      <c r="AL124" s="80" t="n"/>
      <c r="AM124" s="88" t="n"/>
      <c r="AN124" s="80" t="n"/>
      <c r="AO124" s="80" t="n"/>
      <c r="AP124" s="80" t="n"/>
    </row>
    <row r="125" ht="51.75" customHeight="1" s="222">
      <c r="A125" s="28" t="inlineStr">
        <is>
          <t>Hotel Valley Ho</t>
        </is>
      </c>
      <c r="B125" s="8" t="inlineStr">
        <is>
          <t>Hotel</t>
        </is>
      </c>
      <c r="C125" s="8" t="n"/>
      <c r="D125" s="75" t="inlineStr">
        <is>
          <t>6850 E Main St, Scottsdale, AZ 85251</t>
        </is>
      </c>
      <c r="E125" s="8" t="inlineStr">
        <is>
          <t>Scottsdale</t>
        </is>
      </c>
      <c r="F125" s="8">
        <f>14803762600</f>
        <v/>
      </c>
      <c r="G125" s="76" t="inlineStr">
        <is>
          <t>https://hotelvalleyho.com/</t>
        </is>
      </c>
      <c r="H125" s="88" t="n">
        <v>15</v>
      </c>
      <c r="I125" s="99" t="n">
        <v>28</v>
      </c>
      <c r="J125" s="65" t="n">
        <v>241</v>
      </c>
      <c r="K125" s="34" t="n">
        <v>0.57</v>
      </c>
      <c r="L125" s="65" t="n">
        <v>108</v>
      </c>
      <c r="M125" s="65" t="n"/>
      <c r="N125" s="88" t="n"/>
      <c r="O125" s="80" t="n"/>
      <c r="P125" s="80" t="n"/>
      <c r="Q125" s="65" t="n"/>
      <c r="R125" s="65" t="n"/>
      <c r="S125" s="18" t="n"/>
      <c r="T125" s="18" t="n"/>
      <c r="U125" s="18" t="n"/>
      <c r="V125" s="82" t="n"/>
      <c r="W125" s="82" t="n"/>
      <c r="X125" s="82" t="n"/>
      <c r="Y125" s="80" t="n"/>
      <c r="Z125" s="80" t="n"/>
      <c r="AA125" s="28" t="n"/>
      <c r="AB125" s="28" t="n"/>
      <c r="AC125" s="28" t="n"/>
      <c r="AD125" s="28" t="n"/>
      <c r="AE125" s="28" t="n"/>
      <c r="AF125" s="28" t="n"/>
      <c r="AG125" s="28" t="n"/>
      <c r="AH125" s="28" t="n"/>
      <c r="AI125" s="28" t="n"/>
      <c r="AJ125" s="28" t="n"/>
      <c r="AK125" s="28" t="n"/>
      <c r="AL125" s="80" t="n"/>
      <c r="AM125" s="88" t="n"/>
      <c r="AN125" s="80" t="n"/>
      <c r="AO125" s="80" t="n"/>
      <c r="AP125" s="80" t="n"/>
    </row>
    <row r="126" ht="51.75" customHeight="1" s="222">
      <c r="A126" s="28" t="inlineStr">
        <is>
          <t>Scottsdale Marriott at McDowell Mountains</t>
        </is>
      </c>
      <c r="B126" s="8" t="inlineStr">
        <is>
          <t>Hotel</t>
        </is>
      </c>
      <c r="C126" s="8" t="n"/>
      <c r="D126" s="28" t="inlineStr">
        <is>
          <t>16770 N Perimeter Dr, Scottsdale, AZ 85260</t>
        </is>
      </c>
      <c r="E126" s="8" t="inlineStr">
        <is>
          <t>Scottsdale</t>
        </is>
      </c>
      <c r="F126" s="8" t="n">
        <v>14805023836</v>
      </c>
      <c r="G126" s="20" t="inlineStr">
        <is>
          <t>https://www.marriott.com/en-us/hotels/phxno-scottsdale-marriott-at-mcdowell-mountains/overview/?scid=f2ae0541-1279-4f24-b197-a979c79310b0</t>
        </is>
      </c>
      <c r="H126" s="93" t="n">
        <v>20</v>
      </c>
      <c r="I126" s="88" t="n">
        <v>30</v>
      </c>
      <c r="J126" s="28" t="n">
        <v>266</v>
      </c>
      <c r="K126" s="67" t="n">
        <v>0.58</v>
      </c>
      <c r="L126" s="28" t="n">
        <v>33</v>
      </c>
      <c r="M126" s="28" t="n"/>
      <c r="N126" s="93" t="n"/>
      <c r="O126" s="80" t="n"/>
      <c r="P126" s="80" t="n"/>
      <c r="Q126" s="28" t="n"/>
      <c r="R126" s="28" t="n"/>
      <c r="S126" s="18" t="n"/>
      <c r="T126" s="18" t="inlineStr">
        <is>
          <t>Donalei smith</t>
        </is>
      </c>
      <c r="U126" s="18" t="n"/>
      <c r="V126" s="82" t="n"/>
      <c r="W126" s="82" t="n"/>
      <c r="X126" s="82" t="n"/>
      <c r="Y126" s="80" t="n"/>
      <c r="Z126" s="80" t="n"/>
      <c r="AA126" s="28" t="n"/>
      <c r="AB126" s="28" t="n"/>
      <c r="AC126" s="28" t="n"/>
      <c r="AD126" s="28" t="n"/>
      <c r="AE126" s="28" t="n"/>
      <c r="AF126" s="28" t="n"/>
      <c r="AG126" s="28" t="n"/>
      <c r="AH126" s="28" t="n"/>
      <c r="AI126" s="28" t="n"/>
      <c r="AJ126" s="28" t="n"/>
      <c r="AK126" s="28" t="n"/>
      <c r="AL126" s="80" t="n"/>
      <c r="AM126" s="93" t="n"/>
      <c r="AN126" s="80" t="n"/>
      <c r="AO126" s="80" t="n"/>
      <c r="AP126" s="80" t="n"/>
    </row>
    <row r="127" ht="51.75" customHeight="1" s="222">
      <c r="A127" s="28" t="inlineStr">
        <is>
          <t>Hilton Scottsdale Resort &amp; Villas</t>
        </is>
      </c>
      <c r="B127" s="8" t="inlineStr">
        <is>
          <t>Hotel</t>
        </is>
      </c>
      <c r="C127" s="8" t="n"/>
      <c r="D127" s="28" t="inlineStr">
        <is>
          <t>6333 N Scottsdale Rd, Scottsdale, AZ 85250</t>
        </is>
      </c>
      <c r="E127" s="8" t="inlineStr">
        <is>
          <t>Scottsdale</t>
        </is>
      </c>
      <c r="F127" s="8" t="n">
        <v>14809487750</v>
      </c>
      <c r="G127" s="20" t="inlineStr">
        <is>
          <t>https://www.hilton.com/en/hotels/sctshhf-hilton-scottsdale-resort-and-villas/?SEO_id=GMB-AMER-HH-SCTSHHF&amp;y_source=1_MTIyMDk0My03MTUtbG9jYXRpb24ud2Vic2l0ZQ%3D%3D</t>
        </is>
      </c>
      <c r="H127" s="93" t="inlineStr">
        <is>
          <t>Free</t>
        </is>
      </c>
      <c r="I127" s="88" t="inlineStr">
        <is>
          <t>No Valet</t>
        </is>
      </c>
      <c r="J127" s="28" t="n">
        <v>235</v>
      </c>
      <c r="K127" s="67" t="n">
        <v>0.58</v>
      </c>
      <c r="L127" s="28" t="n">
        <v>24</v>
      </c>
      <c r="M127" s="28" t="n"/>
      <c r="N127" s="93" t="n"/>
      <c r="O127" s="100" t="n"/>
      <c r="P127" s="100" t="n"/>
      <c r="Q127" s="28" t="n"/>
      <c r="R127" s="28" t="n"/>
      <c r="S127" s="18" t="n"/>
      <c r="T127" s="18" t="n"/>
      <c r="U127" s="18" t="n"/>
      <c r="V127" s="82" t="n"/>
      <c r="W127" s="82" t="n"/>
      <c r="X127" s="82" t="n"/>
      <c r="Y127" s="100" t="n"/>
      <c r="Z127" s="100" t="n"/>
      <c r="AA127" s="28" t="n"/>
      <c r="AB127" s="28" t="n"/>
      <c r="AC127" s="28" t="n"/>
      <c r="AD127" s="28" t="n"/>
      <c r="AE127" s="28" t="n"/>
      <c r="AF127" s="28" t="n"/>
      <c r="AG127" s="28" t="n"/>
      <c r="AH127" s="28" t="n"/>
      <c r="AI127" s="28" t="n"/>
      <c r="AJ127" s="28" t="n"/>
      <c r="AK127" s="28" t="n"/>
      <c r="AL127" s="100" t="n"/>
      <c r="AM127" s="93" t="n"/>
      <c r="AN127" s="100" t="n"/>
      <c r="AO127" s="100" t="n"/>
      <c r="AP127" s="100" t="n"/>
    </row>
    <row r="128" ht="51.75" customHeight="1" s="222">
      <c r="A128" s="28" t="inlineStr">
        <is>
          <t>Hyatt House Scottsdale/Old Town</t>
        </is>
      </c>
      <c r="B128" s="8" t="inlineStr">
        <is>
          <t>Hotel</t>
        </is>
      </c>
      <c r="C128" s="8" t="n"/>
      <c r="D128" s="28" t="inlineStr">
        <is>
          <t>4245 N Drinkwater Blvd, Scottsdale, AZ 85251</t>
        </is>
      </c>
      <c r="E128" s="8" t="inlineStr">
        <is>
          <t>Scottsdale</t>
        </is>
      </c>
      <c r="F128" s="89" t="inlineStr">
        <is>
          <t>(480) 946-7700</t>
        </is>
      </c>
      <c r="G128" s="20" t="inlineStr">
        <is>
          <t>https://www.hyatt.com/hyatt-house/en-US/phxxs-hyatt-house-scottsdale-old-town?src=agn_koddi_crp_chico_ppc_22375389508_Conversion_House_Google_Search_English_PHXXS_Scottsdale_Paid_Brand_CrossDevice_1x1_google_Koddi-TopUp-Evergreen-Brand_e_hyatt%20house%20scottsdale%20old%20town&amp;gad_source=1&amp;gad_campaignid=22375389508&amp;gclid=CjwKCAjwlaTGBhANEiwAoRgXBVxYYPplLNXwBgxiVwCk8HJIxuUZTBgWUistrD8Kq9cp6vNDqqjlvRoC9hAQAvD_BwE</t>
        </is>
      </c>
      <c r="H128" s="80" t="inlineStr">
        <is>
          <t>Free</t>
        </is>
      </c>
      <c r="I128" s="88" t="n"/>
      <c r="J128" s="28" t="n">
        <v>164</v>
      </c>
      <c r="K128" s="34" t="n">
        <v>0.59</v>
      </c>
      <c r="L128" s="45" t="n">
        <v>22</v>
      </c>
      <c r="M128" s="65" t="n"/>
      <c r="N128" s="65" t="n"/>
      <c r="O128" s="65" t="n"/>
      <c r="P128" s="65" t="n"/>
      <c r="Q128" s="65" t="n"/>
      <c r="R128" s="65" t="n"/>
      <c r="S128" s="18" t="n"/>
      <c r="T128" s="18" t="n"/>
      <c r="U128" s="30" t="n"/>
      <c r="V128" s="18" t="n"/>
      <c r="W128" s="18" t="n"/>
      <c r="X128" s="18" t="n"/>
      <c r="Y128" s="65" t="n"/>
      <c r="Z128" s="65" t="n"/>
      <c r="AA128" s="28" t="n"/>
      <c r="AB128" s="28" t="n"/>
      <c r="AC128" s="28" t="n"/>
      <c r="AD128" s="28" t="n"/>
      <c r="AE128" s="28" t="n"/>
      <c r="AF128" s="28" t="n"/>
      <c r="AG128" s="28" t="n"/>
      <c r="AH128" s="28" t="n"/>
      <c r="AI128" s="28" t="n"/>
      <c r="AJ128" s="28" t="n"/>
      <c r="AK128" s="28" t="n"/>
      <c r="AL128" s="65" t="n"/>
      <c r="AM128" s="65" t="n"/>
      <c r="AN128" s="65" t="n"/>
      <c r="AO128" s="65" t="n"/>
      <c r="AP128" s="65" t="n"/>
    </row>
    <row r="129" ht="51.75" customHeight="1" s="222">
      <c r="A129" s="28" t="inlineStr">
        <is>
          <t>Hilton Vacation Club Scottsdale Links Resort</t>
        </is>
      </c>
      <c r="B129" s="8" t="inlineStr">
        <is>
          <t>Hotel</t>
        </is>
      </c>
      <c r="C129" s="8" t="n"/>
      <c r="D129" s="65" t="inlineStr">
        <is>
          <t>16858 N Perimeter Dr, Scottsdale, AZ 85255</t>
        </is>
      </c>
      <c r="E129" s="8" t="inlineStr">
        <is>
          <t>Scottsdale</t>
        </is>
      </c>
      <c r="F129" s="8" t="n">
        <v>14805630500</v>
      </c>
      <c r="G129" s="87" t="inlineStr">
        <is>
          <t>https://www.hilton.com/en/hotels/phxregv-hilton-vacation-club-scottsdale-links-resort/?SEO_id=GMB-AMER-HH-PHXREGV&amp;y_source=1_MzUxNDI4NTUtNzE1LWxvY2F0aW9uLndlYnNpdGU%3D</t>
        </is>
      </c>
      <c r="H129" s="88" t="n"/>
      <c r="I129" s="88" t="n"/>
      <c r="J129" s="65" t="n">
        <v>228</v>
      </c>
      <c r="K129" s="34" t="n">
        <v>0.6</v>
      </c>
      <c r="L129" s="65" t="n">
        <v>35</v>
      </c>
      <c r="M129" s="28" t="n"/>
      <c r="N129" s="65" t="n"/>
      <c r="O129" s="80" t="n"/>
      <c r="P129" s="80" t="n"/>
      <c r="Q129" s="28" t="n"/>
      <c r="R129" s="28" t="n"/>
      <c r="S129" s="18" t="n"/>
      <c r="T129" s="18" t="n"/>
      <c r="U129" s="18" t="n"/>
      <c r="V129" s="82" t="n"/>
      <c r="W129" s="82" t="n"/>
      <c r="X129" s="82" t="n"/>
      <c r="Y129" s="80" t="n"/>
      <c r="Z129" s="80" t="n"/>
      <c r="AA129" s="28" t="n"/>
      <c r="AB129" s="28" t="n"/>
      <c r="AC129" s="28" t="n"/>
      <c r="AD129" s="28" t="n"/>
      <c r="AE129" s="28" t="n"/>
      <c r="AF129" s="28" t="n"/>
      <c r="AG129" s="28" t="n"/>
      <c r="AH129" s="28" t="n"/>
      <c r="AI129" s="28" t="n"/>
      <c r="AJ129" s="28" t="n"/>
      <c r="AK129" s="28" t="n"/>
      <c r="AL129" s="80" t="n"/>
      <c r="AM129" s="65" t="n"/>
      <c r="AN129" s="80" t="n"/>
      <c r="AO129" s="80" t="n"/>
      <c r="AP129" s="80" t="n"/>
    </row>
    <row r="130" ht="51.75" customHeight="1" s="222">
      <c r="A130" s="28" t="inlineStr">
        <is>
          <t>W Scottsdale</t>
        </is>
      </c>
      <c r="B130" s="8" t="inlineStr">
        <is>
          <t>Hotel</t>
        </is>
      </c>
      <c r="C130" s="8" t="n"/>
      <c r="D130" s="75" t="inlineStr">
        <is>
          <t>7277 E Camelback Rd, Scottsdale, AZ 85251</t>
        </is>
      </c>
      <c r="E130" s="8" t="inlineStr">
        <is>
          <t>Scottsdale</t>
        </is>
      </c>
      <c r="F130" s="8">
        <f>14809702100</f>
        <v/>
      </c>
      <c r="G130" s="87" t="inlineStr">
        <is>
          <t>https://www.marriott.com/en-us/hotels/phxwh-w-scottsdale/overview/?scid=f2ae0541-1279-4f24-b197-a979c79310b0</t>
        </is>
      </c>
      <c r="H130" s="88" t="n">
        <v>30</v>
      </c>
      <c r="I130" s="99" t="n">
        <v>57</v>
      </c>
      <c r="J130" s="65" t="n">
        <v>241</v>
      </c>
      <c r="K130" s="34" t="n">
        <v>0.6</v>
      </c>
      <c r="L130" s="65" t="n">
        <v>96</v>
      </c>
      <c r="M130" s="65" t="n"/>
      <c r="N130" s="88" t="n"/>
      <c r="O130" s="80" t="n"/>
      <c r="P130" s="80" t="n"/>
      <c r="Q130" s="65" t="n"/>
      <c r="R130" s="65" t="n"/>
      <c r="S130" s="18" t="n"/>
      <c r="T130" s="18" t="n"/>
      <c r="U130" s="18" t="n"/>
      <c r="V130" s="82" t="n"/>
      <c r="W130" s="82" t="n"/>
      <c r="X130" s="82" t="n"/>
      <c r="Y130" s="80" t="n"/>
      <c r="Z130" s="80" t="n"/>
      <c r="AA130" s="28" t="n"/>
      <c r="AB130" s="28" t="n"/>
      <c r="AC130" s="28" t="n"/>
      <c r="AD130" s="28" t="n"/>
      <c r="AE130" s="28" t="n"/>
      <c r="AF130" s="28" t="n"/>
      <c r="AG130" s="28" t="n"/>
      <c r="AH130" s="28" t="n"/>
      <c r="AI130" s="28" t="n"/>
      <c r="AJ130" s="28" t="n"/>
      <c r="AK130" s="28" t="n"/>
      <c r="AL130" s="80" t="n"/>
      <c r="AM130" s="88" t="n"/>
      <c r="AN130" s="80" t="n"/>
      <c r="AO130" s="80" t="n"/>
      <c r="AP130" s="80" t="n"/>
    </row>
    <row r="131" ht="51.75" customHeight="1" s="222">
      <c r="A131" s="28" t="inlineStr">
        <is>
          <t>Royal Palms Resort and Spa -The Unbound Collection by Hyatt</t>
        </is>
      </c>
      <c r="B131" s="8" t="inlineStr">
        <is>
          <t>Hotel</t>
        </is>
      </c>
      <c r="C131" s="8" t="n"/>
      <c r="D131" s="28" t="inlineStr">
        <is>
          <t>5200 E Camelback Rd, Phoenix, AZ 85018</t>
        </is>
      </c>
      <c r="E131" s="8" t="inlineStr">
        <is>
          <t>Scottsdale</t>
        </is>
      </c>
      <c r="F131" s="8" t="n">
        <v>16022831234</v>
      </c>
      <c r="G131" s="58" t="inlineStr">
        <is>
          <t>https://www.hyatt.com/unbound-collection/en-US/phxub-royal-palms-resort-and-spa?src=corp_lclb_google_seo_phxub&amp;utm_source=google&amp;utm_medium=organic&amp;utm_campaign=lmr</t>
        </is>
      </c>
      <c r="H131" s="80" t="n"/>
      <c r="I131" s="88" t="inlineStr">
        <is>
          <t>Has Valet</t>
        </is>
      </c>
      <c r="J131" s="28" t="n">
        <v>119</v>
      </c>
      <c r="K131" s="34" t="n">
        <v>0.6</v>
      </c>
      <c r="L131" s="45" t="n">
        <v>35</v>
      </c>
      <c r="M131" s="65" t="n"/>
      <c r="N131" s="65" t="n"/>
      <c r="O131" s="65" t="n"/>
      <c r="P131" s="65" t="n"/>
      <c r="Q131" s="65" t="n"/>
      <c r="R131" s="65" t="n"/>
      <c r="S131" s="18" t="n"/>
      <c r="T131" s="18" t="n"/>
      <c r="U131" s="30" t="n"/>
      <c r="V131" s="18" t="n"/>
      <c r="W131" s="18" t="n"/>
      <c r="X131" s="18" t="n"/>
      <c r="Y131" s="65" t="n"/>
      <c r="Z131" s="65" t="n"/>
      <c r="AA131" s="28" t="n"/>
      <c r="AB131" s="28" t="n"/>
      <c r="AC131" s="28" t="n"/>
      <c r="AD131" s="28" t="n"/>
      <c r="AE131" s="28" t="n"/>
      <c r="AF131" s="28" t="n"/>
      <c r="AG131" s="28" t="n"/>
      <c r="AH131" s="28" t="n"/>
      <c r="AI131" s="28" t="n"/>
      <c r="AJ131" s="28" t="n"/>
      <c r="AK131" s="28" t="n"/>
      <c r="AL131" s="65" t="n"/>
      <c r="AM131" s="65" t="n"/>
      <c r="AN131" s="65" t="n"/>
      <c r="AO131" s="65" t="n"/>
      <c r="AP131" s="65" t="n"/>
    </row>
    <row r="132" ht="51.75" customHeight="1" s="222">
      <c r="A132" s="28" t="inlineStr">
        <is>
          <t>Talking Stick Resort Hotel</t>
        </is>
      </c>
      <c r="B132" s="8" t="inlineStr">
        <is>
          <t>Hotel</t>
        </is>
      </c>
      <c r="C132" s="8" t="n"/>
      <c r="D132" s="28" t="inlineStr">
        <is>
          <t>9800 E Talking Stick Wy, Scottsdale, AZ 85256</t>
        </is>
      </c>
      <c r="E132" s="8" t="inlineStr">
        <is>
          <t>Scottsdale</t>
        </is>
      </c>
      <c r="F132" s="8" t="n">
        <v>14808507777</v>
      </c>
      <c r="G132" s="20" t="inlineStr">
        <is>
          <t>https://www.talkingstickresort.com/</t>
        </is>
      </c>
      <c r="H132" s="88" t="n"/>
      <c r="I132" s="88" t="n"/>
      <c r="J132" s="28" t="n">
        <v>496</v>
      </c>
      <c r="K132" s="67" t="n">
        <v>0.61</v>
      </c>
      <c r="L132" s="28" t="n">
        <v>349</v>
      </c>
      <c r="M132" s="73" t="n"/>
      <c r="N132" s="98" t="n"/>
      <c r="O132" s="123" t="n"/>
      <c r="P132" s="123" t="n"/>
      <c r="Q132" s="73" t="n"/>
      <c r="R132" s="73" t="n"/>
      <c r="S132" s="55" t="n"/>
      <c r="T132" s="18" t="n"/>
      <c r="U132" s="55" t="n"/>
      <c r="V132" s="101" t="n"/>
      <c r="W132" s="101" t="n"/>
      <c r="X132" s="101" t="n"/>
      <c r="Y132" s="123" t="n"/>
      <c r="Z132" s="123" t="n"/>
      <c r="AA132" s="28" t="n"/>
      <c r="AB132" s="28" t="n"/>
      <c r="AC132" s="28" t="n"/>
      <c r="AD132" s="28" t="n"/>
      <c r="AE132" s="28" t="n"/>
      <c r="AF132" s="28" t="n"/>
      <c r="AG132" s="28" t="n"/>
      <c r="AH132" s="28" t="n"/>
      <c r="AI132" s="28" t="n"/>
      <c r="AJ132" s="28" t="n"/>
      <c r="AK132" s="28" t="n"/>
      <c r="AL132" s="123" t="n"/>
      <c r="AM132" s="98" t="n"/>
      <c r="AN132" s="123" t="n"/>
      <c r="AO132" s="123" t="n"/>
      <c r="AP132" s="123" t="n"/>
    </row>
    <row r="133" ht="51.75" customHeight="1" s="222">
      <c r="A133" s="28" t="inlineStr">
        <is>
          <t>Sanctuary Camelback Mountain Resort &amp; Spa</t>
        </is>
      </c>
      <c r="B133" s="8" t="inlineStr">
        <is>
          <t>Hotel</t>
        </is>
      </c>
      <c r="C133" s="8" t="n"/>
      <c r="D133" s="28" t="inlineStr">
        <is>
          <t>5700 E McDonald Dr, Paradise Valley, AZ 85253</t>
        </is>
      </c>
      <c r="E133" s="8" t="inlineStr">
        <is>
          <t>Scottsdale</t>
        </is>
      </c>
      <c r="F133" s="89" t="inlineStr">
        <is>
          <t>(855) 421-3522</t>
        </is>
      </c>
      <c r="G133" s="20" t="inlineStr">
        <is>
          <t>https://www.sanctuaryaz.com/</t>
        </is>
      </c>
      <c r="H133" s="80" t="n"/>
      <c r="I133" s="93" t="n"/>
      <c r="J133" s="8" t="n">
        <v>110</v>
      </c>
      <c r="K133" s="67" t="n">
        <v>0.61</v>
      </c>
      <c r="L133" s="65" t="n">
        <v>49</v>
      </c>
      <c r="M133" s="28" t="n"/>
      <c r="N133" s="28" t="n"/>
      <c r="O133" s="28" t="n"/>
      <c r="P133" s="28" t="n"/>
      <c r="Q133" s="28" t="n"/>
      <c r="R133" s="28" t="n"/>
      <c r="S133" s="18" t="n"/>
      <c r="T133" s="18" t="n"/>
      <c r="U133" s="30" t="n"/>
      <c r="V133" s="18" t="n"/>
      <c r="W133" s="18" t="n"/>
      <c r="X133" s="18" t="n"/>
      <c r="Y133" s="28" t="n"/>
      <c r="Z133" s="28" t="n"/>
      <c r="AA133" s="28" t="n"/>
      <c r="AB133" s="28" t="n"/>
      <c r="AC133" s="28" t="n"/>
      <c r="AD133" s="28" t="n"/>
      <c r="AE133" s="28" t="n"/>
      <c r="AF133" s="28" t="n"/>
      <c r="AG133" s="28" t="n"/>
      <c r="AH133" s="28" t="n"/>
      <c r="AI133" s="28" t="n"/>
      <c r="AJ133" s="28" t="n"/>
      <c r="AK133" s="28" t="n"/>
      <c r="AL133" s="28" t="n"/>
      <c r="AM133" s="28" t="n"/>
      <c r="AN133" s="28" t="n"/>
      <c r="AO133" s="28" t="n"/>
      <c r="AP133" s="28" t="n"/>
    </row>
    <row r="134" ht="51.75" customHeight="1" s="222">
      <c r="A134" s="28" t="inlineStr">
        <is>
          <t>Canopy by Hilton Scottsdale Old Town</t>
        </is>
      </c>
      <c r="B134" s="8" t="inlineStr">
        <is>
          <t>Hotel</t>
        </is>
      </c>
      <c r="C134" s="8" t="n"/>
      <c r="D134" s="75" t="inlineStr">
        <is>
          <t>7142 E 1st St, Scottsdale, AZ 85251</t>
        </is>
      </c>
      <c r="E134" s="8" t="inlineStr">
        <is>
          <t>Scottsdale</t>
        </is>
      </c>
      <c r="F134" s="8">
        <f>14805903864</f>
        <v/>
      </c>
      <c r="G134" s="76" t="inlineStr">
        <is>
          <t>https://www.hilton.com/en/hotels/phxotpy-canopy-scottsdale-old-town/?SEO_id=GMB-AMER-PY-PHXOTPY&amp;y_source=1_MTc4NjUzOTMtNzE1LWxvY2F0aW9uLndlYnNpdGU%3D</t>
        </is>
      </c>
      <c r="H134" s="88" t="n">
        <v>25</v>
      </c>
      <c r="I134" s="99" t="inlineStr">
        <is>
          <t>No Valet</t>
        </is>
      </c>
      <c r="J134" s="65" t="n">
        <v>177</v>
      </c>
      <c r="K134" s="34" t="n">
        <v>0.62</v>
      </c>
      <c r="L134" s="65" t="n">
        <v>26</v>
      </c>
      <c r="M134" s="65" t="n"/>
      <c r="N134" s="88" t="n"/>
      <c r="O134" s="80" t="n"/>
      <c r="P134" s="80" t="n"/>
      <c r="Q134" s="65" t="n"/>
      <c r="R134" s="65" t="n"/>
      <c r="S134" s="18" t="n"/>
      <c r="T134" s="18" t="n"/>
      <c r="U134" s="18" t="n"/>
      <c r="V134" s="82" t="n"/>
      <c r="W134" s="82" t="n"/>
      <c r="X134" s="82" t="n"/>
      <c r="Y134" s="80" t="n"/>
      <c r="Z134" s="80" t="n"/>
      <c r="AA134" s="28" t="n"/>
      <c r="AB134" s="28" t="n"/>
      <c r="AC134" s="28" t="n"/>
      <c r="AD134" s="28" t="n"/>
      <c r="AE134" s="28" t="n"/>
      <c r="AF134" s="28" t="n"/>
      <c r="AG134" s="28" t="n"/>
      <c r="AH134" s="28" t="n"/>
      <c r="AI134" s="28" t="n"/>
      <c r="AJ134" s="28" t="n"/>
      <c r="AK134" s="28" t="n"/>
      <c r="AL134" s="80" t="n"/>
      <c r="AM134" s="88" t="n"/>
      <c r="AN134" s="80" t="n"/>
      <c r="AO134" s="80" t="n"/>
      <c r="AP134" s="80" t="n"/>
    </row>
    <row r="135" ht="51.75" customHeight="1" s="222">
      <c r="A135" s="28" t="inlineStr">
        <is>
          <t>The Scottsdale Resort and Spa, Curio Collection by Hilton</t>
        </is>
      </c>
      <c r="B135" s="8" t="inlineStr">
        <is>
          <t>Hotel</t>
        </is>
      </c>
      <c r="C135" s="8" t="n"/>
      <c r="D135" s="75" t="inlineStr">
        <is>
          <t>7700 E McCormick Pkwy, Scottsdale, AZ 85258</t>
        </is>
      </c>
      <c r="E135" s="8" t="inlineStr">
        <is>
          <t>Scottsdale</t>
        </is>
      </c>
      <c r="F135" s="8" t="n">
        <v>14809919000</v>
      </c>
      <c r="G135" s="87" t="inlineStr">
        <is>
          <t>https://www.hilton.com/en/hotels/phxssqq-the-scottsdale-resort-and-spa/?SEO_id=GMB-AMER-QQ-PHXSSQQ&amp;y_source=1_MzA3ODU0NTQtNzE1LWxvY2F0aW9uLndlYnNpdGU%3D</t>
        </is>
      </c>
      <c r="H135" s="88" t="n">
        <v>25</v>
      </c>
      <c r="I135" s="99" t="n">
        <v>35</v>
      </c>
      <c r="J135" s="65" t="n">
        <v>278</v>
      </c>
      <c r="K135" s="34" t="n">
        <v>0.63</v>
      </c>
      <c r="L135" s="65" t="n">
        <v>82</v>
      </c>
      <c r="M135" s="65" t="n"/>
      <c r="N135" s="88" t="n"/>
      <c r="O135" s="80" t="n"/>
      <c r="P135" s="80" t="n"/>
      <c r="Q135" s="65" t="n"/>
      <c r="R135" s="65" t="inlineStr">
        <is>
          <t>Nicholas Soloman</t>
        </is>
      </c>
      <c r="S135" s="18" t="n"/>
      <c r="T135" s="65" t="inlineStr">
        <is>
          <t>Nicholas Soloman</t>
        </is>
      </c>
      <c r="U135" s="18" t="inlineStr">
        <is>
          <t>gm</t>
        </is>
      </c>
      <c r="V135" s="82" t="n"/>
      <c r="W135" s="82" t="n"/>
      <c r="X135" s="82" t="n"/>
      <c r="Y135" s="80" t="n"/>
      <c r="Z135" s="80" t="n"/>
      <c r="AA135" s="28" t="n"/>
      <c r="AB135" s="28" t="n"/>
      <c r="AC135" s="28" t="n"/>
      <c r="AD135" s="28" t="n"/>
      <c r="AE135" s="28" t="n"/>
      <c r="AF135" s="28" t="n"/>
      <c r="AG135" s="28" t="n"/>
      <c r="AH135" s="28" t="n"/>
      <c r="AI135" s="28" t="n"/>
      <c r="AJ135" s="28" t="n"/>
      <c r="AK135" s="28" t="n"/>
      <c r="AL135" s="80" t="n"/>
      <c r="AM135" s="88" t="n"/>
      <c r="AN135" s="80" t="n"/>
      <c r="AO135" s="80" t="n"/>
      <c r="AP135" s="80" t="n"/>
    </row>
    <row r="136" ht="51.75" customHeight="1" s="222">
      <c r="A136" s="28" t="inlineStr">
        <is>
          <t>Tru by Hilton Scottsdale Salt River</t>
        </is>
      </c>
      <c r="B136" s="8" t="inlineStr">
        <is>
          <t>Hotel</t>
        </is>
      </c>
      <c r="C136" s="8" t="n"/>
      <c r="D136" s="28" t="inlineStr">
        <is>
          <t>8401 N Pima Center Pkwy, Scottsdale, AZ 85258</t>
        </is>
      </c>
      <c r="E136" s="8" t="inlineStr">
        <is>
          <t>Scottsdale</t>
        </is>
      </c>
      <c r="F136" s="8" t="n">
        <v>14802917000</v>
      </c>
      <c r="G136" s="20" t="inlineStr">
        <is>
          <t>https://www.hilton.com/en/hotels/phxscru-tru-scottsdale-salt-river/?SEO_id=GMB-AMER-RU-PHXSCRU&amp;y_source=1_MTQ5MzAwMjEtNzE1LWxvY2F0aW9uLndlYnNpdGU%3D</t>
        </is>
      </c>
      <c r="H136" s="93" t="inlineStr">
        <is>
          <t>Free</t>
        </is>
      </c>
      <c r="I136" s="88" t="inlineStr">
        <is>
          <t>No Valet</t>
        </is>
      </c>
      <c r="J136" s="28" t="n">
        <v>81</v>
      </c>
      <c r="K136" s="67" t="n">
        <v>0.63</v>
      </c>
      <c r="L136" s="28" t="n">
        <v>8</v>
      </c>
      <c r="M136" s="69" t="n"/>
      <c r="N136" s="93" t="n"/>
      <c r="O136" s="80" t="n"/>
      <c r="P136" s="80" t="n"/>
      <c r="Q136" s="69" t="n"/>
      <c r="R136" s="69" t="n"/>
      <c r="S136" s="71" t="n"/>
      <c r="T136" s="71" t="n"/>
      <c r="U136" s="71" t="n"/>
      <c r="V136" s="82" t="n"/>
      <c r="W136" s="82" t="n"/>
      <c r="X136" s="82" t="n"/>
      <c r="Y136" s="80" t="n"/>
      <c r="Z136" s="80" t="n"/>
      <c r="AA136" s="28" t="n"/>
      <c r="AB136" s="28" t="n"/>
      <c r="AC136" s="28" t="n"/>
      <c r="AD136" s="28" t="n"/>
      <c r="AE136" s="28" t="n"/>
      <c r="AF136" s="28" t="n"/>
      <c r="AG136" s="28" t="n"/>
      <c r="AH136" s="28" t="n"/>
      <c r="AI136" s="28" t="n"/>
      <c r="AJ136" s="28" t="n"/>
      <c r="AK136" s="28" t="n"/>
      <c r="AL136" s="80" t="n"/>
      <c r="AM136" s="93" t="n"/>
      <c r="AN136" s="80" t="n"/>
      <c r="AO136" s="80" t="n"/>
      <c r="AP136" s="80" t="n"/>
    </row>
    <row r="137" ht="51.75" customHeight="1" s="222">
      <c r="A137" s="28" t="inlineStr">
        <is>
          <t>Home2 Suites by Hilton Scottsdale Salt River</t>
        </is>
      </c>
      <c r="B137" s="8" t="inlineStr">
        <is>
          <t>Hotel</t>
        </is>
      </c>
      <c r="C137" s="8" t="n"/>
      <c r="D137" s="28" t="inlineStr">
        <is>
          <t>8401 N Pima Center Pkwy, Scottsdale, AZ 85258</t>
        </is>
      </c>
      <c r="E137" s="8" t="inlineStr">
        <is>
          <t>Scottsdale</t>
        </is>
      </c>
      <c r="F137" s="8" t="n">
        <v>14802917000</v>
      </c>
      <c r="G137" s="20" t="inlineStr">
        <is>
          <t>https://www.hilton.com/en/hotels/phxdaht-home2-suites-scottsdale-salt-river/?SEO_id=GMB-AMER-HT-PHXDAHT&amp;y_source=1_MTQ5MzAwNDctNzE1LWxvY2F0aW9uLndlYnNpdGU%3D</t>
        </is>
      </c>
      <c r="H137" s="88" t="n"/>
      <c r="I137" s="93" t="n"/>
      <c r="J137" s="104" t="n"/>
      <c r="K137" s="103" t="n">
        <v>0.63</v>
      </c>
      <c r="L137" s="104" t="n">
        <v>8</v>
      </c>
      <c r="M137" s="104" t="n"/>
      <c r="N137" s="88" t="n"/>
      <c r="O137" s="80" t="n"/>
      <c r="P137" s="80" t="n"/>
      <c r="Q137" s="104" t="n"/>
      <c r="R137" s="104" t="n"/>
      <c r="S137" s="18" t="n"/>
      <c r="T137" s="18" t="n"/>
      <c r="U137" s="18" t="n"/>
      <c r="V137" s="82" t="n"/>
      <c r="W137" s="82" t="n"/>
      <c r="X137" s="82" t="n"/>
      <c r="Y137" s="80" t="n"/>
      <c r="Z137" s="80" t="n"/>
      <c r="AA137" s="28" t="n"/>
      <c r="AB137" s="28" t="n"/>
      <c r="AC137" s="28" t="n"/>
      <c r="AD137" s="28" t="n"/>
      <c r="AE137" s="28" t="n"/>
      <c r="AF137" s="28" t="n"/>
      <c r="AG137" s="28" t="n"/>
      <c r="AH137" s="28" t="n"/>
      <c r="AI137" s="28" t="n"/>
      <c r="AJ137" s="28" t="n"/>
      <c r="AK137" s="28" t="n"/>
      <c r="AL137" s="80" t="n"/>
      <c r="AM137" s="88" t="n"/>
      <c r="AN137" s="80" t="n"/>
      <c r="AO137" s="80" t="n"/>
      <c r="AP137" s="80" t="n"/>
    </row>
    <row r="138" ht="51.75" customHeight="1" s="222">
      <c r="A138" s="28" t="inlineStr">
        <is>
          <t>Mountain Shadows Resort Scottsdale</t>
        </is>
      </c>
      <c r="B138" s="8" t="inlineStr">
        <is>
          <t>Hotel</t>
        </is>
      </c>
      <c r="C138" s="8" t="n"/>
      <c r="D138" s="28" t="inlineStr">
        <is>
          <t>5445 E Lincoln Dr, Paradise Valley, AZ 85253</t>
        </is>
      </c>
      <c r="E138" s="8" t="inlineStr">
        <is>
          <t>Scottsdale</t>
        </is>
      </c>
      <c r="F138" s="8" t="n">
        <v>18554851417</v>
      </c>
      <c r="G138" s="87" t="inlineStr">
        <is>
          <t>https://mountainshadows.com/</t>
        </is>
      </c>
      <c r="H138" s="88" t="inlineStr">
        <is>
          <t>Free</t>
        </is>
      </c>
      <c r="I138" s="88" t="inlineStr">
        <is>
          <t>No Valet</t>
        </is>
      </c>
      <c r="J138" s="65" t="n">
        <v>217</v>
      </c>
      <c r="K138" s="34" t="n">
        <v>0.6899999999999999</v>
      </c>
      <c r="L138" s="65" t="n">
        <v>35</v>
      </c>
      <c r="M138" s="65" t="n"/>
      <c r="N138" s="65" t="n"/>
      <c r="O138" s="80" t="n"/>
      <c r="P138" s="80" t="n"/>
      <c r="Q138" s="65" t="n"/>
      <c r="R138" s="65" t="n"/>
      <c r="S138" s="18" t="n"/>
      <c r="T138" s="18" t="n"/>
      <c r="U138" s="18" t="n"/>
      <c r="V138" s="82" t="n"/>
      <c r="W138" s="82" t="n"/>
      <c r="X138" s="82" t="n"/>
      <c r="Y138" s="80" t="n"/>
      <c r="Z138" s="80" t="n"/>
      <c r="AA138" s="28" t="n"/>
      <c r="AB138" s="28" t="n"/>
      <c r="AC138" s="28" t="n"/>
      <c r="AD138" s="28" t="n"/>
      <c r="AE138" s="28" t="n"/>
      <c r="AF138" s="28" t="n"/>
      <c r="AG138" s="28" t="n"/>
      <c r="AH138" s="28" t="n"/>
      <c r="AI138" s="28" t="n"/>
      <c r="AJ138" s="28" t="n"/>
      <c r="AK138" s="28" t="n"/>
      <c r="AL138" s="80" t="n"/>
      <c r="AM138" s="65" t="n"/>
      <c r="AN138" s="80" t="n"/>
      <c r="AO138" s="80" t="n"/>
      <c r="AP138" s="80" t="n"/>
    </row>
    <row r="139" ht="51.75" customHeight="1" s="222">
      <c r="A139" s="28" t="inlineStr">
        <is>
          <t>Hilton Garden Inn Scottsdale North/Perimeter Center</t>
        </is>
      </c>
      <c r="B139" s="105" t="inlineStr">
        <is>
          <t>Hotel</t>
        </is>
      </c>
      <c r="C139" s="8" t="n"/>
      <c r="D139" s="28" t="inlineStr">
        <is>
          <t>8550 E Princess Dr, Scottsdale, AZ 85255</t>
        </is>
      </c>
      <c r="E139" s="8" t="inlineStr">
        <is>
          <t>Scottsdale</t>
        </is>
      </c>
      <c r="F139" s="8" t="n">
        <v>14805154944</v>
      </c>
      <c r="G139" s="20" t="inlineStr">
        <is>
          <t>https://www.hilton.com/en/hotels/sctnpgi-hilton-garden-inn-scottsdale-north-perimeter-center/?SEO_id=GMB-AMER-GI-SCTNPGI&amp;y_source=1_MjA4NTE2My03MTUtbG9jYXRpb24ud2Vic2l0ZQ%3D%3D</t>
        </is>
      </c>
      <c r="H139" s="93" t="n"/>
      <c r="I139" s="88" t="n"/>
      <c r="J139" s="28" t="n">
        <v>122</v>
      </c>
      <c r="K139" s="67" t="n">
        <v>0.71</v>
      </c>
      <c r="L139" s="28" t="n">
        <v>7</v>
      </c>
      <c r="M139" s="69" t="n"/>
      <c r="N139" s="93" t="n"/>
      <c r="O139" s="80" t="n"/>
      <c r="P139" s="80" t="n"/>
      <c r="Q139" s="69" t="n"/>
      <c r="R139" s="92" t="n"/>
      <c r="S139" s="71" t="n"/>
      <c r="T139" s="106" t="n"/>
      <c r="U139" s="71" t="n"/>
      <c r="V139" s="82" t="n"/>
      <c r="W139" s="82" t="n"/>
      <c r="X139" s="82" t="n"/>
      <c r="Y139" s="80" t="n"/>
      <c r="Z139" s="80" t="n"/>
      <c r="AA139" s="28" t="n"/>
      <c r="AB139" s="28" t="n"/>
      <c r="AC139" s="28" t="n"/>
      <c r="AD139" s="28" t="n"/>
      <c r="AE139" s="28" t="n"/>
      <c r="AF139" s="28" t="n"/>
      <c r="AG139" s="28" t="n"/>
      <c r="AH139" s="28" t="n"/>
      <c r="AI139" s="28" t="n"/>
      <c r="AJ139" s="28" t="n"/>
      <c r="AK139" s="28" t="n"/>
      <c r="AL139" s="80" t="n"/>
      <c r="AM139" s="93" t="n"/>
      <c r="AN139" s="80" t="n"/>
      <c r="AO139" s="80" t="n"/>
      <c r="AP139" s="80" t="n"/>
    </row>
    <row r="140" ht="51.75" customHeight="1" s="222">
      <c r="A140" s="28" t="inlineStr">
        <is>
          <t>Aloft Scottsdale</t>
        </is>
      </c>
      <c r="B140" s="105" t="inlineStr">
        <is>
          <t>Hotel</t>
        </is>
      </c>
      <c r="C140" s="8" t="n"/>
      <c r="D140" s="75" t="inlineStr">
        <is>
          <t>4415 N Civic Center Plaza, Scottsdale, AZ 85251</t>
        </is>
      </c>
      <c r="E140" s="8" t="inlineStr">
        <is>
          <t>Scottsdale</t>
        </is>
      </c>
      <c r="F140" s="8">
        <f>14802533700</f>
        <v/>
      </c>
      <c r="G140" s="76" t="inlineStr">
        <is>
          <t>https://www.marriott.com/en-us/hotels/phxsd-aloft-scottsdale/overview/?scid=f2ae0541-1279-4f24-b197-a979c79310b0</t>
        </is>
      </c>
      <c r="H140" s="88" t="n">
        <v>15</v>
      </c>
      <c r="I140" s="99" t="inlineStr">
        <is>
          <t>No Valet</t>
        </is>
      </c>
      <c r="J140" s="65" t="n">
        <v>126</v>
      </c>
      <c r="K140" s="34" t="n">
        <v>0.72</v>
      </c>
      <c r="L140" s="65" t="n">
        <v>18</v>
      </c>
      <c r="M140" s="65" t="n"/>
      <c r="N140" s="88" t="n"/>
      <c r="O140" s="80" t="n"/>
      <c r="P140" s="80" t="n"/>
      <c r="Q140" s="65" t="n"/>
      <c r="R140" s="65" t="n"/>
      <c r="S140" s="18" t="n"/>
      <c r="T140" s="18" t="n"/>
      <c r="U140" s="18" t="n"/>
      <c r="V140" s="101" t="n"/>
      <c r="W140" s="82" t="n"/>
      <c r="X140" s="82" t="n"/>
      <c r="Y140" s="80" t="n"/>
      <c r="Z140" s="80" t="n"/>
      <c r="AA140" s="28" t="n"/>
      <c r="AB140" s="28" t="n"/>
      <c r="AC140" s="28" t="n"/>
      <c r="AD140" s="28" t="n"/>
      <c r="AE140" s="28" t="n"/>
      <c r="AF140" s="28" t="n"/>
      <c r="AG140" s="28" t="n"/>
      <c r="AH140" s="28" t="n"/>
      <c r="AI140" s="28" t="n"/>
      <c r="AJ140" s="28" t="n"/>
      <c r="AK140" s="28" t="n"/>
      <c r="AL140" s="80" t="n"/>
      <c r="AM140" s="88" t="n"/>
      <c r="AN140" s="80" t="n"/>
      <c r="AO140" s="80" t="n"/>
      <c r="AP140" s="80" t="n"/>
    </row>
    <row r="141" ht="51.75" customHeight="1" s="222">
      <c r="A141" s="28" t="inlineStr">
        <is>
          <t>Andaz Scottsdale Resort &amp; Bungalows</t>
        </is>
      </c>
      <c r="B141" s="105" t="inlineStr">
        <is>
          <t>Hotel</t>
        </is>
      </c>
      <c r="C141" s="8" t="n"/>
      <c r="D141" s="28" t="inlineStr">
        <is>
          <t>6114 N Scottsdale Rd, Scottsdale, AZ 85253</t>
        </is>
      </c>
      <c r="E141" s="8" t="inlineStr">
        <is>
          <t>Scottsdale</t>
        </is>
      </c>
      <c r="F141" s="8" t="n">
        <v>14803681234</v>
      </c>
      <c r="G141" s="20" t="inlineStr">
        <is>
          <t>https://www.hyatt.com/andaz/en-US/phxaz-andaz-scottsdale-resort-and-bungalows?src=corp_lclb_google_seo_phxaz&amp;utm_source=google&amp;utm_medium=organic&amp;utm_campaign=lmr</t>
        </is>
      </c>
      <c r="H141" s="93" t="n">
        <v>23</v>
      </c>
      <c r="I141" s="99" t="n">
        <v>35</v>
      </c>
      <c r="J141" s="28" t="n">
        <v>185</v>
      </c>
      <c r="K141" s="67" t="n">
        <v>0.73</v>
      </c>
      <c r="L141" s="28" t="n">
        <v>22</v>
      </c>
      <c r="M141" s="69" t="n"/>
      <c r="N141" s="93" t="n"/>
      <c r="O141" s="80" t="n"/>
      <c r="P141" s="80" t="n"/>
      <c r="Q141" s="69" t="n"/>
      <c r="R141" s="69" t="n"/>
      <c r="S141" s="71" t="n"/>
      <c r="T141" s="71" t="n"/>
      <c r="U141" s="71" t="n"/>
      <c r="V141" s="82" t="n"/>
      <c r="W141" s="82" t="n"/>
      <c r="X141" s="82" t="n"/>
      <c r="Y141" s="80" t="n"/>
      <c r="Z141" s="80" t="n"/>
      <c r="AA141" s="28" t="n"/>
      <c r="AB141" s="28" t="n"/>
      <c r="AC141" s="28" t="n"/>
      <c r="AD141" s="28" t="n"/>
      <c r="AE141" s="28" t="n"/>
      <c r="AF141" s="28" t="n"/>
      <c r="AG141" s="28" t="n"/>
      <c r="AH141" s="28" t="n"/>
      <c r="AI141" s="28" t="n"/>
      <c r="AJ141" s="28" t="n"/>
      <c r="AK141" s="28" t="n"/>
      <c r="AL141" s="80" t="n"/>
      <c r="AM141" s="93" t="n"/>
      <c r="AN141" s="80" t="n"/>
      <c r="AO141" s="80" t="n"/>
      <c r="AP141" s="80" t="n"/>
    </row>
    <row r="142" ht="51.75" customHeight="1" s="222">
      <c r="A142" s="28" t="inlineStr">
        <is>
          <t>Sonesta Suites Scottsdale Gainey Ranch</t>
        </is>
      </c>
      <c r="B142" s="105" t="inlineStr">
        <is>
          <t>Hotel</t>
        </is>
      </c>
      <c r="C142" s="8" t="n"/>
      <c r="D142" s="28" t="inlineStr">
        <is>
          <t>7300 E Gainey Suites Dr, Scottsdale, AZ 85258</t>
        </is>
      </c>
      <c r="E142" s="8" t="inlineStr">
        <is>
          <t>Scottsdale</t>
        </is>
      </c>
      <c r="F142" s="8" t="n">
        <v>14809226969</v>
      </c>
      <c r="G142" s="20" t="inlineStr">
        <is>
          <t>https://www.sonesta.com/sonesta-hotels-resorts/az/scottsdale/sonesta-suites-scottsdale-gainey-ranch</t>
        </is>
      </c>
      <c r="H142" s="93" t="n"/>
      <c r="I142" s="88" t="n"/>
      <c r="J142" s="28" t="n">
        <v>164</v>
      </c>
      <c r="K142" s="67" t="n">
        <v>0.73</v>
      </c>
      <c r="L142" s="28" t="n">
        <v>15</v>
      </c>
      <c r="M142" s="65" t="n"/>
      <c r="N142" s="93" t="n"/>
      <c r="O142" s="80" t="n"/>
      <c r="P142" s="80" t="n"/>
      <c r="Q142" s="65" t="n"/>
      <c r="R142" s="65" t="n"/>
      <c r="S142" s="18" t="n"/>
      <c r="T142" s="18" t="n"/>
      <c r="U142" s="18" t="n"/>
      <c r="V142" s="82" t="n"/>
      <c r="W142" s="82" t="n"/>
      <c r="X142" s="82" t="n"/>
      <c r="Y142" s="80" t="n"/>
      <c r="Z142" s="80" t="n"/>
      <c r="AA142" s="28" t="n"/>
      <c r="AB142" s="28" t="n"/>
      <c r="AC142" s="28" t="n"/>
      <c r="AD142" s="28" t="n"/>
      <c r="AE142" s="28" t="n"/>
      <c r="AF142" s="28" t="n"/>
      <c r="AG142" s="28" t="n"/>
      <c r="AH142" s="28" t="n"/>
      <c r="AI142" s="28" t="n"/>
      <c r="AJ142" s="28" t="n"/>
      <c r="AK142" s="28" t="n"/>
      <c r="AL142" s="80" t="n"/>
      <c r="AM142" s="93" t="n"/>
      <c r="AN142" s="80" t="n"/>
      <c r="AO142" s="80" t="n"/>
      <c r="AP142" s="80" t="n"/>
    </row>
    <row r="143" ht="51.75" customHeight="1" s="222">
      <c r="A143" s="28" t="inlineStr">
        <is>
          <t>The Scottsdale Plaza Resort &amp; Villas</t>
        </is>
      </c>
      <c r="B143" s="105" t="inlineStr">
        <is>
          <t>Hotel</t>
        </is>
      </c>
      <c r="C143" s="8" t="n"/>
      <c r="D143" s="28" t="inlineStr">
        <is>
          <t>7200 N Scottsdale Rd, Scottsdale, AZ 85253</t>
        </is>
      </c>
      <c r="E143" s="8" t="inlineStr">
        <is>
          <t>Scottsdale</t>
        </is>
      </c>
      <c r="F143" s="89" t="inlineStr">
        <is>
          <t>(480) 948-5000</t>
        </is>
      </c>
      <c r="G143" s="20" t="inlineStr">
        <is>
          <t>https://www.scottsdaleplaza.com/?gad_source=1&amp;gad_campaignid=16408654732&amp;gbraid=0AAAAAodDwMSNbi1tTYgo2QurB_9i-XoxA&amp;gclid=CjwKCAjwlaTGBhANEiwAoRgXBQMHTkuiobxF6qNh8vzfvc1yTpVFBx_UAIjywjleouHvZtEChGv9DhoCsIYQAvD_BwE</t>
        </is>
      </c>
      <c r="H143" s="80" t="inlineStr">
        <is>
          <t>Free</t>
        </is>
      </c>
      <c r="I143" s="93" t="inlineStr">
        <is>
          <t>No Valet</t>
        </is>
      </c>
      <c r="J143" s="8" t="n">
        <v>404</v>
      </c>
      <c r="K143" s="67" t="n">
        <v>0.74</v>
      </c>
      <c r="L143" s="65" t="n">
        <v>54</v>
      </c>
      <c r="M143" s="69" t="n"/>
      <c r="N143" s="28" t="n"/>
      <c r="O143" s="28" t="n"/>
      <c r="P143" s="28" t="n"/>
      <c r="Q143" s="69" t="n"/>
      <c r="R143" s="69" t="n"/>
      <c r="S143" s="71" t="n"/>
      <c r="T143" s="71" t="n"/>
      <c r="U143" s="30" t="n"/>
      <c r="V143" s="18" t="n"/>
      <c r="W143" s="18" t="n"/>
      <c r="X143" s="18" t="n"/>
      <c r="Y143" s="28" t="n"/>
      <c r="Z143" s="28" t="n"/>
      <c r="AA143" s="28" t="n"/>
      <c r="AB143" s="28" t="n"/>
      <c r="AC143" s="28" t="n"/>
      <c r="AD143" s="28" t="n"/>
      <c r="AE143" s="28" t="n"/>
      <c r="AF143" s="28" t="n"/>
      <c r="AG143" s="28" t="n"/>
      <c r="AH143" s="28" t="n"/>
      <c r="AI143" s="28" t="n"/>
      <c r="AJ143" s="28" t="n"/>
      <c r="AK143" s="28" t="n"/>
      <c r="AL143" s="28" t="n"/>
      <c r="AM143" s="28" t="n"/>
      <c r="AN143" s="28" t="n"/>
      <c r="AO143" s="28" t="n"/>
      <c r="AP143" s="28" t="n"/>
    </row>
    <row r="144" ht="51.75" customHeight="1" s="222">
      <c r="A144" s="28" t="inlineStr">
        <is>
          <t>Holiday Inn &amp; Suites Scottsdale North - Airpark by IHG</t>
        </is>
      </c>
      <c r="B144" s="105" t="inlineStr">
        <is>
          <t>Hotel</t>
        </is>
      </c>
      <c r="C144" s="8" t="n"/>
      <c r="D144" s="28" t="inlineStr">
        <is>
          <t>14255 N 87th St, Scottsdale, AZ 85260</t>
        </is>
      </c>
      <c r="E144" s="8" t="inlineStr">
        <is>
          <t>Scottsdale</t>
        </is>
      </c>
      <c r="F144" s="8" t="n">
        <v>14809226500</v>
      </c>
      <c r="G144" s="20" t="inlineStr">
        <is>
          <t>https://www.ihg.com/holidayinn/hotels/us/en/scottsdale/phxsa/hoteldetail?cm_mmc=GoogleMaps-_-HI-_-US-_-PHXSA</t>
        </is>
      </c>
      <c r="H144" s="88" t="inlineStr">
        <is>
          <t>Free</t>
        </is>
      </c>
      <c r="I144" s="88" t="inlineStr">
        <is>
          <t>No Valet</t>
        </is>
      </c>
      <c r="J144" s="65" t="n">
        <v>117</v>
      </c>
      <c r="K144" s="34" t="n">
        <v>0.75</v>
      </c>
      <c r="L144" s="65" t="n">
        <v>8</v>
      </c>
      <c r="M144" s="65" t="n"/>
      <c r="N144" s="88" t="n"/>
      <c r="O144" s="80" t="n"/>
      <c r="P144" s="80" t="n"/>
      <c r="Q144" s="65" t="n"/>
      <c r="R144" s="65" t="n"/>
      <c r="S144" s="18" t="n"/>
      <c r="T144" s="18" t="n"/>
      <c r="U144" s="18" t="n"/>
      <c r="V144" s="82" t="n"/>
      <c r="W144" s="82" t="n"/>
      <c r="X144" s="82" t="n"/>
      <c r="Y144" s="80" t="n"/>
      <c r="Z144" s="80" t="n"/>
      <c r="AA144" s="28" t="n"/>
      <c r="AB144" s="28" t="n"/>
      <c r="AC144" s="28" t="n"/>
      <c r="AD144" s="28" t="n"/>
      <c r="AE144" s="28" t="n"/>
      <c r="AF144" s="28" t="n"/>
      <c r="AG144" s="28" t="n"/>
      <c r="AH144" s="28" t="n"/>
      <c r="AI144" s="28" t="n"/>
      <c r="AJ144" s="28" t="n"/>
      <c r="AK144" s="28" t="n"/>
      <c r="AL144" s="80" t="n"/>
      <c r="AM144" s="88" t="n"/>
      <c r="AN144" s="80" t="n"/>
      <c r="AO144" s="80" t="n"/>
      <c r="AP144" s="80" t="n"/>
    </row>
    <row r="145" ht="51.75" customHeight="1" s="222">
      <c r="A145" s="28" t="inlineStr">
        <is>
          <t>Residence Inn Scottsdale Salt River</t>
        </is>
      </c>
      <c r="B145" s="105" t="inlineStr">
        <is>
          <t>Hotel</t>
        </is>
      </c>
      <c r="C145" s="8" t="n"/>
      <c r="D145" s="28" t="inlineStr">
        <is>
          <t>5351 N Pima Rd, Scottsdale, AZ 85250</t>
        </is>
      </c>
      <c r="E145" s="8" t="inlineStr">
        <is>
          <t>Scottsdale</t>
        </is>
      </c>
      <c r="F145" s="89" t="inlineStr">
        <is>
          <t>(480) 745-8900</t>
        </is>
      </c>
      <c r="G145" s="20" t="inlineStr">
        <is>
          <t>https://www.marriott.com/en-us/hotels/phxrr-residence-inn-scottsdale-salt-river/overview/?scid=f2ae0541-1279-4f24-b197-a979c79310b0</t>
        </is>
      </c>
      <c r="H145" s="80" t="n">
        <v>8</v>
      </c>
      <c r="I145" s="93" t="inlineStr">
        <is>
          <t>No Valet</t>
        </is>
      </c>
      <c r="J145" s="28" t="n">
        <v>111</v>
      </c>
      <c r="K145" s="34" t="n">
        <v>0.75</v>
      </c>
      <c r="L145" s="65" t="n">
        <v>12</v>
      </c>
      <c r="M145" s="65" t="n"/>
      <c r="N145" s="65" t="n"/>
      <c r="O145" s="65" t="n"/>
      <c r="P145" s="65" t="n"/>
      <c r="Q145" s="65" t="n"/>
      <c r="R145" s="65" t="n"/>
      <c r="S145" s="18" t="n"/>
      <c r="T145" s="18" t="n"/>
      <c r="U145" s="30" t="n"/>
      <c r="V145" s="18" t="n"/>
      <c r="W145" s="18" t="n"/>
      <c r="X145" s="18" t="n"/>
      <c r="Y145" s="65" t="n"/>
      <c r="Z145" s="65" t="n"/>
      <c r="AA145" s="28" t="n"/>
      <c r="AB145" s="28" t="n"/>
      <c r="AC145" s="28" t="n"/>
      <c r="AD145" s="28" t="n"/>
      <c r="AE145" s="28" t="n"/>
      <c r="AF145" s="28" t="n"/>
      <c r="AG145" s="28" t="n"/>
      <c r="AH145" s="28" t="n"/>
      <c r="AI145" s="28" t="n"/>
      <c r="AJ145" s="28" t="n"/>
      <c r="AK145" s="28" t="n"/>
      <c r="AL145" s="65" t="n"/>
      <c r="AM145" s="65" t="n"/>
      <c r="AN145" s="65" t="n"/>
      <c r="AO145" s="65" t="n"/>
      <c r="AP145" s="65" t="n"/>
    </row>
    <row r="146" ht="51.75" customHeight="1" s="222">
      <c r="A146" s="28" t="inlineStr">
        <is>
          <t>Hilton North Scottsdale at Cavasson</t>
        </is>
      </c>
      <c r="B146" s="105" t="inlineStr">
        <is>
          <t>Hotel</t>
        </is>
      </c>
      <c r="C146" s="8" t="n"/>
      <c r="D146" s="75" t="inlineStr">
        <is>
          <t>7965 E Cavasson Blvd, Scottsdale, AZ 85255</t>
        </is>
      </c>
      <c r="E146" s="8" t="inlineStr">
        <is>
          <t>Scottsdale</t>
        </is>
      </c>
      <c r="F146" s="105" t="n">
        <v>14806481500</v>
      </c>
      <c r="G146" s="87" t="inlineStr">
        <is>
          <t>https://www.hilton.com/en/hotels/scfnshh-north-scottsdale-at-cavasson/?SEO_id=GMB-AMER-HH-SCFNSHH&amp;y_source=1_Mjc3Mjg5OTMtNzE1LWxvY2F0aW9uLndlYnNpdGU%3D</t>
        </is>
      </c>
      <c r="H146" s="88" t="inlineStr">
        <is>
          <t>Free</t>
        </is>
      </c>
      <c r="I146" s="99" t="inlineStr">
        <is>
          <t>No Valet</t>
        </is>
      </c>
      <c r="J146" s="65" t="n">
        <v>237</v>
      </c>
      <c r="K146" s="34" t="n">
        <v>0.77</v>
      </c>
      <c r="L146" s="65" t="n">
        <v>39</v>
      </c>
      <c r="M146" s="65" t="n"/>
      <c r="N146" s="88" t="n"/>
      <c r="O146" s="80" t="n"/>
      <c r="P146" s="80" t="n"/>
      <c r="Q146" s="65" t="n"/>
      <c r="R146" s="65" t="n"/>
      <c r="S146" s="18" t="n"/>
      <c r="T146" s="18" t="n"/>
      <c r="U146" s="18" t="n"/>
      <c r="V146" s="82" t="n"/>
      <c r="W146" s="82" t="n"/>
      <c r="X146" s="82" t="n"/>
      <c r="Y146" s="80" t="n"/>
      <c r="Z146" s="80" t="n"/>
      <c r="AA146" s="28" t="n"/>
      <c r="AB146" s="28" t="n"/>
      <c r="AC146" s="28" t="n"/>
      <c r="AD146" s="28" t="n"/>
      <c r="AE146" s="28" t="n"/>
      <c r="AF146" s="28" t="n"/>
      <c r="AG146" s="28" t="n"/>
      <c r="AH146" s="28" t="n"/>
      <c r="AI146" s="28" t="n"/>
      <c r="AJ146" s="28" t="n"/>
      <c r="AK146" s="28" t="n"/>
      <c r="AL146" s="80" t="n"/>
      <c r="AM146" s="88" t="n"/>
      <c r="AN146" s="80" t="n"/>
      <c r="AO146" s="80" t="n"/>
      <c r="AP146" s="80" t="n"/>
    </row>
    <row r="147" ht="51.75" customHeight="1" s="222">
      <c r="A147" s="28" t="inlineStr">
        <is>
          <t>Sonesta ES Suites Scottsdale Paradise Valley</t>
        </is>
      </c>
      <c r="B147" s="105" t="inlineStr">
        <is>
          <t>Hotel</t>
        </is>
      </c>
      <c r="C147" s="8" t="n"/>
      <c r="D147" s="28" t="inlineStr">
        <is>
          <t>6040 N Scottsdale Rd, Scottsdale, AZ 85253</t>
        </is>
      </c>
      <c r="E147" s="8" t="inlineStr">
        <is>
          <t>Scottsdale</t>
        </is>
      </c>
      <c r="F147" s="8" t="n">
        <v>14809488666</v>
      </c>
      <c r="G147" s="20" t="inlineStr">
        <is>
          <t>https://www.sonesta.com/sonesta-es-suites/az/scottsdale/sonesta-es-suites-scottsdale-paradise-valley</t>
        </is>
      </c>
      <c r="H147" s="93" t="n">
        <v>5</v>
      </c>
      <c r="I147" s="88" t="inlineStr">
        <is>
          <t>No Valet</t>
        </is>
      </c>
      <c r="J147" s="28" t="n">
        <v>122</v>
      </c>
      <c r="K147" s="67" t="n">
        <v>0.9</v>
      </c>
      <c r="L147" s="28" t="n">
        <v>10</v>
      </c>
      <c r="M147" s="28" t="n"/>
      <c r="N147" s="93" t="n"/>
      <c r="O147" s="80" t="n"/>
      <c r="P147" s="80" t="n"/>
      <c r="Q147" s="28" t="n"/>
      <c r="R147" s="28" t="n"/>
      <c r="S147" s="18" t="n"/>
      <c r="T147" s="18" t="n"/>
      <c r="U147" s="18" t="n"/>
      <c r="V147" s="82" t="n"/>
      <c r="W147" s="82" t="n"/>
      <c r="X147" s="82" t="n"/>
      <c r="Y147" s="80" t="n"/>
      <c r="Z147" s="80" t="n"/>
      <c r="AA147" s="28" t="n"/>
      <c r="AB147" s="28" t="n"/>
      <c r="AC147" s="28" t="n"/>
      <c r="AD147" s="28" t="n"/>
      <c r="AE147" s="28" t="n"/>
      <c r="AF147" s="28" t="n"/>
      <c r="AG147" s="28" t="n"/>
      <c r="AH147" s="28" t="n"/>
      <c r="AI147" s="28" t="n"/>
      <c r="AJ147" s="28" t="n"/>
      <c r="AK147" s="28" t="n"/>
      <c r="AL147" s="80" t="n"/>
      <c r="AM147" s="93" t="n"/>
      <c r="AN147" s="80" t="n"/>
      <c r="AO147" s="80" t="n"/>
      <c r="AP147" s="80" t="n"/>
    </row>
    <row r="148" ht="51.75" customHeight="1" s="222">
      <c r="A148" s="28" t="inlineStr">
        <is>
          <t>Home2 Suites by Hilton Scottsdale Old Town</t>
        </is>
      </c>
      <c r="B148" s="105" t="inlineStr">
        <is>
          <t>Hotel</t>
        </is>
      </c>
      <c r="C148" s="8" t="n"/>
      <c r="D148" s="28" t="inlineStr">
        <is>
          <t>3131 N Scottsdale Rd, Scottsdale, AZ 85251</t>
        </is>
      </c>
      <c r="E148" s="8" t="inlineStr">
        <is>
          <t>Scottsdale</t>
        </is>
      </c>
      <c r="F148" s="8">
        <f>14806757665</f>
        <v/>
      </c>
      <c r="G148" s="20" t="inlineStr">
        <is>
          <t>https://www.hilton.com/en/hotels/phxdbht-home2-suites-scottsdale-old-town/?SEO_id=GMB-AMER-HT-PHXDBHT&amp;y_source=1_MTA4MDk1OTMzNi03MTUtbG9jYXRpb24ud2Vic2l0ZQ%3D%3D</t>
        </is>
      </c>
      <c r="H148" s="80" t="inlineStr">
        <is>
          <t>Free</t>
        </is>
      </c>
      <c r="I148" s="88" t="inlineStr">
        <is>
          <t>No Valet</t>
        </is>
      </c>
      <c r="J148" s="28" t="n">
        <v>169</v>
      </c>
      <c r="K148" s="39" t="n"/>
      <c r="L148" s="39" t="n"/>
      <c r="M148" s="65" t="n"/>
      <c r="N148" s="65" t="n"/>
      <c r="O148" s="65" t="n"/>
      <c r="P148" s="65" t="n"/>
      <c r="Q148" s="65" t="n"/>
      <c r="R148" s="65" t="n"/>
      <c r="S148" s="18" t="n"/>
      <c r="T148" s="18" t="n"/>
      <c r="U148" s="30" t="n"/>
      <c r="V148" s="18" t="n"/>
      <c r="W148" s="18" t="n"/>
      <c r="X148" s="18" t="n"/>
      <c r="Y148" s="65" t="n"/>
      <c r="Z148" s="65" t="n"/>
      <c r="AA148" s="28" t="n"/>
      <c r="AB148" s="28" t="n"/>
      <c r="AC148" s="28" t="n"/>
      <c r="AD148" s="28" t="n"/>
      <c r="AE148" s="28" t="n"/>
      <c r="AF148" s="28" t="n"/>
      <c r="AG148" s="28" t="n"/>
      <c r="AH148" s="28" t="n"/>
      <c r="AI148" s="28" t="n"/>
      <c r="AJ148" s="28" t="n"/>
      <c r="AK148" s="28" t="n"/>
      <c r="AL148" s="65" t="n"/>
      <c r="AM148" s="65" t="n"/>
      <c r="AN148" s="65" t="n"/>
      <c r="AO148" s="65" t="n"/>
      <c r="AP148" s="65" t="n"/>
    </row>
    <row r="149" ht="51.75" customHeight="1" s="222">
      <c r="A149" s="36" t="inlineStr">
        <is>
          <t>AC Hotel Phoenix Tempe/Downtown</t>
        </is>
      </c>
      <c r="B149" s="105" t="inlineStr">
        <is>
          <t>Hotel</t>
        </is>
      </c>
      <c r="C149" s="8" t="inlineStr">
        <is>
          <t>x</t>
        </is>
      </c>
      <c r="D149" s="28" t="inlineStr">
        <is>
          <t>100 E Rio Salado Pkwy, Tempe, AZ 85281</t>
        </is>
      </c>
      <c r="E149" s="8" t="inlineStr">
        <is>
          <t>Tempe</t>
        </is>
      </c>
      <c r="F149" s="8">
        <f>14806426140</f>
        <v/>
      </c>
      <c r="G149" s="107" t="inlineStr">
        <is>
          <t>https://www.marriott.com/en-us/hotels/phxac-ac-hotel-phoenix-tempe-downtown/overview/?scid=f2ae0541-1279-4f24-b197-a979c79310b0</t>
        </is>
      </c>
      <c r="H149" s="88" t="n">
        <v>20</v>
      </c>
      <c r="I149" s="88" t="inlineStr">
        <is>
          <t>No Valet</t>
        </is>
      </c>
      <c r="J149" s="28" t="n">
        <v>159</v>
      </c>
      <c r="K149" s="67" t="n">
        <v>0.18</v>
      </c>
      <c r="L149" s="28" t="n">
        <v>76</v>
      </c>
      <c r="M149" s="28" t="n"/>
      <c r="N149" s="65" t="n"/>
      <c r="O149" s="80" t="n"/>
      <c r="P149" s="80" t="n"/>
      <c r="Q149" s="28" t="n"/>
      <c r="R149" s="28" t="n"/>
      <c r="S149" s="18" t="inlineStr">
        <is>
          <t>BT</t>
        </is>
      </c>
      <c r="T149" s="18" t="inlineStr">
        <is>
          <t>Anna McClure, Carlos Zavala</t>
        </is>
      </c>
      <c r="U149" s="18" t="inlineStr">
        <is>
          <t>Director of Operations</t>
        </is>
      </c>
      <c r="V149" s="18" t="inlineStr">
        <is>
          <t>anna.mcclure@achoteltempe.com  carlos.zavala@achoteltempe.com</t>
        </is>
      </c>
      <c r="W149" s="82" t="inlineStr">
        <is>
          <t>Carlos 4806426140</t>
        </is>
      </c>
      <c r="X149" s="82" t="n"/>
      <c r="Y149" s="80" t="n"/>
      <c r="Z149" s="80" t="inlineStr">
        <is>
          <t>Called Carlos again, he said the timing wasnt right still and to try again in 3 months. Fought his objections like my name Adonis Creed and settled on him emailing me over more information so we can get a proposal infront of him by EOM</t>
        </is>
      </c>
      <c r="AA149" s="28" t="n"/>
      <c r="AB149" s="28" t="n"/>
      <c r="AC149" s="28" t="n"/>
      <c r="AD149" s="28" t="n"/>
      <c r="AE149" s="28" t="n"/>
      <c r="AF149" s="28" t="n"/>
      <c r="AG149" s="28" t="n"/>
      <c r="AH149" s="28" t="n"/>
      <c r="AI149" s="28" t="n"/>
      <c r="AJ149" s="28" t="n"/>
      <c r="AK149" s="28" t="n"/>
      <c r="AL149" s="80" t="n"/>
      <c r="AM149" s="65" t="n"/>
      <c r="AN149" s="80" t="n"/>
      <c r="AO149" s="80" t="n"/>
      <c r="AP149" s="80" t="n"/>
    </row>
    <row r="150" ht="51.75" customHeight="1" s="222">
      <c r="A150" s="28" t="inlineStr">
        <is>
          <t>Marriott Phoenix Resort Tempe at The Buttes</t>
        </is>
      </c>
      <c r="B150" s="105" t="inlineStr">
        <is>
          <t>Hotel</t>
        </is>
      </c>
      <c r="C150" s="8" t="inlineStr">
        <is>
          <t>x</t>
        </is>
      </c>
      <c r="D150" s="28" t="inlineStr">
        <is>
          <t>2000 W Westcourt Way, Tempe, AZ 85282</t>
        </is>
      </c>
      <c r="E150" s="8" t="inlineStr">
        <is>
          <t>Tempe</t>
        </is>
      </c>
      <c r="F150" s="8" t="n">
        <v>16022259000</v>
      </c>
      <c r="G150" s="87" t="inlineStr">
        <is>
          <t>https://www.marriott.com/en-us/hotels/phxtm-marriott-phoenix-resort-tempe-at-the-buttes/overview/?scid=f2ae0541-1279-4f24-b197-a979c79310b0</t>
        </is>
      </c>
      <c r="H150" s="88" t="n">
        <v>15</v>
      </c>
      <c r="I150" s="88" t="n">
        <v>15</v>
      </c>
      <c r="J150" s="65" t="n">
        <v>353</v>
      </c>
      <c r="K150" s="34" t="n">
        <v>0.32</v>
      </c>
      <c r="L150" s="65" t="n">
        <v>72</v>
      </c>
      <c r="M150" s="28" t="n"/>
      <c r="N150" s="65" t="n"/>
      <c r="O150" s="80" t="n"/>
      <c r="P150" s="80" t="n"/>
      <c r="Q150" s="28" t="n"/>
      <c r="R150" s="28" t="n"/>
      <c r="S150" s="18" t="inlineStr">
        <is>
          <t>KA</t>
        </is>
      </c>
      <c r="T150" s="18" t="n"/>
      <c r="U150" s="18" t="n"/>
      <c r="V150" s="82" t="n"/>
      <c r="W150" s="82" t="n"/>
      <c r="X150" s="82" t="n"/>
      <c r="Y150" s="80" t="n"/>
      <c r="Z150" s="80" t="n"/>
      <c r="AA150" s="28" t="n"/>
      <c r="AB150" s="28" t="inlineStr">
        <is>
          <t>FD wouldn't transfer me, left my contact info and meeting request info with rebecca since she was out</t>
        </is>
      </c>
      <c r="AC150" s="28" t="n"/>
      <c r="AD150" s="28" t="n"/>
      <c r="AE150" s="28" t="n"/>
      <c r="AF150" s="28" t="n"/>
      <c r="AG150" s="28" t="n"/>
      <c r="AH150" s="28" t="n"/>
      <c r="AI150" s="28" t="n"/>
      <c r="AJ150" s="28" t="n"/>
      <c r="AK150" s="28" t="n"/>
      <c r="AL150" s="80" t="n"/>
      <c r="AM150" s="65" t="n"/>
      <c r="AN150" s="80" t="n"/>
      <c r="AO150" s="80" t="n"/>
      <c r="AP150" s="80" t="n"/>
    </row>
    <row r="151" ht="51.75" customHeight="1" s="222">
      <c r="A151" s="28" t="inlineStr">
        <is>
          <t>Tempe Mission Palms, a Destination by Hyatt Hotel</t>
        </is>
      </c>
      <c r="B151" s="105" t="inlineStr">
        <is>
          <t>Hotel</t>
        </is>
      </c>
      <c r="C151" s="8" t="n"/>
      <c r="D151" s="75" t="inlineStr">
        <is>
          <t>60 E 5th St, Tempe, AZ 85281</t>
        </is>
      </c>
      <c r="E151" s="8" t="inlineStr">
        <is>
          <t>Tempe</t>
        </is>
      </c>
      <c r="F151" s="8">
        <f>14808941400</f>
        <v/>
      </c>
      <c r="G151" s="76" t="inlineStr">
        <is>
          <t>https://www.hyatt.com/destination-by-hyatt/en-US/phxdt-tempe-mission-palms?src=corp_lclb_google_seo_phxdt&amp;utm_source=google&amp;utm_medium=organic&amp;utm_campaign=lmr</t>
        </is>
      </c>
      <c r="H151" s="88" t="n">
        <v>20</v>
      </c>
      <c r="I151" s="99" t="n">
        <v>25</v>
      </c>
      <c r="J151" s="65" t="n">
        <v>303</v>
      </c>
      <c r="K151" s="34" t="n">
        <v>0.5600000000000001</v>
      </c>
      <c r="L151" s="65" t="n">
        <v>134</v>
      </c>
      <c r="M151" s="28" t="n"/>
      <c r="N151" s="88" t="n"/>
      <c r="O151" s="80" t="n"/>
      <c r="P151" s="80" t="n"/>
      <c r="Q151" s="28" t="n"/>
      <c r="R151" s="28" t="n"/>
      <c r="S151" s="18" t="inlineStr">
        <is>
          <t>KA</t>
        </is>
      </c>
      <c r="T151" s="18" t="n"/>
      <c r="U151" s="18" t="n"/>
      <c r="V151" s="82" t="n"/>
      <c r="W151" s="82" t="n"/>
      <c r="X151" s="82" t="n"/>
      <c r="Y151" s="80" t="n"/>
      <c r="Z151" s="80" t="n"/>
      <c r="AA151" s="28" t="n"/>
      <c r="AB151" s="28" t="n"/>
      <c r="AC151" s="28" t="n"/>
      <c r="AD151" s="28" t="n"/>
      <c r="AE151" s="28" t="n"/>
      <c r="AF151" s="28" t="n"/>
      <c r="AG151" s="28" t="n"/>
      <c r="AH151" s="28" t="n"/>
      <c r="AI151" s="28" t="n"/>
      <c r="AJ151" s="28" t="n"/>
      <c r="AK151" s="28" t="n"/>
      <c r="AL151" s="80" t="n"/>
      <c r="AM151" s="88" t="n"/>
      <c r="AN151" s="80" t="n"/>
      <c r="AO151" s="80" t="n"/>
      <c r="AP151" s="80" t="n"/>
    </row>
    <row r="152" ht="51.75" customHeight="1" s="222">
      <c r="A152" s="28" t="inlineStr">
        <is>
          <t>Moxy Phoenix Tempe/ASU Area</t>
        </is>
      </c>
      <c r="B152" s="105" t="inlineStr">
        <is>
          <t>Hotel</t>
        </is>
      </c>
      <c r="C152" s="8" t="n"/>
      <c r="D152" s="75" t="inlineStr">
        <is>
          <t>1333 S Rural Rd, Tempe, AZ 85281</t>
        </is>
      </c>
      <c r="E152" s="8" t="inlineStr">
        <is>
          <t>Tempe</t>
        </is>
      </c>
      <c r="F152" s="8">
        <f>14809683451</f>
        <v/>
      </c>
      <c r="G152" s="76" t="inlineStr">
        <is>
          <t>https://www.marriott.com/en-us/hotels/phxox-moxy-phoenix-tempe-asu-area/overview/?scid=f2ae0541-1279-4f24-b197-a979c79310b0</t>
        </is>
      </c>
      <c r="H152" s="88" t="inlineStr">
        <is>
          <t>Free</t>
        </is>
      </c>
      <c r="I152" s="99" t="inlineStr">
        <is>
          <t>No Valet</t>
        </is>
      </c>
      <c r="J152" s="65" t="n">
        <v>186</v>
      </c>
      <c r="K152" s="34" t="n">
        <v>0.17</v>
      </c>
      <c r="L152" s="65" t="n">
        <v>36</v>
      </c>
      <c r="M152" s="65" t="n"/>
      <c r="N152" s="88" t="n"/>
      <c r="O152" s="80" t="n"/>
      <c r="P152" s="80" t="n"/>
      <c r="Q152" s="65" t="n"/>
      <c r="R152" s="65" t="n"/>
      <c r="S152" s="18" t="n"/>
      <c r="T152" s="18" t="n"/>
      <c r="U152" s="18" t="n"/>
      <c r="V152" s="82" t="n"/>
      <c r="W152" s="82" t="n"/>
      <c r="X152" s="82" t="n"/>
      <c r="Y152" s="80" t="n"/>
      <c r="Z152" s="80" t="n"/>
      <c r="AA152" s="28" t="n"/>
      <c r="AB152" s="28" t="n"/>
      <c r="AC152" s="28" t="n"/>
      <c r="AD152" s="28" t="n"/>
      <c r="AE152" s="28" t="n"/>
      <c r="AF152" s="28" t="n"/>
      <c r="AG152" s="28" t="n"/>
      <c r="AH152" s="28" t="n"/>
      <c r="AI152" s="28" t="n"/>
      <c r="AJ152" s="28" t="n"/>
      <c r="AK152" s="28" t="n"/>
      <c r="AL152" s="80" t="n"/>
      <c r="AM152" s="88" t="n"/>
      <c r="AN152" s="80" t="n"/>
      <c r="AO152" s="80" t="n"/>
      <c r="AP152" s="80" t="n"/>
    </row>
    <row r="153" ht="51.75" customHeight="1" s="222">
      <c r="A153" s="28" t="inlineStr">
        <is>
          <t>Hyatt Place Tempe / Phoenix / University</t>
        </is>
      </c>
      <c r="B153" s="105" t="inlineStr">
        <is>
          <t>Hotel</t>
        </is>
      </c>
      <c r="C153" s="8" t="n"/>
      <c r="D153" s="28" t="inlineStr">
        <is>
          <t>601 E 6th St, Tempe, AZ 85281</t>
        </is>
      </c>
      <c r="E153" s="8" t="inlineStr">
        <is>
          <t>Tempe</t>
        </is>
      </c>
      <c r="F153" s="8">
        <f>14802071578</f>
        <v/>
      </c>
      <c r="G153" s="20" t="inlineStr">
        <is>
          <t>https://www.hyatt.com/hyatt-place/en-US/phxzt-hyatt-place-tempe-phoenix-university?src=corp_lclb_google_seo_phxzt&amp;utm_source=google&amp;utm_medium=organic&amp;utm_campaign=lmr</t>
        </is>
      </c>
      <c r="H153" s="80" t="inlineStr">
        <is>
          <t>Free</t>
        </is>
      </c>
      <c r="I153" s="88" t="inlineStr">
        <is>
          <t>No Valet</t>
        </is>
      </c>
      <c r="J153" s="28" t="n">
        <v>154</v>
      </c>
      <c r="K153" s="34" t="n">
        <v>0.19</v>
      </c>
      <c r="L153" s="45" t="n">
        <v>27</v>
      </c>
      <c r="M153" s="65" t="n"/>
      <c r="N153" s="65" t="n"/>
      <c r="O153" s="65" t="n"/>
      <c r="P153" s="65" t="n"/>
      <c r="Q153" s="65" t="n"/>
      <c r="R153" s="65" t="n"/>
      <c r="S153" s="18" t="n"/>
      <c r="T153" s="18" t="n"/>
      <c r="U153" s="30" t="n"/>
      <c r="V153" s="18" t="n"/>
      <c r="W153" s="18" t="n"/>
      <c r="X153" s="18" t="n"/>
      <c r="Y153" s="65" t="n"/>
      <c r="Z153" s="65" t="n"/>
      <c r="AA153" s="28" t="n"/>
      <c r="AB153" s="28" t="n"/>
      <c r="AC153" s="28" t="n"/>
      <c r="AD153" s="28" t="n"/>
      <c r="AE153" s="28" t="n"/>
      <c r="AF153" s="28" t="n"/>
      <c r="AG153" s="28" t="n"/>
      <c r="AH153" s="28" t="n"/>
      <c r="AI153" s="28" t="n"/>
      <c r="AJ153" s="28" t="n"/>
      <c r="AK153" s="28" t="n"/>
      <c r="AL153" s="65" t="n"/>
      <c r="AM153" s="65" t="n"/>
      <c r="AN153" s="65" t="n"/>
      <c r="AO153" s="65" t="n"/>
      <c r="AP153" s="65" t="n"/>
    </row>
    <row r="154" ht="51.75" customHeight="1" s="222">
      <c r="A154" s="28" t="inlineStr">
        <is>
          <t>Graduate by Hilton Tempe</t>
        </is>
      </c>
      <c r="B154" s="105" t="inlineStr">
        <is>
          <t>Hotel</t>
        </is>
      </c>
      <c r="C154" s="8" t="n"/>
      <c r="D154" s="75" t="inlineStr">
        <is>
          <t>225 E Apache Blvd, Tempe, AZ 85281</t>
        </is>
      </c>
      <c r="E154" s="8" t="inlineStr">
        <is>
          <t>Tempe</t>
        </is>
      </c>
      <c r="F154" s="8">
        <f>14809679431</f>
        <v/>
      </c>
      <c r="G154" s="76" t="inlineStr">
        <is>
          <t>https://www.hilton.com/en/hotels/phxgpgu-graduate-tempe/?SEO_id=GMB-AMER-GU-PHXGPGU&amp;y_source=1_MTA1MzY0NDY2Ni03MTUtbG9jYXRpb24ud2Vic2l0ZQ%3D%3D</t>
        </is>
      </c>
      <c r="H154" s="88" t="n">
        <v>15</v>
      </c>
      <c r="I154" s="99" t="inlineStr">
        <is>
          <t>No Valet</t>
        </is>
      </c>
      <c r="J154" s="65" t="n">
        <v>140</v>
      </c>
      <c r="K154" s="34" t="n">
        <v>0.31</v>
      </c>
      <c r="L154" s="65" t="n">
        <v>32</v>
      </c>
      <c r="M154" s="28" t="n"/>
      <c r="N154" s="88" t="n"/>
      <c r="O154" s="80" t="n"/>
      <c r="P154" s="80" t="n"/>
      <c r="Q154" s="28" t="n"/>
      <c r="R154" s="108" t="n"/>
      <c r="S154" s="18" t="n"/>
      <c r="T154" s="18" t="n"/>
      <c r="U154" s="18" t="n"/>
      <c r="V154" s="82" t="n"/>
      <c r="W154" s="82" t="n"/>
      <c r="X154" s="82" t="n"/>
      <c r="Y154" s="80" t="n"/>
      <c r="Z154" s="80" t="n"/>
      <c r="AA154" s="28" t="n"/>
      <c r="AB154" s="28" t="n"/>
      <c r="AC154" s="28" t="n"/>
      <c r="AD154" s="28" t="n"/>
      <c r="AE154" s="28" t="n"/>
      <c r="AF154" s="28" t="n"/>
      <c r="AG154" s="28" t="n"/>
      <c r="AH154" s="28" t="n"/>
      <c r="AI154" s="28" t="n"/>
      <c r="AJ154" s="28" t="n"/>
      <c r="AK154" s="28" t="n"/>
      <c r="AL154" s="80" t="n"/>
      <c r="AM154" s="88" t="n"/>
      <c r="AN154" s="80" t="n"/>
      <c r="AO154" s="80" t="n"/>
      <c r="AP154" s="80" t="n"/>
    </row>
    <row r="155" ht="51.75" customHeight="1" s="222">
      <c r="A155" s="28" t="inlineStr">
        <is>
          <t>OMNI Tempe Hotel At ASU</t>
        </is>
      </c>
      <c r="B155" s="105" t="inlineStr">
        <is>
          <t>Hotel</t>
        </is>
      </c>
      <c r="C155" s="8" t="n"/>
      <c r="D155" s="75" t="inlineStr">
        <is>
          <t>7 E University Dr, Tempe, AZ 85281</t>
        </is>
      </c>
      <c r="E155" s="8" t="inlineStr">
        <is>
          <t>Tempe</t>
        </is>
      </c>
      <c r="F155" s="89" t="inlineStr">
        <is>
          <t>(602) 794-8600</t>
        </is>
      </c>
      <c r="G155" s="76" t="inlineStr">
        <is>
          <t>https://www.omnihotels.com/hotels/tempe-asu?utm_source=gmblisting&amp;utm_medium=organic</t>
        </is>
      </c>
      <c r="H155" s="88" t="n"/>
      <c r="I155" s="99" t="n">
        <v>39</v>
      </c>
      <c r="J155" s="65" t="n">
        <v>330</v>
      </c>
      <c r="K155" s="34" t="n">
        <v>0.34</v>
      </c>
      <c r="L155" s="65" t="n">
        <v>35</v>
      </c>
      <c r="M155" s="65" t="n"/>
      <c r="N155" s="88" t="n"/>
      <c r="O155" s="80" t="n"/>
      <c r="P155" s="80" t="n"/>
      <c r="Q155" s="65" t="n"/>
      <c r="R155" s="110" t="n"/>
      <c r="S155" s="18" t="n"/>
      <c r="T155" s="18" t="inlineStr">
        <is>
          <t>Kevin DerAsdourian</t>
        </is>
      </c>
      <c r="U155" s="18" t="n"/>
      <c r="V155" s="101" t="n"/>
      <c r="W155" s="82" t="n"/>
      <c r="X155" s="82" t="n"/>
      <c r="Y155" s="80" t="n"/>
      <c r="Z155" s="80" t="n"/>
      <c r="AA155" s="28" t="n"/>
      <c r="AB155" s="28" t="n"/>
      <c r="AC155" s="28" t="n"/>
      <c r="AD155" s="28" t="n"/>
      <c r="AE155" s="28" t="n"/>
      <c r="AF155" s="28" t="n"/>
      <c r="AG155" s="28" t="n"/>
      <c r="AH155" s="28" t="n"/>
      <c r="AI155" s="28" t="n"/>
      <c r="AJ155" s="28" t="n"/>
      <c r="AK155" s="28" t="n"/>
      <c r="AL155" s="80" t="n"/>
      <c r="AM155" s="88" t="n"/>
      <c r="AN155" s="80" t="n"/>
      <c r="AO155" s="80" t="n"/>
      <c r="AP155" s="80" t="n"/>
    </row>
    <row r="156" ht="51.75" customHeight="1" s="222">
      <c r="A156" s="28" t="inlineStr">
        <is>
          <t>DoubleTree by Hilton Hotel Phoenix Tempe</t>
        </is>
      </c>
      <c r="B156" s="105" t="inlineStr">
        <is>
          <t>Hotel</t>
        </is>
      </c>
      <c r="C156" s="8" t="n"/>
      <c r="D156" s="28" t="inlineStr">
        <is>
          <t>2100 S Priest Dr, Tempe, AZ 85282</t>
        </is>
      </c>
      <c r="E156" s="8" t="inlineStr">
        <is>
          <t>Tempe</t>
        </is>
      </c>
      <c r="F156" s="8" t="n">
        <v>14809671441</v>
      </c>
      <c r="G156" s="87" t="inlineStr">
        <is>
          <t>https://www.hilton.com/en/hotels/phxmpdt-doubletree-phoenix-tempe/?SEO_id=GMB-AMER-DT-PHXMPDT&amp;y_source=1_MTM3MjY1Ni03MTUtbG9jYXRpb24ud2Vic2l0ZQ%3D%3D</t>
        </is>
      </c>
      <c r="H156" s="88" t="inlineStr">
        <is>
          <t>Free</t>
        </is>
      </c>
      <c r="I156" s="88" t="inlineStr">
        <is>
          <t>No Valet</t>
        </is>
      </c>
      <c r="J156" s="65" t="n">
        <v>270</v>
      </c>
      <c r="K156" s="34" t="n">
        <v>0.39</v>
      </c>
      <c r="L156" s="65" t="n">
        <v>38</v>
      </c>
      <c r="M156" s="65" t="n"/>
      <c r="N156" s="65" t="n"/>
      <c r="O156" s="80" t="n"/>
      <c r="P156" s="80" t="n"/>
      <c r="Q156" s="65" t="n"/>
      <c r="R156" s="110" t="n"/>
      <c r="S156" s="18" t="n"/>
      <c r="T156" s="18" t="n"/>
      <c r="U156" s="18" t="n"/>
      <c r="V156" s="101" t="n"/>
      <c r="W156" s="82" t="n"/>
      <c r="X156" s="82" t="n"/>
      <c r="Y156" s="80" t="n"/>
      <c r="Z156" s="80" t="n"/>
      <c r="AA156" s="28" t="n"/>
      <c r="AB156" s="28" t="n"/>
      <c r="AC156" s="28" t="n"/>
      <c r="AD156" s="28" t="n"/>
      <c r="AE156" s="28" t="n"/>
      <c r="AF156" s="28" t="n"/>
      <c r="AG156" s="28" t="n"/>
      <c r="AH156" s="28" t="n"/>
      <c r="AI156" s="28" t="n"/>
      <c r="AJ156" s="28" t="n"/>
      <c r="AK156" s="28" t="n"/>
      <c r="AL156" s="80" t="n"/>
      <c r="AM156" s="65" t="n"/>
      <c r="AN156" s="80" t="n"/>
      <c r="AO156" s="80" t="n"/>
      <c r="AP156" s="80" t="n"/>
    </row>
    <row r="157" ht="51.75" customHeight="1" s="222">
      <c r="A157" s="28" t="inlineStr">
        <is>
          <t>Canopy by Hilton Tempe Downtown</t>
        </is>
      </c>
      <c r="B157" s="105" t="inlineStr">
        <is>
          <t>Hotel</t>
        </is>
      </c>
      <c r="C157" s="8" t="n"/>
      <c r="D157" s="8" t="inlineStr">
        <is>
          <t>108 E University Dr, Tempe, AZ 85281</t>
        </is>
      </c>
      <c r="E157" s="8" t="inlineStr">
        <is>
          <t>Tempe</t>
        </is>
      </c>
      <c r="F157" s="8">
        <f>14809686800</f>
        <v/>
      </c>
      <c r="G157" s="58" t="inlineStr">
        <is>
          <t>https://www.hilton.com/en/hotels/phxtypy-canopy-tempe-downtown/?SEO_id=GMB-AMER-PY-PHXTYPY&amp;y_source=1_MTYwNzY5MDctNzE1LWxvY2F0aW9uLndlYnNpdGU%3D</t>
        </is>
      </c>
      <c r="H157" s="88" t="n"/>
      <c r="I157" s="99" t="n">
        <v>39</v>
      </c>
      <c r="J157" s="65" t="n">
        <v>198</v>
      </c>
      <c r="K157" s="34" t="n">
        <v>0.46</v>
      </c>
      <c r="L157" s="65" t="n">
        <v>68</v>
      </c>
      <c r="M157" s="65" t="n"/>
      <c r="N157" s="88" t="n"/>
      <c r="O157" s="80" t="n"/>
      <c r="P157" s="80" t="n"/>
      <c r="Q157" s="65" t="n"/>
      <c r="R157" s="110" t="n"/>
      <c r="S157" s="18" t="n"/>
      <c r="T157" s="18" t="inlineStr">
        <is>
          <t>Amber Talbott &amp; Jake Rodriguez</t>
        </is>
      </c>
      <c r="U157" s="18" t="inlineStr">
        <is>
          <t>DoFO / GM</t>
        </is>
      </c>
      <c r="V157" s="101" t="n"/>
      <c r="W157" s="82" t="n"/>
      <c r="X157" s="82" t="n"/>
      <c r="Y157" s="80" t="n"/>
      <c r="Z157" s="80" t="n"/>
      <c r="AA157" s="28" t="n"/>
      <c r="AB157" s="28" t="n"/>
      <c r="AC157" s="28" t="n"/>
      <c r="AD157" s="28" t="n"/>
      <c r="AE157" s="28" t="n"/>
      <c r="AF157" s="28" t="n"/>
      <c r="AG157" s="28" t="n"/>
      <c r="AH157" s="28" t="n"/>
      <c r="AI157" s="28" t="n"/>
      <c r="AJ157" s="28" t="n"/>
      <c r="AK157" s="28" t="n"/>
      <c r="AL157" s="80" t="n"/>
      <c r="AM157" s="88" t="n"/>
      <c r="AN157" s="80" t="n"/>
      <c r="AO157" s="80" t="n"/>
      <c r="AP157" s="80" t="n"/>
    </row>
    <row r="158" ht="51.75" customHeight="1" s="222">
      <c r="A158" s="28" t="inlineStr">
        <is>
          <t>Aloft Tempe</t>
        </is>
      </c>
      <c r="B158" s="105" t="inlineStr">
        <is>
          <t>Hotel</t>
        </is>
      </c>
      <c r="C158" s="8" t="n"/>
      <c r="D158" s="28" t="inlineStr">
        <is>
          <t>951 E Playa Del Norte Dr, Tempe, AZ 85288</t>
        </is>
      </c>
      <c r="E158" s="8" t="inlineStr">
        <is>
          <t>Tempe</t>
        </is>
      </c>
      <c r="F158" s="8">
        <f>14806213300</f>
        <v/>
      </c>
      <c r="G158" s="20" t="inlineStr">
        <is>
          <t>https://www.marriott.com/en-us/hotels/phxal-aloft-tempe/overview/?scid=f2ae0541-1279-4f24-b197-a979c79310b0</t>
        </is>
      </c>
      <c r="H158" s="80" t="n">
        <v>10</v>
      </c>
      <c r="I158" s="88" t="inlineStr">
        <is>
          <t>No Valet</t>
        </is>
      </c>
      <c r="J158" s="28" t="n">
        <v>136</v>
      </c>
      <c r="K158" s="34" t="n">
        <v>0.5</v>
      </c>
      <c r="L158" s="45" t="n">
        <v>22</v>
      </c>
      <c r="M158" s="65" t="n"/>
      <c r="N158" s="65" t="n"/>
      <c r="O158" s="65" t="n"/>
      <c r="P158" s="65" t="n"/>
      <c r="Q158" s="65" t="n"/>
      <c r="R158" s="65" t="n"/>
      <c r="S158" s="18" t="n"/>
      <c r="T158" s="18" t="n"/>
      <c r="U158" s="30" t="n"/>
      <c r="V158" s="55" t="n"/>
      <c r="W158" s="18" t="n"/>
      <c r="X158" s="18" t="n"/>
      <c r="Y158" s="65" t="n"/>
      <c r="Z158" s="65" t="n"/>
      <c r="AA158" s="28" t="n"/>
      <c r="AB158" s="28" t="n"/>
      <c r="AC158" s="28" t="n"/>
      <c r="AD158" s="28" t="n"/>
      <c r="AE158" s="28" t="n"/>
      <c r="AF158" s="28" t="n"/>
      <c r="AG158" s="28" t="n"/>
      <c r="AH158" s="28" t="n"/>
      <c r="AI158" s="28" t="n"/>
      <c r="AJ158" s="28" t="n"/>
      <c r="AK158" s="28" t="n"/>
      <c r="AL158" s="65" t="n"/>
      <c r="AM158" s="65" t="n"/>
      <c r="AN158" s="65" t="n"/>
      <c r="AO158" s="65" t="n"/>
      <c r="AP158" s="65" t="n"/>
    </row>
    <row r="159" ht="51.75" customHeight="1" s="222">
      <c r="A159" s="28" t="inlineStr">
        <is>
          <t>Hyatt Place Tempe/Phoenix Airport</t>
        </is>
      </c>
      <c r="B159" s="105" t="inlineStr">
        <is>
          <t>Hotel</t>
        </is>
      </c>
      <c r="C159" s="8" t="n"/>
      <c r="D159" s="28" t="inlineStr">
        <is>
          <t>1413 W Rio Salado Pkwy, Tempe, AZ 85281</t>
        </is>
      </c>
      <c r="E159" s="8" t="inlineStr">
        <is>
          <t>Tempe</t>
        </is>
      </c>
      <c r="F159" s="8">
        <f>14808049544</f>
        <v/>
      </c>
      <c r="G159" s="58" t="inlineStr">
        <is>
          <t>https://www.hyatt.com/hyatt-place/en-US/phxza-hyatt-place-tempe-phoenix-airport?src=corp_lclb_google_seo_phxza&amp;utm_source=google&amp;utm_medium=organic&amp;utm_campaign=lmr</t>
        </is>
      </c>
      <c r="H159" s="80" t="inlineStr">
        <is>
          <t>Free</t>
        </is>
      </c>
      <c r="I159" s="93" t="n"/>
      <c r="J159" s="8" t="n">
        <v>123</v>
      </c>
      <c r="K159" s="67" t="n">
        <v>0.52</v>
      </c>
      <c r="L159" s="65" t="n">
        <v>23</v>
      </c>
      <c r="M159" s="69" t="n"/>
      <c r="N159" s="69" t="n"/>
      <c r="O159" s="69" t="n"/>
      <c r="P159" s="69" t="n"/>
      <c r="Q159" s="69" t="n"/>
      <c r="R159" s="69" t="n"/>
      <c r="S159" s="71" t="n"/>
      <c r="T159" s="71" t="n"/>
      <c r="U159" s="30" t="n"/>
      <c r="V159" s="71" t="n"/>
      <c r="W159" s="71" t="n"/>
      <c r="X159" s="71" t="n"/>
      <c r="Y159" s="69" t="n"/>
      <c r="Z159" s="69" t="n"/>
      <c r="AA159" s="28" t="n"/>
      <c r="AB159" s="28" t="n"/>
      <c r="AC159" s="28" t="n"/>
      <c r="AD159" s="28" t="n"/>
      <c r="AE159" s="28" t="n"/>
      <c r="AF159" s="28" t="n"/>
      <c r="AG159" s="28" t="n"/>
      <c r="AH159" s="28" t="n"/>
      <c r="AI159" s="28" t="n"/>
      <c r="AJ159" s="28" t="n"/>
      <c r="AK159" s="28" t="n"/>
      <c r="AL159" s="69" t="n"/>
      <c r="AM159" s="69" t="n"/>
      <c r="AN159" s="69" t="n"/>
      <c r="AO159" s="69" t="n"/>
      <c r="AP159" s="69" t="n"/>
    </row>
    <row r="160" ht="51.75" customHeight="1" s="222">
      <c r="A160" s="28" t="inlineStr">
        <is>
          <t>The Westin Tempe</t>
        </is>
      </c>
      <c r="B160" s="105" t="inlineStr">
        <is>
          <t>Hotel</t>
        </is>
      </c>
      <c r="C160" s="8" t="n"/>
      <c r="D160" s="75" t="inlineStr">
        <is>
          <t>11 E 7th St, Tempe, AZ 85281</t>
        </is>
      </c>
      <c r="E160" s="8" t="inlineStr">
        <is>
          <t>Tempe</t>
        </is>
      </c>
      <c r="F160" s="8">
        <f>14809688885</f>
        <v/>
      </c>
      <c r="G160" s="76" t="inlineStr">
        <is>
          <t>https://www.marriott.com/en-us/hotels/phxwt-the-westin-tempe/overview/?scid=f2ae0541-1279-4f24-b197-a979c79310b0</t>
        </is>
      </c>
      <c r="H160" s="88" t="n"/>
      <c r="I160" s="99" t="n">
        <v>42</v>
      </c>
      <c r="J160" s="65" t="n">
        <v>290</v>
      </c>
      <c r="K160" s="34" t="n">
        <v>0.55</v>
      </c>
      <c r="L160" s="65" t="n">
        <v>40</v>
      </c>
      <c r="M160" s="65" t="n"/>
      <c r="N160" s="88" t="n"/>
      <c r="O160" s="80" t="n"/>
      <c r="P160" s="80" t="n"/>
      <c r="Q160" s="65" t="n"/>
      <c r="R160" s="65" t="n"/>
      <c r="S160" s="18" t="n"/>
      <c r="T160" s="18" t="inlineStr">
        <is>
          <t>Vaibhav Patel &amp; Patrick Conners</t>
        </is>
      </c>
      <c r="U160" s="18" t="n"/>
      <c r="V160" s="82" t="n"/>
      <c r="W160" s="82" t="n"/>
      <c r="X160" s="82" t="n"/>
      <c r="Y160" s="80" t="n"/>
      <c r="Z160" s="80" t="n"/>
      <c r="AA160" s="28" t="n"/>
      <c r="AB160" s="28" t="n"/>
      <c r="AC160" s="28" t="n"/>
      <c r="AD160" s="28" t="n"/>
      <c r="AE160" s="28" t="n"/>
      <c r="AF160" s="28" t="n"/>
      <c r="AG160" s="28" t="n"/>
      <c r="AH160" s="28" t="n"/>
      <c r="AI160" s="28" t="n"/>
      <c r="AJ160" s="28" t="n"/>
      <c r="AK160" s="28" t="n"/>
      <c r="AL160" s="80" t="n"/>
      <c r="AM160" s="88" t="n"/>
      <c r="AN160" s="80" t="n"/>
      <c r="AO160" s="80" t="n"/>
      <c r="AP160" s="80" t="n"/>
    </row>
    <row r="161" ht="51.75" customHeight="1" s="222">
      <c r="A161" s="28" t="inlineStr">
        <is>
          <t>Residence Inn Tempe Downtown/University</t>
        </is>
      </c>
      <c r="B161" s="105" t="inlineStr">
        <is>
          <t>Hotel</t>
        </is>
      </c>
      <c r="C161" s="8" t="n"/>
      <c r="D161" s="75" t="inlineStr">
        <is>
          <t>510 S Forest Ave, Tempe, AZ 85281</t>
        </is>
      </c>
      <c r="E161" s="8" t="inlineStr">
        <is>
          <t>Tempe</t>
        </is>
      </c>
      <c r="F161" s="8">
        <f>14809672300</f>
        <v/>
      </c>
      <c r="G161" s="76" t="inlineStr">
        <is>
          <t>https://www.marriott.com/en-us/hotels/phxtd-residence-inn-tempe-downtown-university/overview/?scid=f2ae0541-1279-4f24-b197-a979c79310b0</t>
        </is>
      </c>
      <c r="H161" s="88" t="n">
        <v>15</v>
      </c>
      <c r="I161" s="99" t="inlineStr">
        <is>
          <t>No Valet</t>
        </is>
      </c>
      <c r="J161" s="65" t="n">
        <v>173</v>
      </c>
      <c r="K161" s="34" t="n">
        <v>0.59</v>
      </c>
      <c r="L161" s="65" t="n">
        <v>59</v>
      </c>
      <c r="M161" s="65" t="n"/>
      <c r="N161" s="88" t="n"/>
      <c r="O161" s="80" t="n"/>
      <c r="P161" s="80" t="n"/>
      <c r="Q161" s="65" t="n"/>
      <c r="R161" s="65" t="n"/>
      <c r="S161" s="18" t="n"/>
      <c r="T161" s="18" t="inlineStr">
        <is>
          <t>Lanaia Lammay</t>
        </is>
      </c>
      <c r="U161" s="18" t="inlineStr">
        <is>
          <t>Event Manager</t>
        </is>
      </c>
      <c r="V161" s="82" t="n"/>
      <c r="W161" s="82" t="n"/>
      <c r="X161" s="82" t="n"/>
      <c r="Y161" s="80" t="n"/>
      <c r="Z161" s="80" t="n"/>
      <c r="AA161" s="28" t="n"/>
      <c r="AB161" s="28" t="n"/>
      <c r="AC161" s="28" t="n"/>
      <c r="AD161" s="28" t="n"/>
      <c r="AE161" s="28" t="n"/>
      <c r="AF161" s="28" t="n"/>
      <c r="AG161" s="28" t="n"/>
      <c r="AH161" s="28" t="n"/>
      <c r="AI161" s="28" t="n"/>
      <c r="AJ161" s="28" t="n"/>
      <c r="AK161" s="28" t="n"/>
      <c r="AL161" s="80" t="n"/>
      <c r="AM161" s="88" t="n"/>
      <c r="AN161" s="80" t="n"/>
      <c r="AO161" s="80" t="n"/>
      <c r="AP161" s="80" t="n"/>
    </row>
    <row r="162" ht="51.75" customHeight="1" s="222">
      <c r="A162" s="28" t="inlineStr">
        <is>
          <t>Homewood Suites By Hilton Phoenix Tempe ASU Area</t>
        </is>
      </c>
      <c r="B162" s="105" t="inlineStr">
        <is>
          <t>Hotel</t>
        </is>
      </c>
      <c r="C162" s="8" t="n"/>
      <c r="D162" s="28" t="inlineStr">
        <is>
          <t>66 S Rockford Dr, Tempe, AZ 85288</t>
        </is>
      </c>
      <c r="E162" s="8" t="inlineStr">
        <is>
          <t>Tempe</t>
        </is>
      </c>
      <c r="F162" s="8">
        <f>14809662780</f>
        <v/>
      </c>
      <c r="G162" s="20" t="inlineStr">
        <is>
          <t>https://www.hilton.com/en/hotels/phxtuhw-homewood-suites-phoenix-tempe-asu-area/?SEO_id=GMB-AMER-HG-PHXTUHW&amp;y_source=1_NDA5MDc2MC03MTUtbG9jYXRpb24ud2Vic2l0ZQ%3D%3D</t>
        </is>
      </c>
      <c r="H162" s="80" t="inlineStr">
        <is>
          <t>Free</t>
        </is>
      </c>
      <c r="I162" s="88" t="inlineStr">
        <is>
          <t>No Valet</t>
        </is>
      </c>
      <c r="J162" s="28" t="n">
        <v>121</v>
      </c>
      <c r="K162" s="34" t="n">
        <v>0.71</v>
      </c>
      <c r="L162" s="45" t="n">
        <v>7</v>
      </c>
      <c r="M162" s="65" t="n"/>
      <c r="N162" s="65" t="n"/>
      <c r="O162" s="65" t="n"/>
      <c r="P162" s="65" t="n"/>
      <c r="Q162" s="65" t="n"/>
      <c r="R162" s="65" t="n"/>
      <c r="S162" s="18" t="n"/>
      <c r="T162" s="18" t="n"/>
      <c r="U162" s="30" t="n"/>
      <c r="V162" s="18" t="n"/>
      <c r="W162" s="18" t="n"/>
      <c r="X162" s="18" t="n"/>
      <c r="Y162" s="65" t="n"/>
      <c r="Z162" s="65" t="n"/>
      <c r="AA162" s="28" t="n"/>
      <c r="AB162" s="28" t="n"/>
      <c r="AC162" s="28" t="n"/>
      <c r="AD162" s="28" t="n"/>
      <c r="AE162" s="28" t="n"/>
      <c r="AF162" s="28" t="n"/>
      <c r="AG162" s="28" t="n"/>
      <c r="AH162" s="28" t="n"/>
      <c r="AI162" s="28" t="n"/>
      <c r="AJ162" s="28" t="n"/>
      <c r="AK162" s="28" t="n"/>
      <c r="AL162" s="65" t="n"/>
      <c r="AM162" s="65" t="n"/>
      <c r="AN162" s="65" t="n"/>
      <c r="AO162" s="65" t="n"/>
      <c r="AP162" s="65" t="n"/>
    </row>
    <row r="163" ht="51.75" customHeight="1" s="222">
      <c r="A163" s="28" t="inlineStr">
        <is>
          <t>Hilton Garden Inn Phoenix/Tempe ASU Area</t>
        </is>
      </c>
      <c r="B163" s="105" t="inlineStr">
        <is>
          <t>Hotel</t>
        </is>
      </c>
      <c r="C163" s="8" t="n"/>
      <c r="D163" s="37" t="inlineStr">
        <is>
          <t>86 S Rockford Dr, Tempe, AZ 85281</t>
        </is>
      </c>
      <c r="E163" s="8" t="inlineStr">
        <is>
          <t>Tempe</t>
        </is>
      </c>
      <c r="F163" s="8">
        <f>14809682180</f>
        <v/>
      </c>
      <c r="G163" s="20" t="inlineStr">
        <is>
          <t>https://www.hilton.com/en/hotels/phxaagi-hilton-garden-inn-phoenix-tempe-asu-area/?SEO_id=GMB-AMER-GI-PHXAAGI&amp;y_source=1_NjAxNzY2OS03MTUtbG9jYXRpb24ud2Vic2l0ZQ%3D%3D</t>
        </is>
      </c>
      <c r="H163" s="80" t="inlineStr">
        <is>
          <t>Free</t>
        </is>
      </c>
      <c r="I163" s="88" t="inlineStr">
        <is>
          <t>No Valet</t>
        </is>
      </c>
      <c r="J163" s="28" t="n">
        <v>120</v>
      </c>
      <c r="K163" s="34" t="n">
        <v>0.79</v>
      </c>
      <c r="L163" s="45" t="n">
        <v>17</v>
      </c>
      <c r="M163" s="65" t="n"/>
      <c r="N163" s="65" t="n"/>
      <c r="O163" s="65" t="n"/>
      <c r="P163" s="65" t="n"/>
      <c r="Q163" s="65" t="n"/>
      <c r="R163" s="65" t="n"/>
      <c r="S163" s="18" t="n"/>
      <c r="T163" s="18" t="n"/>
      <c r="U163" s="30" t="n"/>
      <c r="V163" s="18" t="n"/>
      <c r="W163" s="18" t="n"/>
      <c r="X163" s="18" t="n"/>
      <c r="Y163" s="65" t="n"/>
      <c r="Z163" s="65" t="n"/>
      <c r="AA163" s="28" t="n"/>
      <c r="AB163" s="28" t="n"/>
      <c r="AC163" s="28" t="n"/>
      <c r="AD163" s="28" t="n"/>
      <c r="AE163" s="28" t="n"/>
      <c r="AF163" s="28" t="n"/>
      <c r="AG163" s="28" t="n"/>
      <c r="AH163" s="28" t="n"/>
      <c r="AI163" s="28" t="n"/>
      <c r="AJ163" s="28" t="n"/>
      <c r="AK163" s="28" t="n"/>
      <c r="AL163" s="65" t="n"/>
      <c r="AM163" s="65" t="n"/>
      <c r="AN163" s="65" t="n"/>
      <c r="AO163" s="65" t="n"/>
      <c r="AP163" s="65" t="n"/>
    </row>
    <row r="164" ht="51.75" customHeight="1" s="222">
      <c r="A164" s="28" t="inlineStr">
        <is>
          <t>Fairfield by Marriott Inn &amp; Suites Tempe</t>
        </is>
      </c>
      <c r="B164" s="105" t="inlineStr">
        <is>
          <t>Hotel</t>
        </is>
      </c>
      <c r="C164" s="8" t="n"/>
      <c r="D164" s="28" t="inlineStr">
        <is>
          <t>1929 E Rio Salado Pkwy, Tempe, AZ 85288</t>
        </is>
      </c>
      <c r="E164" s="8" t="inlineStr">
        <is>
          <t>Tempe</t>
        </is>
      </c>
      <c r="F164" s="8">
        <f>15205368100</f>
        <v/>
      </c>
      <c r="G164" s="20" t="inlineStr">
        <is>
          <t>https://www.marriott.com/en-us/hotels/phxfe-fairfield-inn-and-suites-tempe/overview/?scid=f2ae0541-1279-4f24-b197-a979c79310b0</t>
        </is>
      </c>
      <c r="H164" s="80" t="inlineStr">
        <is>
          <t>Free</t>
        </is>
      </c>
      <c r="I164" s="88" t="inlineStr">
        <is>
          <t>No Valet</t>
        </is>
      </c>
      <c r="J164" s="28" t="n">
        <v>83</v>
      </c>
      <c r="K164" s="34" t="n">
        <v>0.8</v>
      </c>
      <c r="L164" s="45" t="n">
        <v>5</v>
      </c>
      <c r="M164" s="65" t="n"/>
      <c r="N164" s="65" t="n"/>
      <c r="O164" s="65" t="n"/>
      <c r="P164" s="65" t="n"/>
      <c r="Q164" s="65" t="n"/>
      <c r="R164" s="65" t="n"/>
      <c r="S164" s="18" t="n"/>
      <c r="T164" s="18" t="n"/>
      <c r="U164" s="30" t="n"/>
      <c r="V164" s="18" t="n"/>
      <c r="W164" s="18" t="n"/>
      <c r="X164" s="18" t="n"/>
      <c r="Y164" s="65" t="n"/>
      <c r="Z164" s="65" t="n"/>
      <c r="AA164" s="28" t="n"/>
      <c r="AB164" s="28" t="n"/>
      <c r="AC164" s="28" t="n"/>
      <c r="AD164" s="28" t="n"/>
      <c r="AE164" s="28" t="n"/>
      <c r="AF164" s="28" t="n"/>
      <c r="AG164" s="28" t="n"/>
      <c r="AH164" s="28" t="n"/>
      <c r="AI164" s="28" t="n"/>
      <c r="AJ164" s="28" t="n"/>
      <c r="AK164" s="28" t="n"/>
      <c r="AL164" s="65" t="n"/>
      <c r="AM164" s="65" t="n"/>
      <c r="AN164" s="65" t="n"/>
      <c r="AO164" s="65" t="n"/>
      <c r="AP164" s="65" t="n"/>
    </row>
    <row r="165" ht="51.75" customHeight="1" s="222">
      <c r="A165" s="28" t="inlineStr">
        <is>
          <t>Sheraton Desert Oasis Villas, Scottsdale</t>
        </is>
      </c>
      <c r="B165" s="73" t="inlineStr">
        <is>
          <t>Hotel</t>
        </is>
      </c>
      <c r="C165" s="8" t="n"/>
      <c r="D165" s="28" t="inlineStr">
        <is>
          <t>17700 Hayden Rd, Scottsdale, AZ 85255</t>
        </is>
      </c>
      <c r="E165" s="8" t="inlineStr">
        <is>
          <t>Scottsdale</t>
        </is>
      </c>
      <c r="F165" s="111" t="inlineStr">
        <is>
          <t>(480) 515-5888</t>
        </is>
      </c>
      <c r="G165" s="20" t="inlineStr">
        <is>
          <t>https://www.marriott.com/en-us/hotels/phxso-sheraton-desert-oasis-villas-scottsdale/overview/?scid=f2ae0541-1279-4f24-b197-a979c79310b0</t>
        </is>
      </c>
      <c r="H165" s="80" t="n">
        <v>30</v>
      </c>
      <c r="I165" s="88" t="inlineStr">
        <is>
          <t>No Valet</t>
        </is>
      </c>
      <c r="J165" s="8" t="n"/>
      <c r="K165" s="34" t="n">
        <v>0.59</v>
      </c>
      <c r="L165" s="65" t="n">
        <v>22</v>
      </c>
      <c r="M165" s="65" t="n"/>
      <c r="N165" s="65" t="n"/>
      <c r="O165" s="65" t="n"/>
      <c r="P165" s="65" t="n"/>
      <c r="Q165" s="65" t="n"/>
      <c r="R165" s="65" t="n"/>
      <c r="S165" s="18" t="n"/>
      <c r="T165" s="18" t="n"/>
      <c r="U165" s="30" t="n"/>
      <c r="V165" s="18" t="n"/>
      <c r="W165" s="18" t="n"/>
      <c r="X165" s="18" t="n"/>
      <c r="Y165" s="65" t="n"/>
      <c r="Z165" s="65" t="n"/>
      <c r="AA165" s="28" t="n"/>
      <c r="AB165" s="28" t="n"/>
      <c r="AC165" s="28" t="n"/>
      <c r="AD165" s="28" t="n"/>
      <c r="AE165" s="28" t="n"/>
      <c r="AF165" s="28" t="n"/>
      <c r="AG165" s="28" t="n"/>
      <c r="AH165" s="28" t="n"/>
      <c r="AI165" s="28" t="n"/>
      <c r="AJ165" s="28" t="n"/>
      <c r="AK165" s="28" t="n"/>
      <c r="AL165" s="65" t="n"/>
      <c r="AM165" s="65" t="n"/>
      <c r="AN165" s="65" t="n"/>
      <c r="AO165" s="65" t="n"/>
      <c r="AP165" s="65" t="n"/>
    </row>
    <row r="166" ht="51.75" customHeight="1" s="222">
      <c r="A166" s="112" t="inlineStr">
        <is>
          <t>Holiday Inn Express &amp; Suites Phoenix – Midtown</t>
        </is>
      </c>
      <c r="B166" s="73" t="inlineStr">
        <is>
          <t>Hotel</t>
        </is>
      </c>
      <c r="C166" s="8" t="n"/>
      <c r="D166" s="28" t="inlineStr">
        <is>
          <t>212 W Osborn Rd, Phoenix, AZ 85013</t>
        </is>
      </c>
      <c r="E166" s="28" t="inlineStr">
        <is>
          <t>Midtown</t>
        </is>
      </c>
      <c r="F166" s="111" t="inlineStr">
        <is>
          <t>(480) 264-7554</t>
        </is>
      </c>
      <c r="G166" s="20" t="inlineStr">
        <is>
          <t>https://www.ihg.com/phoenix-arizona?cm_mmc=GoogleMaps-_-EX-_-US-_-PHXMT</t>
        </is>
      </c>
      <c r="H166" s="93" t="inlineStr">
        <is>
          <t>Free</t>
        </is>
      </c>
      <c r="I166" s="88" t="inlineStr">
        <is>
          <t>No Valet</t>
        </is>
      </c>
      <c r="J166" s="28" t="n"/>
      <c r="K166" s="34" t="n"/>
      <c r="L166" s="45" t="n">
        <v>0</v>
      </c>
      <c r="M166" s="65" t="n"/>
      <c r="N166" s="65" t="n"/>
      <c r="O166" s="65" t="n"/>
      <c r="P166" s="65" t="n"/>
      <c r="Q166" s="65" t="n"/>
      <c r="R166" s="65" t="n"/>
      <c r="S166" s="18" t="n"/>
      <c r="T166" s="18" t="n"/>
      <c r="U166" s="30" t="n"/>
      <c r="V166" s="18" t="n"/>
      <c r="W166" s="18" t="n"/>
      <c r="X166" s="18" t="n"/>
      <c r="Y166" s="65" t="n"/>
      <c r="Z166" s="65" t="n"/>
      <c r="AA166" s="28" t="n"/>
      <c r="AB166" s="28" t="n"/>
      <c r="AC166" s="28" t="n"/>
      <c r="AD166" s="28" t="n"/>
      <c r="AE166" s="28" t="n"/>
      <c r="AF166" s="28" t="n"/>
      <c r="AG166" s="28" t="n"/>
      <c r="AH166" s="28" t="n"/>
      <c r="AI166" s="28" t="n"/>
      <c r="AJ166" s="28" t="n"/>
      <c r="AK166" s="28" t="n"/>
      <c r="AL166" s="65" t="n"/>
      <c r="AM166" s="65" t="n"/>
      <c r="AN166" s="65" t="n"/>
      <c r="AO166" s="65" t="n"/>
      <c r="AP166" s="65" t="n"/>
    </row>
    <row r="167" ht="51.75" customHeight="1" s="222">
      <c r="A167" s="112" t="inlineStr">
        <is>
          <t>Hyatt Place Phoenix-North</t>
        </is>
      </c>
      <c r="B167" s="73" t="inlineStr">
        <is>
          <t>Hotel</t>
        </is>
      </c>
      <c r="C167" s="8" t="n"/>
      <c r="D167" s="28" t="inlineStr">
        <is>
          <t>10838 N 25th Ave, Phoenix, AZ 85029</t>
        </is>
      </c>
      <c r="E167" s="28" t="n"/>
      <c r="F167" s="113" t="inlineStr">
        <is>
          <t>(602) 997-8800</t>
        </is>
      </c>
      <c r="G167" s="20" t="inlineStr">
        <is>
          <t>https://www.reservations.com/hotel/hyatt-place-phoenix-north?googleCampaignId=22509500384&amp;googleAdGroupId=180522653002&amp;googleAdId=750293265067&amp;keyword=hyatt%20place%20phoenix%20north&amp;matchType=b&amp;googleKeywordId=&amp;adExtensionId=&amp;network=g&amp;adPosition=&amp;deviceType=c&amp;physicalLocation=9195354&amp;interestLocation=&amp;targetId=kwd-353112739647&amp;placement=&amp;gad_source=1&amp;gad_campaignid=22509500384&amp;gbraid=0AAAAA9ud1S8rI2nkniBtw_xiEnuXcNBm1&amp;gclid=Cj0KCQiA4eHLBhCzARIsAJ2NZoJFoXF_4MaPx8YiCEoFLhCfxYzNxdUS4vj5l26pLhCz_xhJWW-CH6IaAscwEALw_wcB</t>
        </is>
      </c>
      <c r="H167" s="93" t="inlineStr">
        <is>
          <t>Free</t>
        </is>
      </c>
      <c r="I167" s="88" t="inlineStr">
        <is>
          <t>No Valet</t>
        </is>
      </c>
      <c r="J167" s="28" t="n">
        <v>127</v>
      </c>
      <c r="K167" s="34" t="n"/>
      <c r="L167" s="45" t="n"/>
      <c r="M167" s="65" t="n"/>
      <c r="N167" s="65" t="n"/>
      <c r="O167" s="65" t="n"/>
      <c r="P167" s="65" t="n"/>
      <c r="Q167" s="65" t="n"/>
      <c r="R167" s="65" t="n"/>
      <c r="S167" s="18" t="n"/>
      <c r="T167" s="18" t="n"/>
      <c r="U167" s="30" t="n"/>
      <c r="V167" s="18" t="n"/>
      <c r="W167" s="18" t="n"/>
      <c r="X167" s="18" t="n"/>
      <c r="Y167" s="65" t="n"/>
      <c r="Z167" s="65" t="n"/>
      <c r="AA167" s="28" t="n"/>
      <c r="AB167" s="28" t="n"/>
      <c r="AC167" s="28" t="n"/>
      <c r="AD167" s="28" t="n"/>
      <c r="AE167" s="28" t="n"/>
      <c r="AF167" s="28" t="n"/>
      <c r="AG167" s="28" t="n"/>
      <c r="AH167" s="28" t="n"/>
      <c r="AI167" s="28" t="n"/>
      <c r="AJ167" s="28" t="n"/>
      <c r="AK167" s="28" t="n"/>
      <c r="AL167" s="65" t="n"/>
      <c r="AM167" s="65" t="n"/>
      <c r="AN167" s="65" t="n"/>
      <c r="AO167" s="65" t="n"/>
      <c r="AP167" s="65" t="n"/>
    </row>
    <row r="168" ht="51.75" customHeight="1" s="222">
      <c r="A168" s="112" t="inlineStr">
        <is>
          <t>TownePlace Suites Phoenix North</t>
        </is>
      </c>
      <c r="B168" s="73" t="inlineStr">
        <is>
          <t>Hotel</t>
        </is>
      </c>
      <c r="C168" s="8" t="n"/>
      <c r="D168" s="28" t="inlineStr">
        <is>
          <t>9425 N Black Cyn Hwy, Phoenix, AZ 85021</t>
        </is>
      </c>
      <c r="E168" s="28" t="n"/>
      <c r="F168" s="113" t="inlineStr">
        <is>
          <t>(602) 943-9510</t>
        </is>
      </c>
      <c r="G168" s="20" t="inlineStr">
        <is>
          <t>https://www.marriott.com/search/findHotels.mi?pageType=advanced&amp;searchType=InCity&amp;destinationAddress.latitude=33.571671&amp;destinationAddress.longitude=-112.116811&amp;destinationAddress.destination=TownePlace+Suites+Phoenix+North&amp;nst=paid&amp;cid=PAI_GLB0004YXD_GLE000BIM5_GLF000OETA&amp;ppc=ppc&amp;pId=ustbppc&amp;gclsrc=aw.ds&amp;gad_source=1&amp;gad_campaignid=1658413582&amp;gbraid=0AAAAADilniewl5BZmmduSNTA1TsoQ7NPm&amp;gclid=Cj0KCQiA4eHLBhCzARIsAJ2NZoLyAxdNl5PtX38d-JL_jDfUMsRfpzV01sxcu7qkuSU2wGpCP1_nJX4aAh-DEALw_wcB&amp;deviceType=desktop-web&amp;view=list</t>
        </is>
      </c>
      <c r="H168" s="93" t="n">
        <v>5</v>
      </c>
      <c r="I168" s="88" t="inlineStr">
        <is>
          <t>No Valet</t>
        </is>
      </c>
      <c r="J168" s="28" t="n"/>
      <c r="K168" s="34" t="n">
        <v>0.25</v>
      </c>
      <c r="L168" s="45" t="n">
        <v>12</v>
      </c>
      <c r="M168" s="65" t="n"/>
      <c r="N168" s="65" t="n"/>
      <c r="O168" s="65" t="n"/>
      <c r="P168" s="65" t="n"/>
      <c r="Q168" s="65" t="n"/>
      <c r="R168" s="65" t="n"/>
      <c r="S168" s="18" t="n"/>
      <c r="T168" s="18" t="n"/>
      <c r="U168" s="30" t="n"/>
      <c r="V168" s="18" t="n"/>
      <c r="W168" s="18" t="n"/>
      <c r="X168" s="18" t="n"/>
      <c r="Y168" s="65" t="n"/>
      <c r="Z168" s="65" t="n"/>
      <c r="AA168" s="28" t="n"/>
      <c r="AB168" s="28" t="n"/>
      <c r="AC168" s="28" t="n"/>
      <c r="AD168" s="28" t="n"/>
      <c r="AE168" s="28" t="n"/>
      <c r="AF168" s="28" t="n"/>
      <c r="AG168" s="28" t="n"/>
      <c r="AH168" s="28" t="n"/>
      <c r="AI168" s="28" t="n"/>
      <c r="AJ168" s="28" t="n"/>
      <c r="AK168" s="28" t="n"/>
      <c r="AL168" s="65" t="n"/>
      <c r="AM168" s="65" t="n"/>
      <c r="AN168" s="65" t="n"/>
      <c r="AO168" s="65" t="n"/>
      <c r="AP168" s="65" t="n"/>
    </row>
    <row r="169" ht="51.75" customHeight="1" s="222">
      <c r="A169" s="112" t="inlineStr">
        <is>
          <t>SpringHill Suites by Marriott Phoenix North</t>
        </is>
      </c>
      <c r="B169" s="73" t="inlineStr">
        <is>
          <t>Hotel</t>
        </is>
      </c>
      <c r="C169" s="8" t="n"/>
      <c r="D169" s="28" t="inlineStr">
        <is>
          <t>9426 N Black Cyn Hwy, Phoenix, AZ 85021</t>
        </is>
      </c>
      <c r="E169" s="28" t="n"/>
      <c r="F169" s="39" t="inlineStr">
        <is>
          <t>(602) 943-9511</t>
        </is>
      </c>
      <c r="G169" s="20" t="inlineStr">
        <is>
          <t>https://www.marriott.com/search/findHotels.mi?pageType=advanced&amp;searchType=InCity&amp;destinationAddress.latitude=33.571671&amp;destinationAddress.longitude=-112.116811&amp;destinationAddress.destination=TownePlace+Suites+Phoenix+North&amp;nst=paid&amp;cid=PAI_GLB0004YXD_GLE000BIM5_GLF000OETA&amp;ppc=ppc&amp;pId=ustbppc&amp;gclsrc=aw.ds&amp;gad_source=1&amp;gad_campaignid=1658413582&amp;gbraid=0AAAAADilniewl5BZmmduSNTA1TsoQ7NPm&amp;gclid=Cj0KCQiA4eHLBhCzARIsAJ2NZoLyAxdNl5PtX38d-JL_jDfUMsRfpzV01sxcu7qkuSU2wGpCP1_nJX4aAh-DEALw_wcB&amp;deviceType=desktop-web&amp;view=list</t>
        </is>
      </c>
      <c r="H169" s="93" t="n">
        <v>10</v>
      </c>
      <c r="I169" s="88" t="inlineStr">
        <is>
          <t>No Valet</t>
        </is>
      </c>
      <c r="J169" s="28" t="n"/>
      <c r="K169" s="34" t="n">
        <v>0.14</v>
      </c>
      <c r="L169" s="45" t="n">
        <v>14</v>
      </c>
      <c r="M169" s="65" t="n"/>
      <c r="N169" s="65" t="n"/>
      <c r="O169" s="65" t="n"/>
      <c r="P169" s="65" t="n"/>
      <c r="Q169" s="65" t="n"/>
      <c r="R169" s="65" t="n"/>
      <c r="S169" s="18" t="n"/>
      <c r="T169" s="18" t="n"/>
      <c r="U169" s="30" t="n"/>
      <c r="V169" s="18" t="n"/>
      <c r="W169" s="18" t="n"/>
      <c r="X169" s="18" t="n"/>
      <c r="Y169" s="65" t="n"/>
      <c r="Z169" s="65" t="n"/>
      <c r="AA169" s="28" t="n"/>
      <c r="AB169" s="28" t="n"/>
      <c r="AC169" s="28" t="n"/>
      <c r="AD169" s="28" t="n"/>
      <c r="AE169" s="28" t="n"/>
      <c r="AF169" s="28" t="n"/>
      <c r="AG169" s="28" t="n"/>
      <c r="AH169" s="28" t="n"/>
      <c r="AI169" s="28" t="n"/>
      <c r="AJ169" s="28" t="n"/>
      <c r="AK169" s="28" t="n"/>
      <c r="AL169" s="65" t="n"/>
      <c r="AM169" s="65" t="n"/>
      <c r="AN169" s="65" t="n"/>
      <c r="AO169" s="65" t="n"/>
      <c r="AP169" s="65" t="n"/>
    </row>
    <row r="170" ht="51.75" customHeight="1" s="222">
      <c r="A170" s="112" t="inlineStr">
        <is>
          <t>DoubleTree by Hilton Hotel Phoenix North</t>
        </is>
      </c>
      <c r="B170" s="73" t="inlineStr">
        <is>
          <t>Hotel</t>
        </is>
      </c>
      <c r="C170" s="8" t="n"/>
      <c r="D170" s="28" t="inlineStr">
        <is>
          <t>10220 N Metro Pkwy E, Phoenix, AZ 85051</t>
        </is>
      </c>
      <c r="E170" s="28" t="n"/>
      <c r="F170" s="113" t="inlineStr">
        <is>
          <t>(602) 997-5900</t>
        </is>
      </c>
      <c r="G170" s="20" t="inlineStr">
        <is>
          <t>https://www.hilton.com/en/hotels/phxntdt-doubletree-phoenix-north/?SEO_id=GMB-AMER-DT-PHXNTDT&amp;y_source=1_ODYwMjQ1My03MTUtbG9jYXRpb24ud2Vic2l0ZQ%3D%3D</t>
        </is>
      </c>
      <c r="H170" s="93" t="inlineStr">
        <is>
          <t>free</t>
        </is>
      </c>
      <c r="I170" s="88" t="inlineStr">
        <is>
          <t>No Valet</t>
        </is>
      </c>
      <c r="J170" s="28" t="n"/>
      <c r="K170" s="34" t="n"/>
      <c r="L170" s="45" t="n"/>
      <c r="M170" s="65" t="n"/>
      <c r="N170" s="65" t="n"/>
      <c r="O170" s="65" t="n"/>
      <c r="P170" s="65" t="n"/>
      <c r="Q170" s="65" t="n"/>
      <c r="R170" s="65" t="n"/>
      <c r="S170" s="18" t="n"/>
      <c r="T170" s="18" t="n"/>
      <c r="U170" s="30" t="n"/>
      <c r="V170" s="18" t="n"/>
      <c r="W170" s="18" t="n"/>
      <c r="X170" s="18" t="n"/>
      <c r="Y170" s="65" t="n"/>
      <c r="Z170" s="65" t="n"/>
      <c r="AA170" s="28" t="n"/>
      <c r="AB170" s="28" t="n"/>
      <c r="AC170" s="28" t="n"/>
      <c r="AD170" s="28" t="n"/>
      <c r="AE170" s="28" t="n"/>
      <c r="AF170" s="28" t="n"/>
      <c r="AG170" s="28" t="n"/>
      <c r="AH170" s="28" t="n"/>
      <c r="AI170" s="28" t="n"/>
      <c r="AJ170" s="28" t="n"/>
      <c r="AK170" s="28" t="n"/>
      <c r="AL170" s="65" t="n"/>
      <c r="AM170" s="65" t="n"/>
      <c r="AN170" s="65" t="n"/>
      <c r="AO170" s="65" t="n"/>
      <c r="AP170" s="65" t="n"/>
    </row>
    <row r="171" ht="51.75" customHeight="1" s="222">
      <c r="A171" s="112" t="inlineStr">
        <is>
          <t>Courtyard Phoenix North</t>
        </is>
      </c>
      <c r="B171" s="73" t="inlineStr">
        <is>
          <t>Hotel</t>
        </is>
      </c>
      <c r="C171" s="8" t="n"/>
      <c r="D171" s="28" t="inlineStr">
        <is>
          <t>9631 N Black Cyn Hwy, Phoenix, AZ 85021</t>
        </is>
      </c>
      <c r="E171" s="28" t="n"/>
      <c r="F171" s="111" t="inlineStr">
        <is>
          <t>(602) 944-7373</t>
        </is>
      </c>
      <c r="G171" s="20" t="inlineStr">
        <is>
          <t>https://www.marriott.com/en-us/hotels/phxmc-courtyard-phoenix-north/overview/?scid=f2ae0541-1279-4f24-b197-a979c79310b0</t>
        </is>
      </c>
      <c r="H171" s="93" t="n">
        <v>10</v>
      </c>
      <c r="I171" s="88" t="inlineStr">
        <is>
          <t>No Valet</t>
        </is>
      </c>
      <c r="J171" s="28" t="n"/>
      <c r="K171" s="34" t="n">
        <v>0.6</v>
      </c>
      <c r="L171" s="45" t="n">
        <v>10</v>
      </c>
      <c r="M171" s="65" t="n"/>
      <c r="N171" s="65" t="n"/>
      <c r="O171" s="65" t="n"/>
      <c r="P171" s="65" t="n"/>
      <c r="Q171" s="65" t="n"/>
      <c r="R171" s="65" t="n"/>
      <c r="S171" s="18" t="n"/>
      <c r="T171" s="18" t="n"/>
      <c r="U171" s="30" t="n"/>
      <c r="V171" s="18" t="n"/>
      <c r="W171" s="18" t="n"/>
      <c r="X171" s="18" t="n"/>
      <c r="Y171" s="65" t="n"/>
      <c r="Z171" s="65" t="n"/>
      <c r="AA171" s="28" t="n"/>
      <c r="AB171" s="28" t="n"/>
      <c r="AC171" s="28" t="n"/>
      <c r="AD171" s="28" t="n"/>
      <c r="AE171" s="28" t="n"/>
      <c r="AF171" s="28" t="n"/>
      <c r="AG171" s="28" t="n"/>
      <c r="AH171" s="28" t="n"/>
      <c r="AI171" s="28" t="n"/>
      <c r="AJ171" s="28" t="n"/>
      <c r="AK171" s="28" t="n"/>
      <c r="AL171" s="65" t="n"/>
      <c r="AM171" s="65" t="n"/>
      <c r="AN171" s="65" t="n"/>
      <c r="AO171" s="65" t="n"/>
      <c r="AP171" s="65" t="n"/>
    </row>
    <row r="172" ht="51.75" customHeight="1" s="222">
      <c r="A172" s="112" t="inlineStr">
        <is>
          <t>Hampton Inn and Suites by Hilton Phoenix North</t>
        </is>
      </c>
      <c r="B172" s="73" t="inlineStr">
        <is>
          <t>Hotel</t>
        </is>
      </c>
      <c r="C172" s="8" t="n"/>
      <c r="D172" s="28" t="inlineStr">
        <is>
          <t>2550 W Charlotte Dr, Phoenix, AZ 85085</t>
        </is>
      </c>
      <c r="E172" s="28" t="n"/>
      <c r="F172" s="114" t="inlineStr">
        <is>
          <t>(623) 516-9300</t>
        </is>
      </c>
      <c r="G172" s="205" t="n"/>
      <c r="H172" s="93" t="n"/>
      <c r="I172" s="88" t="n"/>
      <c r="J172" s="28" t="n"/>
      <c r="K172" s="34" t="n"/>
      <c r="L172" s="45" t="n"/>
      <c r="M172" s="65" t="n"/>
      <c r="N172" s="65" t="n"/>
      <c r="O172" s="65" t="n"/>
      <c r="P172" s="65" t="n"/>
      <c r="Q172" s="65" t="n"/>
      <c r="R172" s="65" t="n"/>
      <c r="S172" s="18" t="n"/>
      <c r="T172" s="18" t="n"/>
      <c r="U172" s="30" t="n"/>
      <c r="V172" s="18" t="n"/>
      <c r="W172" s="18" t="n"/>
      <c r="X172" s="18" t="n"/>
      <c r="Y172" s="65" t="n"/>
      <c r="Z172" s="65" t="n"/>
      <c r="AA172" s="28" t="n"/>
      <c r="AB172" s="28" t="n"/>
      <c r="AC172" s="28" t="n"/>
      <c r="AD172" s="28" t="n"/>
      <c r="AE172" s="28" t="n"/>
      <c r="AF172" s="28" t="n"/>
      <c r="AG172" s="28" t="n"/>
      <c r="AH172" s="28" t="n"/>
      <c r="AI172" s="28" t="n"/>
      <c r="AJ172" s="28" t="n"/>
      <c r="AK172" s="28" t="n"/>
      <c r="AL172" s="65" t="n"/>
      <c r="AM172" s="65" t="n"/>
      <c r="AN172" s="65" t="n"/>
      <c r="AO172" s="65" t="n"/>
      <c r="AP172" s="65" t="n"/>
    </row>
    <row r="173" ht="51.75" customHeight="1" s="222">
      <c r="A173" s="112" t="inlineStr">
        <is>
          <t>Four Points by Sheraton Phoenix North</t>
        </is>
      </c>
      <c r="B173" s="73" t="inlineStr">
        <is>
          <t>Hotel</t>
        </is>
      </c>
      <c r="C173" s="8" t="n"/>
      <c r="D173" s="28" t="n"/>
      <c r="E173" s="28" t="n"/>
      <c r="F173" s="28" t="n"/>
      <c r="G173" s="205" t="n"/>
      <c r="H173" s="93" t="n"/>
      <c r="I173" s="88" t="n"/>
      <c r="J173" s="28" t="n"/>
      <c r="K173" s="34" t="n"/>
      <c r="L173" s="45" t="n"/>
      <c r="M173" s="65" t="n"/>
      <c r="N173" s="65" t="n"/>
      <c r="O173" s="65" t="n"/>
      <c r="P173" s="65" t="n"/>
      <c r="Q173" s="65" t="n"/>
      <c r="R173" s="65" t="n"/>
      <c r="S173" s="18" t="n"/>
      <c r="T173" s="18" t="n"/>
      <c r="U173" s="30" t="n"/>
      <c r="V173" s="18" t="n"/>
      <c r="W173" s="18" t="n"/>
      <c r="X173" s="18" t="n"/>
      <c r="Y173" s="65" t="n"/>
      <c r="Z173" s="65" t="n"/>
      <c r="AA173" s="28" t="n"/>
      <c r="AB173" s="28" t="n"/>
      <c r="AC173" s="28" t="n"/>
      <c r="AD173" s="28" t="n"/>
      <c r="AE173" s="28" t="n"/>
      <c r="AF173" s="28" t="n"/>
      <c r="AG173" s="28" t="n"/>
      <c r="AH173" s="28" t="n"/>
      <c r="AI173" s="28" t="n"/>
      <c r="AJ173" s="28" t="n"/>
      <c r="AK173" s="28" t="n"/>
      <c r="AL173" s="65" t="n"/>
      <c r="AM173" s="65" t="n"/>
      <c r="AN173" s="65" t="n"/>
      <c r="AO173" s="65" t="n"/>
      <c r="AP173" s="65" t="n"/>
    </row>
    <row r="174" ht="51.75" customHeight="1" s="222">
      <c r="A174" s="112" t="inlineStr">
        <is>
          <t>Staybridge Suites Phoenix – Biltmore Area</t>
        </is>
      </c>
      <c r="B174" s="73" t="inlineStr">
        <is>
          <t>Hotel</t>
        </is>
      </c>
      <c r="C174" s="8" t="n"/>
      <c r="D174" s="28" t="inlineStr">
        <is>
          <t>2940 N Greenfield Rd, Phoenix, AZ 85016</t>
        </is>
      </c>
      <c r="E174" s="28" t="inlineStr">
        <is>
          <t>Biltmore</t>
        </is>
      </c>
      <c r="F174" s="28">
        <f>16022240012</f>
        <v/>
      </c>
      <c r="G174" s="20" t="inlineStr">
        <is>
          <t>https://www.ihg.com/staybridge/hotels/us/en/phoenix/phxbi/hoteldetail?cm_mmc=GoogleMaps-_-SB-_-US-_-PHXBI</t>
        </is>
      </c>
      <c r="H174" s="116" t="inlineStr">
        <is>
          <t>Free</t>
        </is>
      </c>
      <c r="I174" s="88" t="inlineStr">
        <is>
          <t>No Valet</t>
        </is>
      </c>
      <c r="J174" s="28" t="n"/>
      <c r="K174" s="34" t="n"/>
      <c r="L174" s="45" t="n"/>
      <c r="M174" s="65" t="n"/>
      <c r="N174" s="65" t="n"/>
      <c r="O174" s="65" t="n"/>
      <c r="P174" s="65" t="n"/>
      <c r="Q174" s="65" t="n"/>
      <c r="R174" s="65" t="n"/>
      <c r="S174" s="18" t="n"/>
      <c r="T174" s="18" t="n"/>
      <c r="U174" s="30" t="n"/>
      <c r="V174" s="18" t="n"/>
      <c r="W174" s="18" t="n"/>
      <c r="X174" s="18" t="n"/>
      <c r="Y174" s="65" t="n"/>
      <c r="Z174" s="65" t="n"/>
      <c r="AA174" s="28" t="n"/>
      <c r="AB174" s="28" t="n"/>
      <c r="AC174" s="28" t="n"/>
      <c r="AD174" s="28" t="n"/>
      <c r="AE174" s="28" t="n"/>
      <c r="AF174" s="28" t="n"/>
      <c r="AG174" s="28" t="n"/>
      <c r="AH174" s="28" t="n"/>
      <c r="AI174" s="28" t="n"/>
      <c r="AJ174" s="28" t="n"/>
      <c r="AK174" s="28" t="n"/>
      <c r="AL174" s="65" t="n"/>
      <c r="AM174" s="65" t="n"/>
      <c r="AN174" s="65" t="n"/>
      <c r="AO174" s="65" t="n"/>
      <c r="AP174" s="65" t="n"/>
    </row>
    <row r="175" ht="51.75" customHeight="1" s="222">
      <c r="A175" s="112" t="inlineStr">
        <is>
          <t>Element Phoenix Biltmore</t>
        </is>
      </c>
      <c r="B175" s="73" t="inlineStr">
        <is>
          <t>Hotel</t>
        </is>
      </c>
      <c r="C175" s="8" t="n"/>
      <c r="D175" s="28" t="n"/>
      <c r="E175" s="28" t="n"/>
      <c r="F175" s="28" t="n"/>
      <c r="G175" s="205" t="n"/>
      <c r="H175" s="116" t="n"/>
      <c r="I175" s="88" t="n"/>
      <c r="J175" s="28" t="n"/>
      <c r="K175" s="34" t="n"/>
      <c r="L175" s="45" t="n"/>
      <c r="M175" s="65" t="n"/>
      <c r="N175" s="65" t="n"/>
      <c r="O175" s="65" t="n"/>
      <c r="P175" s="65" t="n"/>
      <c r="Q175" s="65" t="n"/>
      <c r="R175" s="65" t="n"/>
      <c r="S175" s="18" t="n"/>
      <c r="T175" s="18" t="n"/>
      <c r="U175" s="30" t="n"/>
      <c r="V175" s="18" t="n"/>
      <c r="W175" s="18" t="n"/>
      <c r="X175" s="18" t="n"/>
      <c r="Y175" s="65" t="n"/>
      <c r="Z175" s="65" t="n"/>
      <c r="AA175" s="28" t="n"/>
      <c r="AB175" s="28" t="n"/>
      <c r="AC175" s="28" t="n"/>
      <c r="AD175" s="28" t="n"/>
      <c r="AE175" s="28" t="n"/>
      <c r="AF175" s="28" t="n"/>
      <c r="AG175" s="28" t="n"/>
      <c r="AH175" s="28" t="n"/>
      <c r="AI175" s="28" t="n"/>
      <c r="AJ175" s="28" t="n"/>
      <c r="AK175" s="28" t="n"/>
      <c r="AL175" s="65" t="n"/>
      <c r="AM175" s="65" t="n"/>
      <c r="AN175" s="65" t="n"/>
      <c r="AO175" s="65" t="n"/>
      <c r="AP175" s="65" t="n"/>
    </row>
    <row r="176" ht="51.75" customHeight="1" s="222">
      <c r="A176" s="112" t="inlineStr">
        <is>
          <t>Aloft Phoenix-Airport</t>
        </is>
      </c>
      <c r="B176" s="73" t="inlineStr">
        <is>
          <t>Hotel</t>
        </is>
      </c>
      <c r="C176" s="8" t="n"/>
      <c r="D176" s="28" t="inlineStr">
        <is>
          <t>4450 E Washington St, Phoenix, AZ 85034</t>
        </is>
      </c>
      <c r="E176" s="28" t="inlineStr">
        <is>
          <t>Airport</t>
        </is>
      </c>
      <c r="F176" s="28">
        <f>16022756300</f>
        <v/>
      </c>
      <c r="G176" s="20" t="inlineStr">
        <is>
          <t>https://www.marriott.com/en-us/hotels/phxxl-aloft-phoenix-airport/overview/?scid=f2ae0541-1279-4f24-b197-a979c79310b0</t>
        </is>
      </c>
      <c r="H176" s="116" t="n">
        <v>15</v>
      </c>
      <c r="I176" s="88" t="inlineStr">
        <is>
          <t>No Valet</t>
        </is>
      </c>
      <c r="J176" s="28" t="n"/>
      <c r="K176" s="34" t="n">
        <v>0.35</v>
      </c>
      <c r="L176" s="45" t="n">
        <v>49</v>
      </c>
      <c r="M176" s="65" t="n"/>
      <c r="N176" s="65" t="n"/>
      <c r="O176" s="65" t="n"/>
      <c r="P176" s="65" t="n"/>
      <c r="Q176" s="65" t="n"/>
      <c r="R176" s="65" t="n"/>
      <c r="S176" s="18" t="n"/>
      <c r="T176" s="18" t="n"/>
      <c r="U176" s="30" t="n"/>
      <c r="V176" s="18" t="n"/>
      <c r="W176" s="18" t="n"/>
      <c r="X176" s="18" t="n"/>
      <c r="Y176" s="65" t="n"/>
      <c r="Z176" s="65" t="n"/>
      <c r="AA176" s="28" t="n"/>
      <c r="AB176" s="28" t="n"/>
      <c r="AC176" s="28" t="n"/>
      <c r="AD176" s="28" t="n"/>
      <c r="AE176" s="28" t="n"/>
      <c r="AF176" s="28" t="n"/>
      <c r="AG176" s="28" t="n"/>
      <c r="AH176" s="28" t="n"/>
      <c r="AI176" s="28" t="n"/>
      <c r="AJ176" s="28" t="n"/>
      <c r="AK176" s="28" t="n"/>
      <c r="AL176" s="65" t="n"/>
      <c r="AM176" s="65" t="n"/>
      <c r="AN176" s="65" t="n"/>
      <c r="AO176" s="65" t="n"/>
      <c r="AP176" s="65" t="n"/>
    </row>
    <row r="177" ht="51.75" customHeight="1" s="222">
      <c r="A177" s="112" t="inlineStr">
        <is>
          <t>Crowne Plaza Phoenix Airport PHX</t>
        </is>
      </c>
      <c r="B177" s="73" t="inlineStr">
        <is>
          <t>Hotel</t>
        </is>
      </c>
      <c r="C177" s="8" t="n"/>
      <c r="D177" s="28" t="inlineStr">
        <is>
          <t>4300 E Washington St, Phoenix, AZ 85034</t>
        </is>
      </c>
      <c r="E177" s="28" t="inlineStr">
        <is>
          <t>Airport</t>
        </is>
      </c>
      <c r="F177" s="114" t="inlineStr">
        <is>
          <t>(602) 273-7778</t>
        </is>
      </c>
      <c r="G177" s="20" t="inlineStr">
        <is>
          <t>https://www.ihg.com/crowneplaza/hotels/us/en/phoenix/phxea/hoteldetail?cm_mmc=GoogleMaps-_-CP-_-US-_-PHXEA</t>
        </is>
      </c>
      <c r="H177" s="116" t="n">
        <v>14</v>
      </c>
      <c r="I177" s="88" t="inlineStr">
        <is>
          <t>No Valet</t>
        </is>
      </c>
      <c r="J177" s="28" t="n"/>
      <c r="K177" s="34" t="n"/>
      <c r="L177" s="45" t="n"/>
      <c r="M177" s="65" t="n"/>
      <c r="N177" s="65" t="n"/>
      <c r="O177" s="65" t="n"/>
      <c r="P177" s="65" t="n"/>
      <c r="Q177" s="65" t="n"/>
      <c r="R177" s="65" t="n"/>
      <c r="S177" s="18" t="n"/>
      <c r="T177" s="18" t="n"/>
      <c r="U177" s="30" t="n"/>
      <c r="V177" s="18" t="n"/>
      <c r="W177" s="18" t="n"/>
      <c r="X177" s="18" t="n"/>
      <c r="Y177" s="65" t="n"/>
      <c r="Z177" s="65" t="n"/>
      <c r="AA177" s="28" t="n"/>
      <c r="AB177" s="28" t="n"/>
      <c r="AC177" s="28" t="n"/>
      <c r="AD177" s="28" t="n"/>
      <c r="AE177" s="28" t="n"/>
      <c r="AF177" s="28" t="n"/>
      <c r="AG177" s="28" t="n"/>
      <c r="AH177" s="28" t="n"/>
      <c r="AI177" s="28" t="n"/>
      <c r="AJ177" s="28" t="n"/>
      <c r="AK177" s="28" t="n"/>
      <c r="AL177" s="65" t="n"/>
      <c r="AM177" s="65" t="n"/>
      <c r="AN177" s="65" t="n"/>
      <c r="AO177" s="65" t="n"/>
      <c r="AP177" s="65" t="n"/>
    </row>
    <row r="178" ht="51.75" customHeight="1" s="222">
      <c r="A178" s="117" t="inlineStr">
        <is>
          <t>Holiday Inn &amp; Suites Phoenix Airport North</t>
        </is>
      </c>
      <c r="B178" s="73" t="inlineStr">
        <is>
          <t>Hotel</t>
        </is>
      </c>
      <c r="C178" s="8" t="n"/>
      <c r="D178" s="28" t="inlineStr">
        <is>
          <t>1515 N 44th St, Phoenix, AZ</t>
        </is>
      </c>
      <c r="E178" s="73" t="n"/>
      <c r="F178" s="73" t="n">
        <v>18776112469</v>
      </c>
      <c r="G178" s="20" t="inlineStr">
        <is>
          <t>https://holidayinnsuitesphoenixairportnorth.reservationstays.com/hotels/RG65w3je?--=&amp;gad_source=1&amp;gad_campaignid=21791738075&amp;gbraid=0AAAAAo1QcNkXdhPulmVHToXJjpdZrqAnN&amp;gclid=Cj0KCQiA4eHLBhCzARIsAJ2NZoJJMsL8sd5OiyinF4yhnWwNXAYXTaVirjy_1Xym25qFZ5m6CcRyjUEaAh3BEALw_wcB&amp;redirect_auth_retry=true&amp;expand_params=false</t>
        </is>
      </c>
      <c r="H178" s="116" t="n">
        <v>12</v>
      </c>
      <c r="I178" s="88" t="inlineStr">
        <is>
          <t>No Valet</t>
        </is>
      </c>
      <c r="J178" s="28" t="n"/>
      <c r="K178" s="34" t="n"/>
      <c r="L178" s="45" t="n"/>
      <c r="M178" s="65" t="n"/>
      <c r="N178" s="65" t="n"/>
      <c r="O178" s="65" t="n"/>
      <c r="P178" s="65" t="n"/>
      <c r="Q178" s="65" t="n"/>
      <c r="R178" s="65" t="n"/>
      <c r="S178" s="18" t="n"/>
      <c r="T178" s="18" t="n"/>
      <c r="U178" s="30" t="n"/>
      <c r="V178" s="18" t="n"/>
      <c r="W178" s="18" t="n"/>
      <c r="X178" s="18" t="n"/>
      <c r="Y178" s="65" t="n"/>
      <c r="Z178" s="65" t="n"/>
      <c r="AA178" s="28" t="n"/>
      <c r="AB178" s="28" t="n"/>
      <c r="AC178" s="28" t="n"/>
      <c r="AD178" s="28" t="n"/>
      <c r="AE178" s="28" t="n"/>
      <c r="AF178" s="28" t="n"/>
      <c r="AG178" s="28" t="n"/>
      <c r="AH178" s="28" t="n"/>
      <c r="AI178" s="28" t="n"/>
      <c r="AJ178" s="28" t="n"/>
      <c r="AK178" s="28" t="n"/>
      <c r="AL178" s="65" t="n"/>
      <c r="AM178" s="65" t="n"/>
      <c r="AN178" s="65" t="n"/>
      <c r="AO178" s="65" t="n"/>
      <c r="AP178" s="65" t="n"/>
    </row>
    <row r="179" ht="51.75" customHeight="1" s="222">
      <c r="A179" s="117" t="inlineStr">
        <is>
          <t>Hampton Inn Phoenix-Airport North</t>
        </is>
      </c>
      <c r="B179" s="73" t="inlineStr">
        <is>
          <t>Hotel</t>
        </is>
      </c>
      <c r="C179" s="8" t="n"/>
      <c r="D179" s="28" t="inlineStr">
        <is>
          <t>601 N 44th St, Phoenix, AZ 85008</t>
        </is>
      </c>
      <c r="E179" s="73" t="n"/>
      <c r="F179" s="118" t="inlineStr">
        <is>
          <t>(602) 267-0606</t>
        </is>
      </c>
      <c r="G179" s="20" t="inlineStr">
        <is>
          <t>https://www.google.com/search?client=safari&amp;rls=en&amp;q=Hampton+Inn+Phoenix-Airport+North&amp;ie=UTF-8&amp;oe=UTF-8</t>
        </is>
      </c>
      <c r="H179" s="116" t="inlineStr">
        <is>
          <t>Free</t>
        </is>
      </c>
      <c r="I179" s="88" t="inlineStr">
        <is>
          <t>No Valet</t>
        </is>
      </c>
      <c r="J179" s="28" t="n"/>
      <c r="K179" s="34" t="n"/>
      <c r="L179" s="45" t="n"/>
      <c r="M179" s="65" t="n"/>
      <c r="N179" s="65" t="n"/>
      <c r="O179" s="65" t="n"/>
      <c r="P179" s="65" t="n"/>
      <c r="Q179" s="65" t="n"/>
      <c r="R179" s="65" t="n"/>
      <c r="S179" s="18" t="n"/>
      <c r="T179" s="18" t="n"/>
      <c r="U179" s="30" t="n"/>
      <c r="V179" s="18" t="n"/>
      <c r="W179" s="18" t="n"/>
      <c r="X179" s="18" t="n"/>
      <c r="Y179" s="65" t="n"/>
      <c r="Z179" s="65" t="n"/>
      <c r="AA179" s="28" t="n"/>
      <c r="AB179" s="28" t="n"/>
      <c r="AC179" s="28" t="n"/>
      <c r="AD179" s="28" t="n"/>
      <c r="AE179" s="28" t="n"/>
      <c r="AF179" s="28" t="n"/>
      <c r="AG179" s="28" t="n"/>
      <c r="AH179" s="28" t="n"/>
      <c r="AI179" s="28" t="n"/>
      <c r="AJ179" s="28" t="n"/>
      <c r="AK179" s="28" t="n"/>
      <c r="AL179" s="65" t="n"/>
      <c r="AM179" s="65" t="n"/>
      <c r="AN179" s="65" t="n"/>
      <c r="AO179" s="65" t="n"/>
      <c r="AP179" s="65" t="n"/>
    </row>
    <row r="180" ht="51.75" customHeight="1" s="222">
      <c r="A180" s="117" t="inlineStr">
        <is>
          <t>Country Inn &amp; Suites By Radisson, Phoenix Airport</t>
        </is>
      </c>
      <c r="B180" s="73" t="inlineStr">
        <is>
          <t>Hotel</t>
        </is>
      </c>
      <c r="C180" s="8" t="n"/>
      <c r="D180" s="28" t="n"/>
      <c r="E180" s="73" t="n"/>
      <c r="F180" s="73" t="n"/>
      <c r="G180" s="205" t="n"/>
      <c r="H180" s="116" t="n"/>
      <c r="I180" s="88" t="n"/>
      <c r="J180" s="28" t="n"/>
      <c r="K180" s="34" t="n"/>
      <c r="L180" s="45" t="n"/>
      <c r="M180" s="65" t="n"/>
      <c r="N180" s="65" t="n"/>
      <c r="O180" s="65" t="n"/>
      <c r="P180" s="65" t="n"/>
      <c r="Q180" s="65" t="n"/>
      <c r="R180" s="65" t="n"/>
      <c r="S180" s="18" t="n"/>
      <c r="T180" s="18" t="n"/>
      <c r="U180" s="30" t="n"/>
      <c r="V180" s="18" t="n"/>
      <c r="W180" s="18" t="n"/>
      <c r="X180" s="18" t="n"/>
      <c r="Y180" s="65" t="n"/>
      <c r="Z180" s="65" t="n"/>
      <c r="AA180" s="28" t="n"/>
      <c r="AB180" s="28" t="n"/>
      <c r="AC180" s="28" t="n"/>
      <c r="AD180" s="28" t="n"/>
      <c r="AE180" s="28" t="n"/>
      <c r="AF180" s="28" t="n"/>
      <c r="AG180" s="28" t="n"/>
      <c r="AH180" s="28" t="n"/>
      <c r="AI180" s="28" t="n"/>
      <c r="AJ180" s="28" t="n"/>
      <c r="AK180" s="28" t="n"/>
      <c r="AL180" s="65" t="n"/>
      <c r="AM180" s="65" t="n"/>
      <c r="AN180" s="65" t="n"/>
      <c r="AO180" s="65" t="n"/>
      <c r="AP180" s="65" t="n"/>
    </row>
    <row r="181" ht="51.75" customHeight="1" s="222">
      <c r="A181" s="117" t="inlineStr">
        <is>
          <t>Radisson Hotel Phoenix Airport</t>
        </is>
      </c>
      <c r="B181" s="73" t="inlineStr">
        <is>
          <t>Hotel</t>
        </is>
      </c>
      <c r="C181" s="8" t="n"/>
      <c r="D181" s="28" t="n"/>
      <c r="E181" s="73" t="n"/>
      <c r="F181" s="73" t="n"/>
      <c r="G181" s="205" t="n"/>
      <c r="H181" s="116" t="n"/>
      <c r="I181" s="88" t="n"/>
      <c r="J181" s="28" t="n"/>
      <c r="K181" s="34" t="n"/>
      <c r="L181" s="45" t="n"/>
      <c r="M181" s="65" t="n"/>
      <c r="N181" s="65" t="n"/>
      <c r="O181" s="65" t="n"/>
      <c r="P181" s="65" t="n"/>
      <c r="Q181" s="65" t="n"/>
      <c r="R181" s="65" t="n"/>
      <c r="S181" s="18" t="n"/>
      <c r="T181" s="18" t="n"/>
      <c r="U181" s="30" t="n"/>
      <c r="V181" s="18" t="n"/>
      <c r="W181" s="18" t="n"/>
      <c r="X181" s="18" t="n"/>
      <c r="Y181" s="65" t="n"/>
      <c r="Z181" s="65" t="n"/>
      <c r="AA181" s="28" t="n"/>
      <c r="AB181" s="28" t="n"/>
      <c r="AC181" s="28" t="n"/>
      <c r="AD181" s="28" t="n"/>
      <c r="AE181" s="28" t="n"/>
      <c r="AF181" s="28" t="n"/>
      <c r="AG181" s="28" t="n"/>
      <c r="AH181" s="28" t="n"/>
      <c r="AI181" s="28" t="n"/>
      <c r="AJ181" s="28" t="n"/>
      <c r="AK181" s="28" t="n"/>
      <c r="AL181" s="65" t="n"/>
      <c r="AM181" s="65" t="n"/>
      <c r="AN181" s="65" t="n"/>
      <c r="AO181" s="65" t="n"/>
      <c r="AP181" s="65" t="n"/>
    </row>
    <row r="182" ht="51.75" customHeight="1" s="222">
      <c r="A182" s="117" t="inlineStr">
        <is>
          <t>Residence Inn Phoenix Airport</t>
        </is>
      </c>
      <c r="B182" s="73" t="inlineStr">
        <is>
          <t>Hotel</t>
        </is>
      </c>
      <c r="C182" s="8" t="n"/>
      <c r="D182" s="28" t="n"/>
      <c r="E182" s="73" t="n"/>
      <c r="F182" s="73" t="n"/>
      <c r="G182" s="205" t="n"/>
      <c r="H182" s="116" t="n"/>
      <c r="I182" s="88" t="n"/>
      <c r="J182" s="28" t="n"/>
      <c r="K182" s="34" t="n"/>
      <c r="L182" s="45" t="n"/>
      <c r="M182" s="65" t="n"/>
      <c r="N182" s="65" t="n"/>
      <c r="O182" s="65" t="n"/>
      <c r="P182" s="65" t="n"/>
      <c r="Q182" s="65" t="n"/>
      <c r="R182" s="65" t="n"/>
      <c r="S182" s="18" t="n"/>
      <c r="T182" s="18" t="n"/>
      <c r="U182" s="30" t="n"/>
      <c r="V182" s="18" t="n"/>
      <c r="W182" s="18" t="n"/>
      <c r="X182" s="18" t="n"/>
      <c r="Y182" s="65" t="n"/>
      <c r="Z182" s="65" t="n"/>
      <c r="AA182" s="28" t="n"/>
      <c r="AB182" s="28" t="n"/>
      <c r="AC182" s="28" t="n"/>
      <c r="AD182" s="28" t="n"/>
      <c r="AE182" s="28" t="n"/>
      <c r="AF182" s="28" t="n"/>
      <c r="AG182" s="28" t="n"/>
      <c r="AH182" s="28" t="n"/>
      <c r="AI182" s="28" t="n"/>
      <c r="AJ182" s="28" t="n"/>
      <c r="AK182" s="28" t="n"/>
      <c r="AL182" s="65" t="n"/>
      <c r="AM182" s="65" t="n"/>
      <c r="AN182" s="65" t="n"/>
      <c r="AO182" s="65" t="n"/>
      <c r="AP182" s="65" t="n"/>
    </row>
    <row r="183" ht="51.75" customHeight="1" s="222">
      <c r="A183" s="117" t="inlineStr">
        <is>
          <t>Home2 Suites by Hilton Phoenix Airport North</t>
        </is>
      </c>
      <c r="B183" s="73" t="inlineStr">
        <is>
          <t>Hotel</t>
        </is>
      </c>
      <c r="C183" s="8" t="n"/>
      <c r="D183" s="28" t="n"/>
      <c r="E183" s="73" t="n"/>
      <c r="F183" s="73" t="n"/>
      <c r="G183" s="205" t="n"/>
      <c r="H183" s="116" t="n"/>
      <c r="I183" s="88" t="n"/>
      <c r="J183" s="28" t="n"/>
      <c r="K183" s="34" t="n"/>
      <c r="L183" s="45" t="n"/>
      <c r="M183" s="65" t="n"/>
      <c r="N183" s="65" t="n"/>
      <c r="O183" s="65" t="n"/>
      <c r="P183" s="65" t="n"/>
      <c r="Q183" s="65" t="n"/>
      <c r="R183" s="65" t="n"/>
      <c r="S183" s="18" t="n"/>
      <c r="T183" s="18" t="n"/>
      <c r="U183" s="30" t="n"/>
      <c r="V183" s="18" t="n"/>
      <c r="W183" s="18" t="n"/>
      <c r="X183" s="18" t="n"/>
      <c r="Y183" s="65" t="n"/>
      <c r="Z183" s="65" t="n"/>
      <c r="AA183" s="28" t="n"/>
      <c r="AB183" s="28" t="n"/>
      <c r="AC183" s="28" t="n"/>
      <c r="AD183" s="28" t="n"/>
      <c r="AE183" s="28" t="n"/>
      <c r="AF183" s="28" t="n"/>
      <c r="AG183" s="28" t="n"/>
      <c r="AH183" s="28" t="n"/>
      <c r="AI183" s="28" t="n"/>
      <c r="AJ183" s="28" t="n"/>
      <c r="AK183" s="28" t="n"/>
      <c r="AL183" s="65" t="n"/>
      <c r="AM183" s="65" t="n"/>
      <c r="AN183" s="65" t="n"/>
      <c r="AO183" s="65" t="n"/>
      <c r="AP183" s="65" t="n"/>
    </row>
    <row r="184" ht="51.75" customHeight="1" s="222">
      <c r="A184" s="117" t="inlineStr">
        <is>
          <t>Homewood Suites by Hilton Phoenix Airport South</t>
        </is>
      </c>
      <c r="B184" s="73" t="inlineStr">
        <is>
          <t>Hotel</t>
        </is>
      </c>
      <c r="C184" s="8" t="n"/>
      <c r="D184" s="28" t="n"/>
      <c r="E184" s="73" t="n"/>
      <c r="F184" s="73" t="n"/>
      <c r="G184" s="205" t="n"/>
      <c r="H184" s="116" t="n"/>
      <c r="I184" s="88" t="n"/>
      <c r="J184" s="28" t="n"/>
      <c r="K184" s="34" t="n"/>
      <c r="L184" s="45" t="n"/>
      <c r="M184" s="65" t="n"/>
      <c r="N184" s="65" t="n"/>
      <c r="O184" s="65" t="n"/>
      <c r="P184" s="65" t="n"/>
      <c r="Q184" s="65" t="n"/>
      <c r="R184" s="65" t="n"/>
      <c r="S184" s="18" t="n"/>
      <c r="T184" s="18" t="n"/>
      <c r="U184" s="30" t="n"/>
      <c r="V184" s="18" t="n"/>
      <c r="W184" s="18" t="n"/>
      <c r="X184" s="18" t="n"/>
      <c r="Y184" s="65" t="n"/>
      <c r="Z184" s="65" t="n"/>
      <c r="AA184" s="28" t="n"/>
      <c r="AB184" s="28" t="n"/>
      <c r="AC184" s="28" t="n"/>
      <c r="AD184" s="28" t="n"/>
      <c r="AE184" s="28" t="n"/>
      <c r="AF184" s="28" t="n"/>
      <c r="AG184" s="28" t="n"/>
      <c r="AH184" s="28" t="n"/>
      <c r="AI184" s="28" t="n"/>
      <c r="AJ184" s="28" t="n"/>
      <c r="AK184" s="28" t="n"/>
      <c r="AL184" s="65" t="n"/>
      <c r="AM184" s="65" t="n"/>
      <c r="AN184" s="65" t="n"/>
      <c r="AO184" s="65" t="n"/>
      <c r="AP184" s="65" t="n"/>
    </row>
    <row r="185" ht="51.75" customHeight="1" s="222">
      <c r="A185" s="117" t="inlineStr">
        <is>
          <t>Holiday Inn Express &amp; Suites Phoenix Airport</t>
        </is>
      </c>
      <c r="B185" s="73" t="inlineStr">
        <is>
          <t>Hotel</t>
        </is>
      </c>
      <c r="C185" s="8" t="n"/>
      <c r="D185" s="28" t="n"/>
      <c r="E185" s="73" t="n"/>
      <c r="F185" s="73" t="n"/>
      <c r="G185" s="205" t="n"/>
      <c r="H185" s="116" t="n"/>
      <c r="I185" s="88" t="n"/>
      <c r="J185" s="28" t="n"/>
      <c r="K185" s="34" t="n"/>
      <c r="L185" s="45" t="n"/>
      <c r="M185" s="65" t="n"/>
      <c r="N185" s="65" t="n"/>
      <c r="O185" s="65" t="n"/>
      <c r="P185" s="65" t="n"/>
      <c r="Q185" s="65" t="n"/>
      <c r="R185" s="65" t="n"/>
      <c r="S185" s="18" t="n"/>
      <c r="T185" s="18" t="n"/>
      <c r="U185" s="30" t="n"/>
      <c r="V185" s="18" t="n"/>
      <c r="W185" s="18" t="n"/>
      <c r="X185" s="18" t="n"/>
      <c r="Y185" s="65" t="n"/>
      <c r="Z185" s="65" t="n"/>
      <c r="AA185" s="28" t="n"/>
      <c r="AB185" s="28" t="n"/>
      <c r="AC185" s="28" t="n"/>
      <c r="AD185" s="28" t="n"/>
      <c r="AE185" s="28" t="n"/>
      <c r="AF185" s="28" t="n"/>
      <c r="AG185" s="28" t="n"/>
      <c r="AH185" s="28" t="n"/>
      <c r="AI185" s="28" t="n"/>
      <c r="AJ185" s="28" t="n"/>
      <c r="AK185" s="28" t="n"/>
      <c r="AL185" s="65" t="n"/>
      <c r="AM185" s="65" t="n"/>
      <c r="AN185" s="65" t="n"/>
      <c r="AO185" s="65" t="n"/>
      <c r="AP185" s="65" t="n"/>
    </row>
    <row r="186" ht="51.75" customHeight="1" s="222">
      <c r="A186" s="117" t="inlineStr">
        <is>
          <t>Holiday Inn Hotel &amp; Suites Phoenix Airport</t>
        </is>
      </c>
      <c r="B186" s="73" t="inlineStr">
        <is>
          <t>Hotel</t>
        </is>
      </c>
      <c r="C186" s="8" t="n"/>
      <c r="D186" s="28" t="n"/>
      <c r="E186" s="73" t="n"/>
      <c r="F186" s="73" t="n"/>
      <c r="G186" s="205" t="n"/>
      <c r="H186" s="116" t="n"/>
      <c r="I186" s="88" t="n"/>
      <c r="J186" s="28" t="n"/>
      <c r="K186" s="34" t="n"/>
      <c r="L186" s="45" t="n"/>
      <c r="M186" s="65" t="n"/>
      <c r="N186" s="65" t="n"/>
      <c r="O186" s="65" t="n"/>
      <c r="P186" s="65" t="n"/>
      <c r="Q186" s="65" t="n"/>
      <c r="R186" s="65" t="n"/>
      <c r="S186" s="18" t="n"/>
      <c r="T186" s="18" t="n"/>
      <c r="U186" s="30" t="n"/>
      <c r="V186" s="18" t="n"/>
      <c r="W186" s="18" t="n"/>
      <c r="X186" s="18" t="n"/>
      <c r="Y186" s="65" t="n"/>
      <c r="Z186" s="65" t="n"/>
      <c r="AA186" s="28" t="n"/>
      <c r="AB186" s="28" t="n"/>
      <c r="AC186" s="28" t="n"/>
      <c r="AD186" s="28" t="n"/>
      <c r="AE186" s="28" t="n"/>
      <c r="AF186" s="28" t="n"/>
      <c r="AG186" s="28" t="n"/>
      <c r="AH186" s="28" t="n"/>
      <c r="AI186" s="28" t="n"/>
      <c r="AJ186" s="28" t="n"/>
      <c r="AK186" s="28" t="n"/>
      <c r="AL186" s="65" t="n"/>
      <c r="AM186" s="65" t="n"/>
      <c r="AN186" s="65" t="n"/>
      <c r="AO186" s="65" t="n"/>
      <c r="AP186" s="65" t="n"/>
    </row>
    <row r="187" ht="51.75" customHeight="1" s="222">
      <c r="A187" s="117" t="inlineStr">
        <is>
          <t>TownePlace Suites by Marriott Phoenix Airport</t>
        </is>
      </c>
      <c r="B187" s="73" t="inlineStr">
        <is>
          <t>Hotel</t>
        </is>
      </c>
      <c r="C187" s="8" t="n"/>
      <c r="D187" s="28" t="n"/>
      <c r="E187" s="73" t="n"/>
      <c r="F187" s="73" t="n"/>
      <c r="G187" s="205" t="n"/>
      <c r="H187" s="116" t="n"/>
      <c r="I187" s="88" t="n"/>
      <c r="J187" s="28" t="n"/>
      <c r="K187" s="34" t="n"/>
      <c r="L187" s="45" t="n"/>
      <c r="M187" s="65" t="n"/>
      <c r="N187" s="65" t="n"/>
      <c r="O187" s="65" t="n"/>
      <c r="P187" s="65" t="n"/>
      <c r="Q187" s="65" t="n"/>
      <c r="R187" s="65" t="n"/>
      <c r="S187" s="18" t="n"/>
      <c r="T187" s="18" t="n"/>
      <c r="U187" s="30" t="n"/>
      <c r="V187" s="18" t="n"/>
      <c r="W187" s="18" t="n"/>
      <c r="X187" s="18" t="n"/>
      <c r="Y187" s="65" t="n"/>
      <c r="Z187" s="65" t="n"/>
      <c r="AA187" s="28" t="n"/>
      <c r="AB187" s="28" t="n"/>
      <c r="AC187" s="28" t="n"/>
      <c r="AD187" s="28" t="n"/>
      <c r="AE187" s="28" t="n"/>
      <c r="AF187" s="28" t="n"/>
      <c r="AG187" s="28" t="n"/>
      <c r="AH187" s="28" t="n"/>
      <c r="AI187" s="28" t="n"/>
      <c r="AJ187" s="28" t="n"/>
      <c r="AK187" s="28" t="n"/>
      <c r="AL187" s="65" t="n"/>
      <c r="AM187" s="65" t="n"/>
      <c r="AN187" s="65" t="n"/>
      <c r="AO187" s="65" t="n"/>
      <c r="AP187" s="65" t="n"/>
    </row>
    <row r="188" ht="51.75" customHeight="1" s="222">
      <c r="A188" s="117" t="inlineStr">
        <is>
          <t>Aloft Glendale at Westgate</t>
        </is>
      </c>
      <c r="B188" s="73" t="inlineStr">
        <is>
          <t>Hotel</t>
        </is>
      </c>
      <c r="C188" s="8" t="n"/>
      <c r="D188" s="28" t="n"/>
      <c r="E188" s="73" t="n"/>
      <c r="F188" s="73" t="n"/>
      <c r="G188" s="205" t="n"/>
      <c r="H188" s="116" t="n"/>
      <c r="I188" s="88" t="n"/>
      <c r="J188" s="28" t="n"/>
      <c r="K188" s="34" t="n"/>
      <c r="L188" s="45" t="n"/>
      <c r="M188" s="65" t="n"/>
      <c r="N188" s="65" t="n"/>
      <c r="O188" s="65" t="n"/>
      <c r="P188" s="65" t="n"/>
      <c r="Q188" s="65" t="n"/>
      <c r="R188" s="65" t="n"/>
      <c r="S188" s="18" t="n"/>
      <c r="T188" s="18" t="n"/>
      <c r="U188" s="30" t="n"/>
      <c r="V188" s="18" t="n"/>
      <c r="W188" s="18" t="n"/>
      <c r="X188" s="18" t="n"/>
      <c r="Y188" s="65" t="n"/>
      <c r="Z188" s="65" t="n"/>
      <c r="AA188" s="28" t="n"/>
      <c r="AB188" s="28" t="n"/>
      <c r="AC188" s="28" t="n"/>
      <c r="AD188" s="28" t="n"/>
      <c r="AE188" s="28" t="n"/>
      <c r="AF188" s="28" t="n"/>
      <c r="AG188" s="28" t="n"/>
      <c r="AH188" s="28" t="n"/>
      <c r="AI188" s="28" t="n"/>
      <c r="AJ188" s="28" t="n"/>
      <c r="AK188" s="28" t="n"/>
      <c r="AL188" s="65" t="n"/>
      <c r="AM188" s="65" t="n"/>
      <c r="AN188" s="65" t="n"/>
      <c r="AO188" s="65" t="n"/>
      <c r="AP188" s="65" t="n"/>
    </row>
    <row r="189" ht="51.75" customHeight="1" s="222">
      <c r="A189" s="117" t="inlineStr">
        <is>
          <t>MOXY Glendale</t>
        </is>
      </c>
      <c r="B189" s="73" t="inlineStr">
        <is>
          <t>Hotel</t>
        </is>
      </c>
      <c r="C189" s="8" t="n"/>
      <c r="D189" s="28" t="n"/>
      <c r="E189" s="73" t="n"/>
      <c r="F189" s="73" t="n"/>
      <c r="G189" s="205" t="n"/>
      <c r="H189" s="116" t="n"/>
      <c r="I189" s="88" t="n"/>
      <c r="J189" s="28" t="n"/>
      <c r="K189" s="34" t="n"/>
      <c r="L189" s="45" t="n"/>
      <c r="M189" s="65" t="n"/>
      <c r="N189" s="65" t="n"/>
      <c r="O189" s="65" t="n"/>
      <c r="P189" s="65" t="n"/>
      <c r="Q189" s="65" t="n"/>
      <c r="R189" s="65" t="n"/>
      <c r="S189" s="18" t="n"/>
      <c r="T189" s="18" t="n"/>
      <c r="U189" s="30" t="n"/>
      <c r="V189" s="18" t="n"/>
      <c r="W189" s="18" t="n"/>
      <c r="X189" s="18" t="n"/>
      <c r="Y189" s="65" t="n"/>
      <c r="Z189" s="65" t="n"/>
      <c r="AA189" s="28" t="n"/>
      <c r="AB189" s="28" t="n"/>
      <c r="AC189" s="28" t="n"/>
      <c r="AD189" s="28" t="n"/>
      <c r="AE189" s="28" t="n"/>
      <c r="AF189" s="28" t="n"/>
      <c r="AG189" s="28" t="n"/>
      <c r="AH189" s="28" t="n"/>
      <c r="AI189" s="28" t="n"/>
      <c r="AJ189" s="28" t="n"/>
      <c r="AK189" s="28" t="n"/>
      <c r="AL189" s="65" t="n"/>
      <c r="AM189" s="65" t="n"/>
      <c r="AN189" s="65" t="n"/>
      <c r="AO189" s="65" t="n"/>
      <c r="AP189" s="65" t="n"/>
    </row>
    <row r="190" ht="51.75" customHeight="1" s="222">
      <c r="A190" s="117" t="inlineStr">
        <is>
          <t>Holiday Inn Express Phoenix West – Tolleson</t>
        </is>
      </c>
      <c r="B190" s="73" t="inlineStr">
        <is>
          <t>Hotel</t>
        </is>
      </c>
      <c r="C190" s="8" t="n"/>
      <c r="D190" s="28" t="n"/>
      <c r="E190" s="73" t="n"/>
      <c r="F190" s="73" t="n"/>
      <c r="G190" s="205" t="n"/>
      <c r="H190" s="116" t="n"/>
      <c r="I190" s="88" t="n"/>
      <c r="J190" s="28" t="n"/>
      <c r="K190" s="34" t="n"/>
      <c r="L190" s="45" t="n"/>
      <c r="M190" s="65" t="n"/>
      <c r="N190" s="65" t="n"/>
      <c r="O190" s="65" t="n"/>
      <c r="P190" s="65" t="n"/>
      <c r="Q190" s="65" t="n"/>
      <c r="R190" s="65" t="n"/>
      <c r="S190" s="18" t="n"/>
      <c r="T190" s="18" t="n"/>
      <c r="U190" s="30" t="n"/>
      <c r="V190" s="18" t="n"/>
      <c r="W190" s="18" t="n"/>
      <c r="X190" s="18" t="n"/>
      <c r="Y190" s="65" t="n"/>
      <c r="Z190" s="65" t="n"/>
      <c r="AA190" s="28" t="n"/>
      <c r="AB190" s="28" t="n"/>
      <c r="AC190" s="28" t="n"/>
      <c r="AD190" s="28" t="n"/>
      <c r="AE190" s="28" t="n"/>
      <c r="AF190" s="28" t="n"/>
      <c r="AG190" s="28" t="n"/>
      <c r="AH190" s="28" t="n"/>
      <c r="AI190" s="28" t="n"/>
      <c r="AJ190" s="28" t="n"/>
      <c r="AK190" s="28" t="n"/>
      <c r="AL190" s="65" t="n"/>
      <c r="AM190" s="65" t="n"/>
      <c r="AN190" s="65" t="n"/>
      <c r="AO190" s="65" t="n"/>
      <c r="AP190" s="65" t="n"/>
    </row>
    <row r="191" ht="51.75" customHeight="1" s="222">
      <c r="A191" s="117" t="inlineStr">
        <is>
          <t>Fairfield Inn &amp; Suites Phoenix West/Tolleson</t>
        </is>
      </c>
      <c r="B191" s="73" t="inlineStr">
        <is>
          <t>Hotel</t>
        </is>
      </c>
      <c r="C191" s="8" t="n"/>
      <c r="D191" s="28" t="n"/>
      <c r="E191" s="73" t="n"/>
      <c r="F191" s="73" t="n"/>
      <c r="G191" s="205" t="n"/>
      <c r="H191" s="116" t="n"/>
      <c r="I191" s="88" t="n"/>
      <c r="J191" s="28" t="n"/>
      <c r="K191" s="34" t="n"/>
      <c r="L191" s="45" t="n"/>
      <c r="M191" s="65" t="n"/>
      <c r="N191" s="65" t="n"/>
      <c r="O191" s="65" t="n"/>
      <c r="P191" s="65" t="n"/>
      <c r="Q191" s="65" t="n"/>
      <c r="R191" s="65" t="n"/>
      <c r="S191" s="18" t="n"/>
      <c r="T191" s="18" t="n"/>
      <c r="U191" s="30" t="n"/>
      <c r="V191" s="18" t="n"/>
      <c r="W191" s="18" t="n"/>
      <c r="X191" s="18" t="n"/>
      <c r="Y191" s="65" t="n"/>
      <c r="Z191" s="65" t="n"/>
      <c r="AA191" s="28" t="n"/>
      <c r="AB191" s="28" t="n"/>
      <c r="AC191" s="28" t="n"/>
      <c r="AD191" s="28" t="n"/>
      <c r="AE191" s="28" t="n"/>
      <c r="AF191" s="28" t="n"/>
      <c r="AG191" s="28" t="n"/>
      <c r="AH191" s="28" t="n"/>
      <c r="AI191" s="28" t="n"/>
      <c r="AJ191" s="28" t="n"/>
      <c r="AK191" s="28" t="n"/>
      <c r="AL191" s="65" t="n"/>
      <c r="AM191" s="65" t="n"/>
      <c r="AN191" s="65" t="n"/>
      <c r="AO191" s="65" t="n"/>
      <c r="AP191" s="65" t="n"/>
    </row>
    <row r="192" ht="51.75" customHeight="1" s="222">
      <c r="A192" s="117" t="inlineStr">
        <is>
          <t>Four Points by Sheraton Phoenix West/Avondale</t>
        </is>
      </c>
      <c r="B192" s="73" t="inlineStr">
        <is>
          <t>Hotel</t>
        </is>
      </c>
      <c r="C192" s="8" t="n"/>
      <c r="D192" s="28" t="n"/>
      <c r="E192" s="73" t="n"/>
      <c r="F192" s="73" t="n"/>
      <c r="G192" s="205" t="n"/>
      <c r="H192" s="116" t="n"/>
      <c r="I192" s="88" t="n"/>
      <c r="J192" s="28" t="n"/>
      <c r="K192" s="34" t="n"/>
      <c r="L192" s="45" t="n"/>
      <c r="M192" s="65" t="n"/>
      <c r="N192" s="65" t="n"/>
      <c r="O192" s="65" t="n"/>
      <c r="P192" s="65" t="n"/>
      <c r="Q192" s="65" t="n"/>
      <c r="R192" s="65" t="n"/>
      <c r="S192" s="18" t="n"/>
      <c r="T192" s="18" t="n"/>
      <c r="U192" s="30" t="n"/>
      <c r="V192" s="18" t="n"/>
      <c r="W192" s="18" t="n"/>
      <c r="X192" s="18" t="n"/>
      <c r="Y192" s="65" t="n"/>
      <c r="Z192" s="65" t="n"/>
      <c r="AA192" s="28" t="n"/>
      <c r="AB192" s="28" t="n"/>
      <c r="AC192" s="28" t="n"/>
      <c r="AD192" s="28" t="n"/>
      <c r="AE192" s="28" t="n"/>
      <c r="AF192" s="28" t="n"/>
      <c r="AG192" s="28" t="n"/>
      <c r="AH192" s="28" t="n"/>
      <c r="AI192" s="28" t="n"/>
      <c r="AJ192" s="28" t="n"/>
      <c r="AK192" s="28" t="n"/>
      <c r="AL192" s="65" t="n"/>
      <c r="AM192" s="65" t="n"/>
      <c r="AN192" s="65" t="n"/>
      <c r="AO192" s="65" t="n"/>
      <c r="AP192" s="65" t="n"/>
    </row>
    <row r="193" ht="51.75" customHeight="1" s="222">
      <c r="A193" s="117" t="inlineStr">
        <is>
          <t>Residence Inn Phoenix West/Avondale</t>
        </is>
      </c>
      <c r="B193" s="73" t="inlineStr">
        <is>
          <t>Hotel</t>
        </is>
      </c>
      <c r="C193" s="8" t="n"/>
      <c r="D193" s="28" t="n"/>
      <c r="E193" s="73" t="n"/>
      <c r="F193" s="73" t="n"/>
      <c r="G193" s="205" t="n"/>
      <c r="H193" s="116" t="n"/>
      <c r="I193" s="88" t="n"/>
      <c r="J193" s="28" t="n"/>
      <c r="K193" s="34" t="n"/>
      <c r="L193" s="45" t="n"/>
      <c r="M193" s="65" t="n"/>
      <c r="N193" s="65" t="n"/>
      <c r="O193" s="65" t="n"/>
      <c r="P193" s="65" t="n"/>
      <c r="Q193" s="65" t="n"/>
      <c r="R193" s="65" t="n"/>
      <c r="S193" s="18" t="n"/>
      <c r="T193" s="18" t="n"/>
      <c r="U193" s="30" t="n"/>
      <c r="V193" s="18" t="n"/>
      <c r="W193" s="18" t="n"/>
      <c r="X193" s="18" t="n"/>
      <c r="Y193" s="65" t="n"/>
      <c r="Z193" s="65" t="n"/>
      <c r="AA193" s="28" t="n"/>
      <c r="AB193" s="28" t="n"/>
      <c r="AC193" s="28" t="n"/>
      <c r="AD193" s="28" t="n"/>
      <c r="AE193" s="28" t="n"/>
      <c r="AF193" s="28" t="n"/>
      <c r="AG193" s="28" t="n"/>
      <c r="AH193" s="28" t="n"/>
      <c r="AI193" s="28" t="n"/>
      <c r="AJ193" s="28" t="n"/>
      <c r="AK193" s="28" t="n"/>
      <c r="AL193" s="65" t="n"/>
      <c r="AM193" s="65" t="n"/>
      <c r="AN193" s="65" t="n"/>
      <c r="AO193" s="65" t="n"/>
      <c r="AP193" s="65" t="n"/>
    </row>
    <row r="194" ht="51.75" customHeight="1" s="222">
      <c r="A194" s="117" t="inlineStr">
        <is>
          <t>Courtyard Phoenix West Avondale</t>
        </is>
      </c>
      <c r="B194" s="73" t="inlineStr">
        <is>
          <t>Hotel</t>
        </is>
      </c>
      <c r="C194" s="8" t="n"/>
      <c r="D194" s="28" t="n"/>
      <c r="E194" s="73" t="n"/>
      <c r="F194" s="73" t="n"/>
      <c r="G194" s="205" t="n"/>
      <c r="H194" s="116" t="n"/>
      <c r="I194" s="88" t="n"/>
      <c r="J194" s="28" t="n"/>
      <c r="K194" s="34" t="n"/>
      <c r="L194" s="45" t="n"/>
      <c r="M194" s="65" t="n"/>
      <c r="N194" s="65" t="n"/>
      <c r="O194" s="65" t="n"/>
      <c r="P194" s="65" t="n"/>
      <c r="Q194" s="65" t="n"/>
      <c r="R194" s="65" t="n"/>
      <c r="S194" s="18" t="n"/>
      <c r="T194" s="18" t="n"/>
      <c r="U194" s="30" t="n"/>
      <c r="V194" s="18" t="n"/>
      <c r="W194" s="18" t="n"/>
      <c r="X194" s="18" t="n"/>
      <c r="Y194" s="65" t="n"/>
      <c r="Z194" s="65" t="n"/>
      <c r="AA194" s="28" t="n"/>
      <c r="AB194" s="28" t="n"/>
      <c r="AC194" s="28" t="n"/>
      <c r="AD194" s="28" t="n"/>
      <c r="AE194" s="28" t="n"/>
      <c r="AF194" s="28" t="n"/>
      <c r="AG194" s="28" t="n"/>
      <c r="AH194" s="28" t="n"/>
      <c r="AI194" s="28" t="n"/>
      <c r="AJ194" s="28" t="n"/>
      <c r="AK194" s="28" t="n"/>
      <c r="AL194" s="65" t="n"/>
      <c r="AM194" s="65" t="n"/>
      <c r="AN194" s="65" t="n"/>
      <c r="AO194" s="65" t="n"/>
      <c r="AP194" s="65" t="n"/>
    </row>
    <row r="195" ht="51.75" customHeight="1" s="222">
      <c r="A195" s="117" t="inlineStr">
        <is>
          <t>Home2 Suites by Hilton Phoenix Avondale</t>
        </is>
      </c>
      <c r="B195" s="73" t="inlineStr">
        <is>
          <t>Hotel</t>
        </is>
      </c>
      <c r="C195" s="8" t="n"/>
      <c r="D195" s="28" t="n"/>
      <c r="E195" s="73" t="n"/>
      <c r="F195" s="73" t="n"/>
      <c r="G195" s="205" t="n"/>
      <c r="H195" s="116" t="n"/>
      <c r="I195" s="88" t="n"/>
      <c r="J195" s="28" t="n"/>
      <c r="K195" s="34" t="n"/>
      <c r="L195" s="45" t="n"/>
      <c r="M195" s="65" t="n"/>
      <c r="N195" s="65" t="n"/>
      <c r="O195" s="65" t="n"/>
      <c r="P195" s="65" t="n"/>
      <c r="Q195" s="65" t="n"/>
      <c r="R195" s="65" t="n"/>
      <c r="S195" s="18" t="n"/>
      <c r="T195" s="18" t="n"/>
      <c r="U195" s="30" t="n"/>
      <c r="V195" s="18" t="n"/>
      <c r="W195" s="18" t="n"/>
      <c r="X195" s="18" t="n"/>
      <c r="Y195" s="65" t="n"/>
      <c r="Z195" s="65" t="n"/>
      <c r="AA195" s="28" t="n"/>
      <c r="AB195" s="28" t="n"/>
      <c r="AC195" s="28" t="n"/>
      <c r="AD195" s="28" t="n"/>
      <c r="AE195" s="28" t="n"/>
      <c r="AF195" s="28" t="n"/>
      <c r="AG195" s="28" t="n"/>
      <c r="AH195" s="28" t="n"/>
      <c r="AI195" s="28" t="n"/>
      <c r="AJ195" s="28" t="n"/>
      <c r="AK195" s="28" t="n"/>
      <c r="AL195" s="65" t="n"/>
      <c r="AM195" s="65" t="n"/>
      <c r="AN195" s="65" t="n"/>
      <c r="AO195" s="65" t="n"/>
      <c r="AP195" s="65" t="n"/>
    </row>
    <row r="196" ht="51.75" customHeight="1" s="222">
      <c r="A196" s="117" t="inlineStr">
        <is>
          <t>Hilton Garden Inn Phoenix/Avondale</t>
        </is>
      </c>
      <c r="B196" s="73" t="inlineStr">
        <is>
          <t>Hotel</t>
        </is>
      </c>
      <c r="C196" s="8" t="n"/>
      <c r="D196" s="28" t="n"/>
      <c r="E196" s="73" t="n"/>
      <c r="F196" s="73" t="n"/>
      <c r="G196" s="205" t="n"/>
      <c r="H196" s="116" t="n"/>
      <c r="I196" s="88" t="n"/>
      <c r="J196" s="28" t="n"/>
      <c r="K196" s="34" t="n"/>
      <c r="L196" s="45" t="n"/>
      <c r="M196" s="65" t="n"/>
      <c r="N196" s="65" t="n"/>
      <c r="O196" s="65" t="n"/>
      <c r="P196" s="65" t="n"/>
      <c r="Q196" s="65" t="n"/>
      <c r="R196" s="65" t="n"/>
      <c r="S196" s="18" t="n"/>
      <c r="T196" s="18" t="n"/>
      <c r="U196" s="30" t="n"/>
      <c r="V196" s="18" t="n"/>
      <c r="W196" s="18" t="n"/>
      <c r="X196" s="18" t="n"/>
      <c r="Y196" s="65" t="n"/>
      <c r="Z196" s="65" t="n"/>
      <c r="AA196" s="28" t="n"/>
      <c r="AB196" s="28" t="n"/>
      <c r="AC196" s="28" t="n"/>
      <c r="AD196" s="28" t="n"/>
      <c r="AE196" s="28" t="n"/>
      <c r="AF196" s="28" t="n"/>
      <c r="AG196" s="28" t="n"/>
      <c r="AH196" s="28" t="n"/>
      <c r="AI196" s="28" t="n"/>
      <c r="AJ196" s="28" t="n"/>
      <c r="AK196" s="28" t="n"/>
      <c r="AL196" s="65" t="n"/>
      <c r="AM196" s="65" t="n"/>
      <c r="AN196" s="65" t="n"/>
      <c r="AO196" s="65" t="n"/>
      <c r="AP196" s="65" t="n"/>
    </row>
    <row r="197" ht="51.75" customHeight="1" s="222">
      <c r="A197" s="117" t="inlineStr">
        <is>
          <t>SpringHill Suites Phoenix West/Avondale</t>
        </is>
      </c>
      <c r="B197" s="73" t="inlineStr">
        <is>
          <t>Hotel</t>
        </is>
      </c>
      <c r="C197" s="8" t="n"/>
      <c r="D197" s="28" t="n"/>
      <c r="E197" s="73" t="n"/>
      <c r="F197" s="73" t="n"/>
      <c r="G197" s="205" t="n"/>
      <c r="H197" s="116" t="n"/>
      <c r="I197" s="88" t="n"/>
      <c r="J197" s="28" t="n"/>
      <c r="K197" s="34" t="n"/>
      <c r="L197" s="45" t="n"/>
      <c r="M197" s="65" t="n"/>
      <c r="N197" s="65" t="n"/>
      <c r="O197" s="65" t="n"/>
      <c r="P197" s="65" t="n"/>
      <c r="Q197" s="65" t="n"/>
      <c r="R197" s="65" t="n"/>
      <c r="S197" s="18" t="n"/>
      <c r="T197" s="18" t="n"/>
      <c r="U197" s="30" t="n"/>
      <c r="V197" s="18" t="n"/>
      <c r="W197" s="18" t="n"/>
      <c r="X197" s="18" t="n"/>
      <c r="Y197" s="65" t="n"/>
      <c r="Z197" s="65" t="n"/>
      <c r="AA197" s="28" t="n"/>
      <c r="AB197" s="28" t="n"/>
      <c r="AC197" s="28" t="n"/>
      <c r="AD197" s="28" t="n"/>
      <c r="AE197" s="28" t="n"/>
      <c r="AF197" s="28" t="n"/>
      <c r="AG197" s="28" t="n"/>
      <c r="AH197" s="28" t="n"/>
      <c r="AI197" s="28" t="n"/>
      <c r="AJ197" s="28" t="n"/>
      <c r="AK197" s="28" t="n"/>
      <c r="AL197" s="65" t="n"/>
      <c r="AM197" s="65" t="n"/>
      <c r="AN197" s="65" t="n"/>
      <c r="AO197" s="65" t="n"/>
      <c r="AP197" s="65" t="n"/>
    </row>
    <row r="198" ht="51.75" customHeight="1" s="222">
      <c r="A198" s="117" t="inlineStr">
        <is>
          <t>Holiday Inn Glendale – Stadium &amp; Ent Dist</t>
        </is>
      </c>
      <c r="B198" s="73" t="inlineStr">
        <is>
          <t>Hotel</t>
        </is>
      </c>
      <c r="C198" s="8" t="n"/>
      <c r="D198" s="28" t="n"/>
      <c r="E198" s="73" t="n"/>
      <c r="F198" s="73" t="n"/>
      <c r="G198" s="205" t="n"/>
      <c r="H198" s="116" t="n"/>
      <c r="I198" s="88" t="n"/>
      <c r="J198" s="28" t="n"/>
      <c r="K198" s="34" t="n"/>
      <c r="L198" s="45" t="n"/>
      <c r="M198" s="65" t="n"/>
      <c r="N198" s="65" t="n"/>
      <c r="O198" s="65" t="n"/>
      <c r="P198" s="65" t="n"/>
      <c r="Q198" s="65" t="n"/>
      <c r="R198" s="65" t="n"/>
      <c r="S198" s="18" t="n"/>
      <c r="T198" s="18" t="n"/>
      <c r="U198" s="30" t="n"/>
      <c r="V198" s="18" t="n"/>
      <c r="W198" s="18" t="n"/>
      <c r="X198" s="18" t="n"/>
      <c r="Y198" s="65" t="n"/>
      <c r="Z198" s="65" t="n"/>
      <c r="AA198" s="28" t="n"/>
      <c r="AB198" s="28" t="n"/>
      <c r="AC198" s="28" t="n"/>
      <c r="AD198" s="28" t="n"/>
      <c r="AE198" s="28" t="n"/>
      <c r="AF198" s="28" t="n"/>
      <c r="AG198" s="28" t="n"/>
      <c r="AH198" s="28" t="n"/>
      <c r="AI198" s="28" t="n"/>
      <c r="AJ198" s="28" t="n"/>
      <c r="AK198" s="28" t="n"/>
      <c r="AL198" s="65" t="n"/>
      <c r="AM198" s="65" t="n"/>
      <c r="AN198" s="65" t="n"/>
      <c r="AO198" s="65" t="n"/>
      <c r="AP198" s="65" t="n"/>
    </row>
    <row r="199" ht="51.75" customHeight="1" s="222">
      <c r="A199" s="117" t="inlineStr">
        <is>
          <t>Comfort Suites Glendale – State Farm Stadium Area</t>
        </is>
      </c>
      <c r="B199" s="73" t="inlineStr">
        <is>
          <t>Hotel</t>
        </is>
      </c>
      <c r="C199" s="8" t="n"/>
      <c r="D199" s="28" t="n"/>
      <c r="E199" s="73" t="n"/>
      <c r="F199" s="73" t="n"/>
      <c r="G199" s="205" t="n"/>
      <c r="H199" s="116" t="n"/>
      <c r="I199" s="88" t="n"/>
      <c r="J199" s="28" t="n"/>
      <c r="K199" s="34" t="n"/>
      <c r="L199" s="45" t="n"/>
      <c r="M199" s="65" t="n"/>
      <c r="N199" s="65" t="n"/>
      <c r="O199" s="65" t="n"/>
      <c r="P199" s="65" t="n"/>
      <c r="Q199" s="65" t="n"/>
      <c r="R199" s="65" t="n"/>
      <c r="S199" s="18" t="n"/>
      <c r="T199" s="18" t="n"/>
      <c r="U199" s="30" t="n"/>
      <c r="V199" s="18" t="n"/>
      <c r="W199" s="18" t="n"/>
      <c r="X199" s="18" t="n"/>
      <c r="Y199" s="65" t="n"/>
      <c r="Z199" s="65" t="n"/>
      <c r="AA199" s="28" t="n"/>
      <c r="AB199" s="28" t="n"/>
      <c r="AC199" s="28" t="n"/>
      <c r="AD199" s="28" t="n"/>
      <c r="AE199" s="28" t="n"/>
      <c r="AF199" s="28" t="n"/>
      <c r="AG199" s="28" t="n"/>
      <c r="AH199" s="28" t="n"/>
      <c r="AI199" s="28" t="n"/>
      <c r="AJ199" s="28" t="n"/>
      <c r="AK199" s="28" t="n"/>
      <c r="AL199" s="65" t="n"/>
      <c r="AM199" s="65" t="n"/>
      <c r="AN199" s="65" t="n"/>
      <c r="AO199" s="65" t="n"/>
      <c r="AP199" s="65" t="n"/>
    </row>
    <row r="200" ht="51.75" customHeight="1" s="222">
      <c r="A200" s="117" t="inlineStr">
        <is>
          <t>Hyatt Place Phoenix Mesa</t>
        </is>
      </c>
      <c r="B200" s="73" t="inlineStr">
        <is>
          <t>Hotel</t>
        </is>
      </c>
      <c r="C200" s="8" t="n"/>
      <c r="D200" s="28" t="n"/>
      <c r="E200" s="73" t="n"/>
      <c r="F200" s="73" t="n"/>
      <c r="G200" s="205" t="n"/>
      <c r="H200" s="116" t="n"/>
      <c r="I200" s="88" t="n"/>
      <c r="J200" s="28" t="n"/>
      <c r="K200" s="34" t="n"/>
      <c r="L200" s="45" t="n"/>
      <c r="M200" s="65" t="n"/>
      <c r="N200" s="65" t="n"/>
      <c r="O200" s="65" t="n"/>
      <c r="P200" s="65" t="n"/>
      <c r="Q200" s="65" t="n"/>
      <c r="R200" s="65" t="n"/>
      <c r="S200" s="18" t="n"/>
      <c r="T200" s="18" t="n"/>
      <c r="U200" s="30" t="n"/>
      <c r="V200" s="18" t="n"/>
      <c r="W200" s="18" t="n"/>
      <c r="X200" s="18" t="n"/>
      <c r="Y200" s="65" t="n"/>
      <c r="Z200" s="65" t="n"/>
      <c r="AA200" s="28" t="n"/>
      <c r="AB200" s="28" t="n"/>
      <c r="AC200" s="28" t="n"/>
      <c r="AD200" s="28" t="n"/>
      <c r="AE200" s="28" t="n"/>
      <c r="AF200" s="28" t="n"/>
      <c r="AG200" s="28" t="n"/>
      <c r="AH200" s="28" t="n"/>
      <c r="AI200" s="28" t="n"/>
      <c r="AJ200" s="28" t="n"/>
      <c r="AK200" s="28" t="n"/>
      <c r="AL200" s="65" t="n"/>
      <c r="AM200" s="65" t="n"/>
      <c r="AN200" s="65" t="n"/>
      <c r="AO200" s="65" t="n"/>
      <c r="AP200" s="65" t="n"/>
    </row>
    <row r="201" ht="51.75" customHeight="1" s="222">
      <c r="A201" s="117" t="inlineStr">
        <is>
          <t>Holiday Inn Phoenix-Mesa/Chandler</t>
        </is>
      </c>
      <c r="B201" s="73" t="inlineStr">
        <is>
          <t>Hotel</t>
        </is>
      </c>
      <c r="C201" s="8" t="n"/>
      <c r="D201" s="28" t="n"/>
      <c r="E201" s="73" t="n"/>
      <c r="F201" s="73" t="n"/>
      <c r="G201" s="205" t="n"/>
      <c r="H201" s="116" t="n"/>
      <c r="I201" s="88" t="n"/>
      <c r="J201" s="28" t="n"/>
      <c r="K201" s="34" t="n"/>
      <c r="L201" s="45" t="n"/>
      <c r="M201" s="65" t="n"/>
      <c r="N201" s="65" t="n"/>
      <c r="O201" s="65" t="n"/>
      <c r="P201" s="65" t="n"/>
      <c r="Q201" s="65" t="n"/>
      <c r="R201" s="65" t="n"/>
      <c r="S201" s="18" t="n"/>
      <c r="T201" s="18" t="n"/>
      <c r="U201" s="30" t="n"/>
      <c r="V201" s="18" t="n"/>
      <c r="W201" s="18" t="n"/>
      <c r="X201" s="18" t="n"/>
      <c r="Y201" s="65" t="n"/>
      <c r="Z201" s="65" t="n"/>
      <c r="AA201" s="28" t="n"/>
      <c r="AB201" s="28" t="n"/>
      <c r="AC201" s="28" t="n"/>
      <c r="AD201" s="28" t="n"/>
      <c r="AE201" s="28" t="n"/>
      <c r="AF201" s="28" t="n"/>
      <c r="AG201" s="28" t="n"/>
      <c r="AH201" s="28" t="n"/>
      <c r="AI201" s="28" t="n"/>
      <c r="AJ201" s="28" t="n"/>
      <c r="AK201" s="28" t="n"/>
      <c r="AL201" s="65" t="n"/>
      <c r="AM201" s="65" t="n"/>
      <c r="AN201" s="65" t="n"/>
      <c r="AO201" s="65" t="n"/>
      <c r="AP201" s="65" t="n"/>
    </row>
    <row r="202" ht="51.75" customHeight="1" s="222">
      <c r="A202" s="117" t="inlineStr">
        <is>
          <t>La Quinta Inn &amp; Suites by Wyndham Phoenix Mesa West</t>
        </is>
      </c>
      <c r="B202" s="73" t="inlineStr">
        <is>
          <t>Hotel</t>
        </is>
      </c>
      <c r="C202" s="8" t="n"/>
      <c r="D202" s="28" t="n"/>
      <c r="E202" s="73" t="n"/>
      <c r="F202" s="73" t="n"/>
      <c r="G202" s="205" t="n"/>
      <c r="H202" s="116" t="n"/>
      <c r="I202" s="88" t="n"/>
      <c r="J202" s="28" t="n"/>
      <c r="K202" s="34" t="n"/>
      <c r="L202" s="45" t="n"/>
      <c r="M202" s="65" t="n"/>
      <c r="N202" s="65" t="n"/>
      <c r="O202" s="65" t="n"/>
      <c r="P202" s="65" t="n"/>
      <c r="Q202" s="65" t="n"/>
      <c r="R202" s="65" t="n"/>
      <c r="S202" s="18" t="n"/>
      <c r="T202" s="18" t="n"/>
      <c r="U202" s="30" t="n"/>
      <c r="V202" s="18" t="n"/>
      <c r="W202" s="18" t="n"/>
      <c r="X202" s="18" t="n"/>
      <c r="Y202" s="65" t="n"/>
      <c r="Z202" s="65" t="n"/>
      <c r="AA202" s="28" t="n"/>
      <c r="AB202" s="28" t="n"/>
      <c r="AC202" s="28" t="n"/>
      <c r="AD202" s="28" t="n"/>
      <c r="AE202" s="28" t="n"/>
      <c r="AF202" s="28" t="n"/>
      <c r="AG202" s="28" t="n"/>
      <c r="AH202" s="28" t="n"/>
      <c r="AI202" s="28" t="n"/>
      <c r="AJ202" s="28" t="n"/>
      <c r="AK202" s="28" t="n"/>
      <c r="AL202" s="65" t="n"/>
      <c r="AM202" s="65" t="n"/>
      <c r="AN202" s="65" t="n"/>
      <c r="AO202" s="65" t="n"/>
      <c r="AP202" s="65" t="n"/>
    </row>
    <row r="203" ht="51.75" customHeight="1" s="222">
      <c r="A203" s="117" t="inlineStr">
        <is>
          <t>Holiday Inn Express &amp; Suites Phoenix – Mesa West</t>
        </is>
      </c>
      <c r="B203" s="73" t="inlineStr">
        <is>
          <t>Hotel</t>
        </is>
      </c>
      <c r="C203" s="8" t="n"/>
      <c r="D203" s="28" t="n"/>
      <c r="E203" s="73" t="n"/>
      <c r="F203" s="73" t="n"/>
      <c r="G203" s="205" t="n"/>
      <c r="H203" s="116" t="n"/>
      <c r="I203" s="88" t="n"/>
      <c r="J203" s="28" t="n"/>
      <c r="K203" s="34" t="n"/>
      <c r="L203" s="45" t="n"/>
      <c r="M203" s="65" t="n"/>
      <c r="N203" s="65" t="n"/>
      <c r="O203" s="65" t="n"/>
      <c r="P203" s="65" t="n"/>
      <c r="Q203" s="65" t="n"/>
      <c r="R203" s="65" t="n"/>
      <c r="S203" s="18" t="n"/>
      <c r="T203" s="18" t="n"/>
      <c r="U203" s="30" t="n"/>
      <c r="V203" s="18" t="n"/>
      <c r="W203" s="18" t="n"/>
      <c r="X203" s="18" t="n"/>
      <c r="Y203" s="65" t="n"/>
      <c r="Z203" s="65" t="n"/>
      <c r="AA203" s="28" t="n"/>
      <c r="AB203" s="28" t="n"/>
      <c r="AC203" s="28" t="n"/>
      <c r="AD203" s="28" t="n"/>
      <c r="AE203" s="28" t="n"/>
      <c r="AF203" s="28" t="n"/>
      <c r="AG203" s="28" t="n"/>
      <c r="AH203" s="28" t="n"/>
      <c r="AI203" s="28" t="n"/>
      <c r="AJ203" s="28" t="n"/>
      <c r="AK203" s="28" t="n"/>
      <c r="AL203" s="65" t="n"/>
      <c r="AM203" s="65" t="n"/>
      <c r="AN203" s="65" t="n"/>
      <c r="AO203" s="65" t="n"/>
      <c r="AP203" s="65" t="n"/>
    </row>
    <row r="204" ht="51.75" customHeight="1" s="222">
      <c r="A204" s="117" t="inlineStr">
        <is>
          <t>Best Western Plus Chandler Hotel &amp; Suites</t>
        </is>
      </c>
      <c r="B204" s="73" t="inlineStr">
        <is>
          <t>Hotel</t>
        </is>
      </c>
      <c r="C204" s="8" t="n"/>
      <c r="D204" s="28" t="n"/>
      <c r="E204" s="73" t="n"/>
      <c r="F204" s="73" t="n"/>
      <c r="G204" s="205" t="n"/>
      <c r="H204" s="116" t="n"/>
      <c r="I204" s="88" t="n"/>
      <c r="J204" s="28" t="n"/>
      <c r="K204" s="34" t="n"/>
      <c r="L204" s="45" t="n"/>
      <c r="M204" s="65" t="n"/>
      <c r="N204" s="65" t="n"/>
      <c r="O204" s="65" t="n"/>
      <c r="P204" s="65" t="n"/>
      <c r="Q204" s="65" t="n"/>
      <c r="R204" s="65" t="n"/>
      <c r="S204" s="18" t="n"/>
      <c r="T204" s="18" t="n"/>
      <c r="U204" s="30" t="n"/>
      <c r="V204" s="18" t="n"/>
      <c r="W204" s="18" t="n"/>
      <c r="X204" s="18" t="n"/>
      <c r="Y204" s="65" t="n"/>
      <c r="Z204" s="65" t="n"/>
      <c r="AA204" s="28" t="n"/>
      <c r="AB204" s="28" t="n"/>
      <c r="AC204" s="28" t="n"/>
      <c r="AD204" s="28" t="n"/>
      <c r="AE204" s="28" t="n"/>
      <c r="AF204" s="28" t="n"/>
      <c r="AG204" s="28" t="n"/>
      <c r="AH204" s="28" t="n"/>
      <c r="AI204" s="28" t="n"/>
      <c r="AJ204" s="28" t="n"/>
      <c r="AK204" s="28" t="n"/>
      <c r="AL204" s="65" t="n"/>
      <c r="AM204" s="65" t="n"/>
      <c r="AN204" s="65" t="n"/>
      <c r="AO204" s="65" t="n"/>
      <c r="AP204" s="65" t="n"/>
    </row>
    <row r="205" ht="51.75" customHeight="1" s="222">
      <c r="A205" s="117" t="inlineStr">
        <is>
          <t>La Quinta Inns &amp; Suites Chandler</t>
        </is>
      </c>
      <c r="B205" s="73" t="inlineStr">
        <is>
          <t>Hotel</t>
        </is>
      </c>
      <c r="C205" s="8" t="n"/>
      <c r="D205" s="28" t="n"/>
      <c r="E205" s="73" t="n"/>
      <c r="F205" s="73" t="n"/>
      <c r="G205" s="205" t="n"/>
      <c r="H205" s="116" t="n"/>
      <c r="I205" s="88" t="n"/>
      <c r="J205" s="28" t="n"/>
      <c r="K205" s="34" t="n"/>
      <c r="L205" s="45" t="n"/>
      <c r="M205" s="65" t="n"/>
      <c r="N205" s="65" t="n"/>
      <c r="O205" s="65" t="n"/>
      <c r="P205" s="65" t="n"/>
      <c r="Q205" s="65" t="n"/>
      <c r="R205" s="65" t="n"/>
      <c r="S205" s="18" t="n"/>
      <c r="T205" s="18" t="n"/>
      <c r="U205" s="30" t="n"/>
      <c r="V205" s="18" t="n"/>
      <c r="W205" s="18" t="n"/>
      <c r="X205" s="18" t="n"/>
      <c r="Y205" s="65" t="n"/>
      <c r="Z205" s="65" t="n"/>
      <c r="AA205" s="28" t="n"/>
      <c r="AB205" s="28" t="n"/>
      <c r="AC205" s="28" t="n"/>
      <c r="AD205" s="28" t="n"/>
      <c r="AE205" s="28" t="n"/>
      <c r="AF205" s="28" t="n"/>
      <c r="AG205" s="28" t="n"/>
      <c r="AH205" s="28" t="n"/>
      <c r="AI205" s="28" t="n"/>
      <c r="AJ205" s="28" t="n"/>
      <c r="AK205" s="28" t="n"/>
      <c r="AL205" s="65" t="n"/>
      <c r="AM205" s="65" t="n"/>
      <c r="AN205" s="65" t="n"/>
      <c r="AO205" s="65" t="n"/>
      <c r="AP205" s="65" t="n"/>
    </row>
    <row r="206" ht="51.75" customHeight="1" s="222">
      <c r="A206" s="117" t="inlineStr">
        <is>
          <t>Holiday Inn Express Phoenix – Chandler West</t>
        </is>
      </c>
      <c r="B206" s="73" t="inlineStr">
        <is>
          <t>Hotel</t>
        </is>
      </c>
      <c r="C206" s="8" t="n"/>
      <c r="D206" s="28" t="n"/>
      <c r="E206" s="73" t="n"/>
      <c r="F206" s="73" t="n"/>
      <c r="G206" s="205" t="n"/>
      <c r="H206" s="116" t="n"/>
      <c r="I206" s="88" t="n"/>
      <c r="J206" s="28" t="n"/>
      <c r="K206" s="34" t="n"/>
      <c r="L206" s="45" t="n"/>
      <c r="M206" s="65" t="n"/>
      <c r="N206" s="65" t="n"/>
      <c r="O206" s="65" t="n"/>
      <c r="P206" s="65" t="n"/>
      <c r="Q206" s="65" t="n"/>
      <c r="R206" s="65" t="n"/>
      <c r="S206" s="18" t="n"/>
      <c r="T206" s="18" t="n"/>
      <c r="U206" s="30" t="n"/>
      <c r="V206" s="18" t="n"/>
      <c r="W206" s="18" t="n"/>
      <c r="X206" s="18" t="n"/>
      <c r="Y206" s="65" t="n"/>
      <c r="Z206" s="65" t="n"/>
      <c r="AA206" s="28" t="n"/>
      <c r="AB206" s="28" t="n"/>
      <c r="AC206" s="28" t="n"/>
      <c r="AD206" s="28" t="n"/>
      <c r="AE206" s="28" t="n"/>
      <c r="AF206" s="28" t="n"/>
      <c r="AG206" s="28" t="n"/>
      <c r="AH206" s="28" t="n"/>
      <c r="AI206" s="28" t="n"/>
      <c r="AJ206" s="28" t="n"/>
      <c r="AK206" s="28" t="n"/>
      <c r="AL206" s="65" t="n"/>
      <c r="AM206" s="65" t="n"/>
      <c r="AN206" s="65" t="n"/>
      <c r="AO206" s="65" t="n"/>
      <c r="AP206" s="65" t="n"/>
    </row>
    <row r="207" ht="51.75" customHeight="1" s="222">
      <c r="A207" s="117" t="inlineStr">
        <is>
          <t>Drury Plaza Hotel Phoenix Tempe</t>
        </is>
      </c>
      <c r="B207" s="73" t="inlineStr">
        <is>
          <t>Hotel</t>
        </is>
      </c>
      <c r="C207" s="8" t="n"/>
      <c r="D207" s="28" t="n"/>
      <c r="E207" s="73" t="n"/>
      <c r="F207" s="73" t="n"/>
      <c r="G207" s="205" t="n"/>
      <c r="H207" s="116" t="n"/>
      <c r="I207" s="88" t="n"/>
      <c r="J207" s="28" t="n"/>
      <c r="K207" s="34" t="n"/>
      <c r="L207" s="45" t="n"/>
      <c r="M207" s="65" t="n"/>
      <c r="N207" s="65" t="n"/>
      <c r="O207" s="65" t="n"/>
      <c r="P207" s="65" t="n"/>
      <c r="Q207" s="65" t="n"/>
      <c r="R207" s="65" t="n"/>
      <c r="S207" s="18" t="n"/>
      <c r="T207" s="18" t="n"/>
      <c r="U207" s="30" t="n"/>
      <c r="V207" s="18" t="n"/>
      <c r="W207" s="18" t="n"/>
      <c r="X207" s="18" t="n"/>
      <c r="Y207" s="65" t="n"/>
      <c r="Z207" s="65" t="n"/>
      <c r="AA207" s="28" t="n"/>
      <c r="AB207" s="28" t="n"/>
      <c r="AC207" s="28" t="n"/>
      <c r="AD207" s="28" t="n"/>
      <c r="AE207" s="28" t="n"/>
      <c r="AF207" s="28" t="n"/>
      <c r="AG207" s="28" t="n"/>
      <c r="AH207" s="28" t="n"/>
      <c r="AI207" s="28" t="n"/>
      <c r="AJ207" s="28" t="n"/>
      <c r="AK207" s="28" t="n"/>
      <c r="AL207" s="65" t="n"/>
      <c r="AM207" s="65" t="n"/>
      <c r="AN207" s="65" t="n"/>
      <c r="AO207" s="65" t="n"/>
      <c r="AP207" s="65" t="n"/>
    </row>
    <row r="208" ht="51.75" customHeight="1" s="222">
      <c r="A208" s="117" t="inlineStr">
        <is>
          <t>Drury Inn &amp; Suites Phoenix Airport</t>
        </is>
      </c>
      <c r="B208" s="73" t="inlineStr">
        <is>
          <t>Hotel</t>
        </is>
      </c>
      <c r="C208" s="8" t="n"/>
      <c r="D208" s="28" t="n"/>
      <c r="E208" s="73" t="n"/>
      <c r="F208" s="73" t="n"/>
      <c r="G208" s="205" t="n"/>
      <c r="H208" s="116" t="n"/>
      <c r="I208" s="88" t="n"/>
      <c r="J208" s="28" t="n"/>
      <c r="K208" s="34" t="n"/>
      <c r="L208" s="45" t="n"/>
      <c r="M208" s="65" t="n"/>
      <c r="N208" s="65" t="n"/>
      <c r="O208" s="65" t="n"/>
      <c r="P208" s="65" t="n"/>
      <c r="Q208" s="65" t="n"/>
      <c r="R208" s="65" t="n"/>
      <c r="S208" s="18" t="n"/>
      <c r="T208" s="18" t="n"/>
      <c r="U208" s="30" t="n"/>
      <c r="V208" s="18" t="n"/>
      <c r="W208" s="18" t="n"/>
      <c r="X208" s="18" t="n"/>
      <c r="Y208" s="65" t="n"/>
      <c r="Z208" s="65" t="n"/>
      <c r="AA208" s="28" t="n"/>
      <c r="AB208" s="28" t="n"/>
      <c r="AC208" s="28" t="n"/>
      <c r="AD208" s="28" t="n"/>
      <c r="AE208" s="28" t="n"/>
      <c r="AF208" s="28" t="n"/>
      <c r="AG208" s="28" t="n"/>
      <c r="AH208" s="28" t="n"/>
      <c r="AI208" s="28" t="n"/>
      <c r="AJ208" s="28" t="n"/>
      <c r="AK208" s="28" t="n"/>
      <c r="AL208" s="65" t="n"/>
      <c r="AM208" s="65" t="n"/>
      <c r="AN208" s="65" t="n"/>
      <c r="AO208" s="65" t="n"/>
      <c r="AP208" s="65" t="n"/>
    </row>
    <row r="209" ht="51.75" customHeight="1" s="222">
      <c r="A209" s="117" t="inlineStr">
        <is>
          <t>Drury Inn &amp; Suites Phoenix Chandler</t>
        </is>
      </c>
      <c r="B209" s="73" t="inlineStr">
        <is>
          <t>Hotel</t>
        </is>
      </c>
      <c r="C209" s="8" t="n"/>
      <c r="D209" s="28" t="n"/>
      <c r="E209" s="73" t="n"/>
      <c r="F209" s="73" t="n"/>
      <c r="G209" s="205" t="n"/>
      <c r="H209" s="116" t="n"/>
      <c r="I209" s="88" t="n"/>
      <c r="J209" s="28" t="n"/>
      <c r="K209" s="34" t="n"/>
      <c r="L209" s="45" t="n"/>
      <c r="M209" s="65" t="n"/>
      <c r="N209" s="65" t="n"/>
      <c r="O209" s="65" t="n"/>
      <c r="P209" s="65" t="n"/>
      <c r="Q209" s="65" t="n"/>
      <c r="R209" s="65" t="n"/>
      <c r="S209" s="18" t="n"/>
      <c r="T209" s="18" t="n"/>
      <c r="U209" s="30" t="n"/>
      <c r="V209" s="18" t="n"/>
      <c r="W209" s="18" t="n"/>
      <c r="X209" s="18" t="n"/>
      <c r="Y209" s="65" t="n"/>
      <c r="Z209" s="65" t="n"/>
      <c r="AA209" s="28" t="n"/>
      <c r="AB209" s="28" t="n"/>
      <c r="AC209" s="28" t="n"/>
      <c r="AD209" s="28" t="n"/>
      <c r="AE209" s="28" t="n"/>
      <c r="AF209" s="28" t="n"/>
      <c r="AG209" s="28" t="n"/>
      <c r="AH209" s="28" t="n"/>
      <c r="AI209" s="28" t="n"/>
      <c r="AJ209" s="28" t="n"/>
      <c r="AK209" s="28" t="n"/>
      <c r="AL209" s="65" t="n"/>
      <c r="AM209" s="65" t="n"/>
      <c r="AN209" s="65" t="n"/>
      <c r="AO209" s="65" t="n"/>
      <c r="AP209" s="65" t="n"/>
    </row>
    <row r="210" ht="51.75" customHeight="1" s="222">
      <c r="A210" s="117" t="inlineStr">
        <is>
          <t>Wyndham Phoenix Airport/Tempe</t>
        </is>
      </c>
      <c r="B210" s="73" t="inlineStr">
        <is>
          <t>Hotel</t>
        </is>
      </c>
      <c r="C210" s="8" t="n"/>
      <c r="D210" s="28" t="n"/>
      <c r="E210" s="73" t="n"/>
      <c r="F210" s="73" t="n"/>
      <c r="G210" s="205" t="n"/>
      <c r="H210" s="116" t="n"/>
      <c r="I210" s="88" t="n"/>
      <c r="J210" s="28" t="n"/>
      <c r="K210" s="34" t="n"/>
      <c r="L210" s="45" t="n"/>
      <c r="M210" s="65" t="n"/>
      <c r="N210" s="65" t="n"/>
      <c r="O210" s="65" t="n"/>
      <c r="P210" s="65" t="n"/>
      <c r="Q210" s="65" t="n"/>
      <c r="R210" s="65" t="n"/>
      <c r="S210" s="18" t="n"/>
      <c r="T210" s="18" t="n"/>
      <c r="U210" s="30" t="n"/>
      <c r="V210" s="18" t="n"/>
      <c r="W210" s="18" t="n"/>
      <c r="X210" s="18" t="n"/>
      <c r="Y210" s="65" t="n"/>
      <c r="Z210" s="65" t="n"/>
      <c r="AA210" s="28" t="n"/>
      <c r="AB210" s="28" t="n"/>
      <c r="AC210" s="28" t="n"/>
      <c r="AD210" s="28" t="n"/>
      <c r="AE210" s="28" t="n"/>
      <c r="AF210" s="28" t="n"/>
      <c r="AG210" s="28" t="n"/>
      <c r="AH210" s="28" t="n"/>
      <c r="AI210" s="28" t="n"/>
      <c r="AJ210" s="28" t="n"/>
      <c r="AK210" s="28" t="n"/>
      <c r="AL210" s="65" t="n"/>
      <c r="AM210" s="65" t="n"/>
      <c r="AN210" s="65" t="n"/>
      <c r="AO210" s="65" t="n"/>
      <c r="AP210" s="65" t="n"/>
    </row>
    <row r="211" ht="51.75" customHeight="1" s="222">
      <c r="A211" s="117" t="inlineStr">
        <is>
          <t>Vīb Hotel by Best Western Phoenix-Tempe</t>
        </is>
      </c>
      <c r="B211" s="73" t="inlineStr">
        <is>
          <t>Hotel</t>
        </is>
      </c>
      <c r="C211" s="8" t="n"/>
      <c r="D211" s="28" t="n"/>
      <c r="E211" s="73" t="n"/>
      <c r="F211" s="73" t="n"/>
      <c r="G211" s="205" t="n"/>
      <c r="H211" s="116" t="n"/>
      <c r="I211" s="88" t="n"/>
      <c r="J211" s="28" t="n"/>
      <c r="K211" s="34" t="n"/>
      <c r="L211" s="45" t="n"/>
      <c r="M211" s="65" t="n"/>
      <c r="N211" s="65" t="n"/>
      <c r="O211" s="65" t="n"/>
      <c r="P211" s="65" t="n"/>
      <c r="Q211" s="65" t="n"/>
      <c r="R211" s="65" t="n"/>
      <c r="S211" s="18" t="n"/>
      <c r="T211" s="18" t="n"/>
      <c r="U211" s="30" t="n"/>
      <c r="V211" s="18" t="n"/>
      <c r="W211" s="18" t="n"/>
      <c r="X211" s="18" t="n"/>
      <c r="Y211" s="65" t="n"/>
      <c r="Z211" s="65" t="n"/>
      <c r="AA211" s="28" t="n"/>
      <c r="AB211" s="28" t="n"/>
      <c r="AC211" s="28" t="n"/>
      <c r="AD211" s="28" t="n"/>
      <c r="AE211" s="28" t="n"/>
      <c r="AF211" s="28" t="n"/>
      <c r="AG211" s="28" t="n"/>
      <c r="AH211" s="28" t="n"/>
      <c r="AI211" s="28" t="n"/>
      <c r="AJ211" s="28" t="n"/>
      <c r="AK211" s="28" t="n"/>
      <c r="AL211" s="65" t="n"/>
      <c r="AM211" s="65" t="n"/>
      <c r="AN211" s="65" t="n"/>
      <c r="AO211" s="65" t="n"/>
      <c r="AP211" s="65" t="n"/>
    </row>
    <row r="212" ht="51.75" customHeight="1" s="222">
      <c r="A212" s="117" t="inlineStr">
        <is>
          <t>Hotel Tempe at Arizona Mills Mall</t>
        </is>
      </c>
      <c r="B212" s="73" t="inlineStr">
        <is>
          <t>Hotel</t>
        </is>
      </c>
      <c r="C212" s="8" t="n"/>
      <c r="D212" s="28" t="n"/>
      <c r="E212" s="73" t="n"/>
      <c r="F212" s="73" t="n"/>
      <c r="G212" s="205" t="n"/>
      <c r="H212" s="116" t="n"/>
      <c r="I212" s="88" t="n"/>
      <c r="J212" s="28" t="n"/>
      <c r="K212" s="34" t="n"/>
      <c r="L212" s="45" t="n"/>
      <c r="M212" s="65" t="n"/>
      <c r="N212" s="65" t="n"/>
      <c r="O212" s="65" t="n"/>
      <c r="P212" s="65" t="n"/>
      <c r="Q212" s="65" t="n"/>
      <c r="R212" s="65" t="n"/>
      <c r="S212" s="18" t="n"/>
      <c r="T212" s="18" t="n"/>
      <c r="U212" s="30" t="n"/>
      <c r="V212" s="18" t="n"/>
      <c r="W212" s="18" t="n"/>
      <c r="X212" s="18" t="n"/>
      <c r="Y212" s="65" t="n"/>
      <c r="Z212" s="65" t="n"/>
      <c r="AA212" s="28" t="n"/>
      <c r="AB212" s="28" t="n"/>
      <c r="AC212" s="28" t="n"/>
      <c r="AD212" s="28" t="n"/>
      <c r="AE212" s="28" t="n"/>
      <c r="AF212" s="28" t="n"/>
      <c r="AG212" s="28" t="n"/>
      <c r="AH212" s="28" t="n"/>
      <c r="AI212" s="28" t="n"/>
      <c r="AJ212" s="28" t="n"/>
      <c r="AK212" s="28" t="n"/>
      <c r="AL212" s="65" t="n"/>
      <c r="AM212" s="65" t="n"/>
      <c r="AN212" s="65" t="n"/>
      <c r="AO212" s="65" t="n"/>
      <c r="AP212" s="65" t="n"/>
    </row>
    <row r="213" ht="51.75" customHeight="1" s="222">
      <c r="A213" s="117" t="inlineStr">
        <is>
          <t>Staybridge Suites Tempe – Rio Salado Parkway</t>
        </is>
      </c>
      <c r="B213" s="73" t="inlineStr">
        <is>
          <t>Hotel</t>
        </is>
      </c>
      <c r="C213" s="8" t="n"/>
      <c r="D213" s="28" t="n"/>
      <c r="E213" s="73" t="n"/>
      <c r="F213" s="73" t="n"/>
      <c r="G213" s="205" t="n"/>
      <c r="H213" s="116" t="n"/>
      <c r="I213" s="88" t="n"/>
      <c r="J213" s="28" t="n"/>
      <c r="K213" s="34" t="n"/>
      <c r="L213" s="45" t="n"/>
      <c r="M213" s="65" t="n"/>
      <c r="N213" s="65" t="n"/>
      <c r="O213" s="65" t="n"/>
      <c r="P213" s="65" t="n"/>
      <c r="Q213" s="65" t="n"/>
      <c r="R213" s="65" t="n"/>
      <c r="S213" s="18" t="n"/>
      <c r="T213" s="18" t="n"/>
      <c r="U213" s="30" t="n"/>
      <c r="V213" s="18" t="n"/>
      <c r="W213" s="18" t="n"/>
      <c r="X213" s="18" t="n"/>
      <c r="Y213" s="65" t="n"/>
      <c r="Z213" s="65" t="n"/>
      <c r="AA213" s="28" t="n"/>
      <c r="AB213" s="28" t="n"/>
      <c r="AC213" s="28" t="n"/>
      <c r="AD213" s="28" t="n"/>
      <c r="AE213" s="28" t="n"/>
      <c r="AF213" s="28" t="n"/>
      <c r="AG213" s="28" t="n"/>
      <c r="AH213" s="28" t="n"/>
      <c r="AI213" s="28" t="n"/>
      <c r="AJ213" s="28" t="n"/>
      <c r="AK213" s="28" t="n"/>
      <c r="AL213" s="65" t="n"/>
      <c r="AM213" s="65" t="n"/>
      <c r="AN213" s="65" t="n"/>
      <c r="AO213" s="65" t="n"/>
      <c r="AP213" s="65" t="n"/>
    </row>
    <row r="214" ht="51.75" customHeight="1" s="222">
      <c r="A214" s="117" t="inlineStr">
        <is>
          <t>Home2 Suites by Hilton Phoenix Tempe, University Research Park</t>
        </is>
      </c>
      <c r="B214" s="73" t="inlineStr">
        <is>
          <t>Hotel</t>
        </is>
      </c>
      <c r="C214" s="8" t="n"/>
      <c r="D214" s="28" t="n"/>
      <c r="E214" s="73" t="n"/>
      <c r="F214" s="73" t="n"/>
      <c r="G214" s="205" t="n"/>
      <c r="H214" s="116" t="n"/>
      <c r="I214" s="88" t="n"/>
      <c r="J214" s="28" t="n"/>
      <c r="K214" s="34" t="n"/>
      <c r="L214" s="45" t="n"/>
      <c r="M214" s="65" t="n"/>
      <c r="N214" s="65" t="n"/>
      <c r="O214" s="65" t="n"/>
      <c r="P214" s="65" t="n"/>
      <c r="Q214" s="65" t="n"/>
      <c r="R214" s="65" t="n"/>
      <c r="S214" s="18" t="n"/>
      <c r="T214" s="18" t="n"/>
      <c r="U214" s="30" t="n"/>
      <c r="V214" s="18" t="n"/>
      <c r="W214" s="18" t="n"/>
      <c r="X214" s="18" t="n"/>
      <c r="Y214" s="65" t="n"/>
      <c r="Z214" s="65" t="n"/>
      <c r="AA214" s="28" t="n"/>
      <c r="AB214" s="28" t="n"/>
      <c r="AC214" s="28" t="n"/>
      <c r="AD214" s="28" t="n"/>
      <c r="AE214" s="28" t="n"/>
      <c r="AF214" s="28" t="n"/>
      <c r="AG214" s="28" t="n"/>
      <c r="AH214" s="28" t="n"/>
      <c r="AI214" s="28" t="n"/>
      <c r="AJ214" s="28" t="n"/>
      <c r="AK214" s="28" t="n"/>
      <c r="AL214" s="65" t="n"/>
      <c r="AM214" s="65" t="n"/>
      <c r="AN214" s="65" t="n"/>
      <c r="AO214" s="65" t="n"/>
      <c r="AP214" s="65" t="n"/>
    </row>
    <row r="215" ht="51.75" customHeight="1" s="222">
      <c r="A215" s="117" t="inlineStr">
        <is>
          <t>Hilton Garden Inn Phoenix Tempe University Research Park</t>
        </is>
      </c>
      <c r="B215" s="73" t="inlineStr">
        <is>
          <t>Hotel</t>
        </is>
      </c>
      <c r="C215" s="8" t="n"/>
      <c r="D215" s="28" t="n"/>
      <c r="E215" s="73" t="n"/>
      <c r="F215" s="73" t="n"/>
      <c r="G215" s="205" t="n"/>
      <c r="H215" s="116" t="n"/>
      <c r="I215" s="88" t="n"/>
      <c r="J215" s="28" t="n"/>
      <c r="K215" s="34" t="n"/>
      <c r="L215" s="45" t="n"/>
      <c r="M215" s="65" t="n"/>
      <c r="N215" s="65" t="n"/>
      <c r="O215" s="65" t="n"/>
      <c r="P215" s="65" t="n"/>
      <c r="Q215" s="65" t="n"/>
      <c r="R215" s="65" t="n"/>
      <c r="S215" s="18" t="n"/>
      <c r="T215" s="18" t="n"/>
      <c r="U215" s="30" t="n"/>
      <c r="V215" s="18" t="n"/>
      <c r="W215" s="18" t="n"/>
      <c r="X215" s="18" t="n"/>
      <c r="Y215" s="65" t="n"/>
      <c r="Z215" s="65" t="n"/>
      <c r="AA215" s="28" t="n"/>
      <c r="AB215" s="28" t="n"/>
      <c r="AC215" s="28" t="n"/>
      <c r="AD215" s="28" t="n"/>
      <c r="AE215" s="28" t="n"/>
      <c r="AF215" s="28" t="n"/>
      <c r="AG215" s="28" t="n"/>
      <c r="AH215" s="28" t="n"/>
      <c r="AI215" s="28" t="n"/>
      <c r="AJ215" s="28" t="n"/>
      <c r="AK215" s="28" t="n"/>
      <c r="AL215" s="65" t="n"/>
      <c r="AM215" s="65" t="n"/>
      <c r="AN215" s="65" t="n"/>
      <c r="AO215" s="65" t="n"/>
      <c r="AP215" s="65" t="n"/>
    </row>
    <row r="216" ht="51.75" customHeight="1" s="222">
      <c r="A216" s="117" t="inlineStr">
        <is>
          <t>Thunderbird Executive Inn &amp; Conference Center</t>
        </is>
      </c>
      <c r="B216" s="73" t="inlineStr">
        <is>
          <t>Hotel</t>
        </is>
      </c>
      <c r="C216" s="8" t="n"/>
      <c r="D216" s="28" t="n"/>
      <c r="E216" s="73" t="n"/>
      <c r="F216" s="73" t="n"/>
      <c r="G216" s="205" t="n"/>
      <c r="H216" s="116" t="n"/>
      <c r="I216" s="88" t="n"/>
      <c r="J216" s="28" t="n"/>
      <c r="K216" s="34" t="n"/>
      <c r="L216" s="45" t="n"/>
      <c r="M216" s="65" t="n"/>
      <c r="N216" s="65" t="n"/>
      <c r="O216" s="65" t="n"/>
      <c r="P216" s="65" t="n"/>
      <c r="Q216" s="65" t="n"/>
      <c r="R216" s="65" t="n"/>
      <c r="S216" s="18" t="n"/>
      <c r="T216" s="18" t="n"/>
      <c r="U216" s="30" t="n"/>
      <c r="V216" s="18" t="n"/>
      <c r="W216" s="18" t="n"/>
      <c r="X216" s="18" t="n"/>
      <c r="Y216" s="65" t="n"/>
      <c r="Z216" s="65" t="n"/>
      <c r="AA216" s="28" t="n"/>
      <c r="AB216" s="28" t="n"/>
      <c r="AC216" s="28" t="n"/>
      <c r="AD216" s="28" t="n"/>
      <c r="AE216" s="28" t="n"/>
      <c r="AF216" s="28" t="n"/>
      <c r="AG216" s="28" t="n"/>
      <c r="AH216" s="28" t="n"/>
      <c r="AI216" s="28" t="n"/>
      <c r="AJ216" s="28" t="n"/>
      <c r="AK216" s="28" t="n"/>
      <c r="AL216" s="65" t="n"/>
      <c r="AM216" s="65" t="n"/>
      <c r="AN216" s="65" t="n"/>
      <c r="AO216" s="65" t="n"/>
      <c r="AP216" s="65" t="n"/>
    </row>
    <row r="217" ht="51.75" customHeight="1" s="222">
      <c r="A217" s="117" t="inlineStr">
        <is>
          <t>Best Western Plus Tempe By The Mall</t>
        </is>
      </c>
      <c r="B217" s="73" t="inlineStr">
        <is>
          <t>Hotel</t>
        </is>
      </c>
      <c r="C217" s="8" t="n"/>
      <c r="D217" s="28" t="n"/>
      <c r="E217" s="73" t="n"/>
      <c r="F217" s="73" t="n"/>
      <c r="G217" s="205" t="n"/>
      <c r="H217" s="116" t="n"/>
      <c r="I217" s="88" t="n"/>
      <c r="J217" s="28" t="n"/>
      <c r="K217" s="34" t="n"/>
      <c r="L217" s="45" t="n"/>
      <c r="M217" s="65" t="n"/>
      <c r="N217" s="65" t="n"/>
      <c r="O217" s="65" t="n"/>
      <c r="P217" s="65" t="n"/>
      <c r="Q217" s="65" t="n"/>
      <c r="R217" s="65" t="n"/>
      <c r="S217" s="18" t="n"/>
      <c r="T217" s="18" t="n"/>
      <c r="U217" s="30" t="n"/>
      <c r="V217" s="18" t="n"/>
      <c r="W217" s="18" t="n"/>
      <c r="X217" s="18" t="n"/>
      <c r="Y217" s="65" t="n"/>
      <c r="Z217" s="65" t="n"/>
      <c r="AA217" s="28" t="n"/>
      <c r="AB217" s="28" t="n"/>
      <c r="AC217" s="28" t="n"/>
      <c r="AD217" s="28" t="n"/>
      <c r="AE217" s="28" t="n"/>
      <c r="AF217" s="28" t="n"/>
      <c r="AG217" s="28" t="n"/>
      <c r="AH217" s="28" t="n"/>
      <c r="AI217" s="28" t="n"/>
      <c r="AJ217" s="28" t="n"/>
      <c r="AK217" s="28" t="n"/>
      <c r="AL217" s="65" t="n"/>
      <c r="AM217" s="65" t="n"/>
      <c r="AN217" s="65" t="n"/>
      <c r="AO217" s="65" t="n"/>
      <c r="AP217" s="65" t="n"/>
    </row>
    <row r="218" ht="51.75" customHeight="1" s="222">
      <c r="A218" s="117" t="inlineStr">
        <is>
          <t>DoubleTree Hotel Phoenix Tempe</t>
        </is>
      </c>
      <c r="B218" s="73" t="inlineStr">
        <is>
          <t>Hotel</t>
        </is>
      </c>
      <c r="C218" s="8" t="n"/>
      <c r="D218" s="28" t="n"/>
      <c r="E218" s="73" t="n"/>
      <c r="F218" s="73" t="n"/>
      <c r="G218" s="205" t="n"/>
      <c r="H218" s="116" t="n"/>
      <c r="I218" s="88" t="n"/>
      <c r="J218" s="28" t="n"/>
      <c r="K218" s="34" t="n"/>
      <c r="L218" s="45" t="n"/>
      <c r="M218" s="65" t="n"/>
      <c r="N218" s="65" t="n"/>
      <c r="O218" s="65" t="n"/>
      <c r="P218" s="65" t="n"/>
      <c r="Q218" s="65" t="n"/>
      <c r="R218" s="65" t="n"/>
      <c r="S218" s="18" t="n"/>
      <c r="T218" s="18" t="n"/>
      <c r="U218" s="30" t="n"/>
      <c r="V218" s="18" t="n"/>
      <c r="W218" s="18" t="n"/>
      <c r="X218" s="18" t="n"/>
      <c r="Y218" s="65" t="n"/>
      <c r="Z218" s="65" t="n"/>
      <c r="AA218" s="28" t="n"/>
      <c r="AB218" s="28" t="n"/>
      <c r="AC218" s="28" t="n"/>
      <c r="AD218" s="28" t="n"/>
      <c r="AE218" s="28" t="n"/>
      <c r="AF218" s="28" t="n"/>
      <c r="AG218" s="28" t="n"/>
      <c r="AH218" s="28" t="n"/>
      <c r="AI218" s="28" t="n"/>
      <c r="AJ218" s="28" t="n"/>
      <c r="AK218" s="28" t="n"/>
      <c r="AL218" s="65" t="n"/>
      <c r="AM218" s="65" t="n"/>
      <c r="AN218" s="65" t="n"/>
      <c r="AO218" s="65" t="n"/>
      <c r="AP218" s="65" t="n"/>
    </row>
    <row r="219" ht="51.75" customHeight="1" s="222">
      <c r="A219" s="117" t="inlineStr">
        <is>
          <t>Kasa Tempe Near ASU</t>
        </is>
      </c>
      <c r="B219" s="73" t="inlineStr">
        <is>
          <t>Hotel</t>
        </is>
      </c>
      <c r="C219" s="8" t="n"/>
      <c r="D219" s="28" t="n"/>
      <c r="E219" s="73" t="n"/>
      <c r="F219" s="73" t="n"/>
      <c r="G219" s="205" t="n"/>
      <c r="H219" s="116" t="n"/>
      <c r="I219" s="88" t="n"/>
      <c r="J219" s="28" t="n"/>
      <c r="K219" s="34" t="n"/>
      <c r="L219" s="45" t="n"/>
      <c r="M219" s="65" t="n"/>
      <c r="N219" s="65" t="n"/>
      <c r="O219" s="65" t="n"/>
      <c r="P219" s="65" t="n"/>
      <c r="Q219" s="65" t="n"/>
      <c r="R219" s="65" t="n"/>
      <c r="S219" s="18" t="n"/>
      <c r="T219" s="18" t="n"/>
      <c r="U219" s="30" t="n"/>
      <c r="V219" s="18" t="n"/>
      <c r="W219" s="18" t="n"/>
      <c r="X219" s="18" t="n"/>
      <c r="Y219" s="65" t="n"/>
      <c r="Z219" s="65" t="n"/>
      <c r="AA219" s="28" t="n"/>
      <c r="AB219" s="28" t="n"/>
      <c r="AC219" s="28" t="n"/>
      <c r="AD219" s="28" t="n"/>
      <c r="AE219" s="28" t="n"/>
      <c r="AF219" s="28" t="n"/>
      <c r="AG219" s="28" t="n"/>
      <c r="AH219" s="28" t="n"/>
      <c r="AI219" s="28" t="n"/>
      <c r="AJ219" s="28" t="n"/>
      <c r="AK219" s="28" t="n"/>
      <c r="AL219" s="65" t="n"/>
      <c r="AM219" s="65" t="n"/>
      <c r="AN219" s="65" t="n"/>
      <c r="AO219" s="65" t="n"/>
      <c r="AP219" s="65" t="n"/>
    </row>
    <row r="220" ht="51.75" customHeight="1" s="222">
      <c r="A220" s="117" t="inlineStr">
        <is>
          <t>Residence Inn Tempe</t>
        </is>
      </c>
      <c r="B220" s="73" t="inlineStr">
        <is>
          <t>Hotel</t>
        </is>
      </c>
      <c r="C220" s="8" t="n"/>
      <c r="D220" s="28" t="n"/>
      <c r="E220" s="73" t="n"/>
      <c r="F220" s="73" t="n"/>
      <c r="G220" s="205" t="n"/>
      <c r="H220" s="116" t="n"/>
      <c r="I220" s="88" t="n"/>
      <c r="J220" s="28" t="n"/>
      <c r="K220" s="34" t="n"/>
      <c r="L220" s="45" t="n"/>
      <c r="M220" s="65" t="n"/>
      <c r="N220" s="65" t="n"/>
      <c r="O220" s="65" t="n"/>
      <c r="P220" s="65" t="n"/>
      <c r="Q220" s="65" t="n"/>
      <c r="R220" s="65" t="n"/>
      <c r="S220" s="18" t="n"/>
      <c r="T220" s="18" t="n"/>
      <c r="U220" s="30" t="n"/>
      <c r="V220" s="18" t="n"/>
      <c r="W220" s="18" t="n"/>
      <c r="X220" s="18" t="n"/>
      <c r="Y220" s="65" t="n"/>
      <c r="Z220" s="65" t="n"/>
      <c r="AA220" s="28" t="n"/>
      <c r="AB220" s="28" t="n"/>
      <c r="AC220" s="28" t="n"/>
      <c r="AD220" s="28" t="n"/>
      <c r="AE220" s="28" t="n"/>
      <c r="AF220" s="28" t="n"/>
      <c r="AG220" s="28" t="n"/>
      <c r="AH220" s="28" t="n"/>
      <c r="AI220" s="28" t="n"/>
      <c r="AJ220" s="28" t="n"/>
      <c r="AK220" s="28" t="n"/>
      <c r="AL220" s="65" t="n"/>
      <c r="AM220" s="65" t="n"/>
      <c r="AN220" s="65" t="n"/>
      <c r="AO220" s="65" t="n"/>
      <c r="AP220" s="65" t="n"/>
    </row>
    <row r="221" ht="51.75" customHeight="1" s="222">
      <c r="A221" s="117" t="inlineStr">
        <is>
          <t>Aiden by Best Western @ Scottsdale North</t>
        </is>
      </c>
      <c r="B221" s="73" t="inlineStr">
        <is>
          <t>Hotel</t>
        </is>
      </c>
      <c r="C221" s="8" t="n"/>
      <c r="D221" s="28" t="n"/>
      <c r="E221" s="73" t="n"/>
      <c r="F221" s="73" t="n"/>
      <c r="G221" s="205" t="n"/>
      <c r="H221" s="116" t="n"/>
      <c r="I221" s="88" t="n"/>
      <c r="J221" s="28" t="n"/>
      <c r="K221" s="34" t="n"/>
      <c r="L221" s="45" t="n"/>
      <c r="M221" s="65" t="n"/>
      <c r="N221" s="65" t="n"/>
      <c r="O221" s="65" t="n"/>
      <c r="P221" s="65" t="n"/>
      <c r="Q221" s="65" t="n"/>
      <c r="R221" s="65" t="n"/>
      <c r="S221" s="18" t="n"/>
      <c r="T221" s="18" t="n"/>
      <c r="U221" s="30" t="n"/>
      <c r="V221" s="18" t="n"/>
      <c r="W221" s="18" t="n"/>
      <c r="X221" s="18" t="n"/>
      <c r="Y221" s="65" t="n"/>
      <c r="Z221" s="65" t="n"/>
      <c r="AA221" s="28" t="n"/>
      <c r="AB221" s="28" t="n"/>
      <c r="AC221" s="28" t="n"/>
      <c r="AD221" s="28" t="n"/>
      <c r="AE221" s="28" t="n"/>
      <c r="AF221" s="28" t="n"/>
      <c r="AG221" s="28" t="n"/>
      <c r="AH221" s="28" t="n"/>
      <c r="AI221" s="28" t="n"/>
      <c r="AJ221" s="28" t="n"/>
      <c r="AK221" s="28" t="n"/>
      <c r="AL221" s="65" t="n"/>
      <c r="AM221" s="65" t="n"/>
      <c r="AN221" s="65" t="n"/>
      <c r="AO221" s="65" t="n"/>
      <c r="AP221" s="65" t="n"/>
    </row>
    <row r="222" ht="51.75" customHeight="1" s="222">
      <c r="A222" s="117" t="inlineStr">
        <is>
          <t>Holiday Inn Express Scottsdale North</t>
        </is>
      </c>
      <c r="B222" s="73" t="inlineStr">
        <is>
          <t>Hotel</t>
        </is>
      </c>
      <c r="C222" s="8" t="n"/>
      <c r="D222" s="28" t="n"/>
      <c r="E222" s="73" t="n"/>
      <c r="F222" s="73" t="n"/>
      <c r="G222" s="205" t="n"/>
      <c r="H222" s="116" t="n"/>
      <c r="I222" s="88" t="n"/>
      <c r="J222" s="28" t="n"/>
      <c r="K222" s="34" t="n"/>
      <c r="L222" s="45" t="n"/>
      <c r="M222" s="65" t="n"/>
      <c r="N222" s="65" t="n"/>
      <c r="O222" s="65" t="n"/>
      <c r="P222" s="65" t="n"/>
      <c r="Q222" s="65" t="n"/>
      <c r="R222" s="65" t="n"/>
      <c r="S222" s="18" t="n"/>
      <c r="T222" s="18" t="n"/>
      <c r="U222" s="30" t="n"/>
      <c r="V222" s="18" t="n"/>
      <c r="W222" s="18" t="n"/>
      <c r="X222" s="18" t="n"/>
      <c r="Y222" s="65" t="n"/>
      <c r="Z222" s="65" t="n"/>
      <c r="AA222" s="28" t="n"/>
      <c r="AB222" s="28" t="n"/>
      <c r="AC222" s="28" t="n"/>
      <c r="AD222" s="28" t="n"/>
      <c r="AE222" s="28" t="n"/>
      <c r="AF222" s="28" t="n"/>
      <c r="AG222" s="28" t="n"/>
      <c r="AH222" s="28" t="n"/>
      <c r="AI222" s="28" t="n"/>
      <c r="AJ222" s="28" t="n"/>
      <c r="AK222" s="28" t="n"/>
      <c r="AL222" s="65" t="n"/>
      <c r="AM222" s="65" t="n"/>
      <c r="AN222" s="65" t="n"/>
      <c r="AO222" s="65" t="n"/>
      <c r="AP222" s="65" t="n"/>
    </row>
    <row r="223" ht="51.75" customHeight="1" s="222">
      <c r="A223" s="117" t="inlineStr">
        <is>
          <t>Staybridge Suites Scottsdale – Talking Stick</t>
        </is>
      </c>
      <c r="B223" s="73" t="inlineStr">
        <is>
          <t>Hotel</t>
        </is>
      </c>
      <c r="C223" s="8" t="n"/>
      <c r="D223" s="28" t="n"/>
      <c r="E223" s="73" t="n"/>
      <c r="F223" s="73" t="n"/>
      <c r="G223" s="205" t="n"/>
      <c r="H223" s="116" t="n"/>
      <c r="I223" s="88" t="n"/>
      <c r="J223" s="28" t="n"/>
      <c r="K223" s="34" t="n"/>
      <c r="L223" s="45" t="n"/>
      <c r="M223" s="65" t="n"/>
      <c r="N223" s="65" t="n"/>
      <c r="O223" s="65" t="n"/>
      <c r="P223" s="65" t="n"/>
      <c r="Q223" s="65" t="n"/>
      <c r="R223" s="65" t="n"/>
      <c r="S223" s="18" t="n"/>
      <c r="T223" s="18" t="n"/>
      <c r="U223" s="30" t="n"/>
      <c r="V223" s="18" t="n"/>
      <c r="W223" s="18" t="n"/>
      <c r="X223" s="18" t="n"/>
      <c r="Y223" s="65" t="n"/>
      <c r="Z223" s="65" t="n"/>
      <c r="AA223" s="28" t="n"/>
      <c r="AB223" s="28" t="n"/>
      <c r="AC223" s="28" t="n"/>
      <c r="AD223" s="28" t="n"/>
      <c r="AE223" s="28" t="n"/>
      <c r="AF223" s="28" t="n"/>
      <c r="AG223" s="28" t="n"/>
      <c r="AH223" s="28" t="n"/>
      <c r="AI223" s="28" t="n"/>
      <c r="AJ223" s="28" t="n"/>
      <c r="AK223" s="28" t="n"/>
      <c r="AL223" s="65" t="n"/>
      <c r="AM223" s="65" t="n"/>
      <c r="AN223" s="65" t="n"/>
      <c r="AO223" s="65" t="n"/>
      <c r="AP223" s="65" t="n"/>
    </row>
    <row r="224" ht="51.75" customHeight="1" s="222">
      <c r="A224" s="117" t="inlineStr">
        <is>
          <t>Kasa Scottsdale North Phoenix</t>
        </is>
      </c>
      <c r="B224" s="73" t="inlineStr">
        <is>
          <t>Hotel</t>
        </is>
      </c>
      <c r="C224" s="8" t="n"/>
      <c r="D224" s="28" t="n"/>
      <c r="E224" s="73" t="n"/>
      <c r="F224" s="73" t="n"/>
      <c r="G224" s="205" t="n"/>
      <c r="H224" s="116" t="n"/>
      <c r="I224" s="88" t="n"/>
      <c r="J224" s="28" t="n"/>
      <c r="K224" s="34" t="n"/>
      <c r="L224" s="45" t="n"/>
      <c r="M224" s="65" t="n"/>
      <c r="N224" s="65" t="n"/>
      <c r="O224" s="65" t="n"/>
      <c r="P224" s="65" t="n"/>
      <c r="Q224" s="65" t="n"/>
      <c r="R224" s="65" t="n"/>
      <c r="S224" s="18" t="n"/>
      <c r="T224" s="18" t="n"/>
      <c r="U224" s="30" t="n"/>
      <c r="V224" s="18" t="n"/>
      <c r="W224" s="18" t="n"/>
      <c r="X224" s="18" t="n"/>
      <c r="Y224" s="65" t="n"/>
      <c r="Z224" s="65" t="n"/>
      <c r="AA224" s="28" t="n"/>
      <c r="AB224" s="28" t="n"/>
      <c r="AC224" s="28" t="n"/>
      <c r="AD224" s="28" t="n"/>
      <c r="AE224" s="28" t="n"/>
      <c r="AF224" s="28" t="n"/>
      <c r="AG224" s="28" t="n"/>
      <c r="AH224" s="28" t="n"/>
      <c r="AI224" s="28" t="n"/>
      <c r="AJ224" s="28" t="n"/>
      <c r="AK224" s="28" t="n"/>
      <c r="AL224" s="65" t="n"/>
      <c r="AM224" s="65" t="n"/>
      <c r="AN224" s="65" t="n"/>
      <c r="AO224" s="65" t="n"/>
      <c r="AP224" s="65" t="n"/>
    </row>
    <row r="225" ht="51.75" customHeight="1" s="222">
      <c r="A225" s="117" t="inlineStr">
        <is>
          <t>Kasa Scottsdale Quarter Phoenix</t>
        </is>
      </c>
      <c r="B225" s="73" t="inlineStr">
        <is>
          <t>Hotel</t>
        </is>
      </c>
      <c r="C225" s="8" t="n"/>
      <c r="D225" s="28" t="n"/>
      <c r="E225" s="73" t="n"/>
      <c r="F225" s="73" t="n"/>
      <c r="G225" s="205" t="n"/>
      <c r="H225" s="116" t="n"/>
      <c r="I225" s="88" t="n"/>
      <c r="J225" s="28" t="n"/>
      <c r="K225" s="34" t="n"/>
      <c r="L225" s="45" t="n"/>
      <c r="M225" s="65" t="n"/>
      <c r="N225" s="65" t="n"/>
      <c r="O225" s="65" t="n"/>
      <c r="P225" s="65" t="n"/>
      <c r="Q225" s="65" t="n"/>
      <c r="R225" s="65" t="n"/>
      <c r="S225" s="18" t="n"/>
      <c r="T225" s="18" t="n"/>
      <c r="U225" s="30" t="n"/>
      <c r="V225" s="18" t="n"/>
      <c r="W225" s="18" t="n"/>
      <c r="X225" s="18" t="n"/>
      <c r="Y225" s="65" t="n"/>
      <c r="Z225" s="65" t="n"/>
      <c r="AA225" s="28" t="n"/>
      <c r="AB225" s="28" t="n"/>
      <c r="AC225" s="28" t="n"/>
      <c r="AD225" s="28" t="n"/>
      <c r="AE225" s="28" t="n"/>
      <c r="AF225" s="28" t="n"/>
      <c r="AG225" s="28" t="n"/>
      <c r="AH225" s="28" t="n"/>
      <c r="AI225" s="28" t="n"/>
      <c r="AJ225" s="28" t="n"/>
      <c r="AK225" s="28" t="n"/>
      <c r="AL225" s="65" t="n"/>
      <c r="AM225" s="65" t="n"/>
      <c r="AN225" s="65" t="n"/>
      <c r="AO225" s="65" t="n"/>
      <c r="AP225" s="65" t="n"/>
    </row>
    <row r="226" ht="51.75" customHeight="1" s="222">
      <c r="A226" s="117" t="inlineStr">
        <is>
          <t>AC Hotels by Marriott Scottsdale North</t>
        </is>
      </c>
      <c r="B226" s="73" t="inlineStr">
        <is>
          <t>Hotel</t>
        </is>
      </c>
      <c r="C226" s="8" t="n"/>
      <c r="D226" s="28" t="n"/>
      <c r="E226" s="73" t="n"/>
      <c r="F226" s="73" t="n"/>
      <c r="G226" s="205" t="n"/>
      <c r="H226" s="116" t="n"/>
      <c r="I226" s="88" t="n"/>
      <c r="J226" s="28" t="n"/>
      <c r="K226" s="34" t="n"/>
      <c r="L226" s="45" t="n"/>
      <c r="M226" s="65" t="n"/>
      <c r="N226" s="65" t="n"/>
      <c r="O226" s="65" t="n"/>
      <c r="P226" s="65" t="n"/>
      <c r="Q226" s="65" t="n"/>
      <c r="R226" s="65" t="n"/>
      <c r="S226" s="18" t="n"/>
      <c r="T226" s="18" t="n"/>
      <c r="U226" s="30" t="n"/>
      <c r="V226" s="18" t="n"/>
      <c r="W226" s="18" t="n"/>
      <c r="X226" s="18" t="n"/>
      <c r="Y226" s="65" t="n"/>
      <c r="Z226" s="65" t="n"/>
      <c r="AA226" s="28" t="n"/>
      <c r="AB226" s="28" t="n"/>
      <c r="AC226" s="28" t="n"/>
      <c r="AD226" s="28" t="n"/>
      <c r="AE226" s="28" t="n"/>
      <c r="AF226" s="28" t="n"/>
      <c r="AG226" s="28" t="n"/>
      <c r="AH226" s="28" t="n"/>
      <c r="AI226" s="28" t="n"/>
      <c r="AJ226" s="28" t="n"/>
      <c r="AK226" s="28" t="n"/>
      <c r="AL226" s="65" t="n"/>
      <c r="AM226" s="65" t="n"/>
      <c r="AN226" s="65" t="n"/>
      <c r="AO226" s="65" t="n"/>
      <c r="AP226" s="65" t="n"/>
    </row>
    <row r="227" ht="51.75" customHeight="1" s="222">
      <c r="A227" s="117" t="inlineStr">
        <is>
          <t>AC Hotel Scottsdale Old Town</t>
        </is>
      </c>
      <c r="B227" s="73" t="inlineStr">
        <is>
          <t>Hotel</t>
        </is>
      </c>
      <c r="C227" s="8" t="n"/>
      <c r="D227" s="28" t="n"/>
      <c r="E227" s="73" t="n"/>
      <c r="F227" s="73" t="n"/>
      <c r="G227" s="205" t="n"/>
      <c r="H227" s="116" t="n"/>
      <c r="I227" s="88" t="n"/>
      <c r="J227" s="28" t="n"/>
      <c r="K227" s="34" t="n"/>
      <c r="L227" s="45" t="n"/>
      <c r="M227" s="65" t="n"/>
      <c r="N227" s="65" t="n"/>
      <c r="O227" s="65" t="n"/>
      <c r="P227" s="65" t="n"/>
      <c r="Q227" s="65" t="n"/>
      <c r="R227" s="65" t="n"/>
      <c r="S227" s="18" t="n"/>
      <c r="T227" s="18" t="n"/>
      <c r="U227" s="30" t="n"/>
      <c r="V227" s="18" t="n"/>
      <c r="W227" s="18" t="n"/>
      <c r="X227" s="18" t="n"/>
      <c r="Y227" s="65" t="n"/>
      <c r="Z227" s="65" t="n"/>
      <c r="AA227" s="28" t="n"/>
      <c r="AB227" s="28" t="n"/>
      <c r="AC227" s="28" t="n"/>
      <c r="AD227" s="28" t="n"/>
      <c r="AE227" s="28" t="n"/>
      <c r="AF227" s="28" t="n"/>
      <c r="AG227" s="28" t="n"/>
      <c r="AH227" s="28" t="n"/>
      <c r="AI227" s="28" t="n"/>
      <c r="AJ227" s="28" t="n"/>
      <c r="AK227" s="28" t="n"/>
      <c r="AL227" s="65" t="n"/>
      <c r="AM227" s="65" t="n"/>
      <c r="AN227" s="65" t="n"/>
      <c r="AO227" s="65" t="n"/>
      <c r="AP227" s="65" t="n"/>
    </row>
    <row r="228" ht="51.75" customHeight="1" s="222">
      <c r="A228" s="117" t="inlineStr">
        <is>
          <t>REVERB by Hard Rock Scottsdale</t>
        </is>
      </c>
      <c r="B228" s="73" t="inlineStr">
        <is>
          <t>Hotel</t>
        </is>
      </c>
      <c r="C228" s="8" t="n"/>
      <c r="D228" s="28" t="n"/>
      <c r="E228" s="73" t="n"/>
      <c r="F228" s="73" t="n"/>
      <c r="G228" s="205" t="n"/>
      <c r="H228" s="116" t="n"/>
      <c r="I228" s="88" t="n"/>
      <c r="J228" s="28" t="n"/>
      <c r="K228" s="34" t="n"/>
      <c r="L228" s="45" t="n"/>
      <c r="M228" s="65" t="n"/>
      <c r="N228" s="65" t="n"/>
      <c r="O228" s="65" t="n"/>
      <c r="P228" s="65" t="n"/>
      <c r="Q228" s="65" t="n"/>
      <c r="R228" s="65" t="n"/>
      <c r="S228" s="18" t="n"/>
      <c r="T228" s="18" t="n"/>
      <c r="U228" s="30" t="n"/>
      <c r="V228" s="18" t="n"/>
      <c r="W228" s="18" t="n"/>
      <c r="X228" s="18" t="n"/>
      <c r="Y228" s="65" t="n"/>
      <c r="Z228" s="65" t="n"/>
      <c r="AA228" s="28" t="n"/>
      <c r="AB228" s="28" t="n"/>
      <c r="AC228" s="28" t="n"/>
      <c r="AD228" s="28" t="n"/>
      <c r="AE228" s="28" t="n"/>
      <c r="AF228" s="28" t="n"/>
      <c r="AG228" s="28" t="n"/>
      <c r="AH228" s="28" t="n"/>
      <c r="AI228" s="28" t="n"/>
      <c r="AJ228" s="28" t="n"/>
      <c r="AK228" s="28" t="n"/>
      <c r="AL228" s="65" t="n"/>
      <c r="AM228" s="65" t="n"/>
      <c r="AN228" s="65" t="n"/>
      <c r="AO228" s="65" t="n"/>
      <c r="AP228" s="65" t="n"/>
    </row>
    <row r="229" ht="51.75" customHeight="1" s="222">
      <c r="A229" s="117" t="inlineStr">
        <is>
          <t>Hotel Scottsdale, Tapestry Collection by Hilton</t>
        </is>
      </c>
      <c r="B229" s="73" t="inlineStr">
        <is>
          <t>Hotel</t>
        </is>
      </c>
      <c r="C229" s="8" t="n"/>
      <c r="D229" s="28" t="n"/>
      <c r="E229" s="73" t="n"/>
      <c r="F229" s="73" t="n"/>
      <c r="G229" s="205" t="n"/>
      <c r="H229" s="116" t="n"/>
      <c r="I229" s="88" t="n"/>
      <c r="J229" s="28" t="n"/>
      <c r="K229" s="34" t="n"/>
      <c r="L229" s="45" t="n"/>
      <c r="M229" s="65" t="n"/>
      <c r="N229" s="65" t="n"/>
      <c r="O229" s="65" t="n"/>
      <c r="P229" s="65" t="n"/>
      <c r="Q229" s="65" t="n"/>
      <c r="R229" s="65" t="n"/>
      <c r="S229" s="18" t="n"/>
      <c r="T229" s="18" t="n"/>
      <c r="U229" s="30" t="n"/>
      <c r="V229" s="18" t="n"/>
      <c r="W229" s="18" t="n"/>
      <c r="X229" s="18" t="n"/>
      <c r="Y229" s="65" t="n"/>
      <c r="Z229" s="65" t="n"/>
      <c r="AA229" s="28" t="n"/>
      <c r="AB229" s="28" t="n"/>
      <c r="AC229" s="28" t="n"/>
      <c r="AD229" s="28" t="n"/>
      <c r="AE229" s="28" t="n"/>
      <c r="AF229" s="28" t="n"/>
      <c r="AG229" s="28" t="n"/>
      <c r="AH229" s="28" t="n"/>
      <c r="AI229" s="28" t="n"/>
      <c r="AJ229" s="28" t="n"/>
      <c r="AK229" s="28" t="n"/>
      <c r="AL229" s="65" t="n"/>
      <c r="AM229" s="65" t="n"/>
      <c r="AN229" s="65" t="n"/>
      <c r="AO229" s="65" t="n"/>
      <c r="AP229" s="65" t="n"/>
    </row>
    <row r="230" ht="51.75" customHeight="1" s="222">
      <c r="A230" s="117" t="inlineStr">
        <is>
          <t>Cambria Hotel &amp; Suites Scottsdale</t>
        </is>
      </c>
      <c r="B230" s="73" t="inlineStr">
        <is>
          <t>Hotel</t>
        </is>
      </c>
      <c r="C230" s="8" t="n"/>
      <c r="D230" s="28" t="n"/>
      <c r="E230" s="73" t="n"/>
      <c r="F230" s="73" t="n"/>
      <c r="G230" s="205" t="n"/>
      <c r="H230" s="116" t="n"/>
      <c r="I230" s="88" t="n"/>
      <c r="J230" s="28" t="n"/>
      <c r="K230" s="34" t="n"/>
      <c r="L230" s="45" t="n"/>
      <c r="M230" s="65" t="n"/>
      <c r="N230" s="65" t="n"/>
      <c r="O230" s="65" t="n"/>
      <c r="P230" s="65" t="n"/>
      <c r="Q230" s="65" t="n"/>
      <c r="R230" s="65" t="n"/>
      <c r="S230" s="18" t="n"/>
      <c r="T230" s="18" t="n"/>
      <c r="U230" s="30" t="n"/>
      <c r="V230" s="18" t="n"/>
      <c r="W230" s="18" t="n"/>
      <c r="X230" s="18" t="n"/>
      <c r="Y230" s="65" t="n"/>
      <c r="Z230" s="65" t="n"/>
      <c r="AA230" s="28" t="n"/>
      <c r="AB230" s="28" t="n"/>
      <c r="AC230" s="28" t="n"/>
      <c r="AD230" s="28" t="n"/>
      <c r="AE230" s="28" t="n"/>
      <c r="AF230" s="28" t="n"/>
      <c r="AG230" s="28" t="n"/>
      <c r="AH230" s="28" t="n"/>
      <c r="AI230" s="28" t="n"/>
      <c r="AJ230" s="28" t="n"/>
      <c r="AK230" s="28" t="n"/>
      <c r="AL230" s="65" t="n"/>
      <c r="AM230" s="65" t="n"/>
      <c r="AN230" s="65" t="n"/>
      <c r="AO230" s="65" t="n"/>
      <c r="AP230" s="65" t="n"/>
    </row>
    <row r="231" ht="51.75" customHeight="1" s="222">
      <c r="A231" s="117" t="inlineStr">
        <is>
          <t>Trademark Collection by Wyndham Scottsdale</t>
        </is>
      </c>
      <c r="B231" s="73" t="inlineStr">
        <is>
          <t>Hotel</t>
        </is>
      </c>
      <c r="C231" s="8" t="n"/>
      <c r="D231" s="28" t="n"/>
      <c r="E231" s="73" t="n"/>
      <c r="F231" s="73" t="n"/>
      <c r="G231" s="205" t="n"/>
      <c r="H231" s="116" t="n"/>
      <c r="I231" s="88" t="n"/>
      <c r="J231" s="28" t="n"/>
      <c r="K231" s="34" t="n"/>
      <c r="L231" s="45" t="n"/>
      <c r="M231" s="65" t="n"/>
      <c r="N231" s="65" t="n"/>
      <c r="O231" s="65" t="n"/>
      <c r="P231" s="65" t="n"/>
      <c r="Q231" s="65" t="n"/>
      <c r="R231" s="65" t="n"/>
      <c r="S231" s="18" t="n"/>
      <c r="T231" s="18" t="n"/>
      <c r="U231" s="30" t="n"/>
      <c r="V231" s="18" t="n"/>
      <c r="W231" s="18" t="n"/>
      <c r="X231" s="18" t="n"/>
      <c r="Y231" s="65" t="n"/>
      <c r="Z231" s="65" t="n"/>
      <c r="AA231" s="28" t="n"/>
      <c r="AB231" s="28" t="n"/>
      <c r="AC231" s="28" t="n"/>
      <c r="AD231" s="28" t="n"/>
      <c r="AE231" s="28" t="n"/>
      <c r="AF231" s="28" t="n"/>
      <c r="AG231" s="28" t="n"/>
      <c r="AH231" s="28" t="n"/>
      <c r="AI231" s="28" t="n"/>
      <c r="AJ231" s="28" t="n"/>
      <c r="AK231" s="28" t="n"/>
      <c r="AL231" s="65" t="n"/>
      <c r="AM231" s="65" t="n"/>
      <c r="AN231" s="65" t="n"/>
      <c r="AO231" s="65" t="n"/>
      <c r="AP231" s="65" t="n"/>
    </row>
    <row r="232" ht="51.75" customHeight="1" s="222">
      <c r="A232" s="117" t="inlineStr">
        <is>
          <t>Hotel Bixby Scottsdale</t>
        </is>
      </c>
      <c r="B232" s="73" t="inlineStr">
        <is>
          <t>Hotel</t>
        </is>
      </c>
      <c r="C232" s="8" t="n"/>
      <c r="D232" s="28" t="n"/>
      <c r="E232" s="73" t="n"/>
      <c r="F232" s="73" t="n"/>
      <c r="G232" s="205" t="n"/>
      <c r="H232" s="116" t="n"/>
      <c r="I232" s="88" t="n"/>
      <c r="J232" s="28" t="n"/>
      <c r="K232" s="34" t="n"/>
      <c r="L232" s="45" t="n"/>
      <c r="M232" s="65" t="n"/>
      <c r="N232" s="65" t="n"/>
      <c r="O232" s="65" t="n"/>
      <c r="P232" s="65" t="n"/>
      <c r="Q232" s="65" t="n"/>
      <c r="R232" s="65" t="n"/>
      <c r="S232" s="18" t="n"/>
      <c r="T232" s="18" t="n"/>
      <c r="U232" s="30" t="n"/>
      <c r="V232" s="18" t="n"/>
      <c r="W232" s="18" t="n"/>
      <c r="X232" s="18" t="n"/>
      <c r="Y232" s="65" t="n"/>
      <c r="Z232" s="65" t="n"/>
      <c r="AA232" s="28" t="n"/>
      <c r="AB232" s="28" t="n"/>
      <c r="AC232" s="28" t="n"/>
      <c r="AD232" s="28" t="n"/>
      <c r="AE232" s="28" t="n"/>
      <c r="AF232" s="28" t="n"/>
      <c r="AG232" s="28" t="n"/>
      <c r="AH232" s="28" t="n"/>
      <c r="AI232" s="28" t="n"/>
      <c r="AJ232" s="28" t="n"/>
      <c r="AK232" s="28" t="n"/>
      <c r="AL232" s="65" t="n"/>
      <c r="AM232" s="65" t="n"/>
      <c r="AN232" s="65" t="n"/>
      <c r="AO232" s="65" t="n"/>
      <c r="AP232" s="65" t="n"/>
    </row>
    <row r="233" ht="51.75" customHeight="1" s="222">
      <c r="A233" s="117" t="inlineStr">
        <is>
          <t>Boutique Hotel Paradise Valley</t>
        </is>
      </c>
      <c r="B233" s="73" t="inlineStr">
        <is>
          <t>Hotel</t>
        </is>
      </c>
      <c r="C233" s="8" t="n"/>
      <c r="D233" s="28" t="n"/>
      <c r="E233" s="73" t="n"/>
      <c r="F233" s="73" t="n"/>
      <c r="G233" s="205" t="n"/>
      <c r="H233" s="116" t="n"/>
      <c r="I233" s="88" t="n"/>
      <c r="J233" s="28" t="n"/>
      <c r="K233" s="34" t="n"/>
      <c r="L233" s="45" t="n"/>
      <c r="M233" s="65" t="n"/>
      <c r="N233" s="65" t="n"/>
      <c r="O233" s="65" t="n"/>
      <c r="P233" s="65" t="n"/>
      <c r="Q233" s="65" t="n"/>
      <c r="R233" s="65" t="n"/>
      <c r="S233" s="18" t="n"/>
      <c r="T233" s="18" t="n"/>
      <c r="U233" s="30" t="n"/>
      <c r="V233" s="18" t="n"/>
      <c r="W233" s="18" t="n"/>
      <c r="X233" s="18" t="n"/>
      <c r="Y233" s="65" t="n"/>
      <c r="Z233" s="65" t="n"/>
      <c r="AA233" s="28" t="n"/>
      <c r="AB233" s="28" t="n"/>
      <c r="AC233" s="28" t="n"/>
      <c r="AD233" s="28" t="n"/>
      <c r="AE233" s="28" t="n"/>
      <c r="AF233" s="28" t="n"/>
      <c r="AG233" s="28" t="n"/>
      <c r="AH233" s="28" t="n"/>
      <c r="AI233" s="28" t="n"/>
      <c r="AJ233" s="28" t="n"/>
      <c r="AK233" s="28" t="n"/>
      <c r="AL233" s="65" t="n"/>
      <c r="AM233" s="65" t="n"/>
      <c r="AN233" s="65" t="n"/>
      <c r="AO233" s="65" t="n"/>
      <c r="AP233" s="65" t="n"/>
    </row>
    <row r="234" ht="51.75" customHeight="1" s="222">
      <c r="A234" s="117" t="inlineStr">
        <is>
          <t>Country Inn &amp; Suites by Radisson, Scottsdale Old Town</t>
        </is>
      </c>
      <c r="B234" s="73" t="inlineStr">
        <is>
          <t>Hotel</t>
        </is>
      </c>
      <c r="C234" s="8" t="n"/>
      <c r="D234" s="28" t="n"/>
      <c r="E234" s="73" t="n"/>
      <c r="F234" s="73" t="n"/>
      <c r="G234" s="205" t="n"/>
      <c r="H234" s="116" t="n"/>
      <c r="I234" s="88" t="n"/>
      <c r="J234" s="28" t="n"/>
      <c r="K234" s="34" t="n"/>
      <c r="L234" s="45" t="n"/>
      <c r="M234" s="65" t="n"/>
      <c r="N234" s="65" t="n"/>
      <c r="O234" s="65" t="n"/>
      <c r="P234" s="65" t="n"/>
      <c r="Q234" s="65" t="n"/>
      <c r="R234" s="65" t="n"/>
      <c r="S234" s="18" t="n"/>
      <c r="T234" s="18" t="n"/>
      <c r="U234" s="30" t="n"/>
      <c r="V234" s="18" t="n"/>
      <c r="W234" s="18" t="n"/>
      <c r="X234" s="18" t="n"/>
      <c r="Y234" s="65" t="n"/>
      <c r="Z234" s="65" t="n"/>
      <c r="AA234" s="28" t="n"/>
      <c r="AB234" s="28" t="n"/>
      <c r="AC234" s="28" t="n"/>
      <c r="AD234" s="28" t="n"/>
      <c r="AE234" s="28" t="n"/>
      <c r="AF234" s="28" t="n"/>
      <c r="AG234" s="28" t="n"/>
      <c r="AH234" s="28" t="n"/>
      <c r="AI234" s="28" t="n"/>
      <c r="AJ234" s="28" t="n"/>
      <c r="AK234" s="28" t="n"/>
      <c r="AL234" s="65" t="n"/>
      <c r="AM234" s="65" t="n"/>
      <c r="AN234" s="65" t="n"/>
      <c r="AO234" s="65" t="n"/>
      <c r="AP234" s="65" t="n"/>
    </row>
    <row r="235" ht="51.75" customHeight="1" s="222">
      <c r="A235" s="117" t="inlineStr">
        <is>
          <t>Radisson Resort Scottsdale</t>
        </is>
      </c>
      <c r="B235" s="73" t="inlineStr">
        <is>
          <t>Hotel</t>
        </is>
      </c>
      <c r="C235" s="8" t="n"/>
      <c r="D235" s="28" t="n"/>
      <c r="E235" s="73" t="n"/>
      <c r="F235" s="73" t="n"/>
      <c r="G235" s="205" t="n"/>
      <c r="H235" s="116" t="n"/>
      <c r="I235" s="88" t="n"/>
      <c r="J235" s="28" t="n"/>
      <c r="K235" s="34" t="n"/>
      <c r="L235" s="45" t="n"/>
      <c r="M235" s="65" t="n"/>
      <c r="N235" s="65" t="n"/>
      <c r="O235" s="65" t="n"/>
      <c r="P235" s="65" t="n"/>
      <c r="Q235" s="65" t="n"/>
      <c r="R235" s="65" t="n"/>
      <c r="S235" s="18" t="n"/>
      <c r="T235" s="18" t="n"/>
      <c r="U235" s="30" t="n"/>
      <c r="V235" s="18" t="n"/>
      <c r="W235" s="18" t="n"/>
      <c r="X235" s="18" t="n"/>
      <c r="Y235" s="65" t="n"/>
      <c r="Z235" s="65" t="n"/>
      <c r="AA235" s="28" t="n"/>
      <c r="AB235" s="28" t="n"/>
      <c r="AC235" s="28" t="n"/>
      <c r="AD235" s="28" t="n"/>
      <c r="AE235" s="28" t="n"/>
      <c r="AF235" s="28" t="n"/>
      <c r="AG235" s="28" t="n"/>
      <c r="AH235" s="28" t="n"/>
      <c r="AI235" s="28" t="n"/>
      <c r="AJ235" s="28" t="n"/>
      <c r="AK235" s="28" t="n"/>
      <c r="AL235" s="65" t="n"/>
      <c r="AM235" s="65" t="n"/>
      <c r="AN235" s="65" t="n"/>
      <c r="AO235" s="65" t="n"/>
      <c r="AP235" s="65" t="n"/>
    </row>
    <row r="236" ht="51.75" customHeight="1" s="222">
      <c r="A236" s="117" t="inlineStr">
        <is>
          <t>Hyatt Place Scottsdale/OdySea in the Desert</t>
        </is>
      </c>
      <c r="B236" s="73" t="inlineStr">
        <is>
          <t>Hotel</t>
        </is>
      </c>
      <c r="C236" s="8" t="n"/>
      <c r="D236" s="28" t="n"/>
      <c r="E236" s="73" t="n"/>
      <c r="F236" s="73" t="n"/>
      <c r="G236" s="205" t="n"/>
      <c r="H236" s="116" t="n"/>
      <c r="I236" s="88" t="n"/>
      <c r="J236" s="28" t="n"/>
      <c r="K236" s="34" t="n"/>
      <c r="L236" s="45" t="n"/>
      <c r="M236" s="65" t="n"/>
      <c r="N236" s="65" t="n"/>
      <c r="O236" s="65" t="n"/>
      <c r="P236" s="65" t="n"/>
      <c r="Q236" s="65" t="n"/>
      <c r="R236" s="65" t="n"/>
      <c r="S236" s="18" t="n"/>
      <c r="T236" s="18" t="n"/>
      <c r="U236" s="30" t="n"/>
      <c r="V236" s="18" t="n"/>
      <c r="W236" s="18" t="n"/>
      <c r="X236" s="18" t="n"/>
      <c r="Y236" s="65" t="n"/>
      <c r="Z236" s="65" t="n"/>
      <c r="AA236" s="28" t="n"/>
      <c r="AB236" s="28" t="n"/>
      <c r="AC236" s="28" t="n"/>
      <c r="AD236" s="28" t="n"/>
      <c r="AE236" s="28" t="n"/>
      <c r="AF236" s="28" t="n"/>
      <c r="AG236" s="28" t="n"/>
      <c r="AH236" s="28" t="n"/>
      <c r="AI236" s="28" t="n"/>
      <c r="AJ236" s="28" t="n"/>
      <c r="AK236" s="28" t="n"/>
      <c r="AL236" s="65" t="n"/>
      <c r="AM236" s="65" t="n"/>
      <c r="AN236" s="65" t="n"/>
      <c r="AO236" s="65" t="n"/>
      <c r="AP236" s="65" t="n"/>
    </row>
    <row r="237" ht="51.75" customHeight="1" s="222">
      <c r="A237" s="117" t="inlineStr">
        <is>
          <t>Bespoke Inn Scottsdale</t>
        </is>
      </c>
      <c r="B237" s="73" t="inlineStr">
        <is>
          <t>Hotel</t>
        </is>
      </c>
      <c r="C237" s="8" t="n"/>
      <c r="D237" s="28" t="n"/>
      <c r="E237" s="73" t="n"/>
      <c r="F237" s="73" t="n"/>
      <c r="G237" s="205" t="n"/>
      <c r="H237" s="116" t="n"/>
      <c r="I237" s="88" t="n"/>
      <c r="J237" s="28" t="n"/>
      <c r="K237" s="34" t="n"/>
      <c r="L237" s="45" t="n"/>
      <c r="M237" s="65" t="n"/>
      <c r="N237" s="65" t="n"/>
      <c r="O237" s="65" t="n"/>
      <c r="P237" s="65" t="n"/>
      <c r="Q237" s="65" t="n"/>
      <c r="R237" s="65" t="n"/>
      <c r="S237" s="18" t="n"/>
      <c r="T237" s="18" t="n"/>
      <c r="U237" s="30" t="n"/>
      <c r="V237" s="18" t="n"/>
      <c r="W237" s="18" t="n"/>
      <c r="X237" s="18" t="n"/>
      <c r="Y237" s="65" t="n"/>
      <c r="Z237" s="65" t="n"/>
      <c r="AA237" s="28" t="n"/>
      <c r="AB237" s="28" t="n"/>
      <c r="AC237" s="28" t="n"/>
      <c r="AD237" s="28" t="n"/>
      <c r="AE237" s="28" t="n"/>
      <c r="AF237" s="28" t="n"/>
      <c r="AG237" s="28" t="n"/>
      <c r="AH237" s="28" t="n"/>
      <c r="AI237" s="28" t="n"/>
      <c r="AJ237" s="28" t="n"/>
      <c r="AK237" s="28" t="n"/>
      <c r="AL237" s="65" t="n"/>
      <c r="AM237" s="65" t="n"/>
      <c r="AN237" s="65" t="n"/>
      <c r="AO237" s="65" t="n"/>
      <c r="AP237" s="65" t="n"/>
    </row>
    <row r="238" ht="51.75" customHeight="1" s="222">
      <c r="A238" s="117" t="inlineStr">
        <is>
          <t>Winery Suites of Scottsdale</t>
        </is>
      </c>
      <c r="B238" s="73" t="inlineStr">
        <is>
          <t>Hotel</t>
        </is>
      </c>
      <c r="C238" s="8" t="n"/>
      <c r="D238" s="28" t="n"/>
      <c r="E238" s="73" t="n"/>
      <c r="F238" s="73" t="n"/>
      <c r="G238" s="205" t="n"/>
      <c r="H238" s="116" t="n"/>
      <c r="I238" s="88" t="n"/>
      <c r="J238" s="28" t="n"/>
      <c r="K238" s="34" t="n"/>
      <c r="L238" s="45" t="n"/>
      <c r="M238" s="65" t="n"/>
      <c r="N238" s="65" t="n"/>
      <c r="O238" s="65" t="n"/>
      <c r="P238" s="65" t="n"/>
      <c r="Q238" s="65" t="n"/>
      <c r="R238" s="65" t="n"/>
      <c r="S238" s="18" t="n"/>
      <c r="T238" s="18" t="n"/>
      <c r="U238" s="30" t="n"/>
      <c r="V238" s="18" t="n"/>
      <c r="W238" s="18" t="n"/>
      <c r="X238" s="18" t="n"/>
      <c r="Y238" s="65" t="n"/>
      <c r="Z238" s="65" t="n"/>
      <c r="AA238" s="28" t="n"/>
      <c r="AB238" s="28" t="n"/>
      <c r="AC238" s="28" t="n"/>
      <c r="AD238" s="28" t="n"/>
      <c r="AE238" s="28" t="n"/>
      <c r="AF238" s="28" t="n"/>
      <c r="AG238" s="28" t="n"/>
      <c r="AH238" s="28" t="n"/>
      <c r="AI238" s="28" t="n"/>
      <c r="AJ238" s="28" t="n"/>
      <c r="AK238" s="28" t="n"/>
      <c r="AL238" s="65" t="n"/>
      <c r="AM238" s="65" t="n"/>
      <c r="AN238" s="65" t="n"/>
      <c r="AO238" s="65" t="n"/>
      <c r="AP238" s="65" t="n"/>
    </row>
    <row r="239" ht="51.75" customHeight="1" s="222">
      <c r="A239" s="117" t="inlineStr">
        <is>
          <t>Mint House Scottsdale – Old Town</t>
        </is>
      </c>
      <c r="B239" s="73" t="inlineStr">
        <is>
          <t>Hotel</t>
        </is>
      </c>
      <c r="C239" s="8" t="n"/>
      <c r="D239" s="28" t="n"/>
      <c r="E239" s="73" t="n"/>
      <c r="F239" s="73" t="n"/>
      <c r="G239" s="205" t="n"/>
      <c r="H239" s="116" t="n"/>
      <c r="I239" s="88" t="n"/>
      <c r="J239" s="28" t="n"/>
      <c r="K239" s="34" t="n"/>
      <c r="L239" s="45" t="n"/>
      <c r="M239" s="65" t="n"/>
      <c r="N239" s="65" t="n"/>
      <c r="O239" s="65" t="n"/>
      <c r="P239" s="65" t="n"/>
      <c r="Q239" s="65" t="n"/>
      <c r="R239" s="65" t="n"/>
      <c r="S239" s="18" t="n"/>
      <c r="T239" s="18" t="n"/>
      <c r="U239" s="30" t="n"/>
      <c r="V239" s="18" t="n"/>
      <c r="W239" s="18" t="n"/>
      <c r="X239" s="18" t="n"/>
      <c r="Y239" s="65" t="n"/>
      <c r="Z239" s="65" t="n"/>
      <c r="AA239" s="28" t="n"/>
      <c r="AB239" s="28" t="n"/>
      <c r="AC239" s="28" t="n"/>
      <c r="AD239" s="28" t="n"/>
      <c r="AE239" s="28" t="n"/>
      <c r="AF239" s="28" t="n"/>
      <c r="AG239" s="28" t="n"/>
      <c r="AH239" s="28" t="n"/>
      <c r="AI239" s="28" t="n"/>
      <c r="AJ239" s="28" t="n"/>
      <c r="AK239" s="28" t="n"/>
      <c r="AL239" s="65" t="n"/>
      <c r="AM239" s="65" t="n"/>
      <c r="AN239" s="65" t="n"/>
      <c r="AO239" s="65" t="n"/>
      <c r="AP239" s="65" t="n"/>
    </row>
    <row r="240" ht="51.75" customHeight="1" s="222">
      <c r="A240" s="117" t="inlineStr">
        <is>
          <t>WorldMark by Wyndham Scottsdale</t>
        </is>
      </c>
      <c r="B240" s="73" t="inlineStr">
        <is>
          <t>Hotel</t>
        </is>
      </c>
      <c r="C240" s="8" t="n"/>
      <c r="D240" s="28" t="n"/>
      <c r="E240" s="73" t="n"/>
      <c r="F240" s="73" t="n"/>
      <c r="G240" s="205" t="n"/>
      <c r="H240" s="116" t="n"/>
      <c r="I240" s="88" t="n"/>
      <c r="J240" s="28" t="n"/>
      <c r="K240" s="34" t="n"/>
      <c r="L240" s="45" t="n"/>
      <c r="M240" s="65" t="n"/>
      <c r="N240" s="65" t="n"/>
      <c r="O240" s="65" t="n"/>
      <c r="P240" s="65" t="n"/>
      <c r="Q240" s="65" t="n"/>
      <c r="R240" s="65" t="n"/>
      <c r="S240" s="18" t="n"/>
      <c r="T240" s="18" t="n"/>
      <c r="U240" s="30" t="n"/>
      <c r="V240" s="18" t="n"/>
      <c r="W240" s="18" t="n"/>
      <c r="X240" s="18" t="n"/>
      <c r="Y240" s="65" t="n"/>
      <c r="Z240" s="65" t="n"/>
      <c r="AA240" s="28" t="n"/>
      <c r="AB240" s="28" t="n"/>
      <c r="AC240" s="28" t="n"/>
      <c r="AD240" s="28" t="n"/>
      <c r="AE240" s="28" t="n"/>
      <c r="AF240" s="28" t="n"/>
      <c r="AG240" s="28" t="n"/>
      <c r="AH240" s="28" t="n"/>
      <c r="AI240" s="28" t="n"/>
      <c r="AJ240" s="28" t="n"/>
      <c r="AK240" s="28" t="n"/>
      <c r="AL240" s="65" t="n"/>
      <c r="AM240" s="65" t="n"/>
      <c r="AN240" s="65" t="n"/>
      <c r="AO240" s="65" t="n"/>
      <c r="AP240" s="65" t="n"/>
    </row>
    <row r="241" ht="51.75" customHeight="1" s="222">
      <c r="A241" s="117" t="inlineStr">
        <is>
          <t>Pointe Hilton Tapatio Cliffs Resort</t>
        </is>
      </c>
      <c r="B241" s="73" t="inlineStr">
        <is>
          <t>Hotel</t>
        </is>
      </c>
      <c r="C241" s="8" t="n"/>
      <c r="D241" s="28" t="n"/>
      <c r="E241" s="73" t="n"/>
      <c r="F241" s="73" t="n"/>
      <c r="G241" s="205" t="n"/>
      <c r="H241" s="116" t="n"/>
      <c r="I241" s="88" t="n"/>
      <c r="J241" s="28" t="n"/>
      <c r="K241" s="34" t="n"/>
      <c r="L241" s="45" t="n"/>
      <c r="M241" s="65" t="n"/>
      <c r="N241" s="65" t="n"/>
      <c r="O241" s="65" t="n"/>
      <c r="P241" s="65" t="n"/>
      <c r="Q241" s="65" t="n"/>
      <c r="R241" s="65" t="n"/>
      <c r="S241" s="18" t="n"/>
      <c r="T241" s="18" t="n"/>
      <c r="U241" s="30" t="n"/>
      <c r="V241" s="18" t="n"/>
      <c r="W241" s="18" t="n"/>
      <c r="X241" s="18" t="n"/>
      <c r="Y241" s="65" t="n"/>
      <c r="Z241" s="65" t="n"/>
      <c r="AA241" s="28" t="n"/>
      <c r="AB241" s="28" t="n"/>
      <c r="AC241" s="28" t="n"/>
      <c r="AD241" s="28" t="n"/>
      <c r="AE241" s="28" t="n"/>
      <c r="AF241" s="28" t="n"/>
      <c r="AG241" s="28" t="n"/>
      <c r="AH241" s="28" t="n"/>
      <c r="AI241" s="28" t="n"/>
      <c r="AJ241" s="28" t="n"/>
      <c r="AK241" s="28" t="n"/>
      <c r="AL241" s="65" t="n"/>
      <c r="AM241" s="65" t="n"/>
      <c r="AN241" s="65" t="n"/>
      <c r="AO241" s="65" t="n"/>
      <c r="AP241" s="65" t="n"/>
    </row>
    <row r="242" ht="51.75" customHeight="1" s="222">
      <c r="A242" s="117" t="inlineStr">
        <is>
          <t>Hilton Phoenix Resort at the Peak</t>
        </is>
      </c>
      <c r="B242" s="73" t="inlineStr">
        <is>
          <t>Hotel</t>
        </is>
      </c>
      <c r="C242" s="8" t="n"/>
      <c r="D242" s="28" t="n"/>
      <c r="E242" s="73" t="n"/>
      <c r="F242" s="73" t="n"/>
      <c r="G242" s="205" t="n"/>
      <c r="H242" s="116" t="n"/>
      <c r="I242" s="88" t="n"/>
      <c r="J242" s="28" t="n"/>
      <c r="K242" s="34" t="n"/>
      <c r="L242" s="45" t="n"/>
      <c r="M242" s="65" t="n"/>
      <c r="N242" s="65" t="n"/>
      <c r="O242" s="65" t="n"/>
      <c r="P242" s="65" t="n"/>
      <c r="Q242" s="65" t="n"/>
      <c r="R242" s="65" t="n"/>
      <c r="S242" s="18" t="n"/>
      <c r="T242" s="18" t="n"/>
      <c r="U242" s="30" t="n"/>
      <c r="V242" s="18" t="n"/>
      <c r="W242" s="18" t="n"/>
      <c r="X242" s="18" t="n"/>
      <c r="Y242" s="65" t="n"/>
      <c r="Z242" s="65" t="n"/>
      <c r="AA242" s="28" t="n"/>
      <c r="AB242" s="28" t="n"/>
      <c r="AC242" s="28" t="n"/>
      <c r="AD242" s="28" t="n"/>
      <c r="AE242" s="28" t="n"/>
      <c r="AF242" s="28" t="n"/>
      <c r="AG242" s="28" t="n"/>
      <c r="AH242" s="28" t="n"/>
      <c r="AI242" s="28" t="n"/>
      <c r="AJ242" s="28" t="n"/>
      <c r="AK242" s="28" t="n"/>
      <c r="AL242" s="65" t="n"/>
      <c r="AM242" s="65" t="n"/>
      <c r="AN242" s="65" t="n"/>
      <c r="AO242" s="65" t="n"/>
      <c r="AP242" s="65" t="n"/>
    </row>
    <row r="243" ht="51.75" customHeight="1" s="222">
      <c r="A243" s="117" t="inlineStr">
        <is>
          <t>Kimpton Miralina Resort &amp; Villas</t>
        </is>
      </c>
      <c r="B243" s="73" t="inlineStr">
        <is>
          <t>Hotel</t>
        </is>
      </c>
      <c r="C243" s="8" t="n"/>
      <c r="D243" s="28" t="n"/>
      <c r="E243" s="73" t="n"/>
      <c r="F243" s="73" t="n"/>
      <c r="G243" s="205" t="n"/>
      <c r="H243" s="116" t="n"/>
      <c r="I243" s="88" t="n"/>
      <c r="J243" s="28" t="n"/>
      <c r="K243" s="34" t="n"/>
      <c r="L243" s="45" t="n"/>
      <c r="M243" s="65" t="n"/>
      <c r="N243" s="65" t="n"/>
      <c r="O243" s="65" t="n"/>
      <c r="P243" s="65" t="n"/>
      <c r="Q243" s="65" t="n"/>
      <c r="R243" s="65" t="n"/>
      <c r="S243" s="18" t="n"/>
      <c r="T243" s="18" t="n"/>
      <c r="U243" s="30" t="n"/>
      <c r="V243" s="18" t="n"/>
      <c r="W243" s="18" t="n"/>
      <c r="X243" s="18" t="n"/>
      <c r="Y243" s="65" t="n"/>
      <c r="Z243" s="65" t="n"/>
      <c r="AA243" s="28" t="n"/>
      <c r="AB243" s="28" t="n"/>
      <c r="AC243" s="28" t="n"/>
      <c r="AD243" s="28" t="n"/>
      <c r="AE243" s="28" t="n"/>
      <c r="AF243" s="28" t="n"/>
      <c r="AG243" s="28" t="n"/>
      <c r="AH243" s="28" t="n"/>
      <c r="AI243" s="28" t="n"/>
      <c r="AJ243" s="28" t="n"/>
      <c r="AK243" s="28" t="n"/>
      <c r="AL243" s="65" t="n"/>
      <c r="AM243" s="65" t="n"/>
      <c r="AN243" s="65" t="n"/>
      <c r="AO243" s="65" t="n"/>
      <c r="AP243" s="65" t="n"/>
    </row>
    <row r="244" ht="51.75" customHeight="1" s="222">
      <c r="A244" s="117" t="inlineStr">
        <is>
          <t>Sheraton Grand at Wild Horse Pass</t>
        </is>
      </c>
      <c r="B244" s="73" t="inlineStr">
        <is>
          <t>Hotel</t>
        </is>
      </c>
      <c r="C244" s="8" t="n"/>
      <c r="D244" s="28" t="n"/>
      <c r="E244" s="73" t="n"/>
      <c r="F244" s="73" t="n"/>
      <c r="G244" s="205" t="n"/>
      <c r="H244" s="116" t="n"/>
      <c r="I244" s="88" t="n"/>
      <c r="J244" s="28" t="n"/>
      <c r="K244" s="34" t="n"/>
      <c r="L244" s="45" t="n"/>
      <c r="M244" s="65" t="n"/>
      <c r="N244" s="65" t="n"/>
      <c r="O244" s="65" t="n"/>
      <c r="P244" s="65" t="n"/>
      <c r="Q244" s="65" t="n"/>
      <c r="R244" s="65" t="n"/>
      <c r="S244" s="18" t="n"/>
      <c r="T244" s="18" t="n"/>
      <c r="U244" s="30" t="n"/>
      <c r="V244" s="18" t="n"/>
      <c r="W244" s="18" t="n"/>
      <c r="X244" s="18" t="n"/>
      <c r="Y244" s="65" t="n"/>
      <c r="Z244" s="65" t="n"/>
      <c r="AA244" s="28" t="n"/>
      <c r="AB244" s="28" t="n"/>
      <c r="AC244" s="28" t="n"/>
      <c r="AD244" s="28" t="n"/>
      <c r="AE244" s="28" t="n"/>
      <c r="AF244" s="28" t="n"/>
      <c r="AG244" s="28" t="n"/>
      <c r="AH244" s="28" t="n"/>
      <c r="AI244" s="28" t="n"/>
      <c r="AJ244" s="28" t="n"/>
      <c r="AK244" s="28" t="n"/>
      <c r="AL244" s="65" t="n"/>
      <c r="AM244" s="65" t="n"/>
      <c r="AN244" s="65" t="n"/>
      <c r="AO244" s="65" t="n"/>
      <c r="AP244" s="65" t="n"/>
    </row>
    <row r="245" ht="51.75" customHeight="1" s="222">
      <c r="A245" s="117" t="inlineStr">
        <is>
          <t>Gila River Resorts &amp; Casinos – Vee Quiva</t>
        </is>
      </c>
      <c r="B245" s="73" t="inlineStr">
        <is>
          <t>Hotel</t>
        </is>
      </c>
      <c r="C245" s="8" t="n"/>
      <c r="D245" s="28" t="n"/>
      <c r="E245" s="73" t="n"/>
      <c r="F245" s="73" t="n"/>
      <c r="G245" s="205" t="n"/>
      <c r="H245" s="116" t="n"/>
      <c r="I245" s="88" t="n"/>
      <c r="J245" s="28" t="n"/>
      <c r="K245" s="34" t="n"/>
      <c r="L245" s="45" t="n"/>
      <c r="M245" s="65" t="n"/>
      <c r="N245" s="65" t="n"/>
      <c r="O245" s="65" t="n"/>
      <c r="P245" s="65" t="n"/>
      <c r="Q245" s="65" t="n"/>
      <c r="R245" s="65" t="n"/>
      <c r="S245" s="18" t="n"/>
      <c r="T245" s="18" t="n"/>
      <c r="U245" s="30" t="n"/>
      <c r="V245" s="18" t="n"/>
      <c r="W245" s="18" t="n"/>
      <c r="X245" s="18" t="n"/>
      <c r="Y245" s="65" t="n"/>
      <c r="Z245" s="65" t="n"/>
      <c r="AA245" s="28" t="n"/>
      <c r="AB245" s="28" t="n"/>
      <c r="AC245" s="28" t="n"/>
      <c r="AD245" s="28" t="n"/>
      <c r="AE245" s="28" t="n"/>
      <c r="AF245" s="28" t="n"/>
      <c r="AG245" s="28" t="n"/>
      <c r="AH245" s="28" t="n"/>
      <c r="AI245" s="28" t="n"/>
      <c r="AJ245" s="28" t="n"/>
      <c r="AK245" s="28" t="n"/>
      <c r="AL245" s="65" t="n"/>
      <c r="AM245" s="65" t="n"/>
      <c r="AN245" s="65" t="n"/>
      <c r="AO245" s="65" t="n"/>
      <c r="AP245" s="65" t="n"/>
    </row>
    <row r="246" ht="51.75" customHeight="1" s="222">
      <c r="A246" s="117" t="inlineStr">
        <is>
          <t>Gila River Resorts &amp; Casinos – Wild Horse Pass</t>
        </is>
      </c>
      <c r="B246" s="73" t="inlineStr">
        <is>
          <t>Hotel</t>
        </is>
      </c>
      <c r="C246" s="8" t="n"/>
      <c r="D246" s="28" t="n"/>
      <c r="E246" s="73" t="n"/>
      <c r="F246" s="73" t="n"/>
      <c r="G246" s="205" t="n"/>
      <c r="H246" s="116" t="n"/>
      <c r="I246" s="88" t="n"/>
      <c r="J246" s="28" t="n"/>
      <c r="K246" s="34" t="n"/>
      <c r="L246" s="45" t="n"/>
      <c r="M246" s="65" t="n"/>
      <c r="N246" s="65" t="n"/>
      <c r="O246" s="65" t="n"/>
      <c r="P246" s="65" t="n"/>
      <c r="Q246" s="65" t="n"/>
      <c r="R246" s="65" t="n"/>
      <c r="S246" s="18" t="n"/>
      <c r="T246" s="18" t="n"/>
      <c r="U246" s="30" t="n"/>
      <c r="V246" s="18" t="n"/>
      <c r="W246" s="18" t="n"/>
      <c r="X246" s="18" t="n"/>
      <c r="Y246" s="65" t="n"/>
      <c r="Z246" s="65" t="n"/>
      <c r="AA246" s="28" t="n"/>
      <c r="AB246" s="28" t="n"/>
      <c r="AC246" s="28" t="n"/>
      <c r="AD246" s="28" t="n"/>
      <c r="AE246" s="28" t="n"/>
      <c r="AF246" s="28" t="n"/>
      <c r="AG246" s="28" t="n"/>
      <c r="AH246" s="28" t="n"/>
      <c r="AI246" s="28" t="n"/>
      <c r="AJ246" s="28" t="n"/>
      <c r="AK246" s="28" t="n"/>
      <c r="AL246" s="65" t="n"/>
      <c r="AM246" s="65" t="n"/>
      <c r="AN246" s="65" t="n"/>
      <c r="AO246" s="65" t="n"/>
      <c r="AP246" s="65" t="n"/>
    </row>
    <row r="247" ht="51.75" customHeight="1" s="222">
      <c r="A247" s="117" t="inlineStr">
        <is>
          <t>Desert Diamond West Valley Resort &amp; Casino</t>
        </is>
      </c>
      <c r="B247" s="73" t="inlineStr">
        <is>
          <t>Hotel</t>
        </is>
      </c>
      <c r="C247" s="8" t="n"/>
      <c r="D247" s="28" t="n"/>
      <c r="E247" s="73" t="n"/>
      <c r="F247" s="73" t="n"/>
      <c r="G247" s="205" t="n"/>
      <c r="H247" s="116" t="n"/>
      <c r="I247" s="88" t="n"/>
      <c r="J247" s="28" t="n"/>
      <c r="K247" s="34" t="n"/>
      <c r="L247" s="45" t="n"/>
      <c r="M247" s="65" t="n"/>
      <c r="N247" s="65" t="n"/>
      <c r="O247" s="65" t="n"/>
      <c r="P247" s="65" t="n"/>
      <c r="Q247" s="65" t="n"/>
      <c r="R247" s="65" t="n"/>
      <c r="S247" s="18" t="n"/>
      <c r="T247" s="18" t="n"/>
      <c r="U247" s="30" t="n"/>
      <c r="V247" s="18" t="n"/>
      <c r="W247" s="18" t="n"/>
      <c r="X247" s="18" t="n"/>
      <c r="Y247" s="65" t="n"/>
      <c r="Z247" s="65" t="n"/>
      <c r="AA247" s="28" t="n"/>
      <c r="AB247" s="28" t="n"/>
      <c r="AC247" s="28" t="n"/>
      <c r="AD247" s="28" t="n"/>
      <c r="AE247" s="28" t="n"/>
      <c r="AF247" s="28" t="n"/>
      <c r="AG247" s="28" t="n"/>
      <c r="AH247" s="28" t="n"/>
      <c r="AI247" s="28" t="n"/>
      <c r="AJ247" s="28" t="n"/>
      <c r="AK247" s="28" t="n"/>
      <c r="AL247" s="65" t="n"/>
      <c r="AM247" s="65" t="n"/>
      <c r="AN247" s="65" t="n"/>
      <c r="AO247" s="65" t="n"/>
      <c r="AP247" s="65" t="n"/>
    </row>
    <row r="248" ht="51.75" customHeight="1" s="222">
      <c r="A248" s="117" t="inlineStr">
        <is>
          <t>The Scottsdale EDITION</t>
        </is>
      </c>
      <c r="B248" s="73" t="inlineStr">
        <is>
          <t>Hotel</t>
        </is>
      </c>
      <c r="C248" s="8" t="n"/>
      <c r="D248" s="28" t="n"/>
      <c r="E248" s="73" t="n"/>
      <c r="F248" s="73" t="n"/>
      <c r="G248" s="205" t="n"/>
      <c r="H248" s="116" t="n"/>
      <c r="I248" s="88" t="n"/>
      <c r="J248" s="28" t="n"/>
      <c r="K248" s="34" t="n"/>
      <c r="L248" s="45" t="n"/>
      <c r="M248" s="65" t="n"/>
      <c r="N248" s="65" t="n"/>
      <c r="O248" s="65" t="n"/>
      <c r="P248" s="65" t="n"/>
      <c r="Q248" s="65" t="n"/>
      <c r="R248" s="65" t="n"/>
      <c r="S248" s="18" t="n"/>
      <c r="T248" s="18" t="n"/>
      <c r="U248" s="30" t="n"/>
      <c r="V248" s="18" t="n"/>
      <c r="W248" s="18" t="n"/>
      <c r="X248" s="18" t="n"/>
      <c r="Y248" s="65" t="n"/>
      <c r="Z248" s="65" t="n"/>
      <c r="AA248" s="28" t="n"/>
      <c r="AB248" s="28" t="n"/>
      <c r="AC248" s="28" t="n"/>
      <c r="AD248" s="28" t="n"/>
      <c r="AE248" s="28" t="n"/>
      <c r="AF248" s="28" t="n"/>
      <c r="AG248" s="28" t="n"/>
      <c r="AH248" s="28" t="n"/>
      <c r="AI248" s="28" t="n"/>
      <c r="AJ248" s="28" t="n"/>
      <c r="AK248" s="28" t="n"/>
      <c r="AL248" s="65" t="n"/>
      <c r="AM248" s="65" t="n"/>
      <c r="AN248" s="65" t="n"/>
      <c r="AO248" s="65" t="n"/>
      <c r="AP248" s="65" t="n"/>
    </row>
    <row r="249" ht="51.75" customHeight="1" s="222">
      <c r="A249" s="117" t="inlineStr">
        <is>
          <t>The Ritz-Carlton Paradise Valley, The Palmeraie</t>
        </is>
      </c>
      <c r="B249" s="73" t="inlineStr">
        <is>
          <t>Hotel</t>
        </is>
      </c>
      <c r="C249" s="8" t="n"/>
      <c r="D249" s="28" t="n"/>
      <c r="E249" s="73" t="n"/>
      <c r="F249" s="73" t="n"/>
      <c r="G249" s="205" t="n"/>
      <c r="H249" s="116" t="n"/>
      <c r="I249" s="88" t="n"/>
      <c r="J249" s="28" t="n"/>
      <c r="K249" s="34" t="n"/>
      <c r="L249" s="45" t="n"/>
      <c r="M249" s="65" t="n"/>
      <c r="N249" s="65" t="n"/>
      <c r="O249" s="65" t="n"/>
      <c r="P249" s="65" t="n"/>
      <c r="Q249" s="65" t="n"/>
      <c r="R249" s="65" t="n"/>
      <c r="S249" s="18" t="n"/>
      <c r="T249" s="18" t="n"/>
      <c r="U249" s="30" t="n"/>
      <c r="V249" s="18" t="n"/>
      <c r="W249" s="18" t="n"/>
      <c r="X249" s="18" t="n"/>
      <c r="Y249" s="65" t="n"/>
      <c r="Z249" s="65" t="n"/>
      <c r="AA249" s="28" t="n"/>
      <c r="AB249" s="28" t="n"/>
      <c r="AC249" s="28" t="n"/>
      <c r="AD249" s="28" t="n"/>
      <c r="AE249" s="28" t="n"/>
      <c r="AF249" s="28" t="n"/>
      <c r="AG249" s="28" t="n"/>
      <c r="AH249" s="28" t="n"/>
      <c r="AI249" s="28" t="n"/>
      <c r="AJ249" s="28" t="n"/>
      <c r="AK249" s="28" t="n"/>
      <c r="AL249" s="65" t="n"/>
      <c r="AM249" s="65" t="n"/>
      <c r="AN249" s="65" t="n"/>
      <c r="AO249" s="65" t="n"/>
      <c r="AP249" s="65" t="n"/>
    </row>
    <row r="250" ht="51.75" customHeight="1" s="222">
      <c r="A250" s="117" t="inlineStr">
        <is>
          <t>VAI Resort</t>
        </is>
      </c>
      <c r="B250" s="73" t="inlineStr">
        <is>
          <t>Hotel</t>
        </is>
      </c>
      <c r="C250" s="8" t="n"/>
      <c r="D250" s="28" t="n"/>
      <c r="E250" s="73" t="n"/>
      <c r="F250" s="73" t="n"/>
      <c r="G250" s="205" t="n"/>
      <c r="H250" s="116" t="n"/>
      <c r="I250" s="88" t="n"/>
      <c r="J250" s="28" t="n"/>
      <c r="K250" s="34" t="n"/>
      <c r="L250" s="45" t="n"/>
      <c r="M250" s="65" t="n"/>
      <c r="N250" s="65" t="n"/>
      <c r="O250" s="65" t="n"/>
      <c r="P250" s="65" t="n"/>
      <c r="Q250" s="65" t="n"/>
      <c r="R250" s="65" t="n"/>
      <c r="S250" s="18" t="n"/>
      <c r="T250" s="18" t="n"/>
      <c r="U250" s="30" t="n"/>
      <c r="V250" s="18" t="n"/>
      <c r="W250" s="18" t="n"/>
      <c r="X250" s="18" t="n"/>
      <c r="Y250" s="65" t="n"/>
      <c r="Z250" s="65" t="n"/>
      <c r="AA250" s="28" t="n"/>
      <c r="AB250" s="28" t="n"/>
      <c r="AC250" s="28" t="n"/>
      <c r="AD250" s="28" t="n"/>
      <c r="AE250" s="28" t="n"/>
      <c r="AF250" s="28" t="n"/>
      <c r="AG250" s="28" t="n"/>
      <c r="AH250" s="28" t="n"/>
      <c r="AI250" s="28" t="n"/>
      <c r="AJ250" s="28" t="n"/>
      <c r="AK250" s="28" t="n"/>
      <c r="AL250" s="65" t="n"/>
      <c r="AM250" s="65" t="n"/>
      <c r="AN250" s="65" t="n"/>
      <c r="AO250" s="65" t="n"/>
      <c r="AP250" s="65" t="n"/>
    </row>
    <row r="251" ht="51.75" customHeight="1" s="222">
      <c r="A251" s="117" t="inlineStr">
        <is>
          <t>Luxury Hotel at The Parque</t>
        </is>
      </c>
      <c r="B251" s="73" t="inlineStr">
        <is>
          <t>Hotel</t>
        </is>
      </c>
      <c r="C251" s="8" t="n"/>
      <c r="D251" s="28" t="n"/>
      <c r="E251" s="73" t="n"/>
      <c r="F251" s="73" t="n"/>
      <c r="G251" s="205" t="n"/>
      <c r="H251" s="116" t="n"/>
      <c r="I251" s="88" t="n"/>
      <c r="J251" s="28" t="n"/>
      <c r="K251" s="34" t="n"/>
      <c r="L251" s="45" t="n"/>
      <c r="M251" s="65" t="n"/>
      <c r="N251" s="65" t="n"/>
      <c r="O251" s="65" t="n"/>
      <c r="P251" s="65" t="n"/>
      <c r="Q251" s="65" t="n"/>
      <c r="R251" s="65" t="n"/>
      <c r="S251" s="18" t="n"/>
      <c r="T251" s="18" t="n"/>
      <c r="U251" s="30" t="n"/>
      <c r="V251" s="18" t="n"/>
      <c r="W251" s="18" t="n"/>
      <c r="X251" s="18" t="n"/>
      <c r="Y251" s="65" t="n"/>
      <c r="Z251" s="65" t="n"/>
      <c r="AA251" s="28" t="n"/>
      <c r="AB251" s="28" t="n"/>
      <c r="AC251" s="28" t="n"/>
      <c r="AD251" s="28" t="n"/>
      <c r="AE251" s="28" t="n"/>
      <c r="AF251" s="28" t="n"/>
      <c r="AG251" s="28" t="n"/>
      <c r="AH251" s="28" t="n"/>
      <c r="AI251" s="28" t="n"/>
      <c r="AJ251" s="28" t="n"/>
      <c r="AK251" s="28" t="n"/>
      <c r="AL251" s="65" t="n"/>
      <c r="AM251" s="65" t="n"/>
      <c r="AN251" s="65" t="n"/>
      <c r="AO251" s="65" t="n"/>
      <c r="AP251" s="65" t="n"/>
    </row>
    <row r="252" ht="51.75" customHeight="1" s="222">
      <c r="A252" s="117" t="inlineStr">
        <is>
          <t>Mint House Midtown Phoenix</t>
        </is>
      </c>
      <c r="B252" s="73" t="inlineStr">
        <is>
          <t>Hotel</t>
        </is>
      </c>
      <c r="C252" s="8" t="n"/>
      <c r="D252" s="28" t="n"/>
      <c r="E252" s="73" t="n"/>
      <c r="F252" s="73" t="n"/>
      <c r="G252" s="205" t="n"/>
      <c r="H252" s="116" t="n"/>
      <c r="I252" s="88" t="n"/>
      <c r="J252" s="28" t="n"/>
      <c r="K252" s="34" t="n"/>
      <c r="L252" s="45" t="n"/>
      <c r="M252" s="65" t="n"/>
      <c r="N252" s="65" t="n"/>
      <c r="O252" s="65" t="n"/>
      <c r="P252" s="65" t="n"/>
      <c r="Q252" s="65" t="n"/>
      <c r="R252" s="65" t="n"/>
      <c r="S252" s="18" t="n"/>
      <c r="T252" s="18" t="n"/>
      <c r="U252" s="30" t="n"/>
      <c r="V252" s="18" t="n"/>
      <c r="W252" s="18" t="n"/>
      <c r="X252" s="18" t="n"/>
      <c r="Y252" s="65" t="n"/>
      <c r="Z252" s="65" t="n"/>
      <c r="AA252" s="28" t="n"/>
      <c r="AB252" s="28" t="n"/>
      <c r="AC252" s="28" t="n"/>
      <c r="AD252" s="28" t="n"/>
      <c r="AE252" s="28" t="n"/>
      <c r="AF252" s="28" t="n"/>
      <c r="AG252" s="28" t="n"/>
      <c r="AH252" s="28" t="n"/>
      <c r="AI252" s="28" t="n"/>
      <c r="AJ252" s="28" t="n"/>
      <c r="AK252" s="28" t="n"/>
      <c r="AL252" s="65" t="n"/>
      <c r="AM252" s="65" t="n"/>
      <c r="AN252" s="65" t="n"/>
      <c r="AO252" s="65" t="n"/>
      <c r="AP252" s="65" t="n"/>
    </row>
    <row r="253" ht="51.75" customHeight="1" s="222">
      <c r="A253" s="117" t="inlineStr">
        <is>
          <t>Placemakr Downtown Phoenix</t>
        </is>
      </c>
      <c r="B253" s="73" t="inlineStr">
        <is>
          <t>Hotel</t>
        </is>
      </c>
      <c r="C253" s="8" t="n"/>
      <c r="D253" s="28" t="n"/>
      <c r="E253" s="73" t="n"/>
      <c r="F253" s="73" t="n"/>
      <c r="G253" s="205" t="n"/>
      <c r="H253" s="116" t="n"/>
      <c r="I253" s="88" t="n"/>
      <c r="J253" s="28" t="n"/>
      <c r="K253" s="34" t="n"/>
      <c r="L253" s="45" t="n"/>
      <c r="M253" s="65" t="n"/>
      <c r="N253" s="65" t="n"/>
      <c r="O253" s="65" t="n"/>
      <c r="P253" s="65" t="n"/>
      <c r="Q253" s="65" t="n"/>
      <c r="R253" s="65" t="n"/>
      <c r="S253" s="18" t="n"/>
      <c r="T253" s="18" t="n"/>
      <c r="U253" s="30" t="n"/>
      <c r="V253" s="18" t="n"/>
      <c r="W253" s="18" t="n"/>
      <c r="X253" s="18" t="n"/>
      <c r="Y253" s="65" t="n"/>
      <c r="Z253" s="65" t="n"/>
      <c r="AA253" s="28" t="n"/>
      <c r="AB253" s="28" t="n"/>
      <c r="AC253" s="28" t="n"/>
      <c r="AD253" s="28" t="n"/>
      <c r="AE253" s="28" t="n"/>
      <c r="AF253" s="28" t="n"/>
      <c r="AG253" s="28" t="n"/>
      <c r="AH253" s="28" t="n"/>
      <c r="AI253" s="28" t="n"/>
      <c r="AJ253" s="28" t="n"/>
      <c r="AK253" s="28" t="n"/>
      <c r="AL253" s="65" t="n"/>
      <c r="AM253" s="65" t="n"/>
      <c r="AN253" s="65" t="n"/>
      <c r="AO253" s="65" t="n"/>
      <c r="AP253" s="65" t="n"/>
    </row>
    <row r="254" ht="51.75" customHeight="1" s="222">
      <c r="A254" s="117" t="inlineStr">
        <is>
          <t>Sonder Mill Ave Apartments Tempe</t>
        </is>
      </c>
      <c r="B254" s="73" t="inlineStr">
        <is>
          <t>Hotel</t>
        </is>
      </c>
      <c r="C254" s="8" t="n"/>
      <c r="D254" s="28" t="n"/>
      <c r="E254" s="73" t="n"/>
      <c r="F254" s="73" t="n"/>
      <c r="G254" s="205" t="n"/>
      <c r="H254" s="116" t="n"/>
      <c r="I254" s="88" t="n"/>
      <c r="J254" s="28" t="n"/>
      <c r="K254" s="34" t="n"/>
      <c r="L254" s="45" t="n"/>
      <c r="M254" s="65" t="n"/>
      <c r="N254" s="65" t="n"/>
      <c r="O254" s="65" t="n"/>
      <c r="P254" s="65" t="n"/>
      <c r="Q254" s="65" t="n"/>
      <c r="R254" s="65" t="n"/>
      <c r="S254" s="18" t="n"/>
      <c r="T254" s="18" t="n"/>
      <c r="U254" s="30" t="n"/>
      <c r="V254" s="18" t="n"/>
      <c r="W254" s="18" t="n"/>
      <c r="X254" s="18" t="n"/>
      <c r="Y254" s="65" t="n"/>
      <c r="Z254" s="65" t="n"/>
      <c r="AA254" s="28" t="n"/>
      <c r="AB254" s="28" t="n"/>
      <c r="AC254" s="28" t="n"/>
      <c r="AD254" s="28" t="n"/>
      <c r="AE254" s="28" t="n"/>
      <c r="AF254" s="28" t="n"/>
      <c r="AG254" s="28" t="n"/>
      <c r="AH254" s="28" t="n"/>
      <c r="AI254" s="28" t="n"/>
      <c r="AJ254" s="28" t="n"/>
      <c r="AK254" s="28" t="n"/>
      <c r="AL254" s="65" t="n"/>
      <c r="AM254" s="65" t="n"/>
      <c r="AN254" s="65" t="n"/>
      <c r="AO254" s="65" t="n"/>
      <c r="AP254" s="65" t="n"/>
    </row>
    <row r="255" ht="51.75" customHeight="1" s="222">
      <c r="A255" s="117" t="inlineStr">
        <is>
          <t>Sonder Ida Apartments Downtown</t>
        </is>
      </c>
      <c r="B255" s="73" t="inlineStr">
        <is>
          <t>Hotel</t>
        </is>
      </c>
      <c r="C255" s="8" t="n"/>
      <c r="D255" s="28" t="n"/>
      <c r="E255" s="73" t="n"/>
      <c r="F255" s="73" t="n"/>
      <c r="G255" s="205" t="n"/>
      <c r="H255" s="116" t="n"/>
      <c r="I255" s="88" t="n"/>
      <c r="J255" s="28" t="n"/>
      <c r="K255" s="34" t="n"/>
      <c r="L255" s="45" t="n"/>
      <c r="M255" s="65" t="n"/>
      <c r="N255" s="65" t="n"/>
      <c r="O255" s="65" t="n"/>
      <c r="P255" s="65" t="n"/>
      <c r="Q255" s="65" t="n"/>
      <c r="R255" s="65" t="n"/>
      <c r="S255" s="18" t="n"/>
      <c r="T255" s="18" t="n"/>
      <c r="U255" s="30" t="n"/>
      <c r="V255" s="18" t="n"/>
      <c r="W255" s="18" t="n"/>
      <c r="X255" s="18" t="n"/>
      <c r="Y255" s="65" t="n"/>
      <c r="Z255" s="65" t="n"/>
      <c r="AA255" s="28" t="n"/>
      <c r="AB255" s="28" t="n"/>
      <c r="AC255" s="28" t="n"/>
      <c r="AD255" s="28" t="n"/>
      <c r="AE255" s="28" t="n"/>
      <c r="AF255" s="28" t="n"/>
      <c r="AG255" s="28" t="n"/>
      <c r="AH255" s="28" t="n"/>
      <c r="AI255" s="28" t="n"/>
      <c r="AJ255" s="28" t="n"/>
      <c r="AK255" s="28" t="n"/>
      <c r="AL255" s="65" t="n"/>
      <c r="AM255" s="65" t="n"/>
      <c r="AN255" s="65" t="n"/>
      <c r="AO255" s="65" t="n"/>
      <c r="AP255" s="65" t="n"/>
    </row>
    <row r="256" ht="51.75" customHeight="1" s="222">
      <c r="A256" s="117" t="inlineStr">
        <is>
          <t>Sentral Old Town</t>
        </is>
      </c>
      <c r="B256" s="73" t="inlineStr">
        <is>
          <t>Hotel</t>
        </is>
      </c>
      <c r="C256" s="8" t="n"/>
      <c r="D256" s="28" t="n"/>
      <c r="E256" s="73" t="n"/>
      <c r="F256" s="73" t="n"/>
      <c r="G256" s="205" t="n"/>
      <c r="H256" s="116" t="n"/>
      <c r="I256" s="88" t="n"/>
      <c r="J256" s="28" t="n"/>
      <c r="K256" s="34" t="n"/>
      <c r="L256" s="45" t="n"/>
      <c r="M256" s="65" t="n"/>
      <c r="N256" s="65" t="n"/>
      <c r="O256" s="65" t="n"/>
      <c r="P256" s="65" t="n"/>
      <c r="Q256" s="65" t="n"/>
      <c r="R256" s="65" t="n"/>
      <c r="S256" s="18" t="n"/>
      <c r="T256" s="18" t="n"/>
      <c r="U256" s="30" t="n"/>
      <c r="V256" s="18" t="n"/>
      <c r="W256" s="18" t="n"/>
      <c r="X256" s="18" t="n"/>
      <c r="Y256" s="65" t="n"/>
      <c r="Z256" s="65" t="n"/>
      <c r="AA256" s="28" t="n"/>
      <c r="AB256" s="28" t="n"/>
      <c r="AC256" s="28" t="n"/>
      <c r="AD256" s="28" t="n"/>
      <c r="AE256" s="28" t="n"/>
      <c r="AF256" s="28" t="n"/>
      <c r="AG256" s="28" t="n"/>
      <c r="AH256" s="28" t="n"/>
      <c r="AI256" s="28" t="n"/>
      <c r="AJ256" s="28" t="n"/>
      <c r="AK256" s="28" t="n"/>
      <c r="AL256" s="65" t="n"/>
      <c r="AM256" s="65" t="n"/>
      <c r="AN256" s="65" t="n"/>
      <c r="AO256" s="65" t="n"/>
      <c r="AP256" s="65" t="n"/>
    </row>
    <row r="257" ht="51.75" customHeight="1" s="222">
      <c r="A257" s="117" t="inlineStr">
        <is>
          <t>The Grand Inn</t>
        </is>
      </c>
      <c r="B257" s="73" t="inlineStr">
        <is>
          <t>Hotel</t>
        </is>
      </c>
      <c r="C257" s="8" t="n"/>
      <c r="D257" s="28" t="n"/>
      <c r="E257" s="73" t="n"/>
      <c r="F257" s="73" t="n"/>
      <c r="G257" s="205" t="n"/>
      <c r="H257" s="116" t="n"/>
      <c r="I257" s="88" t="n"/>
      <c r="J257" s="28" t="n"/>
      <c r="K257" s="34" t="n"/>
      <c r="L257" s="45" t="n"/>
      <c r="M257" s="65" t="n"/>
      <c r="N257" s="65" t="n"/>
      <c r="O257" s="65" t="n"/>
      <c r="P257" s="65" t="n"/>
      <c r="Q257" s="65" t="n"/>
      <c r="R257" s="65" t="n"/>
      <c r="S257" s="18" t="n"/>
      <c r="T257" s="18" t="n"/>
      <c r="U257" s="30" t="n"/>
      <c r="V257" s="18" t="n"/>
      <c r="W257" s="18" t="n"/>
      <c r="X257" s="18" t="n"/>
      <c r="Y257" s="65" t="n"/>
      <c r="Z257" s="65" t="n"/>
      <c r="AA257" s="28" t="n"/>
      <c r="AB257" s="28" t="n"/>
      <c r="AC257" s="28" t="n"/>
      <c r="AD257" s="28" t="n"/>
      <c r="AE257" s="28" t="n"/>
      <c r="AF257" s="28" t="n"/>
      <c r="AG257" s="28" t="n"/>
      <c r="AH257" s="28" t="n"/>
      <c r="AI257" s="28" t="n"/>
      <c r="AJ257" s="28" t="n"/>
      <c r="AK257" s="28" t="n"/>
      <c r="AL257" s="65" t="n"/>
      <c r="AM257" s="65" t="n"/>
      <c r="AN257" s="65" t="n"/>
      <c r="AO257" s="65" t="n"/>
      <c r="AP257" s="65" t="n"/>
    </row>
    <row r="258" ht="51.75" customHeight="1" s="222">
      <c r="A258" s="117" t="inlineStr">
        <is>
          <t>Hotel Solaya</t>
        </is>
      </c>
      <c r="B258" s="73" t="inlineStr">
        <is>
          <t>Hotel</t>
        </is>
      </c>
      <c r="C258" s="8" t="n"/>
      <c r="D258" s="28" t="n"/>
      <c r="E258" s="73" t="n"/>
      <c r="F258" s="73" t="n"/>
      <c r="G258" s="205" t="n"/>
      <c r="H258" s="116" t="n"/>
      <c r="I258" s="88" t="n"/>
      <c r="J258" s="28" t="n"/>
      <c r="K258" s="34" t="n"/>
      <c r="L258" s="45" t="n"/>
      <c r="M258" s="65" t="n"/>
      <c r="N258" s="65" t="n"/>
      <c r="O258" s="65" t="n"/>
      <c r="P258" s="65" t="n"/>
      <c r="Q258" s="65" t="n"/>
      <c r="R258" s="65" t="n"/>
      <c r="S258" s="18" t="n"/>
      <c r="T258" s="18" t="n"/>
      <c r="U258" s="30" t="n"/>
      <c r="V258" s="18" t="n"/>
      <c r="W258" s="18" t="n"/>
      <c r="X258" s="18" t="n"/>
      <c r="Y258" s="65" t="n"/>
      <c r="Z258" s="65" t="n"/>
      <c r="AA258" s="28" t="n"/>
      <c r="AB258" s="28" t="n"/>
      <c r="AC258" s="28" t="n"/>
      <c r="AD258" s="28" t="n"/>
      <c r="AE258" s="28" t="n"/>
      <c r="AF258" s="28" t="n"/>
      <c r="AG258" s="28" t="n"/>
      <c r="AH258" s="28" t="n"/>
      <c r="AI258" s="28" t="n"/>
      <c r="AJ258" s="28" t="n"/>
      <c r="AK258" s="28" t="n"/>
      <c r="AL258" s="65" t="n"/>
      <c r="AM258" s="65" t="n"/>
      <c r="AN258" s="65" t="n"/>
      <c r="AO258" s="65" t="n"/>
      <c r="AP258" s="65" t="n"/>
    </row>
    <row r="259" ht="51.75" customHeight="1" s="222">
      <c r="A259" s="117" t="inlineStr">
        <is>
          <t>Papago Hotel by Reside, Trademark Collection by Wyndham</t>
        </is>
      </c>
      <c r="B259" s="73" t="inlineStr">
        <is>
          <t>Hotel</t>
        </is>
      </c>
      <c r="C259" s="8" t="n"/>
      <c r="D259" s="114" t="inlineStr">
        <is>
          <t>7017 E McDowell Rd, Scottsdale, AZ 85257</t>
        </is>
      </c>
      <c r="E259" s="73" t="n"/>
      <c r="F259" s="119" t="inlineStr">
        <is>
          <t>(908) 301-6717</t>
        </is>
      </c>
      <c r="G259" s="205" t="n"/>
      <c r="H259" s="116" t="n"/>
      <c r="I259" s="88" t="n"/>
      <c r="J259" s="28" t="n"/>
      <c r="K259" s="34" t="n"/>
      <c r="L259" s="45" t="n"/>
      <c r="M259" s="65" t="n"/>
      <c r="N259" s="65" t="n"/>
      <c r="O259" s="65" t="n"/>
      <c r="P259" s="65" t="n"/>
      <c r="Q259" s="65" t="n"/>
      <c r="R259" s="65" t="n"/>
      <c r="S259" s="18" t="n"/>
      <c r="T259" s="18" t="n"/>
      <c r="U259" s="30" t="n"/>
      <c r="V259" s="18" t="n"/>
      <c r="W259" s="18" t="n"/>
      <c r="X259" s="18" t="n"/>
      <c r="Y259" s="65" t="n"/>
      <c r="Z259" s="65" t="n"/>
      <c r="AA259" s="28" t="n"/>
      <c r="AB259" s="28" t="n"/>
      <c r="AC259" s="28" t="n"/>
      <c r="AD259" s="28" t="n"/>
      <c r="AE259" s="28" t="n"/>
      <c r="AF259" s="28" t="n"/>
      <c r="AG259" s="28" t="n"/>
      <c r="AH259" s="28" t="n"/>
      <c r="AI259" s="28" t="n"/>
      <c r="AJ259" s="28" t="n"/>
      <c r="AK259" s="28" t="n"/>
      <c r="AL259" s="65" t="n"/>
      <c r="AM259" s="65" t="n"/>
      <c r="AN259" s="65" t="n"/>
      <c r="AO259" s="65" t="n"/>
      <c r="AP259" s="65" t="n"/>
    </row>
    <row r="260" ht="51.75" customHeight="1" s="222">
      <c r="A260" s="117" t="inlineStr">
        <is>
          <t>The Edith</t>
        </is>
      </c>
      <c r="B260" s="73" t="inlineStr">
        <is>
          <t>Hotel</t>
        </is>
      </c>
      <c r="C260" s="8" t="n"/>
      <c r="D260" s="28" t="n"/>
      <c r="E260" s="73" t="n"/>
      <c r="F260" s="119" t="n"/>
      <c r="G260" s="205" t="n"/>
      <c r="H260" s="116" t="n"/>
      <c r="I260" s="88" t="n"/>
      <c r="J260" s="28" t="n"/>
      <c r="K260" s="34" t="n"/>
      <c r="L260" s="45" t="n"/>
      <c r="M260" s="65" t="n"/>
      <c r="N260" s="65" t="n"/>
      <c r="O260" s="65" t="n"/>
      <c r="P260" s="65" t="n"/>
      <c r="Q260" s="65" t="n"/>
      <c r="R260" s="65" t="n"/>
      <c r="S260" s="18" t="n"/>
      <c r="T260" s="18" t="n"/>
      <c r="U260" s="30" t="n"/>
      <c r="V260" s="18" t="n"/>
      <c r="W260" s="18" t="n"/>
      <c r="X260" s="18" t="n"/>
      <c r="Y260" s="65" t="n"/>
      <c r="Z260" s="65" t="n"/>
      <c r="AA260" s="28" t="n"/>
      <c r="AB260" s="28" t="n"/>
      <c r="AC260" s="28" t="n"/>
      <c r="AD260" s="28" t="n"/>
      <c r="AE260" s="28" t="n"/>
      <c r="AF260" s="28" t="n"/>
      <c r="AG260" s="28" t="n"/>
      <c r="AH260" s="28" t="n"/>
      <c r="AI260" s="28" t="n"/>
      <c r="AJ260" s="28" t="n"/>
      <c r="AK260" s="28" t="n"/>
      <c r="AL260" s="65" t="n"/>
      <c r="AM260" s="65" t="n"/>
      <c r="AN260" s="65" t="n"/>
      <c r="AO260" s="65" t="n"/>
      <c r="AP260" s="65" t="n"/>
    </row>
    <row r="261" ht="51.75" customHeight="1" s="222">
      <c r="A261" s="117" t="inlineStr">
        <is>
          <t>Alloy Midtown</t>
        </is>
      </c>
      <c r="B261" s="73" t="inlineStr">
        <is>
          <t>Hotel</t>
        </is>
      </c>
      <c r="C261" s="8" t="n"/>
      <c r="D261" s="28" t="n"/>
      <c r="E261" s="73" t="n"/>
      <c r="F261" s="73" t="n"/>
      <c r="G261" s="205" t="n"/>
      <c r="H261" s="116" t="n"/>
      <c r="I261" s="88" t="n"/>
      <c r="J261" s="28" t="n"/>
      <c r="K261" s="34" t="n"/>
      <c r="L261" s="45" t="n"/>
      <c r="M261" s="65" t="n"/>
      <c r="N261" s="65" t="n"/>
      <c r="O261" s="65" t="n"/>
      <c r="P261" s="65" t="n"/>
      <c r="Q261" s="65" t="n"/>
      <c r="R261" s="65" t="n"/>
      <c r="S261" s="18" t="n"/>
      <c r="T261" s="18" t="n"/>
      <c r="U261" s="30" t="n"/>
      <c r="V261" s="18" t="n"/>
      <c r="W261" s="18" t="n"/>
      <c r="X261" s="18" t="n"/>
      <c r="Y261" s="65" t="n"/>
      <c r="Z261" s="65" t="n"/>
      <c r="AA261" s="28" t="n"/>
      <c r="AB261" s="28" t="n"/>
      <c r="AC261" s="28" t="n"/>
      <c r="AD261" s="28" t="n"/>
      <c r="AE261" s="28" t="n"/>
      <c r="AF261" s="28" t="n"/>
      <c r="AG261" s="28" t="n"/>
      <c r="AH261" s="28" t="n"/>
      <c r="AI261" s="28" t="n"/>
      <c r="AJ261" s="28" t="n"/>
      <c r="AK261" s="28" t="n"/>
      <c r="AL261" s="65" t="n"/>
      <c r="AM261" s="65" t="n"/>
      <c r="AN261" s="65" t="n"/>
      <c r="AO261" s="65" t="n"/>
      <c r="AP261" s="65" t="n"/>
    </row>
    <row r="262" ht="51.75" customHeight="1" s="222">
      <c r="A262" s="117" t="inlineStr">
        <is>
          <t>W2ND Historic Inn</t>
        </is>
      </c>
      <c r="B262" s="73" t="inlineStr">
        <is>
          <t>Hotel</t>
        </is>
      </c>
      <c r="C262" s="8" t="n"/>
      <c r="D262" s="28" t="n"/>
      <c r="E262" s="73" t="n"/>
      <c r="F262" s="73" t="n"/>
      <c r="G262" s="205" t="n"/>
      <c r="H262" s="116" t="n"/>
      <c r="I262" s="88" t="n"/>
      <c r="J262" s="28" t="n"/>
      <c r="K262" s="34" t="n"/>
      <c r="L262" s="45" t="n"/>
      <c r="M262" s="65" t="n"/>
      <c r="N262" s="65" t="n"/>
      <c r="O262" s="65" t="n"/>
      <c r="P262" s="65" t="n"/>
      <c r="Q262" s="65" t="n"/>
      <c r="R262" s="65" t="n"/>
      <c r="S262" s="18" t="n"/>
      <c r="T262" s="18" t="n"/>
      <c r="U262" s="30" t="n"/>
      <c r="V262" s="18" t="n"/>
      <c r="W262" s="18" t="n"/>
      <c r="X262" s="18" t="n"/>
      <c r="Y262" s="65" t="n"/>
      <c r="Z262" s="65" t="n"/>
      <c r="AA262" s="28" t="n"/>
      <c r="AB262" s="28" t="n"/>
      <c r="AC262" s="28" t="n"/>
      <c r="AD262" s="28" t="n"/>
      <c r="AE262" s="28" t="n"/>
      <c r="AF262" s="28" t="n"/>
      <c r="AG262" s="28" t="n"/>
      <c r="AH262" s="28" t="n"/>
      <c r="AI262" s="28" t="n"/>
      <c r="AJ262" s="28" t="n"/>
      <c r="AK262" s="28" t="n"/>
      <c r="AL262" s="65" t="n"/>
      <c r="AM262" s="65" t="n"/>
      <c r="AN262" s="65" t="n"/>
      <c r="AO262" s="65" t="n"/>
      <c r="AP262" s="65" t="n"/>
    </row>
    <row r="263" ht="51.75" customHeight="1" s="222">
      <c r="A263" s="117" t="inlineStr">
        <is>
          <t>Recess Hotel &amp; Club Phoenix</t>
        </is>
      </c>
      <c r="B263" s="73" t="inlineStr">
        <is>
          <t>Hotel</t>
        </is>
      </c>
      <c r="C263" s="8" t="n"/>
      <c r="D263" s="28" t="n"/>
      <c r="E263" s="73" t="n"/>
      <c r="F263" s="73" t="n"/>
      <c r="G263" s="205" t="n"/>
      <c r="H263" s="116" t="n"/>
      <c r="I263" s="88" t="n"/>
      <c r="J263" s="28" t="n"/>
      <c r="K263" s="34" t="n"/>
      <c r="L263" s="45" t="n"/>
      <c r="M263" s="65" t="n"/>
      <c r="N263" s="65" t="n"/>
      <c r="O263" s="65" t="n"/>
      <c r="P263" s="65" t="n"/>
      <c r="Q263" s="65" t="n"/>
      <c r="R263" s="65" t="n"/>
      <c r="S263" s="18" t="n"/>
      <c r="T263" s="18" t="n"/>
      <c r="U263" s="30" t="n"/>
      <c r="V263" s="18" t="n"/>
      <c r="W263" s="18" t="n"/>
      <c r="X263" s="18" t="n"/>
      <c r="Y263" s="65" t="n"/>
      <c r="Z263" s="65" t="n"/>
      <c r="AA263" s="28" t="n"/>
      <c r="AB263" s="28" t="n"/>
      <c r="AC263" s="28" t="n"/>
      <c r="AD263" s="28" t="n"/>
      <c r="AE263" s="28" t="n"/>
      <c r="AF263" s="28" t="n"/>
      <c r="AG263" s="28" t="n"/>
      <c r="AH263" s="28" t="n"/>
      <c r="AI263" s="28" t="n"/>
      <c r="AJ263" s="28" t="n"/>
      <c r="AK263" s="28" t="n"/>
      <c r="AL263" s="65" t="n"/>
      <c r="AM263" s="65" t="n"/>
      <c r="AN263" s="65" t="n"/>
      <c r="AO263" s="65" t="n"/>
      <c r="AP263" s="65" t="n"/>
    </row>
    <row r="264" ht="51.75" customHeight="1" s="222">
      <c r="A264" s="117" t="inlineStr">
        <is>
          <t>SLS Scottsdale</t>
        </is>
      </c>
      <c r="B264" s="73" t="inlineStr">
        <is>
          <t>Hotel</t>
        </is>
      </c>
      <c r="C264" s="8" t="n"/>
      <c r="D264" s="28" t="n"/>
      <c r="E264" s="73" t="n"/>
      <c r="F264" s="73" t="n"/>
      <c r="G264" s="205" t="n"/>
      <c r="H264" s="116" t="n"/>
      <c r="I264" s="88" t="n"/>
      <c r="J264" s="28" t="n"/>
      <c r="K264" s="34" t="n"/>
      <c r="L264" s="45" t="n"/>
      <c r="M264" s="65" t="n"/>
      <c r="N264" s="65" t="n"/>
      <c r="O264" s="65" t="n"/>
      <c r="P264" s="65" t="n"/>
      <c r="Q264" s="65" t="n"/>
      <c r="R264" s="65" t="n"/>
      <c r="S264" s="18" t="n"/>
      <c r="T264" s="18" t="n"/>
      <c r="U264" s="30" t="n"/>
      <c r="V264" s="18" t="n"/>
      <c r="W264" s="18" t="n"/>
      <c r="X264" s="18" t="n"/>
      <c r="Y264" s="65" t="n"/>
      <c r="Z264" s="65" t="n"/>
      <c r="AA264" s="28" t="n"/>
      <c r="AB264" s="28" t="n"/>
      <c r="AC264" s="28" t="n"/>
      <c r="AD264" s="28" t="n"/>
      <c r="AE264" s="28" t="n"/>
      <c r="AF264" s="28" t="n"/>
      <c r="AG264" s="28" t="n"/>
      <c r="AH264" s="28" t="n"/>
      <c r="AI264" s="28" t="n"/>
      <c r="AJ264" s="28" t="n"/>
      <c r="AK264" s="28" t="n"/>
      <c r="AL264" s="65" t="n"/>
      <c r="AM264" s="65" t="n"/>
      <c r="AN264" s="65" t="n"/>
      <c r="AO264" s="65" t="n"/>
      <c r="AP264" s="65" t="n"/>
    </row>
    <row r="265" ht="51.75" customHeight="1" s="222">
      <c r="A265" s="117" t="inlineStr">
        <is>
          <t>Phoenix Tempe, Autograph Collection</t>
        </is>
      </c>
      <c r="B265" s="73" t="inlineStr">
        <is>
          <t>Hotel</t>
        </is>
      </c>
      <c r="C265" s="8" t="n"/>
      <c r="D265" s="28" t="n"/>
      <c r="E265" s="73" t="n"/>
      <c r="F265" s="73" t="n"/>
      <c r="G265" s="205" t="n"/>
      <c r="H265" s="116" t="n"/>
      <c r="I265" s="88" t="n"/>
      <c r="J265" s="28" t="n"/>
      <c r="K265" s="34" t="n"/>
      <c r="L265" s="45" t="n"/>
      <c r="M265" s="65" t="n"/>
      <c r="N265" s="65" t="n"/>
      <c r="O265" s="65" t="n"/>
      <c r="P265" s="65" t="n"/>
      <c r="Q265" s="65" t="n"/>
      <c r="R265" s="65" t="n"/>
      <c r="S265" s="18" t="n"/>
      <c r="T265" s="18" t="n"/>
      <c r="U265" s="30" t="n"/>
      <c r="V265" s="18" t="n"/>
      <c r="W265" s="18" t="n"/>
      <c r="X265" s="18" t="n"/>
      <c r="Y265" s="65" t="n"/>
      <c r="Z265" s="65" t="n"/>
      <c r="AA265" s="28" t="n"/>
      <c r="AB265" s="28" t="n"/>
      <c r="AC265" s="28" t="n"/>
      <c r="AD265" s="28" t="n"/>
      <c r="AE265" s="28" t="n"/>
      <c r="AF265" s="28" t="n"/>
      <c r="AG265" s="28" t="n"/>
      <c r="AH265" s="28" t="n"/>
      <c r="AI265" s="28" t="n"/>
      <c r="AJ265" s="28" t="n"/>
      <c r="AK265" s="28" t="n"/>
      <c r="AL265" s="65" t="n"/>
      <c r="AM265" s="65" t="n"/>
      <c r="AN265" s="65" t="n"/>
      <c r="AO265" s="65" t="n"/>
      <c r="AP265" s="65" t="n"/>
    </row>
    <row r="266" ht="51.75" customHeight="1" s="222">
      <c r="A266" s="117" t="inlineStr">
        <is>
          <t>Astra Phoenix</t>
        </is>
      </c>
      <c r="B266" s="73" t="inlineStr">
        <is>
          <t>Hotel</t>
        </is>
      </c>
      <c r="C266" s="8" t="n"/>
      <c r="D266" s="28" t="n"/>
      <c r="E266" s="73" t="n"/>
      <c r="F266" s="73" t="n"/>
      <c r="G266" s="205" t="n"/>
      <c r="H266" s="116" t="n"/>
      <c r="I266" s="88" t="n"/>
      <c r="J266" s="28" t="n"/>
      <c r="K266" s="34" t="n"/>
      <c r="L266" s="45" t="n"/>
      <c r="M266" s="65" t="n"/>
      <c r="N266" s="65" t="n"/>
      <c r="O266" s="65" t="n"/>
      <c r="P266" s="65" t="n"/>
      <c r="Q266" s="65" t="n"/>
      <c r="R266" s="65" t="n"/>
      <c r="S266" s="18" t="n"/>
      <c r="T266" s="18" t="n"/>
      <c r="U266" s="30" t="n"/>
      <c r="V266" s="18" t="n"/>
      <c r="W266" s="18" t="n"/>
      <c r="X266" s="18" t="n"/>
      <c r="Y266" s="65" t="n"/>
      <c r="Z266" s="65" t="n"/>
      <c r="AA266" s="28" t="n"/>
      <c r="AB266" s="28" t="n"/>
      <c r="AC266" s="28" t="n"/>
      <c r="AD266" s="28" t="n"/>
      <c r="AE266" s="28" t="n"/>
      <c r="AF266" s="28" t="n"/>
      <c r="AG266" s="28" t="n"/>
      <c r="AH266" s="28" t="n"/>
      <c r="AI266" s="28" t="n"/>
      <c r="AJ266" s="28" t="n"/>
      <c r="AK266" s="28" t="n"/>
      <c r="AL266" s="65" t="n"/>
      <c r="AM266" s="65" t="n"/>
      <c r="AN266" s="65" t="n"/>
      <c r="AO266" s="65" t="n"/>
      <c r="AP266" s="65" t="n"/>
    </row>
    <row r="267" ht="51.75" customHeight="1" s="222">
      <c r="A267" s="117" t="inlineStr">
        <is>
          <t>Atari Hotels Phoenix</t>
        </is>
      </c>
      <c r="B267" s="73" t="inlineStr">
        <is>
          <t>Hotel</t>
        </is>
      </c>
      <c r="C267" s="8" t="n"/>
      <c r="D267" s="28" t="n"/>
      <c r="E267" s="73" t="n"/>
      <c r="F267" s="73" t="n"/>
      <c r="G267" s="205" t="n"/>
      <c r="H267" s="116" t="n"/>
      <c r="I267" s="88" t="n"/>
      <c r="J267" s="28" t="n"/>
      <c r="K267" s="34" t="n"/>
      <c r="L267" s="45" t="n"/>
      <c r="M267" s="65" t="n"/>
      <c r="N267" s="65" t="n"/>
      <c r="O267" s="65" t="n"/>
      <c r="P267" s="65" t="n"/>
      <c r="Q267" s="65" t="n"/>
      <c r="R267" s="65" t="n"/>
      <c r="S267" s="18" t="n"/>
      <c r="T267" s="18" t="n"/>
      <c r="U267" s="30" t="n"/>
      <c r="V267" s="18" t="n"/>
      <c r="W267" s="18" t="n"/>
      <c r="X267" s="18" t="n"/>
      <c r="Y267" s="65" t="n"/>
      <c r="Z267" s="65" t="n"/>
      <c r="AA267" s="28" t="n"/>
      <c r="AB267" s="28" t="n"/>
      <c r="AC267" s="28" t="n"/>
      <c r="AD267" s="28" t="n"/>
      <c r="AE267" s="28" t="n"/>
      <c r="AF267" s="28" t="n"/>
      <c r="AG267" s="28" t="n"/>
      <c r="AH267" s="28" t="n"/>
      <c r="AI267" s="28" t="n"/>
      <c r="AJ267" s="28" t="n"/>
      <c r="AK267" s="28" t="n"/>
      <c r="AL267" s="65" t="n"/>
      <c r="AM267" s="65" t="n"/>
      <c r="AN267" s="65" t="n"/>
      <c r="AO267" s="65" t="n"/>
      <c r="AP267" s="65" t="n"/>
    </row>
    <row r="268" ht="51.75" customHeight="1" s="222">
      <c r="A268" s="117" t="inlineStr">
        <is>
          <t>Museum Square Hotel</t>
        </is>
      </c>
      <c r="B268" s="73" t="inlineStr">
        <is>
          <t>Hotel</t>
        </is>
      </c>
      <c r="C268" s="8" t="n"/>
      <c r="D268" s="28" t="n"/>
      <c r="E268" s="73" t="n"/>
      <c r="F268" s="73" t="n"/>
      <c r="G268" s="205" t="n"/>
      <c r="H268" s="116" t="n"/>
      <c r="I268" s="88" t="n"/>
      <c r="J268" s="28" t="n"/>
      <c r="K268" s="34" t="n"/>
      <c r="L268" s="45" t="n"/>
      <c r="M268" s="65" t="n"/>
      <c r="N268" s="65" t="n"/>
      <c r="O268" s="65" t="n"/>
      <c r="P268" s="65" t="n"/>
      <c r="Q268" s="65" t="n"/>
      <c r="R268" s="65" t="n"/>
      <c r="S268" s="18" t="n"/>
      <c r="T268" s="18" t="n"/>
      <c r="U268" s="30" t="n"/>
      <c r="V268" s="18" t="n"/>
      <c r="W268" s="18" t="n"/>
      <c r="X268" s="18" t="n"/>
      <c r="Y268" s="65" t="n"/>
      <c r="Z268" s="65" t="n"/>
      <c r="AA268" s="28" t="n"/>
      <c r="AB268" s="28" t="n"/>
      <c r="AC268" s="28" t="n"/>
      <c r="AD268" s="28" t="n"/>
      <c r="AE268" s="28" t="n"/>
      <c r="AF268" s="28" t="n"/>
      <c r="AG268" s="28" t="n"/>
      <c r="AH268" s="28" t="n"/>
      <c r="AI268" s="28" t="n"/>
      <c r="AJ268" s="28" t="n"/>
      <c r="AK268" s="28" t="n"/>
      <c r="AL268" s="65" t="n"/>
      <c r="AM268" s="65" t="n"/>
      <c r="AN268" s="65" t="n"/>
      <c r="AO268" s="65" t="n"/>
      <c r="AP268" s="65" t="n"/>
    </row>
    <row r="269" ht="51.75" customHeight="1" s="222">
      <c r="A269" s="117" t="inlineStr">
        <is>
          <t>Glo</t>
        </is>
      </c>
      <c r="B269" s="73" t="inlineStr">
        <is>
          <t>Hotel</t>
        </is>
      </c>
      <c r="C269" s="8" t="n"/>
      <c r="D269" s="28" t="n"/>
      <c r="E269" s="73" t="n"/>
      <c r="F269" s="73" t="n"/>
      <c r="G269" s="205" t="n"/>
      <c r="H269" s="116" t="n"/>
      <c r="I269" s="88" t="n"/>
      <c r="J269" s="28" t="n"/>
      <c r="K269" s="34" t="n"/>
      <c r="L269" s="45" t="n"/>
      <c r="M269" s="65" t="n"/>
      <c r="N269" s="65" t="n"/>
      <c r="O269" s="65" t="n"/>
      <c r="P269" s="65" t="n"/>
      <c r="Q269" s="65" t="n"/>
      <c r="R269" s="65" t="n"/>
      <c r="S269" s="18" t="n"/>
      <c r="T269" s="18" t="n"/>
      <c r="U269" s="30" t="n"/>
      <c r="V269" s="18" t="n"/>
      <c r="W269" s="18" t="n"/>
      <c r="X269" s="18" t="n"/>
      <c r="Y269" s="65" t="n"/>
      <c r="Z269" s="65" t="n"/>
      <c r="AA269" s="28" t="n"/>
      <c r="AB269" s="28" t="n"/>
      <c r="AC269" s="28" t="n"/>
      <c r="AD269" s="28" t="n"/>
      <c r="AE269" s="28" t="n"/>
      <c r="AF269" s="28" t="n"/>
      <c r="AG269" s="28" t="n"/>
      <c r="AH269" s="28" t="n"/>
      <c r="AI269" s="28" t="n"/>
      <c r="AJ269" s="28" t="n"/>
      <c r="AK269" s="28" t="n"/>
      <c r="AL269" s="65" t="n"/>
      <c r="AM269" s="65" t="n"/>
      <c r="AN269" s="65" t="n"/>
      <c r="AO269" s="65" t="n"/>
      <c r="AP269" s="65" t="n"/>
    </row>
    <row r="270" ht="51.75" customHeight="1" s="222">
      <c r="A270" s="73" t="inlineStr">
        <is>
          <t>Filthy Animal</t>
        </is>
      </c>
      <c r="B270" s="73" t="inlineStr">
        <is>
          <t>Restaurant</t>
        </is>
      </c>
      <c r="C270" s="8" t="n"/>
      <c r="D270" s="28" t="inlineStr">
        <is>
          <t>740 S Mill Ave Suite D140, Tempe, AZ 85281</t>
        </is>
      </c>
      <c r="E270" s="73" t="inlineStr">
        <is>
          <t>Tempe</t>
        </is>
      </c>
      <c r="F270" s="73">
        <f>14803971046</f>
        <v/>
      </c>
      <c r="G270" s="20" t="inlineStr">
        <is>
          <t>https://www.thisisfilthyanimal.com/</t>
        </is>
      </c>
      <c r="H270" s="116" t="n"/>
      <c r="I270" s="88" t="inlineStr">
        <is>
          <t>Complimentary</t>
        </is>
      </c>
      <c r="J270" s="28" t="n"/>
      <c r="K270" s="34" t="n"/>
      <c r="L270" s="45" t="n"/>
      <c r="M270" s="65" t="n"/>
      <c r="N270" s="65" t="n"/>
      <c r="O270" s="65" t="n"/>
      <c r="P270" s="65" t="n"/>
      <c r="Q270" s="65" t="n"/>
      <c r="R270" s="65" t="n"/>
      <c r="S270" s="18" t="n"/>
      <c r="T270" s="18" t="n"/>
      <c r="U270" s="30" t="n"/>
      <c r="V270" s="18" t="n"/>
      <c r="W270" s="18" t="n"/>
      <c r="X270" s="18" t="n"/>
      <c r="Y270" s="65" t="n"/>
      <c r="Z270" s="65" t="n"/>
      <c r="AA270" s="28" t="n"/>
      <c r="AB270" s="28" t="n"/>
      <c r="AC270" s="28" t="n"/>
      <c r="AD270" s="28" t="n"/>
      <c r="AE270" s="28" t="n"/>
      <c r="AF270" s="28" t="n"/>
      <c r="AG270" s="28" t="n"/>
      <c r="AH270" s="28" t="n"/>
      <c r="AI270" s="28" t="n"/>
      <c r="AJ270" s="28" t="n"/>
      <c r="AK270" s="28" t="n"/>
      <c r="AL270" s="65" t="n"/>
      <c r="AM270" s="65" t="n"/>
      <c r="AN270" s="65" t="n"/>
      <c r="AO270" s="65" t="n"/>
      <c r="AP270" s="65" t="n"/>
    </row>
    <row r="271" ht="51.75" customHeight="1" s="222">
      <c r="A271" s="73" t="inlineStr">
        <is>
          <t>Culinary Dropout - Tempe</t>
        </is>
      </c>
      <c r="B271" s="73" t="inlineStr">
        <is>
          <t>Restaurant</t>
        </is>
      </c>
      <c r="C271" s="8" t="n"/>
      <c r="D271" s="73" t="inlineStr">
        <is>
          <t>149 S Farmer Ave, Tempe AZ 85281</t>
        </is>
      </c>
      <c r="E271" s="73" t="inlineStr">
        <is>
          <t>Tempe</t>
        </is>
      </c>
      <c r="F271" s="73">
        <f>14802401601</f>
        <v/>
      </c>
      <c r="G271" s="20" t="inlineStr">
        <is>
          <t>https://www.culinarydropout.com/locations/tempe-az/?utm_source=Google&amp;utm_medium=Organic&amp;utm_campaign=Maps</t>
        </is>
      </c>
      <c r="H271" s="116" t="n"/>
      <c r="I271" s="88" t="inlineStr">
        <is>
          <t>Complimentary</t>
        </is>
      </c>
      <c r="J271" s="28" t="n"/>
      <c r="K271" s="34" t="n"/>
      <c r="L271" s="45" t="n"/>
      <c r="M271" s="65" t="n"/>
      <c r="N271" s="65" t="n"/>
      <c r="O271" s="65" t="n"/>
      <c r="P271" s="65" t="n"/>
      <c r="Q271" s="65" t="n"/>
      <c r="R271" s="65" t="n"/>
      <c r="S271" s="18" t="n"/>
      <c r="T271" s="18" t="n"/>
      <c r="U271" s="30" t="n"/>
      <c r="V271" s="18" t="n"/>
      <c r="W271" s="18" t="n"/>
      <c r="X271" s="18" t="n"/>
      <c r="Y271" s="65" t="n"/>
      <c r="Z271" s="65" t="n"/>
      <c r="AA271" s="28" t="n"/>
      <c r="AB271" s="28" t="n"/>
      <c r="AC271" s="28" t="n"/>
      <c r="AD271" s="28" t="n"/>
      <c r="AE271" s="28" t="n"/>
      <c r="AF271" s="28" t="n"/>
      <c r="AG271" s="28" t="n"/>
      <c r="AH271" s="28" t="n"/>
      <c r="AI271" s="28" t="n"/>
      <c r="AJ271" s="28" t="n"/>
      <c r="AK271" s="28" t="n"/>
      <c r="AL271" s="65" t="n"/>
      <c r="AM271" s="65" t="n"/>
      <c r="AN271" s="65" t="n"/>
      <c r="AO271" s="65" t="n"/>
      <c r="AP271" s="65" t="n"/>
    </row>
    <row r="272" ht="51.75" customHeight="1" s="222">
      <c r="A272" s="73" t="inlineStr">
        <is>
          <t>Three Thirty Three Restaurant</t>
        </is>
      </c>
      <c r="B272" s="73" t="inlineStr">
        <is>
          <t>Restaurant</t>
        </is>
      </c>
      <c r="C272" s="8" t="n"/>
      <c r="D272" s="28" t="inlineStr">
        <is>
          <t>430 N Scottsdale Rd #101, Tempe, AZ 85281</t>
        </is>
      </c>
      <c r="E272" s="73" t="inlineStr">
        <is>
          <t>Tempe</t>
        </is>
      </c>
      <c r="F272" s="73" t="n">
        <v>4805907215</v>
      </c>
      <c r="G272" s="20" t="inlineStr">
        <is>
          <t>https://threethirtythreerestaurants.com/</t>
        </is>
      </c>
      <c r="H272" s="116" t="n"/>
      <c r="I272" s="88" t="inlineStr">
        <is>
          <t>Has Valet</t>
        </is>
      </c>
      <c r="J272" s="28" t="n"/>
      <c r="K272" s="34" t="n"/>
      <c r="L272" s="45" t="n"/>
      <c r="M272" s="65" t="inlineStr">
        <is>
          <t>Kaos Hospitality</t>
        </is>
      </c>
      <c r="N272" s="65" t="n"/>
      <c r="O272" s="65" t="n"/>
      <c r="P272" s="65" t="n"/>
      <c r="Q272" s="65" t="n"/>
      <c r="R272" s="65" t="n"/>
      <c r="S272" s="18" t="n"/>
      <c r="T272" s="18" t="n"/>
      <c r="U272" s="30" t="n"/>
      <c r="V272" s="18" t="n"/>
      <c r="W272" s="18" t="n"/>
      <c r="X272" s="18" t="n"/>
      <c r="Y272" s="65" t="n"/>
      <c r="Z272" s="65" t="n"/>
      <c r="AA272" s="28" t="n"/>
      <c r="AB272" s="28" t="n"/>
      <c r="AC272" s="28" t="n"/>
      <c r="AD272" s="28" t="n"/>
      <c r="AE272" s="28" t="n"/>
      <c r="AF272" s="28" t="n"/>
      <c r="AG272" s="28" t="n"/>
      <c r="AH272" s="28" t="n"/>
      <c r="AI272" s="28" t="n"/>
      <c r="AJ272" s="28" t="n"/>
      <c r="AK272" s="28" t="n"/>
      <c r="AL272" s="65" t="n"/>
      <c r="AM272" s="65" t="n"/>
      <c r="AN272" s="65" t="n"/>
      <c r="AO272" s="65" t="n"/>
      <c r="AP272" s="65" t="n"/>
    </row>
    <row r="273" ht="51.75" customHeight="1" s="222">
      <c r="A273" s="73" t="inlineStr">
        <is>
          <t>North Italia</t>
        </is>
      </c>
      <c r="B273" s="73" t="inlineStr">
        <is>
          <t>Restaurant</t>
        </is>
      </c>
      <c r="C273" s="8" t="n"/>
      <c r="D273" s="28" t="inlineStr">
        <is>
          <t>697 S Novus Pl, Tempe, AZ 85281</t>
        </is>
      </c>
      <c r="E273" s="73" t="inlineStr">
        <is>
          <t>Tempe</t>
        </is>
      </c>
      <c r="F273" s="73" t="n">
        <v>9285881007</v>
      </c>
      <c r="G273" s="20" t="inlineStr">
        <is>
          <t>https://www.northitalia.com/locations/tempe-az/</t>
        </is>
      </c>
      <c r="H273" s="116" t="n"/>
      <c r="I273" s="88" t="inlineStr">
        <is>
          <t>Has Valet</t>
        </is>
      </c>
      <c r="J273" s="28" t="n"/>
      <c r="K273" s="34" t="n"/>
      <c r="L273" s="45" t="n"/>
      <c r="M273" s="65" t="n"/>
      <c r="N273" s="65" t="n"/>
      <c r="O273" s="65" t="n"/>
      <c r="P273" s="65" t="n"/>
      <c r="Q273" s="65" t="n"/>
      <c r="R273" s="65" t="n"/>
      <c r="S273" s="18" t="n"/>
      <c r="T273" s="18" t="n"/>
      <c r="U273" s="30" t="n"/>
      <c r="V273" s="18" t="n"/>
      <c r="W273" s="18" t="n"/>
      <c r="X273" s="18" t="n"/>
      <c r="Y273" s="65" t="n"/>
      <c r="Z273" s="65" t="n"/>
      <c r="AA273" s="28" t="n"/>
      <c r="AB273" s="28" t="n"/>
      <c r="AC273" s="28" t="n"/>
      <c r="AD273" s="28" t="n"/>
      <c r="AE273" s="28" t="n"/>
      <c r="AF273" s="28" t="n"/>
      <c r="AG273" s="28" t="n"/>
      <c r="AH273" s="28" t="n"/>
      <c r="AI273" s="28" t="n"/>
      <c r="AJ273" s="28" t="n"/>
      <c r="AK273" s="28" t="n"/>
      <c r="AL273" s="65" t="n"/>
      <c r="AM273" s="65" t="n"/>
      <c r="AN273" s="65" t="n"/>
      <c r="AO273" s="65" t="n"/>
      <c r="AP273" s="65" t="n"/>
    </row>
    <row r="274" ht="51.75" customHeight="1" s="222">
      <c r="A274" s="73" t="inlineStr">
        <is>
          <t>Top of the Rock Restaurant</t>
        </is>
      </c>
      <c r="B274" s="73" t="inlineStr">
        <is>
          <t>Restaurant</t>
        </is>
      </c>
      <c r="C274" s="8" t="n"/>
      <c r="D274" s="28" t="inlineStr">
        <is>
          <t>2000 W Westcourt Way, Tempe, AZ 85282</t>
        </is>
      </c>
      <c r="E274" s="73" t="inlineStr">
        <is>
          <t>Tempe</t>
        </is>
      </c>
      <c r="F274" s="73">
        <f>16024312370</f>
        <v/>
      </c>
      <c r="G274" s="205" t="n"/>
      <c r="H274" s="116" t="n"/>
      <c r="I274" s="88" t="n"/>
      <c r="J274" s="28" t="n"/>
      <c r="K274" s="34" t="n"/>
      <c r="L274" s="45" t="n"/>
      <c r="M274" s="65" t="n"/>
      <c r="N274" s="65" t="inlineStr">
        <is>
          <t>Connected to Mariott Phoenix Resort Tempe at The Buttes</t>
        </is>
      </c>
      <c r="O274" s="65" t="n"/>
      <c r="P274" s="65" t="n"/>
      <c r="Q274" s="65" t="n"/>
      <c r="R274" s="65" t="n"/>
      <c r="S274" s="18" t="n"/>
      <c r="T274" s="18" t="n"/>
      <c r="U274" s="30" t="n"/>
      <c r="V274" s="18" t="n"/>
      <c r="W274" s="18" t="n"/>
      <c r="X274" s="18" t="n"/>
      <c r="Y274" s="65" t="n"/>
      <c r="Z274" s="65" t="n"/>
      <c r="AA274" s="28" t="n"/>
      <c r="AB274" s="28" t="n"/>
      <c r="AC274" s="28" t="n"/>
      <c r="AD274" s="28" t="n"/>
      <c r="AE274" s="28" t="n"/>
      <c r="AF274" s="28" t="n"/>
      <c r="AG274" s="28" t="n"/>
      <c r="AH274" s="28" t="n"/>
      <c r="AI274" s="28" t="n"/>
      <c r="AJ274" s="28" t="n"/>
      <c r="AK274" s="28" t="n"/>
      <c r="AL274" s="65" t="n"/>
      <c r="AM274" s="65" t="n"/>
      <c r="AN274" s="65" t="n"/>
      <c r="AO274" s="65" t="n"/>
      <c r="AP274" s="65" t="n"/>
    </row>
    <row r="275" ht="51.75" customHeight="1" s="222">
      <c r="A275" s="73" t="inlineStr">
        <is>
          <t>Postino Annex</t>
        </is>
      </c>
      <c r="B275" s="73" t="inlineStr">
        <is>
          <t>Restaurant</t>
        </is>
      </c>
      <c r="C275" s="8" t="n"/>
      <c r="D275" s="28" t="inlineStr">
        <is>
          <t>615 S College Ave, Tempe, AZ 85281</t>
        </is>
      </c>
      <c r="E275" s="73" t="inlineStr">
        <is>
          <t>Tempe</t>
        </is>
      </c>
      <c r="F275" s="73">
        <f>14809271111</f>
        <v/>
      </c>
      <c r="G275" s="20" t="inlineStr">
        <is>
          <t>https://www.postino.com/locations/postino-annex</t>
        </is>
      </c>
      <c r="H275" s="116" t="n"/>
      <c r="I275" s="88" t="inlineStr">
        <is>
          <t>No Valet</t>
        </is>
      </c>
      <c r="J275" s="28" t="n"/>
      <c r="K275" s="34" t="n"/>
      <c r="L275" s="45" t="n"/>
      <c r="M275" s="65" t="n"/>
      <c r="N275" s="65" t="n"/>
      <c r="O275" s="65" t="n"/>
      <c r="P275" s="65" t="n"/>
      <c r="Q275" s="65" t="n"/>
      <c r="R275" s="65" t="n"/>
      <c r="S275" s="18" t="n"/>
      <c r="T275" s="18" t="n"/>
      <c r="U275" s="30" t="n"/>
      <c r="V275" s="18" t="n"/>
      <c r="W275" s="18" t="n"/>
      <c r="X275" s="18" t="n"/>
      <c r="Y275" s="65" t="n"/>
      <c r="Z275" s="65" t="n"/>
      <c r="AA275" s="28" t="n"/>
      <c r="AB275" s="28" t="n"/>
      <c r="AC275" s="28" t="n"/>
      <c r="AD275" s="28" t="n"/>
      <c r="AE275" s="28" t="n"/>
      <c r="AF275" s="28" t="n"/>
      <c r="AG275" s="28" t="n"/>
      <c r="AH275" s="28" t="n"/>
      <c r="AI275" s="28" t="n"/>
      <c r="AJ275" s="28" t="n"/>
      <c r="AK275" s="28" t="n"/>
      <c r="AL275" s="65" t="n"/>
      <c r="AM275" s="65" t="n"/>
      <c r="AN275" s="65" t="n"/>
      <c r="AO275" s="65" t="n"/>
      <c r="AP275" s="65" t="n"/>
    </row>
    <row r="276" ht="51.75" customHeight="1" s="222">
      <c r="A276" s="73" t="inlineStr">
        <is>
          <t>Society</t>
        </is>
      </c>
      <c r="B276" s="73" t="inlineStr">
        <is>
          <t>Restaurant</t>
        </is>
      </c>
      <c r="C276" s="8" t="n"/>
      <c r="D276" s="28" t="inlineStr">
        <is>
          <t>920 E University Dr #204, Tempe, AZ 85288</t>
        </is>
      </c>
      <c r="E276" s="73" t="inlineStr">
        <is>
          <t>Tempe</t>
        </is>
      </c>
      <c r="F276" s="73">
        <f>14805507801</f>
        <v/>
      </c>
      <c r="G276" s="20" t="inlineStr">
        <is>
          <t>https://societytempe.com/</t>
        </is>
      </c>
      <c r="H276" s="116" t="n"/>
      <c r="I276" s="88" t="n"/>
      <c r="J276" s="28" t="n"/>
      <c r="K276" s="34" t="n"/>
      <c r="L276" s="45" t="n"/>
      <c r="M276" s="65" t="n"/>
      <c r="N276" s="65" t="n"/>
      <c r="O276" s="65" t="n"/>
      <c r="P276" s="65" t="n"/>
      <c r="Q276" s="65" t="n"/>
      <c r="R276" s="65" t="n"/>
      <c r="S276" s="18" t="n"/>
      <c r="T276" s="18" t="n"/>
      <c r="U276" s="30" t="n"/>
      <c r="V276" s="18" t="n"/>
      <c r="W276" s="18" t="n"/>
      <c r="X276" s="18" t="n"/>
      <c r="Y276" s="65" t="n"/>
      <c r="Z276" s="65" t="n"/>
      <c r="AA276" s="28" t="n"/>
      <c r="AB276" s="28" t="n"/>
      <c r="AC276" s="28" t="n"/>
      <c r="AD276" s="28" t="n"/>
      <c r="AE276" s="28" t="n"/>
      <c r="AF276" s="28" t="n"/>
      <c r="AG276" s="28" t="n"/>
      <c r="AH276" s="28" t="n"/>
      <c r="AI276" s="28" t="n"/>
      <c r="AJ276" s="28" t="n"/>
      <c r="AK276" s="28" t="n"/>
      <c r="AL276" s="65" t="n"/>
      <c r="AM276" s="65" t="n"/>
      <c r="AN276" s="65" t="n"/>
      <c r="AO276" s="65" t="n"/>
      <c r="AP276" s="65" t="n"/>
    </row>
    <row r="277" ht="51.75" customHeight="1" s="222">
      <c r="A277" s="73" t="inlineStr">
        <is>
          <t>Roman</t>
        </is>
      </c>
      <c r="B277" s="73" t="inlineStr">
        <is>
          <t>Restaurant</t>
        </is>
      </c>
      <c r="C277" s="8" t="n"/>
      <c r="D277" s="28" t="inlineStr">
        <is>
          <t xml:space="preserve">Pre Open- On Rio Salado and Mill Ave </t>
        </is>
      </c>
      <c r="E277" s="73" t="inlineStr">
        <is>
          <t>Tempe</t>
        </is>
      </c>
      <c r="F277" s="73" t="n"/>
      <c r="G277" s="205" t="n"/>
      <c r="H277" s="116" t="n"/>
      <c r="I277" s="88" t="n"/>
      <c r="J277" s="28" t="n"/>
      <c r="K277" s="34" t="n"/>
      <c r="L277" s="45" t="n"/>
      <c r="M277" s="65" t="n"/>
      <c r="N277" s="65" t="n"/>
      <c r="O277" s="65" t="n"/>
      <c r="P277" s="65" t="n"/>
      <c r="Q277" s="65" t="n"/>
      <c r="R277" s="65" t="n"/>
      <c r="S277" s="18" t="n"/>
      <c r="T277" s="18" t="n"/>
      <c r="U277" s="30" t="n"/>
      <c r="V277" s="18" t="n"/>
      <c r="W277" s="18" t="n"/>
      <c r="X277" s="18" t="n"/>
      <c r="Y277" s="65" t="n"/>
      <c r="Z277" s="65" t="n"/>
      <c r="AA277" s="28" t="n"/>
      <c r="AB277" s="28" t="n"/>
      <c r="AC277" s="28" t="n"/>
      <c r="AD277" s="28" t="n"/>
      <c r="AE277" s="28" t="n"/>
      <c r="AF277" s="28" t="n"/>
      <c r="AG277" s="28" t="n"/>
      <c r="AH277" s="28" t="n"/>
      <c r="AI277" s="28" t="n"/>
      <c r="AJ277" s="28" t="n"/>
      <c r="AK277" s="28" t="n"/>
      <c r="AL277" s="65" t="n"/>
      <c r="AM277" s="65" t="n"/>
      <c r="AN277" s="65" t="n"/>
      <c r="AO277" s="65" t="n"/>
      <c r="AP277" s="65" t="n"/>
    </row>
    <row r="278" ht="51.75" customHeight="1" s="222">
      <c r="A278" s="73" t="inlineStr">
        <is>
          <t>AZ88</t>
        </is>
      </c>
      <c r="B278" s="73" t="inlineStr">
        <is>
          <t>Restaurant</t>
        </is>
      </c>
      <c r="C278" s="8" t="n"/>
      <c r="D278" s="28" t="inlineStr">
        <is>
          <t>7353 E Scottsdale Mall, Scottsdale, AZ 85251</t>
        </is>
      </c>
      <c r="E278" s="73" t="inlineStr">
        <is>
          <t>Scottsdale</t>
        </is>
      </c>
      <c r="F278" s="73">
        <f>14809945576</f>
        <v/>
      </c>
      <c r="G278" s="20" t="inlineStr">
        <is>
          <t>http://az88.com/</t>
        </is>
      </c>
      <c r="H278" s="116" t="n"/>
      <c r="I278" s="88" t="n"/>
      <c r="J278" s="28" t="n"/>
      <c r="K278" s="34" t="n"/>
      <c r="L278" s="45" t="n"/>
      <c r="M278" s="65" t="n"/>
      <c r="N278" s="65" t="n"/>
      <c r="O278" s="65" t="n"/>
      <c r="P278" s="65" t="n"/>
      <c r="Q278" s="65" t="n"/>
      <c r="R278" s="65" t="n"/>
      <c r="S278" s="18" t="n"/>
      <c r="T278" s="18" t="n"/>
      <c r="U278" s="30" t="n"/>
      <c r="V278" s="18" t="n"/>
      <c r="W278" s="18" t="n"/>
      <c r="X278" s="18" t="n"/>
      <c r="Y278" s="65" t="n"/>
      <c r="Z278" s="65" t="n"/>
      <c r="AA278" s="28" t="n"/>
      <c r="AB278" s="28" t="n"/>
      <c r="AC278" s="28" t="n"/>
      <c r="AD278" s="28" t="n"/>
      <c r="AE278" s="28" t="n"/>
      <c r="AF278" s="28" t="n"/>
      <c r="AG278" s="28" t="n"/>
      <c r="AH278" s="28" t="n"/>
      <c r="AI278" s="28" t="n"/>
      <c r="AJ278" s="28" t="n"/>
      <c r="AK278" s="28" t="n"/>
      <c r="AL278" s="65" t="n"/>
      <c r="AM278" s="65" t="n"/>
      <c r="AN278" s="65" t="n"/>
      <c r="AO278" s="65" t="n"/>
      <c r="AP278" s="65" t="n"/>
    </row>
    <row r="279" ht="51.75" customHeight="1" s="222">
      <c r="A279" s="73" t="inlineStr">
        <is>
          <t>The Mission Old Town</t>
        </is>
      </c>
      <c r="B279" s="73" t="inlineStr">
        <is>
          <t>Restaurant</t>
        </is>
      </c>
      <c r="C279" s="8" t="n"/>
      <c r="D279" s="28" t="inlineStr">
        <is>
          <t>3815 N Brown Ave, Scottsdale, AZ 85251</t>
        </is>
      </c>
      <c r="E279" s="73" t="inlineStr">
        <is>
          <t>Scottsdale</t>
        </is>
      </c>
      <c r="F279" s="73">
        <f>14806365005</f>
        <v/>
      </c>
      <c r="G279" s="20" t="inlineStr">
        <is>
          <t>https://www.themissionaz.com/</t>
        </is>
      </c>
      <c r="H279" s="116" t="n"/>
      <c r="I279" s="88" t="n"/>
      <c r="J279" s="28" t="n"/>
      <c r="K279" s="34" t="n"/>
      <c r="L279" s="45" t="n"/>
      <c r="M279" s="65" t="inlineStr">
        <is>
          <t>Carter Concepts Restaurant Group</t>
        </is>
      </c>
      <c r="N279" s="65" t="n"/>
      <c r="O279" s="65" t="n"/>
      <c r="P279" s="65" t="n"/>
      <c r="Q279" s="65" t="n"/>
      <c r="R279" s="65" t="n"/>
      <c r="S279" s="18" t="n"/>
      <c r="T279" s="18" t="n"/>
      <c r="U279" s="30" t="n"/>
      <c r="V279" s="18" t="n"/>
      <c r="W279" s="18" t="n"/>
      <c r="X279" s="18" t="n"/>
      <c r="Y279" s="65" t="n"/>
      <c r="Z279" s="65" t="n"/>
      <c r="AA279" s="28" t="n"/>
      <c r="AB279" s="28" t="n"/>
      <c r="AC279" s="28" t="n"/>
      <c r="AD279" s="28" t="n"/>
      <c r="AE279" s="28" t="n"/>
      <c r="AF279" s="28" t="n"/>
      <c r="AG279" s="28" t="n"/>
      <c r="AH279" s="28" t="n"/>
      <c r="AI279" s="28" t="n"/>
      <c r="AJ279" s="28" t="n"/>
      <c r="AK279" s="28" t="n"/>
      <c r="AL279" s="65" t="n"/>
      <c r="AM279" s="65" t="n"/>
      <c r="AN279" s="65" t="n"/>
      <c r="AO279" s="65" t="n"/>
      <c r="AP279" s="65" t="n"/>
    </row>
    <row r="280" ht="51.75" customHeight="1" s="222">
      <c r="A280" s="73" t="inlineStr">
        <is>
          <t>STK Steakhouse - Scottsdale</t>
        </is>
      </c>
      <c r="B280" s="73" t="inlineStr">
        <is>
          <t>Restaurant</t>
        </is>
      </c>
      <c r="C280" s="8" t="n"/>
      <c r="D280" s="28" t="inlineStr">
        <is>
          <t>3815 N Scottsdale Rd, Scottsdale, AZ 85251</t>
        </is>
      </c>
      <c r="E280" s="73" t="inlineStr">
        <is>
          <t>Scottsdale</t>
        </is>
      </c>
      <c r="F280" s="73">
        <f>14805815171</f>
        <v/>
      </c>
      <c r="G280" s="20" t="inlineStr">
        <is>
          <t>https://stksteakhouse.com/en-us/location/scottsdale/</t>
        </is>
      </c>
      <c r="H280" s="116" t="n"/>
      <c r="I280" s="88" t="inlineStr">
        <is>
          <t>Has Valet</t>
        </is>
      </c>
      <c r="J280" s="28" t="n"/>
      <c r="K280" s="34" t="n"/>
      <c r="L280" s="45" t="n"/>
      <c r="M280" s="65" t="n"/>
      <c r="N280" s="65" t="n"/>
      <c r="O280" s="65" t="n"/>
      <c r="P280" s="65" t="n"/>
      <c r="Q280" s="65" t="n"/>
      <c r="R280" s="65" t="n"/>
      <c r="S280" s="18" t="n"/>
      <c r="T280" s="18" t="n"/>
      <c r="U280" s="30" t="n"/>
      <c r="V280" s="18" t="n"/>
      <c r="W280" s="18" t="n"/>
      <c r="X280" s="18" t="n"/>
      <c r="Y280" s="65" t="n"/>
      <c r="Z280" s="65" t="n"/>
      <c r="AA280" s="28" t="n"/>
      <c r="AB280" s="28" t="n"/>
      <c r="AC280" s="28" t="n"/>
      <c r="AD280" s="28" t="n"/>
      <c r="AE280" s="28" t="n"/>
      <c r="AF280" s="28" t="n"/>
      <c r="AG280" s="28" t="n"/>
      <c r="AH280" s="28" t="n"/>
      <c r="AI280" s="28" t="n"/>
      <c r="AJ280" s="28" t="n"/>
      <c r="AK280" s="28" t="n"/>
      <c r="AL280" s="65" t="n"/>
      <c r="AM280" s="65" t="n"/>
      <c r="AN280" s="65" t="n"/>
      <c r="AO280" s="65" t="n"/>
      <c r="AP280" s="65" t="n"/>
    </row>
    <row r="281" ht="51.75" customHeight="1" s="222">
      <c r="A281" s="73" t="inlineStr">
        <is>
          <t>Uchi Scottsdale</t>
        </is>
      </c>
      <c r="B281" s="73" t="inlineStr">
        <is>
          <t>Restaurant</t>
        </is>
      </c>
      <c r="C281" s="8" t="n"/>
      <c r="D281" s="28" t="inlineStr">
        <is>
          <t>3821 N Scottsdale Rd, Scottsdale, AZ 85251</t>
        </is>
      </c>
      <c r="E281" s="73" t="inlineStr">
        <is>
          <t>Scottsdale</t>
        </is>
      </c>
      <c r="F281" s="73">
        <f>14809160916</f>
        <v/>
      </c>
      <c r="G281" s="20" t="inlineStr">
        <is>
          <t>https://uchi.uchirestaurants.com/location/scottsdale/</t>
        </is>
      </c>
      <c r="H281" s="116" t="n"/>
      <c r="I281" s="88" t="n"/>
      <c r="J281" s="28" t="n"/>
      <c r="K281" s="34" t="n"/>
      <c r="L281" s="45" t="n"/>
      <c r="M281" s="65" t="n"/>
      <c r="N281" s="65" t="n"/>
      <c r="O281" s="65" t="n"/>
      <c r="P281" s="65" t="n"/>
      <c r="Q281" s="65" t="n"/>
      <c r="R281" s="65" t="n"/>
      <c r="S281" s="18" t="n"/>
      <c r="T281" s="18" t="n"/>
      <c r="U281" s="30" t="n"/>
      <c r="V281" s="18" t="n"/>
      <c r="W281" s="18" t="n"/>
      <c r="X281" s="18" t="n"/>
      <c r="Y281" s="65" t="n"/>
      <c r="Z281" s="65" t="n"/>
      <c r="AA281" s="28" t="n"/>
      <c r="AB281" s="28" t="n"/>
      <c r="AC281" s="28" t="n"/>
      <c r="AD281" s="28" t="n"/>
      <c r="AE281" s="28" t="n"/>
      <c r="AF281" s="28" t="n"/>
      <c r="AG281" s="28" t="n"/>
      <c r="AH281" s="28" t="n"/>
      <c r="AI281" s="28" t="n"/>
      <c r="AJ281" s="28" t="n"/>
      <c r="AK281" s="28" t="n"/>
      <c r="AL281" s="65" t="n"/>
      <c r="AM281" s="65" t="n"/>
      <c r="AN281" s="65" t="n"/>
      <c r="AO281" s="65" t="n"/>
      <c r="AP281" s="65" t="n"/>
    </row>
    <row r="282" ht="51.75" customHeight="1" s="222">
      <c r="A282" s="28" t="inlineStr">
        <is>
          <t>HULA'S Modern Tiki Scottsdale</t>
        </is>
      </c>
      <c r="B282" s="73" t="inlineStr">
        <is>
          <t>Restaurant</t>
        </is>
      </c>
      <c r="C282" s="8" t="n"/>
      <c r="D282" s="28" t="inlineStr">
        <is>
          <t>7213 E 1st Ave, Scottsdale, AZ 85251</t>
        </is>
      </c>
      <c r="E282" s="73" t="inlineStr">
        <is>
          <t>Scottsdale</t>
        </is>
      </c>
      <c r="F282" s="73">
        <f>14809704852</f>
        <v/>
      </c>
      <c r="G282" s="20" t="inlineStr">
        <is>
          <t>http://hulasmoderntiki.com/</t>
        </is>
      </c>
      <c r="H282" s="116" t="n"/>
      <c r="I282" s="88" t="n"/>
      <c r="J282" s="28" t="n"/>
      <c r="K282" s="34" t="n"/>
      <c r="L282" s="45" t="n"/>
      <c r="M282" s="65" t="n"/>
      <c r="N282" s="65" t="n"/>
      <c r="O282" s="65" t="n"/>
      <c r="P282" s="65" t="n"/>
      <c r="Q282" s="65" t="n"/>
      <c r="R282" s="65" t="n"/>
      <c r="S282" s="18" t="n"/>
      <c r="T282" s="18" t="n"/>
      <c r="U282" s="30" t="n"/>
      <c r="V282" s="18" t="n"/>
      <c r="W282" s="18" t="n"/>
      <c r="X282" s="18" t="n"/>
      <c r="Y282" s="65" t="n"/>
      <c r="Z282" s="65" t="n"/>
      <c r="AA282" s="28" t="n"/>
      <c r="AB282" s="28" t="n"/>
      <c r="AC282" s="28" t="n"/>
      <c r="AD282" s="28" t="n"/>
      <c r="AE282" s="28" t="n"/>
      <c r="AF282" s="28" t="n"/>
      <c r="AG282" s="28" t="n"/>
      <c r="AH282" s="28" t="n"/>
      <c r="AI282" s="28" t="n"/>
      <c r="AJ282" s="28" t="n"/>
      <c r="AK282" s="28" t="n"/>
      <c r="AL282" s="65" t="n"/>
      <c r="AM282" s="65" t="n"/>
      <c r="AN282" s="65" t="n"/>
      <c r="AO282" s="65" t="n"/>
      <c r="AP282" s="65" t="n"/>
    </row>
    <row r="283" ht="51.75" customHeight="1" s="222">
      <c r="A283" s="28" t="inlineStr">
        <is>
          <t>FnB Restaurant</t>
        </is>
      </c>
      <c r="B283" s="73" t="inlineStr">
        <is>
          <t>Restaurant</t>
        </is>
      </c>
      <c r="C283" s="8" t="n"/>
      <c r="D283" s="28" t="inlineStr">
        <is>
          <t>7125 E 5th Ave #31, Scottsdale, AZ 85251</t>
        </is>
      </c>
      <c r="E283" s="73" t="inlineStr">
        <is>
          <t>Scottsdale</t>
        </is>
      </c>
      <c r="F283" s="73">
        <f>14802844777</f>
        <v/>
      </c>
      <c r="G283" s="20" t="inlineStr">
        <is>
          <t>http://www.fnbrestaurant.com/</t>
        </is>
      </c>
      <c r="H283" s="116" t="n"/>
      <c r="I283" s="88" t="n"/>
      <c r="J283" s="28" t="n"/>
      <c r="K283" s="34" t="n"/>
      <c r="L283" s="45" t="n"/>
      <c r="M283" s="65" t="n"/>
      <c r="N283" s="65" t="n"/>
      <c r="O283" s="65" t="n"/>
      <c r="P283" s="65" t="n"/>
      <c r="Q283" s="65" t="n"/>
      <c r="R283" s="65" t="n"/>
      <c r="S283" s="18" t="n"/>
      <c r="T283" s="18" t="n"/>
      <c r="U283" s="30" t="n"/>
      <c r="V283" s="18" t="n"/>
      <c r="W283" s="18" t="n"/>
      <c r="X283" s="18" t="n"/>
      <c r="Y283" s="65" t="n"/>
      <c r="Z283" s="65" t="n"/>
      <c r="AA283" s="28" t="n"/>
      <c r="AB283" s="28" t="n"/>
      <c r="AC283" s="28" t="n"/>
      <c r="AD283" s="28" t="n"/>
      <c r="AE283" s="28" t="n"/>
      <c r="AF283" s="28" t="n"/>
      <c r="AG283" s="28" t="n"/>
      <c r="AH283" s="28" t="n"/>
      <c r="AI283" s="28" t="n"/>
      <c r="AJ283" s="28" t="n"/>
      <c r="AK283" s="28" t="n"/>
      <c r="AL283" s="65" t="n"/>
      <c r="AM283" s="65" t="n"/>
      <c r="AN283" s="65" t="n"/>
      <c r="AO283" s="65" t="n"/>
      <c r="AP283" s="65" t="n"/>
    </row>
    <row r="284" ht="51.75" customHeight="1" s="222">
      <c r="A284" s="28" t="inlineStr">
        <is>
          <t>Bourbon &amp; Bones Chophouse | Bar</t>
        </is>
      </c>
      <c r="B284" s="73" t="inlineStr">
        <is>
          <t>Restaurant</t>
        </is>
      </c>
      <c r="C284" s="8" t="n"/>
      <c r="D284" s="28" t="inlineStr">
        <is>
          <t>4200 N Scottsdale Rd, Scottsdale, AZ 85251</t>
        </is>
      </c>
      <c r="E284" s="73" t="inlineStr">
        <is>
          <t>Scottsdale</t>
        </is>
      </c>
      <c r="F284" s="73">
        <f>14806294922</f>
        <v/>
      </c>
      <c r="G284" s="20" t="inlineStr">
        <is>
          <t>https://www.bourbonandbones.com/old-town-scottsdale/</t>
        </is>
      </c>
      <c r="H284" s="116" t="n"/>
      <c r="I284" s="88" t="n"/>
      <c r="J284" s="28" t="n"/>
      <c r="K284" s="34" t="n"/>
      <c r="L284" s="45" t="n"/>
      <c r="M284" s="65" t="n"/>
      <c r="N284" s="65" t="n"/>
      <c r="O284" s="65" t="n"/>
      <c r="P284" s="65" t="n"/>
      <c r="Q284" s="65" t="n"/>
      <c r="R284" s="65" t="n"/>
      <c r="S284" s="18" t="n"/>
      <c r="T284" s="18" t="n"/>
      <c r="U284" s="30" t="n"/>
      <c r="V284" s="18" t="n"/>
      <c r="W284" s="18" t="n"/>
      <c r="X284" s="18" t="n"/>
      <c r="Y284" s="65" t="n"/>
      <c r="Z284" s="65" t="n"/>
      <c r="AA284" s="28" t="n"/>
      <c r="AB284" s="28" t="n"/>
      <c r="AC284" s="28" t="n"/>
      <c r="AD284" s="28" t="n"/>
      <c r="AE284" s="28" t="n"/>
      <c r="AF284" s="28" t="n"/>
      <c r="AG284" s="28" t="n"/>
      <c r="AH284" s="28" t="n"/>
      <c r="AI284" s="28" t="n"/>
      <c r="AJ284" s="28" t="n"/>
      <c r="AK284" s="28" t="n"/>
      <c r="AL284" s="65" t="n"/>
      <c r="AM284" s="65" t="n"/>
      <c r="AN284" s="65" t="n"/>
      <c r="AO284" s="65" t="n"/>
      <c r="AP284" s="65" t="n"/>
    </row>
    <row r="285" ht="51.75" customHeight="1" s="222">
      <c r="A285" s="28" t="inlineStr">
        <is>
          <t>Liquor Pig - Kitchen &amp; Cocktails</t>
        </is>
      </c>
      <c r="B285" s="73" t="inlineStr">
        <is>
          <t>Restaurant</t>
        </is>
      </c>
      <c r="C285" s="8" t="n"/>
      <c r="D285" s="28" t="inlineStr">
        <is>
          <t>7217 E 4th Ave, Scottsdale, AZ 85251</t>
        </is>
      </c>
      <c r="E285" s="73" t="inlineStr">
        <is>
          <t>Scottsdale</t>
        </is>
      </c>
      <c r="F285" s="73">
        <f>14806873955</f>
        <v/>
      </c>
      <c r="G285" s="20" t="inlineStr">
        <is>
          <t>https://liquorpigscottsdale.com/</t>
        </is>
      </c>
      <c r="H285" s="116" t="n"/>
      <c r="I285" s="88" t="n"/>
      <c r="J285" s="28" t="n"/>
      <c r="K285" s="34" t="n"/>
      <c r="L285" s="45" t="n"/>
      <c r="M285" s="65" t="n"/>
      <c r="N285" s="65" t="n"/>
      <c r="O285" s="65" t="n"/>
      <c r="P285" s="65" t="n"/>
      <c r="Q285" s="65" t="n"/>
      <c r="R285" s="65" t="n"/>
      <c r="S285" s="18" t="n"/>
      <c r="T285" s="18" t="n"/>
      <c r="U285" s="30" t="n"/>
      <c r="V285" s="18" t="n"/>
      <c r="W285" s="18" t="n"/>
      <c r="X285" s="18" t="n"/>
      <c r="Y285" s="65" t="n"/>
      <c r="Z285" s="65" t="n"/>
      <c r="AA285" s="28" t="n"/>
      <c r="AB285" s="28" t="n"/>
      <c r="AC285" s="28" t="n"/>
      <c r="AD285" s="28" t="n"/>
      <c r="AE285" s="28" t="n"/>
      <c r="AF285" s="28" t="n"/>
      <c r="AG285" s="28" t="n"/>
      <c r="AH285" s="28" t="n"/>
      <c r="AI285" s="28" t="n"/>
      <c r="AJ285" s="28" t="n"/>
      <c r="AK285" s="28" t="n"/>
      <c r="AL285" s="65" t="n"/>
      <c r="AM285" s="65" t="n"/>
      <c r="AN285" s="65" t="n"/>
      <c r="AO285" s="65" t="n"/>
      <c r="AP285" s="65" t="n"/>
    </row>
    <row r="286" ht="51.75" customHeight="1" s="222">
      <c r="A286" s="28" t="inlineStr">
        <is>
          <t>Social Tap Scottsdale</t>
        </is>
      </c>
      <c r="B286" s="73" t="inlineStr">
        <is>
          <t>Restaurant</t>
        </is>
      </c>
      <c r="C286" s="8" t="n"/>
      <c r="D286" s="28" t="inlineStr">
        <is>
          <t>4312 N Brown Ave, Scottsdale, AZ 85251</t>
        </is>
      </c>
      <c r="E286" s="73" t="inlineStr">
        <is>
          <t>Scottsdale</t>
        </is>
      </c>
      <c r="F286" s="73">
        <f>16024326719</f>
        <v/>
      </c>
      <c r="G286" s="20" t="inlineStr">
        <is>
          <t>https://socialtapscottsdaleaz.com/</t>
        </is>
      </c>
      <c r="H286" s="116" t="n"/>
      <c r="I286" s="88" t="n"/>
      <c r="J286" s="28" t="n"/>
      <c r="K286" s="34" t="n"/>
      <c r="L286" s="45" t="n"/>
      <c r="M286" s="65" t="n"/>
      <c r="N286" s="65" t="n"/>
      <c r="O286" s="65" t="n"/>
      <c r="P286" s="65" t="n"/>
      <c r="Q286" s="65" t="n"/>
      <c r="R286" s="65" t="n"/>
      <c r="S286" s="18" t="n"/>
      <c r="T286" s="18" t="n"/>
      <c r="U286" s="30" t="n"/>
      <c r="V286" s="18" t="n"/>
      <c r="W286" s="18" t="n"/>
      <c r="X286" s="18" t="n"/>
      <c r="Y286" s="65" t="n"/>
      <c r="Z286" s="65" t="n"/>
      <c r="AA286" s="28" t="n"/>
      <c r="AB286" s="28" t="n"/>
      <c r="AC286" s="28" t="n"/>
      <c r="AD286" s="28" t="n"/>
      <c r="AE286" s="28" t="n"/>
      <c r="AF286" s="28" t="n"/>
      <c r="AG286" s="28" t="n"/>
      <c r="AH286" s="28" t="n"/>
      <c r="AI286" s="28" t="n"/>
      <c r="AJ286" s="28" t="n"/>
      <c r="AK286" s="28" t="n"/>
      <c r="AL286" s="65" t="n"/>
      <c r="AM286" s="65" t="n"/>
      <c r="AN286" s="65" t="n"/>
      <c r="AO286" s="65" t="n"/>
      <c r="AP286" s="65" t="n"/>
    </row>
    <row r="287" ht="51.75" customHeight="1" s="222">
      <c r="A287" s="28" t="inlineStr">
        <is>
          <t>Barstool Scottsdale</t>
        </is>
      </c>
      <c r="B287" s="73" t="inlineStr">
        <is>
          <t>Restaurant</t>
        </is>
      </c>
      <c r="C287" s="8" t="n"/>
      <c r="D287" s="28" t="inlineStr">
        <is>
          <t>4321 N Scottsdale Rd, Scottsdale, AZ 85251</t>
        </is>
      </c>
      <c r="E287" s="73" t="inlineStr">
        <is>
          <t>Scottsdale</t>
        </is>
      </c>
      <c r="F287" s="73" t="n"/>
      <c r="G287" s="20" t="inlineStr">
        <is>
          <t>https://barstoolscottsdale.com/</t>
        </is>
      </c>
      <c r="H287" s="116" t="n"/>
      <c r="I287" s="88" t="n"/>
      <c r="J287" s="28" t="n"/>
      <c r="K287" s="34" t="n"/>
      <c r="L287" s="45" t="n"/>
      <c r="M287" s="65" t="n"/>
      <c r="N287" s="65" t="n"/>
      <c r="O287" s="65" t="n"/>
      <c r="P287" s="65" t="n"/>
      <c r="Q287" s="65" t="n"/>
      <c r="R287" s="65" t="n"/>
      <c r="S287" s="18" t="n"/>
      <c r="T287" s="18" t="n"/>
      <c r="U287" s="30" t="n"/>
      <c r="V287" s="18" t="n"/>
      <c r="W287" s="18" t="n"/>
      <c r="X287" s="18" t="n"/>
      <c r="Y287" s="65" t="n"/>
      <c r="Z287" s="65" t="n"/>
      <c r="AA287" s="28" t="n"/>
      <c r="AB287" s="28" t="n"/>
      <c r="AC287" s="28" t="n"/>
      <c r="AD287" s="28" t="n"/>
      <c r="AE287" s="28" t="n"/>
      <c r="AF287" s="28" t="n"/>
      <c r="AG287" s="28" t="n"/>
      <c r="AH287" s="28" t="n"/>
      <c r="AI287" s="28" t="n"/>
      <c r="AJ287" s="28" t="n"/>
      <c r="AK287" s="28" t="n"/>
      <c r="AL287" s="65" t="n"/>
      <c r="AM287" s="65" t="n"/>
      <c r="AN287" s="65" t="n"/>
      <c r="AO287" s="65" t="n"/>
      <c r="AP287" s="65" t="n"/>
    </row>
    <row r="288" ht="51.75" customHeight="1" s="222">
      <c r="A288" s="28" t="inlineStr">
        <is>
          <t xml:space="preserve">Diego Pops </t>
        </is>
      </c>
      <c r="B288" s="73" t="inlineStr">
        <is>
          <t>Restaurant</t>
        </is>
      </c>
      <c r="C288" s="8" t="n"/>
      <c r="D288" s="28" t="inlineStr">
        <is>
          <t>4338 N Scottsdale Rd, Scottsdale, AZ 85251</t>
        </is>
      </c>
      <c r="E288" s="73" t="inlineStr">
        <is>
          <t>Scottsdale</t>
        </is>
      </c>
      <c r="F288" s="73">
        <f>14809701007</f>
        <v/>
      </c>
      <c r="G288" s="20" t="inlineStr">
        <is>
          <t>http://www.diegopops.com/</t>
        </is>
      </c>
      <c r="H288" s="116" t="n"/>
      <c r="I288" s="88" t="inlineStr">
        <is>
          <t>Has Valet</t>
        </is>
      </c>
      <c r="J288" s="28" t="n"/>
      <c r="K288" s="34" t="n"/>
      <c r="L288" s="45" t="n"/>
      <c r="M288" s="65" t="n"/>
      <c r="N288" s="65" t="inlineStr">
        <is>
          <t>Shared Valet Program with Montauk</t>
        </is>
      </c>
      <c r="O288" s="65" t="n"/>
      <c r="P288" s="65" t="inlineStr">
        <is>
          <t>Epic</t>
        </is>
      </c>
      <c r="Q288" s="65" t="n"/>
      <c r="R288" s="65" t="n"/>
      <c r="S288" s="18" t="n"/>
      <c r="T288" s="18" t="n"/>
      <c r="U288" s="30" t="n"/>
      <c r="V288" s="18" t="n"/>
      <c r="W288" s="18" t="n"/>
      <c r="X288" s="18" t="n"/>
      <c r="Y288" s="65" t="n"/>
      <c r="Z288" s="65" t="n"/>
      <c r="AA288" s="28" t="n"/>
      <c r="AB288" s="28" t="n"/>
      <c r="AC288" s="28" t="n"/>
      <c r="AD288" s="28" t="n"/>
      <c r="AE288" s="28" t="n"/>
      <c r="AF288" s="28" t="n"/>
      <c r="AG288" s="28" t="n"/>
      <c r="AH288" s="28" t="n"/>
      <c r="AI288" s="28" t="n"/>
      <c r="AJ288" s="28" t="n"/>
      <c r="AK288" s="28" t="n"/>
      <c r="AL288" s="65" t="n"/>
      <c r="AM288" s="65" t="n"/>
      <c r="AN288" s="65" t="n"/>
      <c r="AO288" s="65" t="n"/>
      <c r="AP288" s="65" t="n"/>
    </row>
    <row r="289" ht="51.75" customHeight="1" s="222">
      <c r="A289" s="28" t="inlineStr">
        <is>
          <t>Montauk</t>
        </is>
      </c>
      <c r="B289" s="73" t="inlineStr">
        <is>
          <t>Restaurant</t>
        </is>
      </c>
      <c r="C289" s="8" t="n"/>
      <c r="D289" s="28" t="inlineStr">
        <is>
          <t>4360 N Scottsdale Rd, Scottsdale, AZ 85251</t>
        </is>
      </c>
      <c r="E289" s="73" t="inlineStr">
        <is>
          <t>Scottsdale</t>
        </is>
      </c>
      <c r="F289" s="73">
        <f>14809941888</f>
        <v/>
      </c>
      <c r="G289" s="20" t="inlineStr">
        <is>
          <t>https://www.themontaukaz.com/</t>
        </is>
      </c>
      <c r="H289" s="116" t="n"/>
      <c r="I289" s="88" t="inlineStr">
        <is>
          <t>Has Valet</t>
        </is>
      </c>
      <c r="J289" s="28" t="n"/>
      <c r="K289" s="34" t="n"/>
      <c r="L289" s="45" t="n"/>
      <c r="M289" s="65" t="n"/>
      <c r="N289" s="65" t="inlineStr">
        <is>
          <t>Shared Valet Program with Diego Pops</t>
        </is>
      </c>
      <c r="O289" s="65" t="n"/>
      <c r="P289" s="65" t="inlineStr">
        <is>
          <t>Epic</t>
        </is>
      </c>
      <c r="Q289" s="65" t="n"/>
      <c r="R289" s="65" t="n"/>
      <c r="S289" s="18" t="n"/>
      <c r="T289" s="18" t="n"/>
      <c r="U289" s="30" t="n"/>
      <c r="V289" s="18" t="n"/>
      <c r="W289" s="18" t="n"/>
      <c r="X289" s="18" t="n"/>
      <c r="Y289" s="65" t="n"/>
      <c r="Z289" s="65" t="n"/>
      <c r="AA289" s="28" t="n"/>
      <c r="AB289" s="28" t="n"/>
      <c r="AC289" s="28" t="n"/>
      <c r="AD289" s="28" t="n"/>
      <c r="AE289" s="28" t="n"/>
      <c r="AF289" s="28" t="n"/>
      <c r="AG289" s="28" t="n"/>
      <c r="AH289" s="28" t="n"/>
      <c r="AI289" s="28" t="n"/>
      <c r="AJ289" s="28" t="n"/>
      <c r="AK289" s="28" t="n"/>
      <c r="AL289" s="65" t="n"/>
      <c r="AM289" s="65" t="n"/>
      <c r="AN289" s="65" t="n"/>
      <c r="AO289" s="65" t="n"/>
      <c r="AP289" s="65" t="n"/>
    </row>
    <row r="290" ht="51.75" customHeight="1" s="222">
      <c r="A290" s="28" t="inlineStr">
        <is>
          <t>Farm and Craft Scottsdale</t>
        </is>
      </c>
      <c r="B290" s="73" t="inlineStr">
        <is>
          <t>Restaurant</t>
        </is>
      </c>
      <c r="C290" s="8" t="n"/>
      <c r="D290" s="28" t="inlineStr">
        <is>
          <t>4302 N Scottsdale Rd, Scottsdale, AZ 85251</t>
        </is>
      </c>
      <c r="E290" s="73" t="inlineStr">
        <is>
          <t>Scottsdale</t>
        </is>
      </c>
      <c r="F290" s="73">
        <f>14805688980</f>
        <v/>
      </c>
      <c r="G290" s="20" t="inlineStr">
        <is>
          <t>https://ilovefarmandcraft.com/</t>
        </is>
      </c>
      <c r="H290" s="116" t="n"/>
      <c r="I290" s="88" t="n"/>
      <c r="J290" s="28" t="n"/>
      <c r="K290" s="34" t="n"/>
      <c r="L290" s="45" t="n"/>
      <c r="M290" s="65" t="n"/>
      <c r="N290" s="65" t="n"/>
      <c r="O290" s="65" t="n"/>
      <c r="P290" s="65" t="n"/>
      <c r="Q290" s="65" t="n"/>
      <c r="R290" s="65" t="n"/>
      <c r="S290" s="18" t="n"/>
      <c r="T290" s="18" t="n"/>
      <c r="U290" s="30" t="n"/>
      <c r="V290" s="18" t="n"/>
      <c r="W290" s="18" t="n"/>
      <c r="X290" s="18" t="n"/>
      <c r="Y290" s="65" t="n"/>
      <c r="Z290" s="65" t="n"/>
      <c r="AA290" s="28" t="n"/>
      <c r="AB290" s="28" t="n"/>
      <c r="AC290" s="28" t="n"/>
      <c r="AD290" s="28" t="n"/>
      <c r="AE290" s="28" t="n"/>
      <c r="AF290" s="28" t="n"/>
      <c r="AG290" s="28" t="n"/>
      <c r="AH290" s="28" t="n"/>
      <c r="AI290" s="28" t="n"/>
      <c r="AJ290" s="28" t="n"/>
      <c r="AK290" s="28" t="n"/>
      <c r="AL290" s="65" t="n"/>
      <c r="AM290" s="65" t="n"/>
      <c r="AN290" s="65" t="n"/>
      <c r="AO290" s="65" t="n"/>
      <c r="AP290" s="65" t="n"/>
    </row>
    <row r="291" ht="51.75" customHeight="1" s="222">
      <c r="A291" s="28" t="inlineStr">
        <is>
          <t>Pistoleros Parrilla</t>
        </is>
      </c>
      <c r="B291" s="73" t="inlineStr">
        <is>
          <t>Restaurant</t>
        </is>
      </c>
      <c r="C291" s="8" t="n"/>
      <c r="D291" s="28" t="inlineStr">
        <is>
          <t>4333 N Civic Center Plaza, Scottsdale, AZ 85251</t>
        </is>
      </c>
      <c r="E291" s="73" t="inlineStr">
        <is>
          <t>Scottsdale</t>
        </is>
      </c>
      <c r="F291" s="73">
        <f>14805352121</f>
        <v/>
      </c>
      <c r="G291" s="20" t="inlineStr">
        <is>
          <t>https://pistolerosaz.com/</t>
        </is>
      </c>
      <c r="H291" s="116" t="n"/>
      <c r="I291" s="88" t="n"/>
      <c r="J291" s="28" t="n"/>
      <c r="K291" s="34" t="n"/>
      <c r="L291" s="45" t="n"/>
      <c r="M291" s="65" t="n"/>
      <c r="N291" s="65" t="n"/>
      <c r="O291" s="65" t="n"/>
      <c r="P291" s="65" t="n"/>
      <c r="Q291" s="65" t="n"/>
      <c r="R291" s="65" t="n"/>
      <c r="S291" s="18" t="n"/>
      <c r="T291" s="18" t="n"/>
      <c r="U291" s="30" t="n"/>
      <c r="V291" s="18" t="n"/>
      <c r="W291" s="18" t="n"/>
      <c r="X291" s="18" t="n"/>
      <c r="Y291" s="65" t="n"/>
      <c r="Z291" s="65" t="n"/>
      <c r="AA291" s="28" t="n"/>
      <c r="AB291" s="28" t="n"/>
      <c r="AC291" s="28" t="n"/>
      <c r="AD291" s="28" t="n"/>
      <c r="AE291" s="28" t="n"/>
      <c r="AF291" s="28" t="n"/>
      <c r="AG291" s="28" t="n"/>
      <c r="AH291" s="28" t="n"/>
      <c r="AI291" s="28" t="n"/>
      <c r="AJ291" s="28" t="n"/>
      <c r="AK291" s="28" t="n"/>
      <c r="AL291" s="65" t="n"/>
      <c r="AM291" s="65" t="n"/>
      <c r="AN291" s="65" t="n"/>
      <c r="AO291" s="65" t="n"/>
      <c r="AP291" s="65" t="n"/>
    </row>
    <row r="292" ht="51.75" customHeight="1" s="222">
      <c r="A292" s="28" t="inlineStr">
        <is>
          <t>Sexy Roman</t>
        </is>
      </c>
      <c r="B292" s="73" t="inlineStr">
        <is>
          <t>Restaurant</t>
        </is>
      </c>
      <c r="C292" s="8" t="n"/>
      <c r="D292" s="28" t="inlineStr">
        <is>
          <t>7277 E Camelback Rd, Scottsdale, AZ 85251</t>
        </is>
      </c>
      <c r="E292" s="73" t="inlineStr">
        <is>
          <t>Scottsdale</t>
        </is>
      </c>
      <c r="F292" s="73">
        <f>16026097002</f>
        <v/>
      </c>
      <c r="G292" s="20" t="inlineStr">
        <is>
          <t>http://www.sexyroman.com/?y_source=1_MjAxMjc4NDQ1My03MTUtbG9jYXRpb24ud2Vic2l0ZQ%3D%3D</t>
        </is>
      </c>
      <c r="H292" s="116" t="n"/>
      <c r="I292" s="88" t="n"/>
      <c r="J292" s="28" t="n"/>
      <c r="K292" s="34" t="n"/>
      <c r="L292" s="45" t="n"/>
      <c r="M292" s="65" t="n"/>
      <c r="N292" s="65" t="inlineStr">
        <is>
          <t>W Scottsdale Hotel</t>
        </is>
      </c>
      <c r="O292" s="65" t="n"/>
      <c r="P292" s="65" t="n"/>
      <c r="Q292" s="65" t="n"/>
      <c r="R292" s="65" t="n"/>
      <c r="S292" s="18" t="n"/>
      <c r="T292" s="18" t="n"/>
      <c r="U292" s="30" t="n"/>
      <c r="V292" s="18" t="n"/>
      <c r="W292" s="18" t="n"/>
      <c r="X292" s="18" t="n"/>
      <c r="Y292" s="65" t="n"/>
      <c r="Z292" s="65" t="n"/>
      <c r="AA292" s="28" t="n"/>
      <c r="AB292" s="28" t="n"/>
      <c r="AC292" s="28" t="n"/>
      <c r="AD292" s="28" t="n"/>
      <c r="AE292" s="28" t="n"/>
      <c r="AF292" s="28" t="n"/>
      <c r="AG292" s="28" t="n"/>
      <c r="AH292" s="28" t="n"/>
      <c r="AI292" s="28" t="n"/>
      <c r="AJ292" s="28" t="n"/>
      <c r="AK292" s="28" t="n"/>
      <c r="AL292" s="65" t="n"/>
      <c r="AM292" s="65" t="n"/>
      <c r="AN292" s="65" t="n"/>
      <c r="AO292" s="65" t="n"/>
      <c r="AP292" s="65" t="n"/>
    </row>
    <row r="293" ht="51.75" customHeight="1" s="222">
      <c r="A293" s="28" t="inlineStr">
        <is>
          <t>HiFi Kitchen Cocktails</t>
        </is>
      </c>
      <c r="B293" s="73" t="inlineStr">
        <is>
          <t>Restaurant</t>
        </is>
      </c>
      <c r="C293" s="8" t="n"/>
      <c r="D293" s="28" t="inlineStr">
        <is>
          <t>4420 N Saddlebag Trail, Scottsdale, AZ 85251</t>
        </is>
      </c>
      <c r="E293" s="73" t="inlineStr">
        <is>
          <t>Scottsdale</t>
        </is>
      </c>
      <c r="F293" s="73">
        <f>14809705000</f>
        <v/>
      </c>
      <c r="G293" s="52" t="inlineStr">
        <is>
          <t>https://www.hifiscottsdale.com/</t>
        </is>
      </c>
      <c r="H293" s="116" t="n"/>
      <c r="I293" s="88" t="n"/>
      <c r="J293" s="28" t="n"/>
      <c r="K293" s="34" t="n"/>
      <c r="L293" s="45" t="n"/>
      <c r="M293" s="28" t="inlineStr">
        <is>
          <t>Riot Hospitality Group</t>
        </is>
      </c>
      <c r="N293" s="65" t="inlineStr">
        <is>
          <t>Riot House, El Hefe, Bottled Blonde, All those clubs are right there</t>
        </is>
      </c>
      <c r="O293" s="65" t="n"/>
      <c r="P293" s="65" t="n"/>
      <c r="Q293" s="65" t="n"/>
      <c r="R293" s="65" t="n"/>
      <c r="S293" s="18" t="n"/>
      <c r="T293" s="18" t="n"/>
      <c r="U293" s="30" t="n"/>
      <c r="V293" s="18" t="n"/>
      <c r="W293" s="18" t="n"/>
      <c r="X293" s="18" t="n"/>
      <c r="Y293" s="65" t="n"/>
      <c r="Z293" s="65" t="n"/>
      <c r="AA293" s="28" t="n"/>
      <c r="AB293" s="28" t="n"/>
      <c r="AC293" s="28" t="n"/>
      <c r="AD293" s="28" t="n"/>
      <c r="AE293" s="28" t="n"/>
      <c r="AF293" s="28" t="n"/>
      <c r="AG293" s="28" t="n"/>
      <c r="AH293" s="28" t="n"/>
      <c r="AI293" s="28" t="n"/>
      <c r="AJ293" s="28" t="n"/>
      <c r="AK293" s="28" t="n"/>
      <c r="AL293" s="65" t="n"/>
      <c r="AM293" s="65" t="n"/>
      <c r="AN293" s="65" t="n"/>
      <c r="AO293" s="65" t="n"/>
      <c r="AP293" s="65" t="n"/>
    </row>
    <row r="294" ht="51.75" customHeight="1" s="222">
      <c r="A294" s="28" t="inlineStr">
        <is>
          <t>SHIV Supper Club</t>
        </is>
      </c>
      <c r="B294" s="73" t="inlineStr">
        <is>
          <t>Restaurant</t>
        </is>
      </c>
      <c r="C294" s="8" t="n"/>
      <c r="D294" s="28" t="inlineStr">
        <is>
          <t>7373 E Camelback Rd, Scottsdale, AZ 85251</t>
        </is>
      </c>
      <c r="E294" s="73" t="inlineStr">
        <is>
          <t>Scottsdale</t>
        </is>
      </c>
      <c r="F294" s="73">
        <f>14808418305</f>
        <v/>
      </c>
      <c r="G294" s="20" t="inlineStr">
        <is>
          <t>https://shivsupperclub.com/</t>
        </is>
      </c>
      <c r="H294" s="116" t="n"/>
      <c r="I294" s="88" t="n"/>
      <c r="J294" s="28" t="n"/>
      <c r="K294" s="34" t="n"/>
      <c r="L294" s="45" t="n"/>
      <c r="M294" s="65" t="n"/>
      <c r="N294" s="65" t="n"/>
      <c r="O294" s="65" t="n"/>
      <c r="P294" s="65" t="n"/>
      <c r="Q294" s="65" t="n"/>
      <c r="R294" s="65" t="n"/>
      <c r="S294" s="18" t="n"/>
      <c r="T294" s="18" t="n"/>
      <c r="U294" s="30" t="n"/>
      <c r="V294" s="18" t="n"/>
      <c r="W294" s="18" t="n"/>
      <c r="X294" s="18" t="n"/>
      <c r="Y294" s="65" t="n"/>
      <c r="Z294" s="65" t="n"/>
      <c r="AA294" s="28" t="n"/>
      <c r="AB294" s="28" t="n"/>
      <c r="AC294" s="28" t="n"/>
      <c r="AD294" s="28" t="n"/>
      <c r="AE294" s="28" t="n"/>
      <c r="AF294" s="28" t="n"/>
      <c r="AG294" s="28" t="n"/>
      <c r="AH294" s="28" t="n"/>
      <c r="AI294" s="28" t="n"/>
      <c r="AJ294" s="28" t="n"/>
      <c r="AK294" s="28" t="n"/>
      <c r="AL294" s="65" t="n"/>
      <c r="AM294" s="65" t="n"/>
      <c r="AN294" s="65" t="n"/>
      <c r="AO294" s="65" t="n"/>
      <c r="AP294" s="65" t="n"/>
    </row>
    <row r="295" ht="51.75" customHeight="1" s="222">
      <c r="A295" s="28" t="inlineStr">
        <is>
          <t>The Ends</t>
        </is>
      </c>
      <c r="B295" s="73" t="inlineStr">
        <is>
          <t>Restaurant</t>
        </is>
      </c>
      <c r="C295" s="8" t="n"/>
      <c r="D295" s="28" t="inlineStr">
        <is>
          <t>7137 E Stetson Dr Suite 12, Scottsdale, AZ 85251</t>
        </is>
      </c>
      <c r="E295" s="73" t="inlineStr">
        <is>
          <t>Scottsdale</t>
        </is>
      </c>
      <c r="F295" s="73">
        <f>14803679900</f>
        <v/>
      </c>
      <c r="G295" s="20" t="inlineStr">
        <is>
          <t>http://www.endsrestaurant.com/</t>
        </is>
      </c>
      <c r="H295" s="116" t="n"/>
      <c r="I295" s="88" t="n"/>
      <c r="J295" s="28" t="n"/>
      <c r="K295" s="34" t="n"/>
      <c r="L295" s="45" t="n"/>
      <c r="M295" s="65" t="n"/>
      <c r="N295" s="65" t="n"/>
      <c r="O295" s="65" t="n"/>
      <c r="P295" s="65" t="n"/>
      <c r="Q295" s="65" t="n"/>
      <c r="R295" s="65" t="n"/>
      <c r="S295" s="18" t="n"/>
      <c r="T295" s="18" t="n"/>
      <c r="U295" s="30" t="n"/>
      <c r="V295" s="18" t="n"/>
      <c r="W295" s="18" t="n"/>
      <c r="X295" s="18" t="n"/>
      <c r="Y295" s="65" t="n"/>
      <c r="Z295" s="65" t="n"/>
      <c r="AA295" s="28" t="n"/>
      <c r="AB295" s="28" t="n"/>
      <c r="AC295" s="28" t="n"/>
      <c r="AD295" s="28" t="n"/>
      <c r="AE295" s="28" t="n"/>
      <c r="AF295" s="28" t="n"/>
      <c r="AG295" s="28" t="n"/>
      <c r="AH295" s="28" t="n"/>
      <c r="AI295" s="28" t="n"/>
      <c r="AJ295" s="28" t="n"/>
      <c r="AK295" s="28" t="n"/>
      <c r="AL295" s="65" t="n"/>
      <c r="AM295" s="65" t="n"/>
      <c r="AN295" s="65" t="n"/>
      <c r="AO295" s="65" t="n"/>
      <c r="AP295" s="65" t="n"/>
    </row>
    <row r="296" ht="51.75" customHeight="1" s="222">
      <c r="A296" s="28" t="inlineStr">
        <is>
          <t>Schmooze</t>
        </is>
      </c>
      <c r="B296" s="73" t="inlineStr">
        <is>
          <t>Restaurant</t>
        </is>
      </c>
      <c r="C296" s="8" t="n"/>
      <c r="D296" s="28" t="inlineStr">
        <is>
          <t>4222 N Marshall Way, Scottsdale, AZ 85251</t>
        </is>
      </c>
      <c r="E296" s="73" t="inlineStr">
        <is>
          <t>Scottsdale</t>
        </is>
      </c>
      <c r="F296" s="73">
        <f>14806136536</f>
        <v/>
      </c>
      <c r="G296" s="20" t="inlineStr">
        <is>
          <t>http://schmoozescottsdale.com/</t>
        </is>
      </c>
      <c r="H296" s="116" t="n"/>
      <c r="I296" s="88" t="n"/>
      <c r="J296" s="28" t="n"/>
      <c r="K296" s="34" t="n"/>
      <c r="L296" s="45" t="n"/>
      <c r="M296" s="65" t="n"/>
      <c r="N296" s="65" t="n"/>
      <c r="O296" s="65" t="n"/>
      <c r="P296" s="65" t="n"/>
      <c r="Q296" s="65" t="n"/>
      <c r="R296" s="65" t="n"/>
      <c r="S296" s="18" t="n"/>
      <c r="T296" s="18" t="n"/>
      <c r="U296" s="30" t="n"/>
      <c r="V296" s="18" t="n"/>
      <c r="W296" s="18" t="n"/>
      <c r="X296" s="18" t="n"/>
      <c r="Y296" s="65" t="n"/>
      <c r="Z296" s="65" t="n"/>
      <c r="AA296" s="28" t="n"/>
      <c r="AB296" s="28" t="n"/>
      <c r="AC296" s="28" t="n"/>
      <c r="AD296" s="28" t="n"/>
      <c r="AE296" s="28" t="n"/>
      <c r="AF296" s="28" t="n"/>
      <c r="AG296" s="28" t="n"/>
      <c r="AH296" s="28" t="n"/>
      <c r="AI296" s="28" t="n"/>
      <c r="AJ296" s="28" t="n"/>
      <c r="AK296" s="28" t="n"/>
      <c r="AL296" s="65" t="n"/>
      <c r="AM296" s="65" t="n"/>
      <c r="AN296" s="65" t="n"/>
      <c r="AO296" s="65" t="n"/>
      <c r="AP296" s="65" t="n"/>
    </row>
    <row r="297" ht="51.75" customHeight="1" s="222">
      <c r="A297" s="28" t="inlineStr">
        <is>
          <t>EVO Old Town Scottsdale</t>
        </is>
      </c>
      <c r="B297" s="73" t="inlineStr">
        <is>
          <t>Restaurant</t>
        </is>
      </c>
      <c r="C297" s="8" t="n"/>
      <c r="D297" s="28" t="inlineStr">
        <is>
          <t>4175 N Goldwater Blvd, Scottsdale, AZ 85251</t>
        </is>
      </c>
      <c r="E297" s="73" t="inlineStr">
        <is>
          <t>Scottsdale</t>
        </is>
      </c>
      <c r="F297" s="73">
        <f>14802659814</f>
        <v/>
      </c>
      <c r="G297" s="20" t="inlineStr">
        <is>
          <t>https://www.evoscottsdale.com/</t>
        </is>
      </c>
      <c r="H297" s="116" t="n"/>
      <c r="I297" s="88" t="n"/>
      <c r="J297" s="28" t="n"/>
      <c r="K297" s="34" t="n"/>
      <c r="L297" s="45" t="n"/>
      <c r="M297" s="65" t="n"/>
      <c r="N297" s="65" t="n"/>
      <c r="O297" s="65" t="n"/>
      <c r="P297" s="65" t="n"/>
      <c r="Q297" s="65" t="n"/>
      <c r="R297" s="65" t="n"/>
      <c r="S297" s="18" t="n"/>
      <c r="T297" s="18" t="n"/>
      <c r="U297" s="30" t="n"/>
      <c r="V297" s="18" t="n"/>
      <c r="W297" s="18" t="n"/>
      <c r="X297" s="18" t="n"/>
      <c r="Y297" s="65" t="n"/>
      <c r="Z297" s="65" t="n"/>
      <c r="AA297" s="28" t="n"/>
      <c r="AB297" s="28" t="n"/>
      <c r="AC297" s="28" t="n"/>
      <c r="AD297" s="28" t="n"/>
      <c r="AE297" s="28" t="n"/>
      <c r="AF297" s="28" t="n"/>
      <c r="AG297" s="28" t="n"/>
      <c r="AH297" s="28" t="n"/>
      <c r="AI297" s="28" t="n"/>
      <c r="AJ297" s="28" t="n"/>
      <c r="AK297" s="28" t="n"/>
      <c r="AL297" s="65" t="n"/>
      <c r="AM297" s="65" t="n"/>
      <c r="AN297" s="65" t="n"/>
      <c r="AO297" s="65" t="n"/>
      <c r="AP297" s="65" t="n"/>
    </row>
    <row r="298" ht="51.75" customHeight="1" s="222">
      <c r="A298" s="28" t="inlineStr">
        <is>
          <t>The Beverly on Main</t>
        </is>
      </c>
      <c r="B298" s="73" t="inlineStr">
        <is>
          <t>Restaurant</t>
        </is>
      </c>
      <c r="C298" s="8" t="n"/>
      <c r="D298" s="28" t="inlineStr">
        <is>
          <t>7018 E Main St, Scottsdale, AZ 85251</t>
        </is>
      </c>
      <c r="E298" s="73" t="inlineStr">
        <is>
          <t>Scottsdale</t>
        </is>
      </c>
      <c r="F298" s="73">
        <f>14808895580</f>
        <v/>
      </c>
      <c r="G298" s="20" t="inlineStr">
        <is>
          <t>http://www.beverlyonmain.com/</t>
        </is>
      </c>
      <c r="H298" s="116" t="n"/>
      <c r="I298" s="88" t="n"/>
      <c r="J298" s="28" t="n"/>
      <c r="K298" s="34" t="n"/>
      <c r="L298" s="45" t="n"/>
      <c r="M298" s="65" t="n"/>
      <c r="N298" s="65" t="n"/>
      <c r="O298" s="65" t="n"/>
      <c r="P298" s="65" t="n"/>
      <c r="Q298" s="65" t="n"/>
      <c r="R298" s="65" t="n"/>
      <c r="S298" s="18" t="n"/>
      <c r="T298" s="18" t="n"/>
      <c r="U298" s="30" t="n"/>
      <c r="V298" s="18" t="n"/>
      <c r="W298" s="18" t="n"/>
      <c r="X298" s="18" t="n"/>
      <c r="Y298" s="65" t="n"/>
      <c r="Z298" s="65" t="n"/>
      <c r="AA298" s="28" t="n"/>
      <c r="AB298" s="28" t="n"/>
      <c r="AC298" s="28" t="n"/>
      <c r="AD298" s="28" t="n"/>
      <c r="AE298" s="28" t="n"/>
      <c r="AF298" s="28" t="n"/>
      <c r="AG298" s="28" t="n"/>
      <c r="AH298" s="28" t="n"/>
      <c r="AI298" s="28" t="n"/>
      <c r="AJ298" s="28" t="n"/>
      <c r="AK298" s="28" t="n"/>
      <c r="AL298" s="65" t="n"/>
      <c r="AM298" s="65" t="n"/>
      <c r="AN298" s="65" t="n"/>
      <c r="AO298" s="65" t="n"/>
      <c r="AP298" s="65" t="n"/>
    </row>
    <row r="299" ht="51.75" customHeight="1" s="222">
      <c r="A299" s="28" t="inlineStr">
        <is>
          <t>Sel</t>
        </is>
      </c>
      <c r="B299" s="73" t="inlineStr">
        <is>
          <t>Restaurant</t>
        </is>
      </c>
      <c r="C299" s="8" t="n"/>
      <c r="D299" s="28" t="inlineStr">
        <is>
          <t>7044 E Main St, Scottsdale, AZ 85251</t>
        </is>
      </c>
      <c r="E299" s="73" t="inlineStr">
        <is>
          <t>Scottsdale</t>
        </is>
      </c>
      <c r="F299" s="73">
        <f>14809496296</f>
        <v/>
      </c>
      <c r="G299" s="20" t="inlineStr">
        <is>
          <t>https://www.selrestaurant.com/</t>
        </is>
      </c>
      <c r="H299" s="116" t="n"/>
      <c r="I299" s="88" t="n"/>
      <c r="J299" s="28" t="n"/>
      <c r="K299" s="34" t="n"/>
      <c r="L299" s="45" t="n"/>
      <c r="M299" s="65" t="n"/>
      <c r="N299" s="65" t="n"/>
      <c r="O299" s="65" t="n"/>
      <c r="P299" s="65" t="n"/>
      <c r="Q299" s="65" t="n"/>
      <c r="R299" s="65" t="n"/>
      <c r="S299" s="18" t="n"/>
      <c r="T299" s="18" t="n"/>
      <c r="U299" s="30" t="n"/>
      <c r="V299" s="18" t="n"/>
      <c r="W299" s="18" t="n"/>
      <c r="X299" s="18" t="n"/>
      <c r="Y299" s="65" t="n"/>
      <c r="Z299" s="65" t="n"/>
      <c r="AA299" s="28" t="n"/>
      <c r="AB299" s="28" t="n"/>
      <c r="AC299" s="28" t="n"/>
      <c r="AD299" s="28" t="n"/>
      <c r="AE299" s="28" t="n"/>
      <c r="AF299" s="28" t="n"/>
      <c r="AG299" s="28" t="n"/>
      <c r="AH299" s="28" t="n"/>
      <c r="AI299" s="28" t="n"/>
      <c r="AJ299" s="28" t="n"/>
      <c r="AK299" s="28" t="n"/>
      <c r="AL299" s="65" t="n"/>
      <c r="AM299" s="65" t="n"/>
      <c r="AN299" s="65" t="n"/>
      <c r="AO299" s="65" t="n"/>
      <c r="AP299" s="65" t="n"/>
    </row>
    <row r="300" ht="51.75" customHeight="1" s="222">
      <c r="A300" s="28" t="inlineStr">
        <is>
          <t>Olive &amp; Ivy</t>
        </is>
      </c>
      <c r="B300" s="73" t="inlineStr">
        <is>
          <t>Restaurant</t>
        </is>
      </c>
      <c r="C300" s="8" t="n"/>
      <c r="D300" s="28" t="inlineStr">
        <is>
          <t>7135 E Camelback Rd, Scottsdale, AZ 85251</t>
        </is>
      </c>
      <c r="E300" s="73" t="inlineStr">
        <is>
          <t>Scottsdale</t>
        </is>
      </c>
      <c r="F300" s="73">
        <f>14807512200</f>
        <v/>
      </c>
      <c r="G300" s="20" t="inlineStr">
        <is>
          <t>https://www.oliveandivyrestaurant.com/locations/scottsdale-az/?utm_source=Google&amp;utm_medium=Organic&amp;utm_campaign=Maps</t>
        </is>
      </c>
      <c r="H300" s="116" t="n"/>
      <c r="I300" s="88" t="n"/>
      <c r="J300" s="28" t="n"/>
      <c r="K300" s="34" t="n"/>
      <c r="L300" s="45" t="n"/>
      <c r="M300" s="65" t="n"/>
      <c r="N300" s="65" t="n"/>
      <c r="O300" s="65" t="n"/>
      <c r="P300" s="65" t="n"/>
      <c r="Q300" s="65" t="n"/>
      <c r="R300" s="65" t="n"/>
      <c r="S300" s="18" t="n"/>
      <c r="T300" s="18" t="n"/>
      <c r="U300" s="30" t="n"/>
      <c r="V300" s="18" t="n"/>
      <c r="W300" s="18" t="n"/>
      <c r="X300" s="18" t="n"/>
      <c r="Y300" s="65" t="n"/>
      <c r="Z300" s="65" t="n"/>
      <c r="AA300" s="28" t="n"/>
      <c r="AB300" s="28" t="n"/>
      <c r="AC300" s="28" t="n"/>
      <c r="AD300" s="28" t="n"/>
      <c r="AE300" s="28" t="n"/>
      <c r="AF300" s="28" t="n"/>
      <c r="AG300" s="28" t="n"/>
      <c r="AH300" s="28" t="n"/>
      <c r="AI300" s="28" t="n"/>
      <c r="AJ300" s="28" t="n"/>
      <c r="AK300" s="28" t="n"/>
      <c r="AL300" s="65" t="n"/>
      <c r="AM300" s="65" t="n"/>
      <c r="AN300" s="65" t="n"/>
      <c r="AO300" s="65" t="n"/>
      <c r="AP300" s="65" t="n"/>
    </row>
    <row r="301" ht="51.75" customHeight="1" s="222">
      <c r="A301" s="28" t="inlineStr">
        <is>
          <t>Hand Cut Chophouse</t>
        </is>
      </c>
      <c r="B301" s="73" t="inlineStr">
        <is>
          <t>Restaurant</t>
        </is>
      </c>
      <c r="C301" s="8" t="n"/>
      <c r="D301" s="28" t="inlineStr">
        <is>
          <t>7135 E Camelback Rd #154, Scottsdale, AZ 85251</t>
        </is>
      </c>
      <c r="E301" s="73" t="inlineStr">
        <is>
          <t>Scottsdale</t>
        </is>
      </c>
      <c r="F301" s="73">
        <f>14804942008</f>
        <v/>
      </c>
      <c r="G301" s="20" t="inlineStr">
        <is>
          <t>http://www.handcutchophouse.com/</t>
        </is>
      </c>
      <c r="H301" s="116" t="n"/>
      <c r="I301" s="88" t="n"/>
      <c r="J301" s="28" t="n"/>
      <c r="K301" s="34" t="n"/>
      <c r="L301" s="45" t="n"/>
      <c r="M301" s="65" t="n"/>
      <c r="N301" s="65" t="n"/>
      <c r="O301" s="65" t="n"/>
      <c r="P301" s="65" t="n"/>
      <c r="Q301" s="65" t="n"/>
      <c r="R301" s="65" t="n"/>
      <c r="S301" s="18" t="n"/>
      <c r="T301" s="18" t="n"/>
      <c r="U301" s="30" t="n"/>
      <c r="V301" s="18" t="n"/>
      <c r="W301" s="18" t="n"/>
      <c r="X301" s="18" t="n"/>
      <c r="Y301" s="65" t="n"/>
      <c r="Z301" s="65" t="n"/>
      <c r="AA301" s="28" t="n"/>
      <c r="AB301" s="28" t="n"/>
      <c r="AC301" s="28" t="n"/>
      <c r="AD301" s="28" t="n"/>
      <c r="AE301" s="28" t="n"/>
      <c r="AF301" s="28" t="n"/>
      <c r="AG301" s="28" t="n"/>
      <c r="AH301" s="28" t="n"/>
      <c r="AI301" s="28" t="n"/>
      <c r="AJ301" s="28" t="n"/>
      <c r="AK301" s="28" t="n"/>
      <c r="AL301" s="65" t="n"/>
      <c r="AM301" s="65" t="n"/>
      <c r="AN301" s="65" t="n"/>
      <c r="AO301" s="65" t="n"/>
      <c r="AP301" s="65" t="n"/>
    </row>
    <row r="302" ht="51.75" customHeight="1" s="222">
      <c r="A302" s="28" t="inlineStr">
        <is>
          <t>Maple &amp; Ash</t>
        </is>
      </c>
      <c r="B302" s="73" t="inlineStr">
        <is>
          <t>Restaurant</t>
        </is>
      </c>
      <c r="C302" s="8" t="n"/>
      <c r="D302" s="28" t="inlineStr">
        <is>
          <t>7135 E Camelback Rd #130, Scottsdale, AZ 85251</t>
        </is>
      </c>
      <c r="E302" s="73" t="inlineStr">
        <is>
          <t>Scottsdale</t>
        </is>
      </c>
      <c r="F302" s="73">
        <f>14804008888</f>
        <v/>
      </c>
      <c r="G302" s="20" t="inlineStr">
        <is>
          <t>http://mapleandash.com/</t>
        </is>
      </c>
      <c r="H302" s="116" t="n"/>
      <c r="I302" s="88" t="n">
        <v>9</v>
      </c>
      <c r="J302" s="28" t="n"/>
      <c r="K302" s="34" t="n"/>
      <c r="L302" s="45" t="n"/>
      <c r="M302" s="65" t="n"/>
      <c r="N302" s="65" t="n"/>
      <c r="O302" s="65" t="n"/>
      <c r="P302" s="65" t="n"/>
      <c r="Q302" s="65" t="n"/>
      <c r="R302" s="65" t="n"/>
      <c r="S302" s="18" t="n"/>
      <c r="T302" s="18" t="n"/>
      <c r="U302" s="30" t="n"/>
      <c r="V302" s="18" t="n"/>
      <c r="W302" s="18" t="n"/>
      <c r="X302" s="18" t="n"/>
      <c r="Y302" s="65" t="n"/>
      <c r="Z302" s="65" t="n"/>
      <c r="AA302" s="28" t="n"/>
      <c r="AB302" s="28" t="n"/>
      <c r="AC302" s="28" t="n"/>
      <c r="AD302" s="28" t="n"/>
      <c r="AE302" s="28" t="n"/>
      <c r="AF302" s="28" t="n"/>
      <c r="AG302" s="28" t="n"/>
      <c r="AH302" s="28" t="n"/>
      <c r="AI302" s="28" t="n"/>
      <c r="AJ302" s="28" t="n"/>
      <c r="AK302" s="28" t="n"/>
      <c r="AL302" s="65" t="n"/>
      <c r="AM302" s="65" t="n"/>
      <c r="AN302" s="65" t="n"/>
      <c r="AO302" s="65" t="n"/>
      <c r="AP302" s="65" t="n"/>
    </row>
    <row r="303" ht="51.75" customHeight="1" s="222">
      <c r="A303" s="28" t="inlineStr">
        <is>
          <t>Culinary Dropout - Scottsdale</t>
        </is>
      </c>
      <c r="B303" s="73" t="inlineStr">
        <is>
          <t>Restaurant</t>
        </is>
      </c>
      <c r="C303" s="8" t="n"/>
      <c r="D303" s="28" t="inlineStr">
        <is>
          <t>7135 E Camelback Rd, Scottsdale, AZ 85251</t>
        </is>
      </c>
      <c r="E303" s="73" t="inlineStr">
        <is>
          <t>Scottsdale</t>
        </is>
      </c>
      <c r="F303" s="73">
        <f>14809701700</f>
        <v/>
      </c>
      <c r="G303" s="20" t="inlineStr">
        <is>
          <t>https://www.culinarydropout.com/locations/scottsdale-az/?utm_source=Google&amp;utm_medium=Organic&amp;utm_campaign=Maps</t>
        </is>
      </c>
      <c r="H303" s="116" t="n"/>
      <c r="I303" s="88" t="n"/>
      <c r="J303" s="28" t="n"/>
      <c r="K303" s="34" t="n"/>
      <c r="L303" s="45" t="n"/>
      <c r="M303" s="65" t="inlineStr">
        <is>
          <t>Fox Restaurant Concepts</t>
        </is>
      </c>
      <c r="N303" s="65" t="n"/>
      <c r="O303" s="65" t="n"/>
      <c r="P303" s="65" t="n"/>
      <c r="Q303" s="65" t="n"/>
      <c r="R303" s="65" t="n"/>
      <c r="S303" s="18" t="n"/>
      <c r="T303" s="18" t="n"/>
      <c r="U303" s="30" t="n"/>
      <c r="V303" s="18" t="n"/>
      <c r="W303" s="18" t="n"/>
      <c r="X303" s="18" t="n"/>
      <c r="Y303" s="65" t="n"/>
      <c r="Z303" s="65" t="n"/>
      <c r="AA303" s="28" t="n"/>
      <c r="AB303" s="28" t="n"/>
      <c r="AC303" s="28" t="n"/>
      <c r="AD303" s="28" t="n"/>
      <c r="AE303" s="28" t="n"/>
      <c r="AF303" s="28" t="n"/>
      <c r="AG303" s="28" t="n"/>
      <c r="AH303" s="28" t="n"/>
      <c r="AI303" s="28" t="n"/>
      <c r="AJ303" s="28" t="n"/>
      <c r="AK303" s="28" t="n"/>
      <c r="AL303" s="65" t="n"/>
      <c r="AM303" s="65" t="n"/>
      <c r="AN303" s="65" t="n"/>
      <c r="AO303" s="65" t="n"/>
      <c r="AP303" s="65" t="n"/>
    </row>
    <row r="304" ht="51.75" customHeight="1" s="222">
      <c r="A304" s="28" t="inlineStr">
        <is>
          <t>P.F. Chang's</t>
        </is>
      </c>
      <c r="B304" s="73" t="inlineStr">
        <is>
          <t>Restaurant</t>
        </is>
      </c>
      <c r="C304" s="8" t="n"/>
      <c r="D304" s="28" t="inlineStr">
        <is>
          <t>7135 E Camelback Rd Suite 101, Scottsdale, AZ 85251</t>
        </is>
      </c>
      <c r="E304" s="73" t="inlineStr">
        <is>
          <t>Scottsdale</t>
        </is>
      </c>
      <c r="F304" s="73">
        <f>14809492610</f>
        <v/>
      </c>
      <c r="G304" s="20" t="inlineStr">
        <is>
          <t>https://locations.pfchangs.com/az/scottsdale/7135-e-camelback-rd-suite-101.html?utm_source=google_gbp&amp;utm_medium=organic</t>
        </is>
      </c>
      <c r="H304" s="116" t="n"/>
      <c r="I304" s="88" t="n"/>
      <c r="J304" s="28" t="n"/>
      <c r="K304" s="34" t="n"/>
      <c r="L304" s="45" t="n"/>
      <c r="M304" s="65" t="n"/>
      <c r="N304" s="65" t="n"/>
      <c r="O304" s="65" t="n"/>
      <c r="P304" s="65" t="n"/>
      <c r="Q304" s="65" t="n"/>
      <c r="R304" s="65" t="n"/>
      <c r="S304" s="18" t="n"/>
      <c r="T304" s="18" t="n"/>
      <c r="U304" s="30" t="n"/>
      <c r="V304" s="18" t="n"/>
      <c r="W304" s="18" t="n"/>
      <c r="X304" s="18" t="n"/>
      <c r="Y304" s="65" t="n"/>
      <c r="Z304" s="65" t="n"/>
      <c r="AA304" s="28" t="n"/>
      <c r="AB304" s="28" t="n"/>
      <c r="AC304" s="28" t="n"/>
      <c r="AD304" s="28" t="n"/>
      <c r="AE304" s="28" t="n"/>
      <c r="AF304" s="28" t="n"/>
      <c r="AG304" s="28" t="n"/>
      <c r="AH304" s="28" t="n"/>
      <c r="AI304" s="28" t="n"/>
      <c r="AJ304" s="28" t="n"/>
      <c r="AK304" s="28" t="n"/>
      <c r="AL304" s="65" t="n"/>
      <c r="AM304" s="65" t="n"/>
      <c r="AN304" s="65" t="n"/>
      <c r="AO304" s="65" t="n"/>
      <c r="AP304" s="65" t="n"/>
    </row>
    <row r="305" ht="51.75" customHeight="1" s="222">
      <c r="A305" s="28" t="inlineStr">
        <is>
          <t>Scottsdale Fashion Square</t>
        </is>
      </c>
      <c r="B305" s="73" t="inlineStr">
        <is>
          <t>Restaurant</t>
        </is>
      </c>
      <c r="C305" s="8" t="n"/>
      <c r="D305" s="28" t="inlineStr">
        <is>
          <t>7014 E Camelback Rd, Scottsdale, AZ 85251</t>
        </is>
      </c>
      <c r="E305" s="73" t="inlineStr">
        <is>
          <t>Scottsdale</t>
        </is>
      </c>
      <c r="F305" s="73" t="n"/>
      <c r="G305" s="205" t="n"/>
      <c r="H305" s="116" t="n"/>
      <c r="I305" s="88" t="inlineStr">
        <is>
          <t>Has Valet - was $30 for a little over an hour on Valentines Day</t>
        </is>
      </c>
      <c r="J305" s="28" t="n"/>
      <c r="K305" s="34" t="n"/>
      <c r="L305" s="45" t="n"/>
      <c r="M305" s="65" t="n"/>
      <c r="N305" s="65" t="inlineStr">
        <is>
          <t>Fine Dining, Hotels, and Luxury Shopping</t>
        </is>
      </c>
      <c r="O305" s="65" t="n"/>
      <c r="P305" s="65" t="n"/>
      <c r="Q305" s="65" t="n"/>
      <c r="R305" s="65" t="n"/>
      <c r="S305" s="18" t="n"/>
      <c r="T305" s="18" t="n"/>
      <c r="U305" s="30" t="n"/>
      <c r="V305" s="18" t="n"/>
      <c r="W305" s="18" t="n"/>
      <c r="X305" s="18" t="n"/>
      <c r="Y305" s="65" t="n"/>
      <c r="Z305" s="65" t="n"/>
      <c r="AA305" s="28" t="n"/>
      <c r="AB305" s="28" t="n"/>
      <c r="AC305" s="28" t="n"/>
      <c r="AD305" s="28" t="n"/>
      <c r="AE305" s="28" t="n"/>
      <c r="AF305" s="28" t="n"/>
      <c r="AG305" s="28" t="n"/>
      <c r="AH305" s="28" t="n"/>
      <c r="AI305" s="28" t="n"/>
      <c r="AJ305" s="28" t="n"/>
      <c r="AK305" s="28" t="n"/>
      <c r="AL305" s="65" t="n"/>
      <c r="AM305" s="65" t="n"/>
      <c r="AN305" s="65" t="n"/>
      <c r="AO305" s="65" t="n"/>
      <c r="AP305" s="65" t="n"/>
    </row>
    <row r="306" ht="51.75" customHeight="1" s="222">
      <c r="A306" s="28" t="inlineStr">
        <is>
          <t>Moxies Scottsdale Restaurant</t>
        </is>
      </c>
      <c r="B306" s="73" t="inlineStr">
        <is>
          <t>Restaurant</t>
        </is>
      </c>
      <c r="C306" s="8" t="n"/>
      <c r="D306" s="28" t="inlineStr">
        <is>
          <t>7014 E Camelback Rd Unit B120, Scottsdale, AZ 85251</t>
        </is>
      </c>
      <c r="E306" s="73" t="inlineStr">
        <is>
          <t>Scottsdale</t>
        </is>
      </c>
      <c r="F306" s="73">
        <f>16026132356</f>
        <v/>
      </c>
      <c r="G306" s="20" t="inlineStr">
        <is>
          <t>https://moxies.com/restaurants/scottsdale</t>
        </is>
      </c>
      <c r="H306" s="116" t="n"/>
      <c r="I306" s="88" t="n"/>
      <c r="J306" s="28" t="n"/>
      <c r="K306" s="34" t="n"/>
      <c r="L306" s="45" t="n"/>
      <c r="M306" s="65" t="n"/>
      <c r="N306" s="65" t="n"/>
      <c r="O306" s="65" t="n"/>
      <c r="P306" s="65" t="n"/>
      <c r="Q306" s="65" t="n"/>
      <c r="R306" s="65" t="n"/>
      <c r="S306" s="18" t="n"/>
      <c r="T306" s="18" t="n"/>
      <c r="U306" s="30" t="n"/>
      <c r="V306" s="18" t="n"/>
      <c r="W306" s="18" t="n"/>
      <c r="X306" s="18" t="n"/>
      <c r="Y306" s="65" t="n"/>
      <c r="Z306" s="65" t="n"/>
      <c r="AA306" s="28" t="n"/>
      <c r="AB306" s="28" t="n"/>
      <c r="AC306" s="28" t="n"/>
      <c r="AD306" s="28" t="n"/>
      <c r="AE306" s="28" t="n"/>
      <c r="AF306" s="28" t="n"/>
      <c r="AG306" s="28" t="n"/>
      <c r="AH306" s="28" t="n"/>
      <c r="AI306" s="28" t="n"/>
      <c r="AJ306" s="28" t="n"/>
      <c r="AK306" s="28" t="n"/>
      <c r="AL306" s="65" t="n"/>
      <c r="AM306" s="65" t="n"/>
      <c r="AN306" s="65" t="n"/>
      <c r="AO306" s="65" t="n"/>
      <c r="AP306" s="65" t="n"/>
    </row>
    <row r="307" ht="51.75" customHeight="1" s="222">
      <c r="A307" s="28" t="inlineStr">
        <is>
          <t>Toca Madera Scottsdale</t>
        </is>
      </c>
      <c r="B307" s="73" t="inlineStr">
        <is>
          <t>Restaurant</t>
        </is>
      </c>
      <c r="C307" s="8" t="n"/>
      <c r="D307" s="28" t="inlineStr">
        <is>
          <t>4736 N Goldwater Blvd, Scottsdale, AZ 85251</t>
        </is>
      </c>
      <c r="E307" s="73" t="inlineStr">
        <is>
          <t>Scottsdale</t>
        </is>
      </c>
      <c r="F307" s="73">
        <f>14809304357</f>
        <v/>
      </c>
      <c r="G307" s="20" t="inlineStr">
        <is>
          <t>https://tocamadera.com/</t>
        </is>
      </c>
      <c r="H307" s="116" t="n"/>
      <c r="I307" s="88" t="inlineStr">
        <is>
          <t>Has Valet</t>
        </is>
      </c>
      <c r="J307" s="28" t="n"/>
      <c r="K307" s="34" t="n"/>
      <c r="L307" s="45" t="n"/>
      <c r="M307" s="65" t="n"/>
      <c r="N307" s="65" t="n"/>
      <c r="O307" s="65" t="n"/>
      <c r="P307" s="65" t="n"/>
      <c r="Q307" s="65" t="n"/>
      <c r="R307" s="65" t="n"/>
      <c r="S307" s="18" t="n"/>
      <c r="T307" s="18" t="n"/>
      <c r="U307" s="30" t="n"/>
      <c r="V307" s="18" t="n"/>
      <c r="W307" s="18" t="n"/>
      <c r="X307" s="18" t="n"/>
      <c r="Y307" s="65" t="n"/>
      <c r="Z307" s="65" t="n"/>
      <c r="AA307" s="28" t="n"/>
      <c r="AB307" s="28" t="n"/>
      <c r="AC307" s="28" t="n"/>
      <c r="AD307" s="28" t="n"/>
      <c r="AE307" s="28" t="n"/>
      <c r="AF307" s="28" t="n"/>
      <c r="AG307" s="28" t="n"/>
      <c r="AH307" s="28" t="n"/>
      <c r="AI307" s="28" t="n"/>
      <c r="AJ307" s="28" t="n"/>
      <c r="AK307" s="28" t="n"/>
      <c r="AL307" s="65" t="n"/>
      <c r="AM307" s="65" t="n"/>
      <c r="AN307" s="65" t="n"/>
      <c r="AO307" s="65" t="n"/>
      <c r="AP307" s="65" t="n"/>
    </row>
    <row r="308" ht="51.75" customHeight="1" s="222">
      <c r="A308" s="28" t="inlineStr">
        <is>
          <t>Ocean 44</t>
        </is>
      </c>
      <c r="B308" s="73" t="inlineStr">
        <is>
          <t>Restaurant</t>
        </is>
      </c>
      <c r="C308" s="8" t="n"/>
      <c r="D308" s="28" t="inlineStr">
        <is>
          <t>4748 N Goldwater Blvd, Scottsdale, AZ 85251</t>
        </is>
      </c>
      <c r="E308" s="73" t="inlineStr">
        <is>
          <t>Scottsdale</t>
        </is>
      </c>
      <c r="F308" s="73">
        <f>14808670044</f>
        <v/>
      </c>
      <c r="G308" s="20" t="inlineStr">
        <is>
          <t>https://www.ocean44.com/</t>
        </is>
      </c>
      <c r="H308" s="116" t="n"/>
      <c r="I308" s="88" t="inlineStr">
        <is>
          <t>Has Valet</t>
        </is>
      </c>
      <c r="J308" s="28" t="n"/>
      <c r="K308" s="34" t="n"/>
      <c r="L308" s="45" t="n"/>
      <c r="M308" s="65" t="n"/>
      <c r="N308" s="65" t="n"/>
      <c r="O308" s="65" t="n"/>
      <c r="P308" s="65" t="n"/>
      <c r="Q308" s="65" t="n"/>
      <c r="R308" s="65" t="n"/>
      <c r="S308" s="18" t="n"/>
      <c r="T308" s="18" t="n"/>
      <c r="U308" s="30" t="n"/>
      <c r="V308" s="18" t="n"/>
      <c r="W308" s="18" t="n"/>
      <c r="X308" s="18" t="n"/>
      <c r="Y308" s="65" t="n"/>
      <c r="Z308" s="65" t="n"/>
      <c r="AA308" s="28" t="n"/>
      <c r="AB308" s="28" t="n"/>
      <c r="AC308" s="28" t="n"/>
      <c r="AD308" s="28" t="n"/>
      <c r="AE308" s="28" t="n"/>
      <c r="AF308" s="28" t="n"/>
      <c r="AG308" s="28" t="n"/>
      <c r="AH308" s="28" t="n"/>
      <c r="AI308" s="28" t="n"/>
      <c r="AJ308" s="28" t="n"/>
      <c r="AK308" s="28" t="n"/>
      <c r="AL308" s="65" t="n"/>
      <c r="AM308" s="65" t="n"/>
      <c r="AN308" s="65" t="n"/>
      <c r="AO308" s="65" t="n"/>
      <c r="AP308" s="65" t="n"/>
    </row>
    <row r="309" ht="51.75" customHeight="1" s="222">
      <c r="A309" s="28" t="inlineStr">
        <is>
          <t>Nobu Scottsdale</t>
        </is>
      </c>
      <c r="B309" s="73" t="inlineStr">
        <is>
          <t>Restaurant</t>
        </is>
      </c>
      <c r="C309" s="8" t="n"/>
      <c r="D309" s="28" t="inlineStr">
        <is>
          <t>7014 E Camelback Rd #1170, Scottsdale, AZ 85251</t>
        </is>
      </c>
      <c r="E309" s="73" t="inlineStr">
        <is>
          <t>Scottsdale</t>
        </is>
      </c>
      <c r="F309" s="73">
        <f>14805810055</f>
        <v/>
      </c>
      <c r="G309" s="20" t="inlineStr">
        <is>
          <t>https://www.noburestaurants.com/scottsdale/home/?utm_source=google&amp;utm_medium=Yext</t>
        </is>
      </c>
      <c r="H309" s="116" t="n"/>
      <c r="I309" s="88" t="n"/>
      <c r="J309" s="28" t="n"/>
      <c r="K309" s="34" t="n"/>
      <c r="L309" s="45" t="n"/>
      <c r="M309" s="65" t="n"/>
      <c r="N309" s="65" t="n"/>
      <c r="O309" s="65" t="n"/>
      <c r="P309" s="65" t="n"/>
      <c r="Q309" s="65" t="n"/>
      <c r="R309" s="65" t="n"/>
      <c r="S309" s="18" t="n"/>
      <c r="T309" s="18" t="n"/>
      <c r="U309" s="30" t="n"/>
      <c r="V309" s="18" t="n"/>
      <c r="W309" s="18" t="n"/>
      <c r="X309" s="18" t="n"/>
      <c r="Y309" s="65" t="n"/>
      <c r="Z309" s="65" t="n"/>
      <c r="AA309" s="28" t="n"/>
      <c r="AB309" s="28" t="n"/>
      <c r="AC309" s="28" t="n"/>
      <c r="AD309" s="28" t="n"/>
      <c r="AE309" s="28" t="n"/>
      <c r="AF309" s="28" t="n"/>
      <c r="AG309" s="28" t="n"/>
      <c r="AH309" s="28" t="n"/>
      <c r="AI309" s="28" t="n"/>
      <c r="AJ309" s="28" t="n"/>
      <c r="AK309" s="28" t="n"/>
      <c r="AL309" s="65" t="n"/>
      <c r="AM309" s="65" t="n"/>
      <c r="AN309" s="65" t="n"/>
      <c r="AO309" s="65" t="n"/>
      <c r="AP309" s="65" t="n"/>
    </row>
    <row r="310" ht="51.75" customHeight="1" s="222">
      <c r="A310" s="28" t="inlineStr">
        <is>
          <t>Fogo de Chão Brazilian Steakhouse</t>
        </is>
      </c>
      <c r="B310" s="73" t="inlineStr">
        <is>
          <t>Restaurant</t>
        </is>
      </c>
      <c r="C310" s="8" t="n"/>
      <c r="D310" s="28" t="inlineStr">
        <is>
          <t>6300 N Scottsdale Rd, Scottsdale, AZ 85253</t>
        </is>
      </c>
      <c r="E310" s="73" t="inlineStr">
        <is>
          <t>Scottsdale</t>
        </is>
      </c>
      <c r="F310" s="73">
        <f>14806098866</f>
        <v/>
      </c>
      <c r="G310" s="20" t="inlineStr">
        <is>
          <t>https://fogodechao.com/location/scottsdale/</t>
        </is>
      </c>
      <c r="H310" s="116" t="n"/>
      <c r="I310" s="88" t="n"/>
      <c r="J310" s="28" t="n"/>
      <c r="K310" s="34" t="n"/>
      <c r="L310" s="45" t="n"/>
      <c r="M310" s="65" t="n"/>
      <c r="N310" s="65" t="n"/>
      <c r="O310" s="65" t="n"/>
      <c r="P310" s="65" t="n"/>
      <c r="Q310" s="65" t="n"/>
      <c r="R310" s="65" t="n"/>
      <c r="S310" s="18" t="n"/>
      <c r="T310" s="18" t="n"/>
      <c r="U310" s="30" t="n"/>
      <c r="V310" s="18" t="n"/>
      <c r="W310" s="18" t="n"/>
      <c r="X310" s="18" t="n"/>
      <c r="Y310" s="65" t="n"/>
      <c r="Z310" s="65" t="n"/>
      <c r="AA310" s="28" t="n"/>
      <c r="AB310" s="28" t="n"/>
      <c r="AC310" s="28" t="n"/>
      <c r="AD310" s="28" t="n"/>
      <c r="AE310" s="28" t="n"/>
      <c r="AF310" s="28" t="n"/>
      <c r="AG310" s="28" t="n"/>
      <c r="AH310" s="28" t="n"/>
      <c r="AI310" s="28" t="n"/>
      <c r="AJ310" s="28" t="n"/>
      <c r="AK310" s="28" t="n"/>
      <c r="AL310" s="65" t="n"/>
      <c r="AM310" s="65" t="n"/>
      <c r="AN310" s="65" t="n"/>
      <c r="AO310" s="65" t="n"/>
      <c r="AP310" s="65" t="n"/>
    </row>
    <row r="311" ht="51.75" customHeight="1" s="222">
      <c r="A311" s="28" t="inlineStr">
        <is>
          <t>Fat Ox</t>
        </is>
      </c>
      <c r="B311" s="73" t="inlineStr">
        <is>
          <t>Restaurant</t>
        </is>
      </c>
      <c r="C311" s="8" t="n"/>
      <c r="D311" s="28" t="inlineStr">
        <is>
          <t>6316 N Scottsdale Rd, Scottsdale, AZ 85253</t>
        </is>
      </c>
      <c r="E311" s="73" t="inlineStr">
        <is>
          <t>Scottsdale</t>
        </is>
      </c>
      <c r="F311" s="73">
        <f>14803076900</f>
        <v/>
      </c>
      <c r="G311" s="20" t="inlineStr">
        <is>
          <t>https://www.ilovefatox.com/</t>
        </is>
      </c>
      <c r="H311" s="116" t="n"/>
      <c r="I311" s="88" t="n"/>
      <c r="J311" s="28" t="n"/>
      <c r="K311" s="34" t="n"/>
      <c r="L311" s="45" t="n"/>
      <c r="M311" s="65" t="n"/>
      <c r="N311" s="65" t="n"/>
      <c r="O311" s="65" t="n"/>
      <c r="P311" s="65" t="n"/>
      <c r="Q311" s="65" t="n"/>
      <c r="R311" s="65" t="n"/>
      <c r="S311" s="18" t="n"/>
      <c r="T311" s="18" t="n"/>
      <c r="U311" s="30" t="n"/>
      <c r="V311" s="18" t="n"/>
      <c r="W311" s="18" t="n"/>
      <c r="X311" s="18" t="n"/>
      <c r="Y311" s="65" t="n"/>
      <c r="Z311" s="65" t="n"/>
      <c r="AA311" s="28" t="n"/>
      <c r="AB311" s="28" t="n"/>
      <c r="AC311" s="28" t="n"/>
      <c r="AD311" s="28" t="n"/>
      <c r="AE311" s="28" t="n"/>
      <c r="AF311" s="28" t="n"/>
      <c r="AG311" s="28" t="n"/>
      <c r="AH311" s="28" t="n"/>
      <c r="AI311" s="28" t="n"/>
      <c r="AJ311" s="28" t="n"/>
      <c r="AK311" s="28" t="n"/>
      <c r="AL311" s="65" t="n"/>
      <c r="AM311" s="65" t="n"/>
      <c r="AN311" s="65" t="n"/>
      <c r="AO311" s="65" t="n"/>
      <c r="AP311" s="65" t="n"/>
    </row>
    <row r="312" ht="51.75" customHeight="1" s="222">
      <c r="A312" s="28" t="inlineStr">
        <is>
          <t>Culinary Dropout - Kierland</t>
        </is>
      </c>
      <c r="B312" s="73" t="inlineStr">
        <is>
          <t>Restaurant</t>
        </is>
      </c>
      <c r="C312" s="8" t="n"/>
      <c r="D312" s="28" t="inlineStr">
        <is>
          <t>15125 N Scottsdale Rd, Scottsdale, AZ 85254</t>
        </is>
      </c>
      <c r="E312" s="73" t="inlineStr">
        <is>
          <t>Scottsdale</t>
        </is>
      </c>
      <c r="F312" s="73">
        <f>14806539701</f>
        <v/>
      </c>
      <c r="G312" s="20" t="inlineStr">
        <is>
          <t>https://www.culinarydropout.com/locations/scottsdale-az-scottsdale-quarter/?utm_source=Google&amp;utm_medium=Organic&amp;utm_campaign=Maps</t>
        </is>
      </c>
      <c r="H312" s="116" t="n"/>
      <c r="I312" s="88" t="n"/>
      <c r="J312" s="28" t="n"/>
      <c r="K312" s="34" t="n"/>
      <c r="L312" s="45" t="n"/>
      <c r="M312" s="65" t="n"/>
      <c r="N312" s="65" t="n"/>
      <c r="O312" s="65" t="n"/>
      <c r="P312" s="65" t="n"/>
      <c r="Q312" s="65" t="n"/>
      <c r="R312" s="65" t="n"/>
      <c r="S312" s="18" t="n"/>
      <c r="T312" s="18" t="n"/>
      <c r="U312" s="30" t="n"/>
      <c r="V312" s="18" t="n"/>
      <c r="W312" s="18" t="n"/>
      <c r="X312" s="18" t="n"/>
      <c r="Y312" s="65" t="n"/>
      <c r="Z312" s="65" t="n"/>
      <c r="AA312" s="28" t="n"/>
      <c r="AB312" s="28" t="n"/>
      <c r="AC312" s="28" t="n"/>
      <c r="AD312" s="28" t="n"/>
      <c r="AE312" s="28" t="n"/>
      <c r="AF312" s="28" t="n"/>
      <c r="AG312" s="28" t="n"/>
      <c r="AH312" s="28" t="n"/>
      <c r="AI312" s="28" t="n"/>
      <c r="AJ312" s="28" t="n"/>
      <c r="AK312" s="28" t="n"/>
      <c r="AL312" s="65" t="n"/>
      <c r="AM312" s="65" t="n"/>
      <c r="AN312" s="65" t="n"/>
      <c r="AO312" s="65" t="n"/>
      <c r="AP312" s="65" t="n"/>
    </row>
    <row r="313" ht="51.75" customHeight="1" s="222">
      <c r="A313" s="28" t="inlineStr">
        <is>
          <t>Dominick's Steakhouse</t>
        </is>
      </c>
      <c r="B313" s="73" t="inlineStr">
        <is>
          <t>Restaurant</t>
        </is>
      </c>
      <c r="C313" s="8" t="n"/>
      <c r="D313" s="28" t="inlineStr">
        <is>
          <t>15169 N Scottsdale Rd, Scottsdale, AZ 85254</t>
        </is>
      </c>
      <c r="E313" s="73" t="inlineStr">
        <is>
          <t>Scottsdale</t>
        </is>
      </c>
      <c r="F313" s="73">
        <f>14802727271</f>
        <v/>
      </c>
      <c r="G313" s="20" t="inlineStr">
        <is>
          <t>https://www.dominickssteakhouse.com/?utm_source=google&amp;utm_medium=organic&amp;utm_campaign=gmb</t>
        </is>
      </c>
      <c r="H313" s="116" t="n"/>
      <c r="I313" s="88" t="n"/>
      <c r="J313" s="28" t="n"/>
      <c r="K313" s="34" t="n"/>
      <c r="L313" s="45" t="n"/>
      <c r="M313" s="65" t="n"/>
      <c r="N313" s="65" t="n"/>
      <c r="O313" s="65" t="n"/>
      <c r="P313" s="65" t="n"/>
      <c r="Q313" s="65" t="n"/>
      <c r="R313" s="65" t="n"/>
      <c r="S313" s="18" t="n"/>
      <c r="T313" s="18" t="n"/>
      <c r="U313" s="30" t="n"/>
      <c r="V313" s="18" t="n"/>
      <c r="W313" s="18" t="n"/>
      <c r="X313" s="18" t="n"/>
      <c r="Y313" s="65" t="n"/>
      <c r="Z313" s="65" t="n"/>
      <c r="AA313" s="28" t="n"/>
      <c r="AB313" s="28" t="n"/>
      <c r="AC313" s="28" t="n"/>
      <c r="AD313" s="28" t="n"/>
      <c r="AE313" s="28" t="n"/>
      <c r="AF313" s="28" t="n"/>
      <c r="AG313" s="28" t="n"/>
      <c r="AH313" s="28" t="n"/>
      <c r="AI313" s="28" t="n"/>
      <c r="AJ313" s="28" t="n"/>
      <c r="AK313" s="28" t="n"/>
      <c r="AL313" s="65" t="n"/>
      <c r="AM313" s="65" t="n"/>
      <c r="AN313" s="65" t="n"/>
      <c r="AO313" s="65" t="n"/>
      <c r="AP313" s="65" t="n"/>
    </row>
    <row r="314" ht="51.75" customHeight="1" s="222">
      <c r="A314" s="28" t="inlineStr">
        <is>
          <t>Morton's The Steakhouse</t>
        </is>
      </c>
      <c r="B314" s="73" t="inlineStr">
        <is>
          <t>Restaurant</t>
        </is>
      </c>
      <c r="C314" s="8" t="n"/>
      <c r="D314" s="28" t="inlineStr">
        <is>
          <t>15233 N Kierland Blvd, Scottsdale, AZ 85254</t>
        </is>
      </c>
      <c r="E314" s="73" t="inlineStr">
        <is>
          <t>Scottsdale</t>
        </is>
      </c>
      <c r="F314" s="73">
        <f>14809514440</f>
        <v/>
      </c>
      <c r="G314" s="20" t="inlineStr">
        <is>
          <t>https://www.mortons.com/location/mortons-the-steakhouse-scottsdale-az/</t>
        </is>
      </c>
      <c r="H314" s="116" t="n"/>
      <c r="I314" s="88" t="n"/>
      <c r="J314" s="28" t="n"/>
      <c r="K314" s="34" t="n"/>
      <c r="L314" s="45" t="n"/>
      <c r="M314" s="65" t="n"/>
      <c r="N314" s="65" t="n"/>
      <c r="O314" s="65" t="n"/>
      <c r="P314" s="65" t="n"/>
      <c r="Q314" s="65" t="n"/>
      <c r="R314" s="65" t="n"/>
      <c r="S314" s="18" t="n"/>
      <c r="T314" s="18" t="n"/>
      <c r="U314" s="30" t="n"/>
      <c r="V314" s="18" t="n"/>
      <c r="W314" s="18" t="n"/>
      <c r="X314" s="18" t="n"/>
      <c r="Y314" s="65" t="n"/>
      <c r="Z314" s="65" t="n"/>
      <c r="AA314" s="28" t="n"/>
      <c r="AB314" s="28" t="n"/>
      <c r="AC314" s="28" t="n"/>
      <c r="AD314" s="28" t="n"/>
      <c r="AE314" s="28" t="n"/>
      <c r="AF314" s="28" t="n"/>
      <c r="AG314" s="28" t="n"/>
      <c r="AH314" s="28" t="n"/>
      <c r="AI314" s="28" t="n"/>
      <c r="AJ314" s="28" t="n"/>
      <c r="AK314" s="28" t="n"/>
      <c r="AL314" s="65" t="n"/>
      <c r="AM314" s="65" t="n"/>
      <c r="AN314" s="65" t="n"/>
      <c r="AO314" s="65" t="n"/>
      <c r="AP314" s="65" t="n"/>
    </row>
    <row r="315" ht="51.75" customHeight="1" s="222">
      <c r="A315" s="28" t="inlineStr">
        <is>
          <t>The Guest House Scottsdale</t>
        </is>
      </c>
      <c r="B315" s="73" t="inlineStr">
        <is>
          <t>Restaurant</t>
        </is>
      </c>
      <c r="C315" s="8" t="n"/>
      <c r="D315" s="28" t="inlineStr">
        <is>
          <t>15301 N Scottsdale Rd, Scottsdale, AZ 85254</t>
        </is>
      </c>
      <c r="E315" s="73" t="inlineStr">
        <is>
          <t>Scottsdale</t>
        </is>
      </c>
      <c r="F315" s="73">
        <f>14806254942</f>
        <v/>
      </c>
      <c r="G315" s="20" t="inlineStr">
        <is>
          <t>https://www.welcometgh.com/</t>
        </is>
      </c>
      <c r="H315" s="116" t="n"/>
      <c r="I315" s="88" t="n"/>
      <c r="J315" s="28" t="n"/>
      <c r="K315" s="34" t="n"/>
      <c r="L315" s="45" t="n"/>
      <c r="M315" s="65" t="n"/>
      <c r="N315" s="65" t="n"/>
      <c r="O315" s="65" t="n"/>
      <c r="P315" s="65" t="n"/>
      <c r="Q315" s="65" t="n"/>
      <c r="R315" s="65" t="n"/>
      <c r="S315" s="18" t="n"/>
      <c r="T315" s="18" t="n"/>
      <c r="U315" s="30" t="n"/>
      <c r="V315" s="18" t="n"/>
      <c r="W315" s="18" t="n"/>
      <c r="X315" s="18" t="n"/>
      <c r="Y315" s="65" t="n"/>
      <c r="Z315" s="65" t="n"/>
      <c r="AA315" s="28" t="n"/>
      <c r="AB315" s="28" t="n"/>
      <c r="AC315" s="28" t="n"/>
      <c r="AD315" s="28" t="n"/>
      <c r="AE315" s="28" t="n"/>
      <c r="AF315" s="28" t="n"/>
      <c r="AG315" s="28" t="n"/>
      <c r="AH315" s="28" t="n"/>
      <c r="AI315" s="28" t="n"/>
      <c r="AJ315" s="28" t="n"/>
      <c r="AK315" s="28" t="n"/>
      <c r="AL315" s="65" t="n"/>
      <c r="AM315" s="65" t="n"/>
      <c r="AN315" s="65" t="n"/>
      <c r="AO315" s="65" t="n"/>
      <c r="AP315" s="65" t="n"/>
    </row>
    <row r="316" ht="51.75" customHeight="1" s="222">
      <c r="A316" s="28" t="inlineStr">
        <is>
          <t>Postino Kierland</t>
        </is>
      </c>
      <c r="B316" s="73" t="inlineStr">
        <is>
          <t>Restaurant</t>
        </is>
      </c>
      <c r="C316" s="8" t="n"/>
      <c r="D316" s="28" t="inlineStr">
        <is>
          <t>7030 E Greenway Pkwy Ste 185, Scottsdale, AZ 85254</t>
        </is>
      </c>
      <c r="E316" s="73" t="inlineStr">
        <is>
          <t>Scottsdale</t>
        </is>
      </c>
      <c r="F316" s="73">
        <f>16028991111</f>
        <v/>
      </c>
      <c r="G316" s="20" t="inlineStr">
        <is>
          <t>https://www.postino.com/locations/postino-kierland</t>
        </is>
      </c>
      <c r="H316" s="116" t="n"/>
      <c r="I316" s="88" t="n"/>
      <c r="J316" s="28" t="n"/>
      <c r="K316" s="34" t="n"/>
      <c r="L316" s="45" t="n"/>
      <c r="M316" s="65" t="n"/>
      <c r="N316" s="65" t="n"/>
      <c r="O316" s="65" t="n"/>
      <c r="P316" s="65" t="n"/>
      <c r="Q316" s="65" t="n"/>
      <c r="R316" s="65" t="n"/>
      <c r="S316" s="18" t="n"/>
      <c r="T316" s="18" t="n"/>
      <c r="U316" s="30" t="n"/>
      <c r="V316" s="18" t="n"/>
      <c r="W316" s="18" t="n"/>
      <c r="X316" s="18" t="n"/>
      <c r="Y316" s="65" t="n"/>
      <c r="Z316" s="65" t="n"/>
      <c r="AA316" s="28" t="n"/>
      <c r="AB316" s="28" t="n"/>
      <c r="AC316" s="28" t="n"/>
      <c r="AD316" s="28" t="n"/>
      <c r="AE316" s="28" t="n"/>
      <c r="AF316" s="28" t="n"/>
      <c r="AG316" s="28" t="n"/>
      <c r="AH316" s="28" t="n"/>
      <c r="AI316" s="28" t="n"/>
      <c r="AJ316" s="28" t="n"/>
      <c r="AK316" s="28" t="n"/>
      <c r="AL316" s="65" t="n"/>
      <c r="AM316" s="65" t="n"/>
      <c r="AN316" s="65" t="n"/>
      <c r="AO316" s="65" t="n"/>
      <c r="AP316" s="65" t="n"/>
    </row>
    <row r="317" ht="51.75" customHeight="1" s="222">
      <c r="A317" s="28" t="inlineStr">
        <is>
          <t>North Italia - Kierland</t>
        </is>
      </c>
      <c r="B317" s="73" t="inlineStr">
        <is>
          <t>Restaurant</t>
        </is>
      </c>
      <c r="C317" s="8" t="n"/>
      <c r="D317" s="28" t="inlineStr">
        <is>
          <t>15024 N Scottsdale Rd, Scottsdale, AZ 85254</t>
        </is>
      </c>
      <c r="E317" s="73" t="inlineStr">
        <is>
          <t>Scottsdale</t>
        </is>
      </c>
      <c r="F317" s="73">
        <f>14809482055</f>
        <v/>
      </c>
      <c r="G317" s="20" t="inlineStr">
        <is>
          <t>https://www.northitalia.com/locations/scottsdale-az-kierland-commons/</t>
        </is>
      </c>
      <c r="H317" s="116" t="n"/>
      <c r="I317" s="88" t="n"/>
      <c r="J317" s="28" t="n"/>
      <c r="K317" s="34" t="n"/>
      <c r="L317" s="45" t="n"/>
      <c r="M317" s="65" t="n"/>
      <c r="N317" s="65" t="n"/>
      <c r="O317" s="65" t="n"/>
      <c r="P317" s="65" t="n"/>
      <c r="Q317" s="65" t="n"/>
      <c r="R317" s="65" t="n"/>
      <c r="S317" s="18" t="n"/>
      <c r="T317" s="18" t="n"/>
      <c r="U317" s="30" t="n"/>
      <c r="V317" s="18" t="n"/>
      <c r="W317" s="18" t="n"/>
      <c r="X317" s="18" t="n"/>
      <c r="Y317" s="65" t="n"/>
      <c r="Z317" s="65" t="n"/>
      <c r="AA317" s="28" t="n"/>
      <c r="AB317" s="28" t="n"/>
      <c r="AC317" s="28" t="n"/>
      <c r="AD317" s="28" t="n"/>
      <c r="AE317" s="28" t="n"/>
      <c r="AF317" s="28" t="n"/>
      <c r="AG317" s="28" t="n"/>
      <c r="AH317" s="28" t="n"/>
      <c r="AI317" s="28" t="n"/>
      <c r="AJ317" s="28" t="n"/>
      <c r="AK317" s="28" t="n"/>
      <c r="AL317" s="65" t="n"/>
      <c r="AM317" s="65" t="n"/>
      <c r="AN317" s="65" t="n"/>
      <c r="AO317" s="65" t="n"/>
      <c r="AP317" s="65" t="n"/>
    </row>
    <row r="318" ht="51.75" customHeight="1" s="222">
      <c r="A318" s="28" t="inlineStr">
        <is>
          <t>The Arrogant Butcher</t>
        </is>
      </c>
      <c r="B318" s="73" t="inlineStr">
        <is>
          <t>Restaurant</t>
        </is>
      </c>
      <c r="C318" s="8" t="n"/>
      <c r="D318" s="28" t="inlineStr">
        <is>
          <t>2 E Jefferson St #150, Phoenix, AZ 85004</t>
        </is>
      </c>
      <c r="E318" s="73" t="inlineStr">
        <is>
          <t>Downtown</t>
        </is>
      </c>
      <c r="F318" s="73">
        <f>16023248502</f>
        <v/>
      </c>
      <c r="G318" s="20" t="inlineStr">
        <is>
          <t>https://www.thearrogantbutcher.com/locations/phoenix-az/?utm_source=Google&amp;utm_medium=Organic&amp;utm_campaign=Maps</t>
        </is>
      </c>
      <c r="H318" s="116" t="n"/>
      <c r="I318" s="88" t="n"/>
      <c r="J318" s="28" t="n"/>
      <c r="K318" s="34" t="n"/>
      <c r="L318" s="45" t="n"/>
      <c r="M318" s="65" t="n"/>
      <c r="N318" s="65" t="n"/>
      <c r="O318" s="65" t="n"/>
      <c r="P318" s="65" t="n"/>
      <c r="Q318" s="65" t="n"/>
      <c r="R318" s="65" t="n"/>
      <c r="S318" s="18" t="n"/>
      <c r="T318" s="18" t="n"/>
      <c r="U318" s="30" t="n"/>
      <c r="V318" s="18" t="n"/>
      <c r="W318" s="18" t="n"/>
      <c r="X318" s="18" t="n"/>
      <c r="Y318" s="65" t="n"/>
      <c r="Z318" s="65" t="n"/>
      <c r="AA318" s="28" t="n"/>
      <c r="AB318" s="28" t="n"/>
      <c r="AC318" s="28" t="n"/>
      <c r="AD318" s="28" t="n"/>
      <c r="AE318" s="28" t="n"/>
      <c r="AF318" s="28" t="n"/>
      <c r="AG318" s="28" t="n"/>
      <c r="AH318" s="28" t="n"/>
      <c r="AI318" s="28" t="n"/>
      <c r="AJ318" s="28" t="n"/>
      <c r="AK318" s="28" t="n"/>
      <c r="AL318" s="65" t="n"/>
      <c r="AM318" s="65" t="n"/>
      <c r="AN318" s="65" t="n"/>
      <c r="AO318" s="65" t="n"/>
      <c r="AP318" s="65" t="n"/>
    </row>
    <row r="319" ht="51.75" customHeight="1" s="222">
      <c r="A319" s="28" t="inlineStr">
        <is>
          <t>ROSSO ITALIAN</t>
        </is>
      </c>
      <c r="B319" s="73" t="inlineStr">
        <is>
          <t>Restaurant</t>
        </is>
      </c>
      <c r="C319" s="8" t="n"/>
      <c r="D319" s="28" t="inlineStr">
        <is>
          <t>2 E Jefferson St #113, Phoenix, AZ 85004</t>
        </is>
      </c>
      <c r="E319" s="73" t="inlineStr">
        <is>
          <t>Downtown</t>
        </is>
      </c>
      <c r="F319" s="73">
        <f>16022186001</f>
        <v/>
      </c>
      <c r="G319" s="20" t="inlineStr">
        <is>
          <t>http://www.rossoitalian.com/</t>
        </is>
      </c>
      <c r="H319" s="116" t="n"/>
      <c r="I319" s="88" t="n"/>
      <c r="J319" s="28" t="n"/>
      <c r="K319" s="34" t="n"/>
      <c r="L319" s="45" t="n"/>
      <c r="M319" s="65" t="n"/>
      <c r="N319" s="65" t="n"/>
      <c r="O319" s="65" t="n"/>
      <c r="P319" s="65" t="n"/>
      <c r="Q319" s="65" t="n"/>
      <c r="R319" s="65" t="n"/>
      <c r="S319" s="18" t="n"/>
      <c r="T319" s="18" t="n"/>
      <c r="U319" s="30" t="n"/>
      <c r="V319" s="18" t="n"/>
      <c r="W319" s="18" t="n"/>
      <c r="X319" s="18" t="n"/>
      <c r="Y319" s="65" t="n"/>
      <c r="Z319" s="65" t="n"/>
      <c r="AA319" s="28" t="n"/>
      <c r="AB319" s="28" t="n"/>
      <c r="AC319" s="28" t="n"/>
      <c r="AD319" s="28" t="n"/>
      <c r="AE319" s="28" t="n"/>
      <c r="AF319" s="28" t="n"/>
      <c r="AG319" s="28" t="n"/>
      <c r="AH319" s="28" t="n"/>
      <c r="AI319" s="28" t="n"/>
      <c r="AJ319" s="28" t="n"/>
      <c r="AK319" s="28" t="n"/>
      <c r="AL319" s="65" t="n"/>
      <c r="AM319" s="65" t="n"/>
      <c r="AN319" s="65" t="n"/>
      <c r="AO319" s="65" t="n"/>
      <c r="AP319" s="65" t="n"/>
    </row>
    <row r="320" ht="51.75" customHeight="1" s="222">
      <c r="A320" s="28" t="inlineStr">
        <is>
          <t>Chico Malo</t>
        </is>
      </c>
      <c r="B320" s="73" t="inlineStr">
        <is>
          <t>Restaurant</t>
        </is>
      </c>
      <c r="C320" s="8" t="n"/>
      <c r="D320" s="28" t="inlineStr">
        <is>
          <t>50 W Jefferson St, Phoenix, AZ 85003</t>
        </is>
      </c>
      <c r="E320" s="73" t="inlineStr">
        <is>
          <t>Downtown</t>
        </is>
      </c>
      <c r="F320" s="73">
        <f>16026039363</f>
        <v/>
      </c>
      <c r="G320" s="20" t="inlineStr">
        <is>
          <t>http://chicomalo.com/</t>
        </is>
      </c>
      <c r="H320" s="116" t="n"/>
      <c r="I320" s="88" t="n"/>
      <c r="J320" s="28" t="n"/>
      <c r="K320" s="34" t="n"/>
      <c r="L320" s="45" t="n"/>
      <c r="M320" s="65" t="n"/>
      <c r="N320" s="65" t="n"/>
      <c r="O320" s="65" t="n"/>
      <c r="P320" s="65" t="n"/>
      <c r="Q320" s="65" t="n"/>
      <c r="R320" s="65" t="n"/>
      <c r="S320" s="18" t="n"/>
      <c r="T320" s="18" t="n"/>
      <c r="U320" s="30" t="n"/>
      <c r="V320" s="18" t="n"/>
      <c r="W320" s="18" t="n"/>
      <c r="X320" s="18" t="n"/>
      <c r="Y320" s="65" t="n"/>
      <c r="Z320" s="65" t="n"/>
      <c r="AA320" s="28" t="n"/>
      <c r="AB320" s="28" t="n"/>
      <c r="AC320" s="28" t="n"/>
      <c r="AD320" s="28" t="n"/>
      <c r="AE320" s="28" t="n"/>
      <c r="AF320" s="28" t="n"/>
      <c r="AG320" s="28" t="n"/>
      <c r="AH320" s="28" t="n"/>
      <c r="AI320" s="28" t="n"/>
      <c r="AJ320" s="28" t="n"/>
      <c r="AK320" s="28" t="n"/>
      <c r="AL320" s="65" t="n"/>
      <c r="AM320" s="65" t="n"/>
      <c r="AN320" s="65" t="n"/>
      <c r="AO320" s="65" t="n"/>
      <c r="AP320" s="65" t="n"/>
    </row>
    <row r="321" ht="51.75" customHeight="1" s="222">
      <c r="A321" s="28" t="inlineStr">
        <is>
          <t>Blanco Cocina + Cantina</t>
        </is>
      </c>
      <c r="B321" s="73" t="inlineStr">
        <is>
          <t>Restaurant</t>
        </is>
      </c>
      <c r="C321" s="8" t="n"/>
      <c r="D321" s="28" t="inlineStr">
        <is>
          <t>123 E Washington St, Phoenix, AZ 85004</t>
        </is>
      </c>
      <c r="E321" s="73" t="inlineStr">
        <is>
          <t>Downtown</t>
        </is>
      </c>
      <c r="F321" s="73">
        <f>16028998102</f>
        <v/>
      </c>
      <c r="G321" s="20" t="inlineStr">
        <is>
          <t>https://www.blancotacostequila.com/locations/phoenix-az-block-23/?utm_source=Google&amp;utm_medium=Organic&amp;utm_campaign=Maps</t>
        </is>
      </c>
      <c r="H321" s="116" t="n"/>
      <c r="I321" s="88" t="n"/>
      <c r="J321" s="28" t="n"/>
      <c r="K321" s="34" t="n"/>
      <c r="L321" s="45" t="n"/>
      <c r="M321" s="65" t="n"/>
      <c r="N321" s="65" t="n"/>
      <c r="O321" s="65" t="n"/>
      <c r="P321" s="65" t="n"/>
      <c r="Q321" s="65" t="n"/>
      <c r="R321" s="65" t="n"/>
      <c r="S321" s="18" t="n"/>
      <c r="T321" s="18" t="n"/>
      <c r="U321" s="30" t="n"/>
      <c r="V321" s="18" t="n"/>
      <c r="W321" s="18" t="n"/>
      <c r="X321" s="18" t="n"/>
      <c r="Y321" s="65" t="n"/>
      <c r="Z321" s="65" t="n"/>
      <c r="AA321" s="28" t="n"/>
      <c r="AB321" s="28" t="n"/>
      <c r="AC321" s="28" t="n"/>
      <c r="AD321" s="28" t="n"/>
      <c r="AE321" s="28" t="n"/>
      <c r="AF321" s="28" t="n"/>
      <c r="AG321" s="28" t="n"/>
      <c r="AH321" s="28" t="n"/>
      <c r="AI321" s="28" t="n"/>
      <c r="AJ321" s="28" t="n"/>
      <c r="AK321" s="28" t="n"/>
      <c r="AL321" s="65" t="n"/>
      <c r="AM321" s="65" t="n"/>
      <c r="AN321" s="65" t="n"/>
      <c r="AO321" s="65" t="n"/>
      <c r="AP321" s="65" t="n"/>
    </row>
    <row r="322" ht="51.75" customHeight="1" s="222">
      <c r="A322" s="28" t="inlineStr">
        <is>
          <t>Wren &amp; Wolf</t>
        </is>
      </c>
      <c r="B322" s="73" t="inlineStr">
        <is>
          <t>Restaurant</t>
        </is>
      </c>
      <c r="C322" s="8" t="n"/>
      <c r="D322" s="28" t="inlineStr">
        <is>
          <t>2 N Central Ave #101, Phoenix, AZ 85004</t>
        </is>
      </c>
      <c r="E322" s="73" t="inlineStr">
        <is>
          <t>Downtown</t>
        </is>
      </c>
      <c r="F322" s="73">
        <f>16025623510</f>
        <v/>
      </c>
      <c r="G322" s="20" t="inlineStr">
        <is>
          <t>https://www.wrenandwolf.com/</t>
        </is>
      </c>
      <c r="H322" s="116" t="n"/>
      <c r="I322" s="88" t="n"/>
      <c r="J322" s="28" t="n"/>
      <c r="K322" s="34" t="n"/>
      <c r="L322" s="45" t="n"/>
      <c r="M322" s="65" t="n"/>
      <c r="N322" s="65" t="n"/>
      <c r="O322" s="65" t="n"/>
      <c r="P322" s="65" t="n"/>
      <c r="Q322" s="65" t="n"/>
      <c r="R322" s="65" t="n"/>
      <c r="S322" s="18" t="n"/>
      <c r="T322" s="18" t="n"/>
      <c r="U322" s="30" t="n"/>
      <c r="V322" s="18" t="n"/>
      <c r="W322" s="18" t="n"/>
      <c r="X322" s="18" t="n"/>
      <c r="Y322" s="65" t="n"/>
      <c r="Z322" s="65" t="n"/>
      <c r="AA322" s="28" t="n"/>
      <c r="AB322" s="28" t="n"/>
      <c r="AC322" s="28" t="n"/>
      <c r="AD322" s="28" t="n"/>
      <c r="AE322" s="28" t="n"/>
      <c r="AF322" s="28" t="n"/>
      <c r="AG322" s="28" t="n"/>
      <c r="AH322" s="28" t="n"/>
      <c r="AI322" s="28" t="n"/>
      <c r="AJ322" s="28" t="n"/>
      <c r="AK322" s="28" t="n"/>
      <c r="AL322" s="65" t="n"/>
      <c r="AM322" s="65" t="n"/>
      <c r="AN322" s="65" t="n"/>
      <c r="AO322" s="65" t="n"/>
      <c r="AP322" s="65" t="n"/>
    </row>
    <row r="323" ht="51.75" customHeight="1" s="222">
      <c r="A323" s="28" t="inlineStr">
        <is>
          <t>Cleaverman</t>
        </is>
      </c>
      <c r="B323" s="73" t="inlineStr">
        <is>
          <t>Restaurant</t>
        </is>
      </c>
      <c r="C323" s="8" t="n"/>
      <c r="D323" s="28" t="inlineStr">
        <is>
          <t>455 N 3rd St Suite 1005, Phoenix, AZ 85004</t>
        </is>
      </c>
      <c r="E323" s="73" t="inlineStr">
        <is>
          <t>Downtown</t>
        </is>
      </c>
      <c r="F323" s="73">
        <f>16026753635</f>
        <v/>
      </c>
      <c r="G323" s="20" t="inlineStr">
        <is>
          <t>https://www.cleaverman.com/</t>
        </is>
      </c>
      <c r="H323" s="116" t="n"/>
      <c r="I323" s="88" t="n"/>
      <c r="J323" s="28" t="n"/>
      <c r="K323" s="34" t="n"/>
      <c r="L323" s="45" t="n"/>
      <c r="M323" s="65" t="n"/>
      <c r="N323" s="65" t="n"/>
      <c r="O323" s="65" t="n"/>
      <c r="P323" s="65" t="n"/>
      <c r="Q323" s="65" t="n"/>
      <c r="R323" s="65" t="n"/>
      <c r="S323" s="18" t="n"/>
      <c r="T323" s="18" t="n"/>
      <c r="U323" s="30" t="n"/>
      <c r="V323" s="18" t="n"/>
      <c r="W323" s="18" t="n"/>
      <c r="X323" s="18" t="n"/>
      <c r="Y323" s="65" t="n"/>
      <c r="Z323" s="65" t="n"/>
      <c r="AA323" s="28" t="n"/>
      <c r="AB323" s="28" t="n"/>
      <c r="AC323" s="28" t="n"/>
      <c r="AD323" s="28" t="n"/>
      <c r="AE323" s="28" t="n"/>
      <c r="AF323" s="28" t="n"/>
      <c r="AG323" s="28" t="n"/>
      <c r="AH323" s="28" t="n"/>
      <c r="AI323" s="28" t="n"/>
      <c r="AJ323" s="28" t="n"/>
      <c r="AK323" s="28" t="n"/>
      <c r="AL323" s="65" t="n"/>
      <c r="AM323" s="65" t="n"/>
      <c r="AN323" s="65" t="n"/>
      <c r="AO323" s="65" t="n"/>
      <c r="AP323" s="65" t="n"/>
    </row>
    <row r="324" ht="51.75" customHeight="1" s="222">
      <c r="A324" s="28" t="inlineStr">
        <is>
          <t>Condesa Phoenix</t>
        </is>
      </c>
      <c r="B324" s="73" t="inlineStr">
        <is>
          <t>Restaurant</t>
        </is>
      </c>
      <c r="C324" s="8" t="n"/>
      <c r="D324" s="28" t="inlineStr">
        <is>
          <t>130 N Central Ave, Phoenix, AZ 85004</t>
        </is>
      </c>
      <c r="E324" s="73" t="inlineStr">
        <is>
          <t>Downtown</t>
        </is>
      </c>
      <c r="F324" s="73">
        <f>16028925550</f>
        <v/>
      </c>
      <c r="G324" s="20" t="inlineStr">
        <is>
          <t>https://condesaphx.com/</t>
        </is>
      </c>
      <c r="H324" s="116" t="n"/>
      <c r="I324" s="88" t="n"/>
      <c r="J324" s="28" t="n"/>
      <c r="K324" s="34" t="n"/>
      <c r="L324" s="45" t="n"/>
      <c r="M324" s="65" t="n"/>
      <c r="N324" s="65" t="n"/>
      <c r="O324" s="65" t="n"/>
      <c r="P324" s="65" t="n"/>
      <c r="Q324" s="65" t="n"/>
      <c r="R324" s="65" t="n"/>
      <c r="S324" s="18" t="n"/>
      <c r="T324" s="18" t="n"/>
      <c r="U324" s="30" t="n"/>
      <c r="V324" s="18" t="n"/>
      <c r="W324" s="18" t="n"/>
      <c r="X324" s="18" t="n"/>
      <c r="Y324" s="65" t="n"/>
      <c r="Z324" s="65" t="n"/>
      <c r="AA324" s="28" t="n"/>
      <c r="AB324" s="28" t="n"/>
      <c r="AC324" s="28" t="n"/>
      <c r="AD324" s="28" t="n"/>
      <c r="AE324" s="28" t="n"/>
      <c r="AF324" s="28" t="n"/>
      <c r="AG324" s="28" t="n"/>
      <c r="AH324" s="28" t="n"/>
      <c r="AI324" s="28" t="n"/>
      <c r="AJ324" s="28" t="n"/>
      <c r="AK324" s="28" t="n"/>
      <c r="AL324" s="65" t="n"/>
      <c r="AM324" s="65" t="n"/>
      <c r="AN324" s="65" t="n"/>
      <c r="AO324" s="65" t="n"/>
      <c r="AP324" s="65" t="n"/>
    </row>
    <row r="325" ht="51.75" customHeight="1" s="222">
      <c r="A325" s="28" t="inlineStr">
        <is>
          <t>Miel De Agave Phoenix</t>
        </is>
      </c>
      <c r="B325" s="73" t="inlineStr">
        <is>
          <t>Restaurant</t>
        </is>
      </c>
      <c r="C325" s="8" t="n"/>
      <c r="D325" s="28" t="inlineStr">
        <is>
          <t>705 N 1st St #110, Phoenix, AZ 85004</t>
        </is>
      </c>
      <c r="E325" s="73" t="inlineStr">
        <is>
          <t>Downtown</t>
        </is>
      </c>
      <c r="F325" s="73">
        <f>14806902872</f>
        <v/>
      </c>
      <c r="G325" s="20" t="inlineStr">
        <is>
          <t>https://www.lamieldeagave.com/</t>
        </is>
      </c>
      <c r="H325" s="116" t="n"/>
      <c r="I325" s="88" t="n"/>
      <c r="J325" s="28" t="n"/>
      <c r="K325" s="34" t="n"/>
      <c r="L325" s="45" t="n"/>
      <c r="M325" s="65" t="n"/>
      <c r="N325" s="65" t="n"/>
      <c r="O325" s="65" t="n"/>
      <c r="P325" s="65" t="n"/>
      <c r="Q325" s="65" t="n"/>
      <c r="R325" s="65" t="n"/>
      <c r="S325" s="18" t="n"/>
      <c r="T325" s="18" t="n"/>
      <c r="U325" s="30" t="n"/>
      <c r="V325" s="18" t="n"/>
      <c r="W325" s="18" t="n"/>
      <c r="X325" s="18" t="n"/>
      <c r="Y325" s="65" t="n"/>
      <c r="Z325" s="65" t="n"/>
      <c r="AA325" s="28" t="n"/>
      <c r="AB325" s="28" t="n"/>
      <c r="AC325" s="28" t="n"/>
      <c r="AD325" s="28" t="n"/>
      <c r="AE325" s="28" t="n"/>
      <c r="AF325" s="28" t="n"/>
      <c r="AG325" s="28" t="n"/>
      <c r="AH325" s="28" t="n"/>
      <c r="AI325" s="28" t="n"/>
      <c r="AJ325" s="28" t="n"/>
      <c r="AK325" s="28" t="n"/>
      <c r="AL325" s="65" t="n"/>
      <c r="AM325" s="65" t="n"/>
      <c r="AN325" s="65" t="n"/>
      <c r="AO325" s="65" t="n"/>
      <c r="AP325" s="65" t="n"/>
    </row>
    <row r="326" ht="51.75" customHeight="1" s="222">
      <c r="A326" s="28" t="inlineStr">
        <is>
          <t>The Churchill</t>
        </is>
      </c>
      <c r="B326" s="73" t="inlineStr">
        <is>
          <t>Restaurant</t>
        </is>
      </c>
      <c r="C326" s="8" t="n"/>
      <c r="D326" s="28" t="inlineStr">
        <is>
          <t>901 N 1st St Ste 100 - 109, Phoenix, AZ 85004</t>
        </is>
      </c>
      <c r="E326" s="73" t="inlineStr">
        <is>
          <t>Downtown</t>
        </is>
      </c>
      <c r="F326" s="73" t="n"/>
      <c r="G326" s="20" t="inlineStr">
        <is>
          <t>https://www.thechurchillphx.com/</t>
        </is>
      </c>
      <c r="H326" s="116" t="n"/>
      <c r="I326" s="88" t="n"/>
      <c r="J326" s="28" t="n"/>
      <c r="K326" s="34" t="n"/>
      <c r="L326" s="45" t="n"/>
      <c r="M326" s="65" t="n"/>
      <c r="N326" s="65" t="n"/>
      <c r="O326" s="65" t="n"/>
      <c r="P326" s="65" t="n"/>
      <c r="Q326" s="65" t="n"/>
      <c r="R326" s="65" t="n"/>
      <c r="S326" s="18" t="n"/>
      <c r="T326" s="18" t="n"/>
      <c r="U326" s="30" t="n"/>
      <c r="V326" s="18" t="n"/>
      <c r="W326" s="18" t="n"/>
      <c r="X326" s="18" t="n"/>
      <c r="Y326" s="65" t="n"/>
      <c r="Z326" s="65" t="n"/>
      <c r="AA326" s="28" t="n"/>
      <c r="AB326" s="28" t="n"/>
      <c r="AC326" s="28" t="n"/>
      <c r="AD326" s="28" t="n"/>
      <c r="AE326" s="28" t="n"/>
      <c r="AF326" s="28" t="n"/>
      <c r="AG326" s="28" t="n"/>
      <c r="AH326" s="28" t="n"/>
      <c r="AI326" s="28" t="n"/>
      <c r="AJ326" s="28" t="n"/>
      <c r="AK326" s="28" t="n"/>
      <c r="AL326" s="65" t="n"/>
      <c r="AM326" s="65" t="n"/>
      <c r="AN326" s="65" t="n"/>
      <c r="AO326" s="65" t="n"/>
      <c r="AP326" s="65" t="n"/>
    </row>
    <row r="327" ht="51.75" customHeight="1" s="222">
      <c r="A327" s="28" t="inlineStr">
        <is>
          <t>Palma</t>
        </is>
      </c>
      <c r="B327" s="73" t="inlineStr">
        <is>
          <t>Restaurant</t>
        </is>
      </c>
      <c r="C327" s="8" t="n"/>
      <c r="D327" s="28" t="inlineStr">
        <is>
          <t>903 N 2nd St, Phoenix, AZ 85004</t>
        </is>
      </c>
      <c r="E327" s="73" t="inlineStr">
        <is>
          <t>Downtown</t>
        </is>
      </c>
      <c r="F327" s="73">
        <f>16025800000</f>
        <v/>
      </c>
      <c r="G327" s="20" t="inlineStr">
        <is>
          <t>http://palmaphx.com/</t>
        </is>
      </c>
      <c r="H327" s="116" t="n"/>
      <c r="I327" s="88" t="n"/>
      <c r="J327" s="28" t="n"/>
      <c r="K327" s="34" t="n"/>
      <c r="L327" s="45" t="n"/>
      <c r="M327" s="65" t="n"/>
      <c r="N327" s="65" t="n"/>
      <c r="O327" s="65" t="n"/>
      <c r="P327" s="65" t="n"/>
      <c r="Q327" s="65" t="n"/>
      <c r="R327" s="65" t="n"/>
      <c r="S327" s="18" t="n"/>
      <c r="T327" s="18" t="n"/>
      <c r="U327" s="30" t="n"/>
      <c r="V327" s="18" t="n"/>
      <c r="W327" s="18" t="n"/>
      <c r="X327" s="18" t="n"/>
      <c r="Y327" s="65" t="n"/>
      <c r="Z327" s="65" t="n"/>
      <c r="AA327" s="28" t="n"/>
      <c r="AB327" s="28" t="n"/>
      <c r="AC327" s="28" t="n"/>
      <c r="AD327" s="28" t="n"/>
      <c r="AE327" s="28" t="n"/>
      <c r="AF327" s="28" t="n"/>
      <c r="AG327" s="28" t="n"/>
      <c r="AH327" s="28" t="n"/>
      <c r="AI327" s="28" t="n"/>
      <c r="AJ327" s="28" t="n"/>
      <c r="AK327" s="28" t="n"/>
      <c r="AL327" s="65" t="n"/>
      <c r="AM327" s="65" t="n"/>
      <c r="AN327" s="65" t="n"/>
      <c r="AO327" s="65" t="n"/>
      <c r="AP327" s="65" t="n"/>
    </row>
    <row r="328" ht="51.75" customHeight="1" s="222">
      <c r="A328" s="28" t="inlineStr">
        <is>
          <t>Lom Wong</t>
        </is>
      </c>
      <c r="B328" s="73" t="inlineStr">
        <is>
          <t>Restaurant</t>
        </is>
      </c>
      <c r="C328" s="8" t="n"/>
      <c r="D328" s="28" t="inlineStr">
        <is>
          <t>218 E Portland St, Phoenix, AZ 85004</t>
        </is>
      </c>
      <c r="E328" s="73" t="inlineStr">
        <is>
          <t>Downtown</t>
        </is>
      </c>
      <c r="F328" s="73">
        <f>16026750522</f>
        <v/>
      </c>
      <c r="G328" s="20" t="inlineStr">
        <is>
          <t>http://www.lomwongaz.com/</t>
        </is>
      </c>
      <c r="H328" s="116" t="n"/>
      <c r="I328" s="88" t="n"/>
      <c r="J328" s="28" t="n"/>
      <c r="K328" s="34" t="n"/>
      <c r="L328" s="45" t="n"/>
      <c r="M328" s="65" t="n"/>
      <c r="N328" s="65" t="n"/>
      <c r="O328" s="65" t="n"/>
      <c r="P328" s="65" t="n"/>
      <c r="Q328" s="65" t="n"/>
      <c r="R328" s="65" t="n"/>
      <c r="S328" s="18" t="n"/>
      <c r="T328" s="18" t="n"/>
      <c r="U328" s="30" t="n"/>
      <c r="V328" s="18" t="n"/>
      <c r="W328" s="18" t="n"/>
      <c r="X328" s="18" t="n"/>
      <c r="Y328" s="65" t="n"/>
      <c r="Z328" s="65" t="n"/>
      <c r="AA328" s="28" t="n"/>
      <c r="AB328" s="28" t="n"/>
      <c r="AC328" s="28" t="n"/>
      <c r="AD328" s="28" t="n"/>
      <c r="AE328" s="28" t="n"/>
      <c r="AF328" s="28" t="n"/>
      <c r="AG328" s="28" t="n"/>
      <c r="AH328" s="28" t="n"/>
      <c r="AI328" s="28" t="n"/>
      <c r="AJ328" s="28" t="n"/>
      <c r="AK328" s="28" t="n"/>
      <c r="AL328" s="65" t="n"/>
      <c r="AM328" s="65" t="n"/>
      <c r="AN328" s="65" t="n"/>
      <c r="AO328" s="65" t="n"/>
      <c r="AP328" s="65" t="n"/>
    </row>
    <row r="329" ht="51.75" customHeight="1" s="222">
      <c r="A329" s="28" t="inlineStr">
        <is>
          <t>The Pemberton</t>
        </is>
      </c>
      <c r="B329" s="73" t="inlineStr">
        <is>
          <t>Restaurant</t>
        </is>
      </c>
      <c r="C329" s="8" t="n"/>
      <c r="D329" s="28" t="inlineStr">
        <is>
          <t>1121 N 2nd St, Phoenix, AZ 85004</t>
        </is>
      </c>
      <c r="E329" s="73" t="inlineStr">
        <is>
          <t>Downtown</t>
        </is>
      </c>
      <c r="F329" s="73">
        <f>16028303797</f>
        <v/>
      </c>
      <c r="G329" s="20" t="inlineStr">
        <is>
          <t>http://www.thepemberton.com/</t>
        </is>
      </c>
      <c r="H329" s="116" t="n"/>
      <c r="I329" s="88" t="n"/>
      <c r="J329" s="28" t="n"/>
      <c r="K329" s="34" t="n"/>
      <c r="L329" s="45" t="n"/>
      <c r="M329" s="65" t="n"/>
      <c r="N329" s="65" t="n"/>
      <c r="O329" s="65" t="n"/>
      <c r="P329" s="65" t="n"/>
      <c r="Q329" s="65" t="n"/>
      <c r="R329" s="65" t="n"/>
      <c r="S329" s="18" t="n"/>
      <c r="T329" s="18" t="n"/>
      <c r="U329" s="30" t="n"/>
      <c r="V329" s="18" t="n"/>
      <c r="W329" s="18" t="n"/>
      <c r="X329" s="18" t="n"/>
      <c r="Y329" s="65" t="n"/>
      <c r="Z329" s="65" t="n"/>
      <c r="AA329" s="28" t="n"/>
      <c r="AB329" s="28" t="n"/>
      <c r="AC329" s="28" t="n"/>
      <c r="AD329" s="28" t="n"/>
      <c r="AE329" s="28" t="n"/>
      <c r="AF329" s="28" t="n"/>
      <c r="AG329" s="28" t="n"/>
      <c r="AH329" s="28" t="n"/>
      <c r="AI329" s="28" t="n"/>
      <c r="AJ329" s="28" t="n"/>
      <c r="AK329" s="28" t="n"/>
      <c r="AL329" s="65" t="n"/>
      <c r="AM329" s="65" t="n"/>
      <c r="AN329" s="65" t="n"/>
      <c r="AO329" s="65" t="n"/>
      <c r="AP329" s="65" t="n"/>
    </row>
    <row r="330" ht="51.75" customHeight="1" s="222">
      <c r="A330" s="28" t="inlineStr">
        <is>
          <t>Industry Standard</t>
        </is>
      </c>
      <c r="B330" s="73" t="inlineStr">
        <is>
          <t>Restaurant</t>
        </is>
      </c>
      <c r="C330" s="8" t="n"/>
      <c r="D330" s="28" t="inlineStr">
        <is>
          <t>128 E Roosevelt St, Phoenix, AZ 85004</t>
        </is>
      </c>
      <c r="E330" s="73" t="inlineStr">
        <is>
          <t>Downtown</t>
        </is>
      </c>
      <c r="F330" s="73">
        <f>16232302303</f>
        <v/>
      </c>
      <c r="G330" s="20" t="inlineStr">
        <is>
          <t>https://industrystandardaz.com/</t>
        </is>
      </c>
      <c r="H330" s="116" t="n"/>
      <c r="I330" s="88" t="n"/>
      <c r="J330" s="28" t="n"/>
      <c r="K330" s="34" t="n"/>
      <c r="L330" s="45" t="n"/>
      <c r="M330" s="65" t="n"/>
      <c r="N330" s="65" t="n"/>
      <c r="O330" s="65" t="n"/>
      <c r="P330" s="65" t="n"/>
      <c r="Q330" s="65" t="n"/>
      <c r="R330" s="65" t="n"/>
      <c r="S330" s="18" t="n"/>
      <c r="T330" s="18" t="n"/>
      <c r="U330" s="30" t="n"/>
      <c r="V330" s="18" t="n"/>
      <c r="W330" s="18" t="n"/>
      <c r="X330" s="18" t="n"/>
      <c r="Y330" s="65" t="n"/>
      <c r="Z330" s="65" t="n"/>
      <c r="AA330" s="28" t="n"/>
      <c r="AB330" s="28" t="n"/>
      <c r="AC330" s="28" t="n"/>
      <c r="AD330" s="28" t="n"/>
      <c r="AE330" s="28" t="n"/>
      <c r="AF330" s="28" t="n"/>
      <c r="AG330" s="28" t="n"/>
      <c r="AH330" s="28" t="n"/>
      <c r="AI330" s="28" t="n"/>
      <c r="AJ330" s="28" t="n"/>
      <c r="AK330" s="28" t="n"/>
      <c r="AL330" s="65" t="n"/>
      <c r="AM330" s="65" t="n"/>
      <c r="AN330" s="65" t="n"/>
      <c r="AO330" s="65" t="n"/>
      <c r="AP330" s="65" t="n"/>
    </row>
    <row r="331" ht="51.75" customHeight="1" s="222">
      <c r="A331" s="28" t="inlineStr">
        <is>
          <t>First &amp; Last</t>
        </is>
      </c>
      <c r="B331" s="73" t="inlineStr">
        <is>
          <t>Restaurant</t>
        </is>
      </c>
      <c r="C331" s="8" t="n"/>
      <c r="D331" s="28" t="inlineStr">
        <is>
          <t>1001 N 3rd Ave #1, Phoenix, AZ 85003</t>
        </is>
      </c>
      <c r="E331" s="73" t="inlineStr">
        <is>
          <t>Downtown</t>
        </is>
      </c>
      <c r="F331" s="73">
        <f>16029758297</f>
        <v/>
      </c>
      <c r="G331" s="20" t="inlineStr">
        <is>
          <t>http://www.firstandlastphx.com/</t>
        </is>
      </c>
      <c r="H331" s="116" t="n"/>
      <c r="I331" s="88" t="n"/>
      <c r="J331" s="28" t="n"/>
      <c r="K331" s="34" t="n"/>
      <c r="L331" s="45" t="n"/>
      <c r="M331" s="65" t="n"/>
      <c r="N331" s="65" t="n"/>
      <c r="O331" s="65" t="n"/>
      <c r="P331" s="65" t="n"/>
      <c r="Q331" s="65" t="n"/>
      <c r="R331" s="65" t="n"/>
      <c r="S331" s="18" t="n"/>
      <c r="T331" s="18" t="n"/>
      <c r="U331" s="30" t="n"/>
      <c r="V331" s="18" t="n"/>
      <c r="W331" s="18" t="n"/>
      <c r="X331" s="18" t="n"/>
      <c r="Y331" s="65" t="n"/>
      <c r="Z331" s="65" t="n"/>
      <c r="AA331" s="28" t="n"/>
      <c r="AB331" s="28" t="n"/>
      <c r="AC331" s="28" t="n"/>
      <c r="AD331" s="28" t="n"/>
      <c r="AE331" s="28" t="n"/>
      <c r="AF331" s="28" t="n"/>
      <c r="AG331" s="28" t="n"/>
      <c r="AH331" s="28" t="n"/>
      <c r="AI331" s="28" t="n"/>
      <c r="AJ331" s="28" t="n"/>
      <c r="AK331" s="28" t="n"/>
      <c r="AL331" s="65" t="n"/>
      <c r="AM331" s="65" t="n"/>
      <c r="AN331" s="65" t="n"/>
      <c r="AO331" s="65" t="n"/>
      <c r="AP331" s="65" t="n"/>
    </row>
    <row r="332" ht="51.75" customHeight="1" s="222">
      <c r="A332" s="28" t="inlineStr">
        <is>
          <t>Pa'La Wood Fired Cooking</t>
        </is>
      </c>
      <c r="B332" s="73" t="inlineStr">
        <is>
          <t>Restaurant</t>
        </is>
      </c>
      <c r="C332" s="8" t="n"/>
      <c r="D332" s="28" t="inlineStr">
        <is>
          <t>132 E Washington St, Phoenix, AZ 85004</t>
        </is>
      </c>
      <c r="E332" s="73" t="inlineStr">
        <is>
          <t>Downtown</t>
        </is>
      </c>
      <c r="F332" s="73">
        <f>16023683052</f>
        <v/>
      </c>
      <c r="G332" s="20" t="inlineStr">
        <is>
          <t>http://palakitchen.com/downtown</t>
        </is>
      </c>
      <c r="H332" s="116" t="n"/>
      <c r="I332" s="88" t="n"/>
      <c r="J332" s="28" t="n"/>
      <c r="K332" s="34" t="n"/>
      <c r="L332" s="45" t="n"/>
      <c r="M332" s="65" t="n"/>
      <c r="N332" s="65" t="n"/>
      <c r="O332" s="65" t="n"/>
      <c r="P332" s="65" t="n"/>
      <c r="Q332" s="65" t="n"/>
      <c r="R332" s="65" t="n"/>
      <c r="S332" s="18" t="n"/>
      <c r="T332" s="18" t="n"/>
      <c r="U332" s="30" t="n"/>
      <c r="V332" s="18" t="n"/>
      <c r="W332" s="18" t="n"/>
      <c r="X332" s="18" t="n"/>
      <c r="Y332" s="65" t="n"/>
      <c r="Z332" s="65" t="n"/>
      <c r="AA332" s="28" t="n"/>
      <c r="AB332" s="28" t="n"/>
      <c r="AC332" s="28" t="n"/>
      <c r="AD332" s="28" t="n"/>
      <c r="AE332" s="28" t="n"/>
      <c r="AF332" s="28" t="n"/>
      <c r="AG332" s="28" t="n"/>
      <c r="AH332" s="28" t="n"/>
      <c r="AI332" s="28" t="n"/>
      <c r="AJ332" s="28" t="n"/>
      <c r="AK332" s="28" t="n"/>
      <c r="AL332" s="65" t="n"/>
      <c r="AM332" s="65" t="n"/>
      <c r="AN332" s="65" t="n"/>
      <c r="AO332" s="65" t="n"/>
      <c r="AP332" s="65" t="n"/>
    </row>
    <row r="333" ht="51.75" customHeight="1" s="222">
      <c r="A333" s="28" t="inlineStr">
        <is>
          <t>Bacanora PHX</t>
        </is>
      </c>
      <c r="B333" s="73" t="inlineStr">
        <is>
          <t>Restaurant</t>
        </is>
      </c>
      <c r="C333" s="8" t="n"/>
      <c r="D333" s="28" t="inlineStr">
        <is>
          <t>1301 Grand Ave #1, Phoenix, AZ 85007</t>
        </is>
      </c>
      <c r="E333" s="73" t="inlineStr">
        <is>
          <t>Downtown</t>
        </is>
      </c>
      <c r="F333" s="73" t="n"/>
      <c r="G333" s="20" t="inlineStr">
        <is>
          <t>https://www.bacanoraphx.com/</t>
        </is>
      </c>
      <c r="H333" s="116" t="n"/>
      <c r="I333" s="88" t="n"/>
      <c r="J333" s="28" t="n"/>
      <c r="K333" s="34" t="n"/>
      <c r="L333" s="45" t="n"/>
      <c r="M333" s="65" t="n"/>
      <c r="N333" s="65" t="n"/>
      <c r="O333" s="65" t="n"/>
      <c r="P333" s="65" t="n"/>
      <c r="Q333" s="65" t="n"/>
      <c r="R333" s="65" t="n"/>
      <c r="S333" s="18" t="n"/>
      <c r="T333" s="18" t="n"/>
      <c r="U333" s="30" t="n"/>
      <c r="V333" s="18" t="n"/>
      <c r="W333" s="18" t="n"/>
      <c r="X333" s="18" t="n"/>
      <c r="Y333" s="65" t="n"/>
      <c r="Z333" s="65" t="n"/>
      <c r="AA333" s="28" t="n"/>
      <c r="AB333" s="28" t="n"/>
      <c r="AC333" s="28" t="n"/>
      <c r="AD333" s="28" t="n"/>
      <c r="AE333" s="28" t="n"/>
      <c r="AF333" s="28" t="n"/>
      <c r="AG333" s="28" t="n"/>
      <c r="AH333" s="28" t="n"/>
      <c r="AI333" s="28" t="n"/>
      <c r="AJ333" s="28" t="n"/>
      <c r="AK333" s="28" t="n"/>
      <c r="AL333" s="65" t="n"/>
      <c r="AM333" s="65" t="n"/>
      <c r="AN333" s="65" t="n"/>
      <c r="AO333" s="65" t="n"/>
      <c r="AP333" s="65" t="n"/>
    </row>
    <row r="334" ht="51.75" customHeight="1" s="222">
      <c r="A334" s="28" t="inlineStr">
        <is>
          <t>Pizzeria Bianco</t>
        </is>
      </c>
      <c r="B334" s="73" t="inlineStr">
        <is>
          <t>Restaurant</t>
        </is>
      </c>
      <c r="C334" s="8" t="n"/>
      <c r="D334" s="28" t="inlineStr">
        <is>
          <t>623 E Adams St, Phoenix, AZ 85004</t>
        </is>
      </c>
      <c r="E334" s="73" t="inlineStr">
        <is>
          <t>Downtown</t>
        </is>
      </c>
      <c r="F334" s="73">
        <f>16022588300</f>
        <v/>
      </c>
      <c r="G334" s="20" t="inlineStr">
        <is>
          <t>http://www.pizzeriabianco.com/</t>
        </is>
      </c>
      <c r="H334" s="116" t="n"/>
      <c r="I334" s="88" t="n"/>
      <c r="J334" s="28" t="n"/>
      <c r="K334" s="34" t="n"/>
      <c r="L334" s="45" t="n"/>
      <c r="M334" s="65" t="n"/>
      <c r="N334" s="65" t="n"/>
      <c r="O334" s="65" t="n"/>
      <c r="P334" s="65" t="n"/>
      <c r="Q334" s="65" t="n"/>
      <c r="R334" s="65" t="n"/>
      <c r="S334" s="18" t="n"/>
      <c r="T334" s="18" t="n"/>
      <c r="U334" s="30" t="n"/>
      <c r="V334" s="18" t="n"/>
      <c r="W334" s="18" t="n"/>
      <c r="X334" s="18" t="n"/>
      <c r="Y334" s="65" t="n"/>
      <c r="Z334" s="65" t="n"/>
      <c r="AA334" s="28" t="n"/>
      <c r="AB334" s="28" t="n"/>
      <c r="AC334" s="28" t="n"/>
      <c r="AD334" s="28" t="n"/>
      <c r="AE334" s="28" t="n"/>
      <c r="AF334" s="28" t="n"/>
      <c r="AG334" s="28" t="n"/>
      <c r="AH334" s="28" t="n"/>
      <c r="AI334" s="28" t="n"/>
      <c r="AJ334" s="28" t="n"/>
      <c r="AK334" s="28" t="n"/>
      <c r="AL334" s="65" t="n"/>
      <c r="AM334" s="65" t="n"/>
      <c r="AN334" s="65" t="n"/>
      <c r="AO334" s="65" t="n"/>
      <c r="AP334" s="65" t="n"/>
    </row>
    <row r="335" ht="51.75" customHeight="1" s="222">
      <c r="A335" s="28" t="inlineStr">
        <is>
          <t>LATHA</t>
        </is>
      </c>
      <c r="B335" s="73" t="inlineStr">
        <is>
          <t>Restaurant</t>
        </is>
      </c>
      <c r="C335" s="8" t="n"/>
      <c r="D335" s="28" t="inlineStr">
        <is>
          <t>628 E Adams St, Phoenix, AZ 85004</t>
        </is>
      </c>
      <c r="E335" s="73" t="inlineStr">
        <is>
          <t>Downtown</t>
        </is>
      </c>
      <c r="F335" s="73">
        <f>14806406183</f>
        <v/>
      </c>
      <c r="G335" s="20" t="inlineStr">
        <is>
          <t>https://www.lathaphx.com/</t>
        </is>
      </c>
      <c r="H335" s="116" t="n"/>
      <c r="I335" s="88" t="n"/>
      <c r="J335" s="28" t="n"/>
      <c r="K335" s="34" t="n"/>
      <c r="L335" s="45" t="n"/>
      <c r="M335" s="65" t="n"/>
      <c r="N335" s="65" t="n"/>
      <c r="O335" s="65" t="n"/>
      <c r="P335" s="65" t="n"/>
      <c r="Q335" s="65" t="n"/>
      <c r="R335" s="65" t="n"/>
      <c r="S335" s="18" t="n"/>
      <c r="T335" s="18" t="n"/>
      <c r="U335" s="30" t="n"/>
      <c r="V335" s="18" t="n"/>
      <c r="W335" s="18" t="n"/>
      <c r="X335" s="18" t="n"/>
      <c r="Y335" s="65" t="n"/>
      <c r="Z335" s="65" t="n"/>
      <c r="AA335" s="28" t="n"/>
      <c r="AB335" s="28" t="n"/>
      <c r="AC335" s="28" t="n"/>
      <c r="AD335" s="28" t="n"/>
      <c r="AE335" s="28" t="n"/>
      <c r="AF335" s="28" t="n"/>
      <c r="AG335" s="28" t="n"/>
      <c r="AH335" s="28" t="n"/>
      <c r="AI335" s="28" t="n"/>
      <c r="AJ335" s="28" t="n"/>
      <c r="AK335" s="28" t="n"/>
      <c r="AL335" s="65" t="n"/>
      <c r="AM335" s="65" t="n"/>
      <c r="AN335" s="65" t="n"/>
      <c r="AO335" s="65" t="n"/>
      <c r="AP335" s="65" t="n"/>
    </row>
    <row r="336" ht="51.75" customHeight="1" s="222">
      <c r="A336" s="28" t="inlineStr">
        <is>
          <t>Buck &amp; Rider Phoenix</t>
        </is>
      </c>
      <c r="B336" s="73" t="inlineStr">
        <is>
          <t>Restaurant</t>
        </is>
      </c>
      <c r="C336" s="8" t="n"/>
      <c r="D336" s="28" t="inlineStr">
        <is>
          <t>4225 E Camelback Rd, Phoenix, AZ 85018</t>
        </is>
      </c>
      <c r="E336" s="73" t="inlineStr">
        <is>
          <t>Uptown</t>
        </is>
      </c>
      <c r="F336" s="73">
        <f>16023460110</f>
        <v/>
      </c>
      <c r="G336" s="20" t="inlineStr">
        <is>
          <t>https://www.buckandrider.com/?utm_source=GMB&amp;utm_medium=local</t>
        </is>
      </c>
      <c r="H336" s="116" t="n"/>
      <c r="I336" s="88" t="n"/>
      <c r="J336" s="28" t="n"/>
      <c r="K336" s="34" t="n"/>
      <c r="L336" s="45" t="n"/>
      <c r="M336" s="65" t="n"/>
      <c r="N336" s="65" t="n"/>
      <c r="O336" s="65" t="n"/>
      <c r="P336" s="65" t="n"/>
      <c r="Q336" s="65" t="n"/>
      <c r="R336" s="65" t="n"/>
      <c r="S336" s="18" t="n"/>
      <c r="T336" s="18" t="n"/>
      <c r="U336" s="30" t="n"/>
      <c r="V336" s="18" t="n"/>
      <c r="W336" s="18" t="n"/>
      <c r="X336" s="18" t="n"/>
      <c r="Y336" s="65" t="n"/>
      <c r="Z336" s="65" t="n"/>
      <c r="AA336" s="28" t="n"/>
      <c r="AB336" s="28" t="n"/>
      <c r="AC336" s="28" t="n"/>
      <c r="AD336" s="28" t="n"/>
      <c r="AE336" s="28" t="n"/>
      <c r="AF336" s="28" t="n"/>
      <c r="AG336" s="28" t="n"/>
      <c r="AH336" s="28" t="n"/>
      <c r="AI336" s="28" t="n"/>
      <c r="AJ336" s="28" t="n"/>
      <c r="AK336" s="28" t="n"/>
      <c r="AL336" s="65" t="n"/>
      <c r="AM336" s="65" t="n"/>
      <c r="AN336" s="65" t="n"/>
      <c r="AO336" s="65" t="n"/>
      <c r="AP336" s="65" t="n"/>
    </row>
    <row r="337" ht="51.75" customHeight="1" s="222">
      <c r="A337" s="28" t="inlineStr">
        <is>
          <t>HULA'S Modern Tiki Uptown</t>
        </is>
      </c>
      <c r="B337" s="73" t="inlineStr">
        <is>
          <t>Restaurant</t>
        </is>
      </c>
      <c r="C337" s="8" t="n"/>
      <c r="D337" s="28" t="inlineStr">
        <is>
          <t>5114 N 7th St Suite 1, Phoenix, AZ 85014</t>
        </is>
      </c>
      <c r="E337" s="73" t="inlineStr">
        <is>
          <t>Uptown</t>
        </is>
      </c>
      <c r="F337" s="73">
        <f>16022658454</f>
        <v/>
      </c>
      <c r="G337" s="20" t="inlineStr">
        <is>
          <t>http://hulasmoderntiki.com/</t>
        </is>
      </c>
      <c r="H337" s="116" t="n"/>
      <c r="I337" s="88" t="n"/>
      <c r="J337" s="28" t="n"/>
      <c r="K337" s="34" t="n"/>
      <c r="L337" s="45" t="n"/>
      <c r="M337" s="65" t="n"/>
      <c r="N337" s="65" t="n"/>
      <c r="O337" s="65" t="n"/>
      <c r="P337" s="65" t="n"/>
      <c r="Q337" s="65" t="n"/>
      <c r="R337" s="65" t="n"/>
      <c r="S337" s="18" t="n"/>
      <c r="T337" s="18" t="n"/>
      <c r="U337" s="30" t="n"/>
      <c r="V337" s="18" t="n"/>
      <c r="W337" s="18" t="n"/>
      <c r="X337" s="18" t="n"/>
      <c r="Y337" s="65" t="n"/>
      <c r="Z337" s="65" t="n"/>
      <c r="AA337" s="28" t="n"/>
      <c r="AB337" s="28" t="n"/>
      <c r="AC337" s="28" t="n"/>
      <c r="AD337" s="28" t="n"/>
      <c r="AE337" s="28" t="n"/>
      <c r="AF337" s="28" t="n"/>
      <c r="AG337" s="28" t="n"/>
      <c r="AH337" s="28" t="n"/>
      <c r="AI337" s="28" t="n"/>
      <c r="AJ337" s="28" t="n"/>
      <c r="AK337" s="28" t="n"/>
      <c r="AL337" s="65" t="n"/>
      <c r="AM337" s="65" t="n"/>
      <c r="AN337" s="65" t="n"/>
      <c r="AO337" s="65" t="n"/>
      <c r="AP337" s="65" t="n"/>
    </row>
    <row r="338" ht="51.75" customHeight="1" s="222">
      <c r="A338" s="28" t="inlineStr">
        <is>
          <t>Postino Central</t>
        </is>
      </c>
      <c r="B338" s="73" t="inlineStr">
        <is>
          <t>Restaurant</t>
        </is>
      </c>
      <c r="C338" s="8" t="n"/>
      <c r="D338" s="28" t="inlineStr">
        <is>
          <t>5144 N Central Ave, Phoenix, AZ 85012</t>
        </is>
      </c>
      <c r="E338" s="73" t="inlineStr">
        <is>
          <t>Uptown</t>
        </is>
      </c>
      <c r="F338" s="73">
        <f>16022745144</f>
        <v/>
      </c>
      <c r="G338" s="20" t="inlineStr">
        <is>
          <t>https://www.postino.com/locations/postino-central</t>
        </is>
      </c>
      <c r="H338" s="116" t="n"/>
      <c r="I338" s="88" t="n"/>
      <c r="J338" s="28" t="n"/>
      <c r="K338" s="34" t="n"/>
      <c r="L338" s="45" t="n"/>
      <c r="M338" s="65" t="n"/>
      <c r="N338" s="65" t="n"/>
      <c r="O338" s="65" t="n"/>
      <c r="P338" s="65" t="n"/>
      <c r="Q338" s="65" t="n"/>
      <c r="R338" s="65" t="n"/>
      <c r="S338" s="18" t="n"/>
      <c r="T338" s="18" t="n"/>
      <c r="U338" s="30" t="n"/>
      <c r="V338" s="18" t="n"/>
      <c r="W338" s="18" t="n"/>
      <c r="X338" s="18" t="n"/>
      <c r="Y338" s="65" t="n"/>
      <c r="Z338" s="65" t="n"/>
      <c r="AA338" s="28" t="n"/>
      <c r="AB338" s="28" t="n"/>
      <c r="AC338" s="28" t="n"/>
      <c r="AD338" s="28" t="n"/>
      <c r="AE338" s="28" t="n"/>
      <c r="AF338" s="28" t="n"/>
      <c r="AG338" s="28" t="n"/>
      <c r="AH338" s="28" t="n"/>
      <c r="AI338" s="28" t="n"/>
      <c r="AJ338" s="28" t="n"/>
      <c r="AK338" s="28" t="n"/>
      <c r="AL338" s="65" t="n"/>
      <c r="AM338" s="65" t="n"/>
      <c r="AN338" s="65" t="n"/>
      <c r="AO338" s="65" t="n"/>
      <c r="AP338" s="65" t="n"/>
    </row>
    <row r="339" ht="51.75" customHeight="1" s="222">
      <c r="A339" s="28" t="inlineStr">
        <is>
          <t>Steak 44 - Biltmore</t>
        </is>
      </c>
      <c r="B339" s="73" t="inlineStr">
        <is>
          <t>Restaurant</t>
        </is>
      </c>
      <c r="C339" s="8" t="n"/>
      <c r="D339" s="28" t="inlineStr">
        <is>
          <t>5101 N 44th St, Phoenix, AZ 85018</t>
        </is>
      </c>
      <c r="E339" s="73" t="inlineStr">
        <is>
          <t>Uptown</t>
        </is>
      </c>
      <c r="F339" s="73">
        <f>16022714400</f>
        <v/>
      </c>
      <c r="G339" s="20" t="inlineStr">
        <is>
          <t>https://www.steak44.com/?utm_source=google&amp;utm_medium=organic&amp;utm_campaign=gmb</t>
        </is>
      </c>
      <c r="H339" s="116" t="n"/>
      <c r="I339" s="88" t="n"/>
      <c r="J339" s="28" t="n"/>
      <c r="K339" s="34" t="n"/>
      <c r="L339" s="45" t="n"/>
      <c r="M339" s="65" t="n"/>
      <c r="N339" s="65" t="n"/>
      <c r="O339" s="65" t="n"/>
      <c r="P339" s="65" t="n"/>
      <c r="Q339" s="65" t="n"/>
      <c r="R339" s="65" t="n"/>
      <c r="S339" s="18" t="n"/>
      <c r="T339" s="18" t="n"/>
      <c r="U339" s="30" t="n"/>
      <c r="V339" s="18" t="n"/>
      <c r="W339" s="18" t="n"/>
      <c r="X339" s="18" t="n"/>
      <c r="Y339" s="65" t="n"/>
      <c r="Z339" s="65" t="n"/>
      <c r="AA339" s="28" t="n"/>
      <c r="AB339" s="28" t="n"/>
      <c r="AC339" s="28" t="n"/>
      <c r="AD339" s="28" t="n"/>
      <c r="AE339" s="28" t="n"/>
      <c r="AF339" s="28" t="n"/>
      <c r="AG339" s="28" t="n"/>
      <c r="AH339" s="28" t="n"/>
      <c r="AI339" s="28" t="n"/>
      <c r="AJ339" s="28" t="n"/>
      <c r="AK339" s="28" t="n"/>
      <c r="AL339" s="65" t="n"/>
      <c r="AM339" s="65" t="n"/>
      <c r="AN339" s="65" t="n"/>
      <c r="AO339" s="65" t="n"/>
      <c r="AP339" s="65" t="n"/>
    </row>
    <row r="340" ht="51.75" customHeight="1" s="222">
      <c r="A340" s="28" t="inlineStr">
        <is>
          <t>PYRO</t>
        </is>
      </c>
      <c r="B340" s="73" t="inlineStr">
        <is>
          <t>Restaurant</t>
        </is>
      </c>
      <c r="C340" s="8" t="n"/>
      <c r="D340" s="28" t="inlineStr">
        <is>
          <t>4300 E Camelback Rd Suite 125, Phoenix, AZ 85018</t>
        </is>
      </c>
      <c r="E340" s="73" t="inlineStr">
        <is>
          <t>Uptown</t>
        </is>
      </c>
      <c r="F340" s="73">
        <f>16027550049</f>
        <v/>
      </c>
      <c r="G340" s="20" t="inlineStr">
        <is>
          <t>https://pyrophx.com/</t>
        </is>
      </c>
      <c r="H340" s="116" t="n"/>
      <c r="I340" s="88" t="n"/>
      <c r="J340" s="28" t="n"/>
      <c r="K340" s="34" t="n"/>
      <c r="L340" s="45" t="n"/>
      <c r="M340" s="65" t="n"/>
      <c r="N340" s="65" t="n"/>
      <c r="O340" s="65" t="n"/>
      <c r="P340" s="65" t="n"/>
      <c r="Q340" s="65" t="n"/>
      <c r="R340" s="65" t="n"/>
      <c r="S340" s="18" t="n"/>
      <c r="T340" s="18" t="n"/>
      <c r="U340" s="30" t="n"/>
      <c r="V340" s="18" t="n"/>
      <c r="W340" s="18" t="n"/>
      <c r="X340" s="18" t="n"/>
      <c r="Y340" s="65" t="n"/>
      <c r="Z340" s="65" t="n"/>
      <c r="AA340" s="28" t="n"/>
      <c r="AB340" s="28" t="n"/>
      <c r="AC340" s="28" t="n"/>
      <c r="AD340" s="28" t="n"/>
      <c r="AE340" s="28" t="n"/>
      <c r="AF340" s="28" t="n"/>
      <c r="AG340" s="28" t="n"/>
      <c r="AH340" s="28" t="n"/>
      <c r="AI340" s="28" t="n"/>
      <c r="AJ340" s="28" t="n"/>
      <c r="AK340" s="28" t="n"/>
      <c r="AL340" s="65" t="n"/>
      <c r="AM340" s="65" t="n"/>
      <c r="AN340" s="65" t="n"/>
      <c r="AO340" s="65" t="n"/>
      <c r="AP340" s="65" t="n"/>
    </row>
    <row r="341" ht="51.75" customHeight="1" s="222">
      <c r="A341" s="28" t="inlineStr">
        <is>
          <t>Rough Rider</t>
        </is>
      </c>
      <c r="B341" s="73" t="inlineStr">
        <is>
          <t>Restaurant</t>
        </is>
      </c>
      <c r="C341" s="8" t="n"/>
      <c r="D341" s="28" t="inlineStr">
        <is>
          <t>1001 N Central Ave, Phoenix, AZ 85004</t>
        </is>
      </c>
      <c r="E341" s="73" t="inlineStr">
        <is>
          <t>Downtown</t>
        </is>
      </c>
      <c r="F341" s="73">
        <f>16026750439</f>
        <v/>
      </c>
      <c r="G341" s="20" t="inlineStr">
        <is>
          <t>http://www.roughrideraz.com/</t>
        </is>
      </c>
      <c r="H341" s="116" t="n"/>
      <c r="I341" s="88" t="n"/>
      <c r="J341" s="28" t="n"/>
      <c r="K341" s="34" t="n"/>
      <c r="L341" s="45" t="n"/>
      <c r="M341" s="65" t="n"/>
      <c r="N341" s="65" t="n"/>
      <c r="O341" s="65" t="n"/>
      <c r="P341" s="65" t="n"/>
      <c r="Q341" s="65" t="n"/>
      <c r="R341" s="65" t="n"/>
      <c r="S341" s="18" t="n"/>
      <c r="T341" s="18" t="n"/>
      <c r="U341" s="30" t="n"/>
      <c r="V341" s="18" t="n"/>
      <c r="W341" s="18" t="n"/>
      <c r="X341" s="18" t="n"/>
      <c r="Y341" s="65" t="n"/>
      <c r="Z341" s="65" t="n"/>
      <c r="AA341" s="28" t="n"/>
      <c r="AB341" s="28" t="n"/>
      <c r="AC341" s="28" t="n"/>
      <c r="AD341" s="28" t="n"/>
      <c r="AE341" s="28" t="n"/>
      <c r="AF341" s="28" t="n"/>
      <c r="AG341" s="28" t="n"/>
      <c r="AH341" s="28" t="n"/>
      <c r="AI341" s="28" t="n"/>
      <c r="AJ341" s="28" t="n"/>
      <c r="AK341" s="28" t="n"/>
      <c r="AL341" s="65" t="n"/>
      <c r="AM341" s="65" t="n"/>
      <c r="AN341" s="65" t="n"/>
      <c r="AO341" s="65" t="n"/>
      <c r="AP341" s="65" t="n"/>
    </row>
    <row r="342" ht="51.75" customHeight="1" s="222">
      <c r="A342" s="28" t="inlineStr">
        <is>
          <t>Citizen Public House</t>
        </is>
      </c>
      <c r="B342" s="73" t="inlineStr">
        <is>
          <t>Restaurant</t>
        </is>
      </c>
      <c r="C342" s="8" t="n"/>
      <c r="D342" s="28" t="inlineStr">
        <is>
          <t>7111 E 5th Ave, Scottsdale, AZ 85251</t>
        </is>
      </c>
      <c r="E342" s="73" t="inlineStr">
        <is>
          <t>Scottsdale</t>
        </is>
      </c>
      <c r="F342" s="73">
        <f>14803984208</f>
        <v/>
      </c>
      <c r="G342" s="20" t="inlineStr">
        <is>
          <t>http://www.citizenpublichouse.com/</t>
        </is>
      </c>
      <c r="H342" s="116" t="n"/>
      <c r="I342" s="88" t="n"/>
      <c r="J342" s="28" t="n"/>
      <c r="K342" s="34" t="n"/>
      <c r="L342" s="45" t="n"/>
      <c r="M342" s="65" t="n"/>
      <c r="N342" s="65" t="n"/>
      <c r="O342" s="65" t="n"/>
      <c r="P342" s="65" t="n"/>
      <c r="Q342" s="65" t="n"/>
      <c r="R342" s="65" t="n"/>
      <c r="S342" s="18" t="n"/>
      <c r="T342" s="18" t="n"/>
      <c r="U342" s="30" t="n"/>
      <c r="V342" s="18" t="n"/>
      <c r="W342" s="18" t="n"/>
      <c r="X342" s="18" t="n"/>
      <c r="Y342" s="65" t="n"/>
      <c r="Z342" s="65" t="n"/>
      <c r="AA342" s="28" t="n"/>
      <c r="AB342" s="28" t="n"/>
      <c r="AC342" s="28" t="n"/>
      <c r="AD342" s="28" t="n"/>
      <c r="AE342" s="28" t="n"/>
      <c r="AF342" s="28" t="n"/>
      <c r="AG342" s="28" t="n"/>
      <c r="AH342" s="28" t="n"/>
      <c r="AI342" s="28" t="n"/>
      <c r="AJ342" s="28" t="n"/>
      <c r="AK342" s="28" t="n"/>
      <c r="AL342" s="65" t="n"/>
      <c r="AM342" s="65" t="n"/>
      <c r="AN342" s="65" t="n"/>
      <c r="AO342" s="65" t="n"/>
      <c r="AP342" s="65" t="n"/>
    </row>
    <row r="343" ht="51.75" customHeight="1" s="222">
      <c r="A343" s="28" t="inlineStr">
        <is>
          <t>Cooper’s Hawk Winery &amp; Restaurant</t>
        </is>
      </c>
      <c r="B343" s="73" t="inlineStr">
        <is>
          <t>Restaurant</t>
        </is>
      </c>
      <c r="C343" s="8" t="n"/>
      <c r="D343" s="28" t="inlineStr">
        <is>
          <t>3325 W Chandler Blvd, Chandler, AZ 85226</t>
        </is>
      </c>
      <c r="E343" s="73" t="inlineStr">
        <is>
          <t>Chandler</t>
        </is>
      </c>
      <c r="F343" s="73">
        <f>14809367711</f>
        <v/>
      </c>
      <c r="G343" s="20" t="inlineStr">
        <is>
          <t>https://chwinery.com/locations/arizona/chandler-az</t>
        </is>
      </c>
      <c r="H343" s="116" t="n"/>
      <c r="I343" s="88" t="n"/>
      <c r="J343" s="28" t="n"/>
      <c r="K343" s="34" t="n"/>
      <c r="L343" s="45" t="n"/>
      <c r="M343" s="65" t="n"/>
      <c r="N343" s="65" t="n"/>
      <c r="O343" s="65" t="n"/>
      <c r="P343" s="65" t="n"/>
      <c r="Q343" s="65" t="n"/>
      <c r="R343" s="65" t="n"/>
      <c r="S343" s="18" t="n"/>
      <c r="T343" s="18" t="n"/>
      <c r="U343" s="30" t="n"/>
      <c r="V343" s="18" t="n"/>
      <c r="W343" s="18" t="n"/>
      <c r="X343" s="18" t="n"/>
      <c r="Y343" s="65" t="n"/>
      <c r="Z343" s="65" t="n"/>
      <c r="AA343" s="28" t="n"/>
      <c r="AB343" s="28" t="n"/>
      <c r="AC343" s="28" t="n"/>
      <c r="AD343" s="28" t="n"/>
      <c r="AE343" s="28" t="n"/>
      <c r="AF343" s="28" t="n"/>
      <c r="AG343" s="28" t="n"/>
      <c r="AH343" s="28" t="n"/>
      <c r="AI343" s="28" t="n"/>
      <c r="AJ343" s="28" t="n"/>
      <c r="AK343" s="28" t="n"/>
      <c r="AL343" s="65" t="n"/>
      <c r="AM343" s="65" t="n"/>
      <c r="AN343" s="65" t="n"/>
      <c r="AO343" s="65" t="n"/>
      <c r="AP343" s="65" t="n"/>
    </row>
    <row r="344" ht="51.75" customHeight="1" s="222">
      <c r="A344" s="28" t="inlineStr">
        <is>
          <t>Thirsty Lion</t>
        </is>
      </c>
      <c r="B344" s="73" t="inlineStr">
        <is>
          <t>Restaurant</t>
        </is>
      </c>
      <c r="C344" s="8" t="n"/>
      <c r="D344" s="28" t="inlineStr">
        <is>
          <t>3077 W Frye Rd, Chandler, AZ 85226</t>
        </is>
      </c>
      <c r="E344" s="73" t="inlineStr">
        <is>
          <t>Chandler</t>
        </is>
      </c>
      <c r="F344" s="73">
        <f>14807865799</f>
        <v/>
      </c>
      <c r="G344" s="20" t="inlineStr">
        <is>
          <t>https://www.thirstylionrestaurant.com/</t>
        </is>
      </c>
      <c r="H344" s="116" t="n"/>
      <c r="I344" s="88" t="n"/>
      <c r="J344" s="28" t="n"/>
      <c r="K344" s="34" t="n"/>
      <c r="L344" s="45" t="n"/>
      <c r="M344" s="65" t="n"/>
      <c r="N344" s="65" t="n"/>
      <c r="O344" s="65" t="n"/>
      <c r="P344" s="65" t="n"/>
      <c r="Q344" s="65" t="n"/>
      <c r="R344" s="65" t="n"/>
      <c r="S344" s="18" t="n"/>
      <c r="T344" s="18" t="n"/>
      <c r="U344" s="30" t="n"/>
      <c r="V344" s="18" t="n"/>
      <c r="W344" s="18" t="n"/>
      <c r="X344" s="18" t="n"/>
      <c r="Y344" s="65" t="n"/>
      <c r="Z344" s="65" t="n"/>
      <c r="AA344" s="28" t="n"/>
      <c r="AB344" s="28" t="n"/>
      <c r="AC344" s="28" t="n"/>
      <c r="AD344" s="28" t="n"/>
      <c r="AE344" s="28" t="n"/>
      <c r="AF344" s="28" t="n"/>
      <c r="AG344" s="28" t="n"/>
      <c r="AH344" s="28" t="n"/>
      <c r="AI344" s="28" t="n"/>
      <c r="AJ344" s="28" t="n"/>
      <c r="AK344" s="28" t="n"/>
      <c r="AL344" s="65" t="n"/>
      <c r="AM344" s="65" t="n"/>
      <c r="AN344" s="65" t="n"/>
      <c r="AO344" s="65" t="n"/>
      <c r="AP344" s="65" t="n"/>
    </row>
    <row r="345" ht="51.75" customHeight="1" s="222">
      <c r="A345" s="28" t="inlineStr">
        <is>
          <t>George &amp; Gather</t>
        </is>
      </c>
      <c r="B345" s="73" t="inlineStr">
        <is>
          <t>Restaurant</t>
        </is>
      </c>
      <c r="C345" s="8" t="n"/>
      <c r="D345" s="28" t="inlineStr">
        <is>
          <t>336 S Washington St, Chandler, AZ 85225</t>
        </is>
      </c>
      <c r="E345" s="73" t="inlineStr">
        <is>
          <t>Chandler</t>
        </is>
      </c>
      <c r="F345" s="73">
        <f>14804705143</f>
        <v/>
      </c>
      <c r="G345" s="20" t="inlineStr">
        <is>
          <t>https://www.georgeandgather.com/</t>
        </is>
      </c>
      <c r="H345" s="116" t="n"/>
      <c r="I345" s="88" t="n"/>
      <c r="J345" s="28" t="n"/>
      <c r="K345" s="34" t="n"/>
      <c r="L345" s="45" t="n"/>
      <c r="M345" s="65" t="n"/>
      <c r="N345" s="65" t="n"/>
      <c r="O345" s="65" t="n"/>
      <c r="P345" s="65" t="n"/>
      <c r="Q345" s="65" t="n"/>
      <c r="R345" s="65" t="n"/>
      <c r="S345" s="18" t="n"/>
      <c r="T345" s="18" t="n"/>
      <c r="U345" s="30" t="n"/>
      <c r="V345" s="18" t="n"/>
      <c r="W345" s="18" t="n"/>
      <c r="X345" s="18" t="n"/>
      <c r="Y345" s="65" t="n"/>
      <c r="Z345" s="65" t="n"/>
      <c r="AA345" s="28" t="n"/>
      <c r="AB345" s="28" t="n"/>
      <c r="AC345" s="28" t="n"/>
      <c r="AD345" s="28" t="n"/>
      <c r="AE345" s="28" t="n"/>
      <c r="AF345" s="28" t="n"/>
      <c r="AG345" s="28" t="n"/>
      <c r="AH345" s="28" t="n"/>
      <c r="AI345" s="28" t="n"/>
      <c r="AJ345" s="28" t="n"/>
      <c r="AK345" s="28" t="n"/>
      <c r="AL345" s="65" t="n"/>
      <c r="AM345" s="65" t="n"/>
      <c r="AN345" s="65" t="n"/>
      <c r="AO345" s="65" t="n"/>
      <c r="AP345" s="65" t="n"/>
    </row>
    <row r="346" ht="51.75" customHeight="1" s="222">
      <c r="A346" s="28" t="inlineStr">
        <is>
          <t>Miel de Agave Chandler</t>
        </is>
      </c>
      <c r="B346" s="73" t="inlineStr">
        <is>
          <t>Restaurant</t>
        </is>
      </c>
      <c r="C346" s="8" t="n"/>
      <c r="D346" s="28" t="inlineStr">
        <is>
          <t>325 S Arizona Ave, Chandler, AZ 85225</t>
        </is>
      </c>
      <c r="E346" s="73" t="inlineStr">
        <is>
          <t>Chandler</t>
        </is>
      </c>
      <c r="F346" s="73">
        <f>15206087651</f>
        <v/>
      </c>
      <c r="G346" s="20" t="inlineStr">
        <is>
          <t>https://mieldeagavechandler.com/</t>
        </is>
      </c>
      <c r="H346" s="116" t="n"/>
      <c r="I346" s="88" t="n"/>
      <c r="J346" s="28" t="n"/>
      <c r="K346" s="34" t="n"/>
      <c r="L346" s="45" t="n"/>
      <c r="M346" s="65" t="n"/>
      <c r="N346" s="65" t="n"/>
      <c r="O346" s="65" t="n"/>
      <c r="P346" s="65" t="n"/>
      <c r="Q346" s="65" t="n"/>
      <c r="R346" s="65" t="n"/>
      <c r="S346" s="18" t="n"/>
      <c r="T346" s="18" t="n"/>
      <c r="U346" s="30" t="n"/>
      <c r="V346" s="18" t="n"/>
      <c r="W346" s="18" t="n"/>
      <c r="X346" s="18" t="n"/>
      <c r="Y346" s="65" t="n"/>
      <c r="Z346" s="65" t="n"/>
      <c r="AA346" s="28" t="n"/>
      <c r="AB346" s="28" t="n"/>
      <c r="AC346" s="28" t="n"/>
      <c r="AD346" s="28" t="n"/>
      <c r="AE346" s="28" t="n"/>
      <c r="AF346" s="28" t="n"/>
      <c r="AG346" s="28" t="n"/>
      <c r="AH346" s="28" t="n"/>
      <c r="AI346" s="28" t="n"/>
      <c r="AJ346" s="28" t="n"/>
      <c r="AK346" s="28" t="n"/>
      <c r="AL346" s="65" t="n"/>
      <c r="AM346" s="65" t="n"/>
      <c r="AN346" s="65" t="n"/>
      <c r="AO346" s="65" t="n"/>
      <c r="AP346" s="65" t="n"/>
    </row>
    <row r="347" ht="51.75" customHeight="1" s="222">
      <c r="A347" s="28" t="inlineStr">
        <is>
          <t>Born &amp; Bred by Aftermath</t>
        </is>
      </c>
      <c r="B347" s="73" t="inlineStr">
        <is>
          <t>Restaurant</t>
        </is>
      </c>
      <c r="C347" s="8" t="n"/>
      <c r="D347" s="28" t="inlineStr">
        <is>
          <t>140 N Arizona Ave #100, Chandler, AZ 85225</t>
        </is>
      </c>
      <c r="E347" s="73" t="inlineStr">
        <is>
          <t>Chandler</t>
        </is>
      </c>
      <c r="F347" s="73">
        <f>14803079757</f>
        <v/>
      </c>
      <c r="G347" s="20" t="inlineStr">
        <is>
          <t>https://chandler.bornandbredarizona.com/</t>
        </is>
      </c>
      <c r="H347" s="116" t="n"/>
      <c r="I347" s="88" t="n"/>
      <c r="J347" s="28" t="n"/>
      <c r="K347" s="34" t="n"/>
      <c r="L347" s="45" t="n"/>
      <c r="M347" s="65" t="n"/>
      <c r="N347" s="65" t="n"/>
      <c r="O347" s="65" t="n"/>
      <c r="P347" s="65" t="n"/>
      <c r="Q347" s="65" t="n"/>
      <c r="R347" s="65" t="n"/>
      <c r="S347" s="18" t="n"/>
      <c r="T347" s="18" t="n"/>
      <c r="U347" s="30" t="n"/>
      <c r="V347" s="18" t="n"/>
      <c r="W347" s="18" t="n"/>
      <c r="X347" s="18" t="n"/>
      <c r="Y347" s="65" t="n"/>
      <c r="Z347" s="65" t="n"/>
      <c r="AA347" s="28" t="n"/>
      <c r="AB347" s="28" t="n"/>
      <c r="AC347" s="28" t="n"/>
      <c r="AD347" s="28" t="n"/>
      <c r="AE347" s="28" t="n"/>
      <c r="AF347" s="28" t="n"/>
      <c r="AG347" s="28" t="n"/>
      <c r="AH347" s="28" t="n"/>
      <c r="AI347" s="28" t="n"/>
      <c r="AJ347" s="28" t="n"/>
      <c r="AK347" s="28" t="n"/>
      <c r="AL347" s="65" t="n"/>
      <c r="AM347" s="65" t="n"/>
      <c r="AN347" s="65" t="n"/>
      <c r="AO347" s="65" t="n"/>
      <c r="AP347" s="65" t="n"/>
    </row>
    <row r="348" ht="51.75" customHeight="1" s="222">
      <c r="A348" s="28" t="inlineStr">
        <is>
          <t>Postino East</t>
        </is>
      </c>
      <c r="B348" s="73" t="inlineStr">
        <is>
          <t>Restaurant</t>
        </is>
      </c>
      <c r="C348" s="8" t="n"/>
      <c r="D348" s="28" t="inlineStr">
        <is>
          <t>302 N Gilbert Rd Ste 102, Gilbert, AZ 85234</t>
        </is>
      </c>
      <c r="E348" s="73" t="inlineStr">
        <is>
          <t>Gilbert</t>
        </is>
      </c>
      <c r="F348" s="73">
        <f>14806326363</f>
        <v/>
      </c>
      <c r="G348" s="20" t="inlineStr">
        <is>
          <t>https://www.postino.com/locations/postino-east</t>
        </is>
      </c>
      <c r="H348" s="116" t="n"/>
      <c r="I348" s="88" t="n"/>
      <c r="J348" s="28" t="n"/>
      <c r="K348" s="34" t="n"/>
      <c r="L348" s="45" t="n"/>
      <c r="M348" s="65" t="n"/>
      <c r="N348" s="65" t="n"/>
      <c r="O348" s="65" t="n"/>
      <c r="P348" s="65" t="n"/>
      <c r="Q348" s="65" t="n"/>
      <c r="R348" s="65" t="n"/>
      <c r="S348" s="18" t="n"/>
      <c r="T348" s="18" t="n"/>
      <c r="U348" s="30" t="n"/>
      <c r="V348" s="18" t="n"/>
      <c r="W348" s="18" t="n"/>
      <c r="X348" s="18" t="n"/>
      <c r="Y348" s="65" t="n"/>
      <c r="Z348" s="65" t="n"/>
      <c r="AA348" s="28" t="n"/>
      <c r="AB348" s="28" t="n"/>
      <c r="AC348" s="28" t="n"/>
      <c r="AD348" s="28" t="n"/>
      <c r="AE348" s="28" t="n"/>
      <c r="AF348" s="28" t="n"/>
      <c r="AG348" s="28" t="n"/>
      <c r="AH348" s="28" t="n"/>
      <c r="AI348" s="28" t="n"/>
      <c r="AJ348" s="28" t="n"/>
      <c r="AK348" s="28" t="n"/>
      <c r="AL348" s="65" t="n"/>
      <c r="AM348" s="65" t="n"/>
      <c r="AN348" s="65" t="n"/>
      <c r="AO348" s="65" t="n"/>
      <c r="AP348" s="65" t="n"/>
    </row>
    <row r="349" ht="51.75" customHeight="1" s="222">
      <c r="A349" s="28" t="inlineStr">
        <is>
          <t>Sotol Modern Cocktail Kitchen</t>
        </is>
      </c>
      <c r="B349" s="73" t="inlineStr">
        <is>
          <t>Restaurant</t>
        </is>
      </c>
      <c r="C349" s="8" t="n"/>
      <c r="D349" s="28" t="inlineStr">
        <is>
          <t>313 N Gilbert Rd #301, Gilbert, AZ 85234</t>
        </is>
      </c>
      <c r="E349" s="73" t="inlineStr">
        <is>
          <t>Gilbert</t>
        </is>
      </c>
      <c r="F349" s="73">
        <f>14805506300</f>
        <v/>
      </c>
      <c r="G349" s="20" t="inlineStr">
        <is>
          <t>https://sotolmck.com/</t>
        </is>
      </c>
      <c r="H349" s="116" t="n"/>
      <c r="I349" s="88" t="n"/>
      <c r="J349" s="28" t="n"/>
      <c r="K349" s="34" t="n"/>
      <c r="L349" s="45" t="n"/>
      <c r="M349" s="65" t="n"/>
      <c r="N349" s="65" t="n"/>
      <c r="O349" s="65" t="n"/>
      <c r="P349" s="65" t="n"/>
      <c r="Q349" s="65" t="n"/>
      <c r="R349" s="65" t="n"/>
      <c r="S349" s="18" t="n"/>
      <c r="T349" s="18" t="n"/>
      <c r="U349" s="30" t="n"/>
      <c r="V349" s="18" t="n"/>
      <c r="W349" s="18" t="n"/>
      <c r="X349" s="18" t="n"/>
      <c r="Y349" s="65" t="n"/>
      <c r="Z349" s="65" t="n"/>
      <c r="AA349" s="28" t="n"/>
      <c r="AB349" s="28" t="n"/>
      <c r="AC349" s="28" t="n"/>
      <c r="AD349" s="28" t="n"/>
      <c r="AE349" s="28" t="n"/>
      <c r="AF349" s="28" t="n"/>
      <c r="AG349" s="28" t="n"/>
      <c r="AH349" s="28" t="n"/>
      <c r="AI349" s="28" t="n"/>
      <c r="AJ349" s="28" t="n"/>
      <c r="AK349" s="28" t="n"/>
      <c r="AL349" s="65" t="n"/>
      <c r="AM349" s="65" t="n"/>
      <c r="AN349" s="65" t="n"/>
      <c r="AO349" s="65" t="n"/>
      <c r="AP349" s="65" t="n"/>
    </row>
    <row r="350" ht="51.75" customHeight="1" s="222">
      <c r="A350" s="28" t="inlineStr">
        <is>
          <t>Culinary Dropout - Gilbert</t>
        </is>
      </c>
      <c r="B350" s="73" t="inlineStr">
        <is>
          <t>Restaurant</t>
        </is>
      </c>
      <c r="C350" s="8" t="n"/>
      <c r="D350" s="28" t="inlineStr">
        <is>
          <t>383 N Gilbert Rd, Gilbert, AZ 85234</t>
        </is>
      </c>
      <c r="E350" s="73" t="inlineStr">
        <is>
          <t>Gilbert</t>
        </is>
      </c>
      <c r="F350" s="73">
        <f>14804183980</f>
        <v/>
      </c>
      <c r="G350" s="20" t="inlineStr">
        <is>
          <t>https://www.culinarydropout.com/locations/gilbert-az/?utm_source=Google&amp;utm_medium=Organic&amp;utm_campaign=Maps</t>
        </is>
      </c>
      <c r="H350" s="116" t="n"/>
      <c r="I350" s="88" t="n"/>
      <c r="J350" s="28" t="n"/>
      <c r="K350" s="34" t="n"/>
      <c r="L350" s="45" t="n"/>
      <c r="M350" s="65" t="n"/>
      <c r="N350" s="65" t="n"/>
      <c r="O350" s="65" t="n"/>
      <c r="P350" s="65" t="n"/>
      <c r="Q350" s="65" t="n"/>
      <c r="R350" s="65" t="n"/>
      <c r="S350" s="18" t="n"/>
      <c r="T350" s="18" t="n"/>
      <c r="U350" s="30" t="n"/>
      <c r="V350" s="18" t="n"/>
      <c r="W350" s="18" t="n"/>
      <c r="X350" s="18" t="n"/>
      <c r="Y350" s="65" t="n"/>
      <c r="Z350" s="65" t="n"/>
      <c r="AA350" s="28" t="n"/>
      <c r="AB350" s="28" t="n"/>
      <c r="AC350" s="28" t="n"/>
      <c r="AD350" s="28" t="n"/>
      <c r="AE350" s="28" t="n"/>
      <c r="AF350" s="28" t="n"/>
      <c r="AG350" s="28" t="n"/>
      <c r="AH350" s="28" t="n"/>
      <c r="AI350" s="28" t="n"/>
      <c r="AJ350" s="28" t="n"/>
      <c r="AK350" s="28" t="n"/>
      <c r="AL350" s="65" t="n"/>
      <c r="AM350" s="65" t="n"/>
      <c r="AN350" s="65" t="n"/>
      <c r="AO350" s="65" t="n"/>
      <c r="AP350" s="65" t="n"/>
    </row>
    <row r="351" ht="51.75" customHeight="1" s="222">
      <c r="A351" s="28" t="inlineStr">
        <is>
          <t>El Chorro</t>
        </is>
      </c>
      <c r="B351" s="73" t="inlineStr">
        <is>
          <t>Restaurant</t>
        </is>
      </c>
      <c r="C351" s="8" t="n"/>
      <c r="D351" s="28" t="inlineStr">
        <is>
          <t>5550 E Lincoln Dr, Paradise Valley, AZ 85253</t>
        </is>
      </c>
      <c r="E351" s="73" t="inlineStr">
        <is>
          <t>Biltmore</t>
        </is>
      </c>
      <c r="F351" s="73">
        <f>14809485170</f>
        <v/>
      </c>
      <c r="G351" s="20" t="inlineStr">
        <is>
          <t>https://www.elchorro.com/</t>
        </is>
      </c>
      <c r="H351" s="116" t="n"/>
      <c r="I351" s="88" t="n"/>
      <c r="J351" s="28" t="n"/>
      <c r="K351" s="34" t="n"/>
      <c r="L351" s="45" t="n"/>
      <c r="M351" s="65" t="n"/>
      <c r="N351" s="65" t="n"/>
      <c r="O351" s="65" t="n"/>
      <c r="P351" s="65" t="n"/>
      <c r="Q351" s="65" t="n"/>
      <c r="R351" s="65" t="n"/>
      <c r="S351" s="18" t="n"/>
      <c r="T351" s="18" t="n"/>
      <c r="U351" s="30" t="n"/>
      <c r="V351" s="18" t="n"/>
      <c r="W351" s="18" t="n"/>
      <c r="X351" s="18" t="n"/>
      <c r="Y351" s="65" t="n"/>
      <c r="Z351" s="65" t="n"/>
      <c r="AA351" s="28" t="n"/>
      <c r="AB351" s="28" t="n"/>
      <c r="AC351" s="28" t="n"/>
      <c r="AD351" s="28" t="n"/>
      <c r="AE351" s="28" t="n"/>
      <c r="AF351" s="28" t="n"/>
      <c r="AG351" s="28" t="n"/>
      <c r="AH351" s="28" t="n"/>
      <c r="AI351" s="28" t="n"/>
      <c r="AJ351" s="28" t="n"/>
      <c r="AK351" s="28" t="n"/>
      <c r="AL351" s="65" t="n"/>
      <c r="AM351" s="65" t="n"/>
      <c r="AN351" s="65" t="n"/>
      <c r="AO351" s="65" t="n"/>
      <c r="AP351" s="65" t="n"/>
    </row>
    <row r="352" ht="51.75" customHeight="1" s="222">
      <c r="A352" s="28" t="inlineStr">
        <is>
          <t>Roaring Fork</t>
        </is>
      </c>
      <c r="B352" s="73" t="inlineStr">
        <is>
          <t>Restaurant</t>
        </is>
      </c>
      <c r="C352" s="8" t="n"/>
      <c r="D352" s="28" t="inlineStr">
        <is>
          <t>4800 N Scottsdale Rd, Scottsdale, AZ 85251</t>
        </is>
      </c>
      <c r="E352" s="73" t="inlineStr">
        <is>
          <t>Scottsdale</t>
        </is>
      </c>
      <c r="F352" s="73">
        <f>14809470795</f>
        <v/>
      </c>
      <c r="G352" s="20" t="inlineStr">
        <is>
          <t>http://www.roaringfork.com/</t>
        </is>
      </c>
      <c r="H352" s="116" t="n"/>
      <c r="I352" s="88" t="n"/>
      <c r="J352" s="28" t="n"/>
      <c r="K352" s="34" t="n"/>
      <c r="L352" s="45" t="n"/>
      <c r="M352" s="65" t="n"/>
      <c r="N352" s="65" t="n"/>
      <c r="O352" s="65" t="n"/>
      <c r="P352" s="65" t="n"/>
      <c r="Q352" s="65" t="n"/>
      <c r="R352" s="65" t="n"/>
      <c r="S352" s="18" t="n"/>
      <c r="T352" s="18" t="n"/>
      <c r="U352" s="30" t="n"/>
      <c r="V352" s="18" t="n"/>
      <c r="W352" s="18" t="n"/>
      <c r="X352" s="18" t="n"/>
      <c r="Y352" s="65" t="n"/>
      <c r="Z352" s="65" t="n"/>
      <c r="AA352" s="28" t="n"/>
      <c r="AB352" s="28" t="n"/>
      <c r="AC352" s="28" t="n"/>
      <c r="AD352" s="28" t="n"/>
      <c r="AE352" s="28" t="n"/>
      <c r="AF352" s="28" t="n"/>
      <c r="AG352" s="28" t="n"/>
      <c r="AH352" s="28" t="n"/>
      <c r="AI352" s="28" t="n"/>
      <c r="AJ352" s="28" t="n"/>
      <c r="AK352" s="28" t="n"/>
      <c r="AL352" s="65" t="n"/>
      <c r="AM352" s="65" t="n"/>
      <c r="AN352" s="65" t="n"/>
      <c r="AO352" s="65" t="n"/>
      <c r="AP352" s="65" t="n"/>
    </row>
    <row r="353" ht="51.75" customHeight="1" s="222">
      <c r="A353" s="28" t="inlineStr">
        <is>
          <t>Metropolis</t>
        </is>
      </c>
      <c r="B353" s="73" t="inlineStr">
        <is>
          <t>Restaurant</t>
        </is>
      </c>
      <c r="C353" s="8" t="n"/>
      <c r="D353" s="28" t="inlineStr">
        <is>
          <t>7137 E Rancho Vista Dr b33, Scottsdale, AZ 85251</t>
        </is>
      </c>
      <c r="E353" s="73" t="inlineStr">
        <is>
          <t>Scottsdale</t>
        </is>
      </c>
      <c r="F353" s="73">
        <f>14806216339</f>
        <v/>
      </c>
      <c r="G353" s="20" t="inlineStr">
        <is>
          <t>http://www.metropolisaz.com/</t>
        </is>
      </c>
      <c r="H353" s="116" t="n"/>
      <c r="I353" s="88" t="n"/>
      <c r="J353" s="28" t="n"/>
      <c r="K353" s="34" t="n"/>
      <c r="L353" s="45" t="n"/>
      <c r="M353" s="65" t="n"/>
      <c r="N353" s="65" t="n"/>
      <c r="O353" s="65" t="n"/>
      <c r="P353" s="65" t="n"/>
      <c r="Q353" s="65" t="n"/>
      <c r="R353" s="65" t="n"/>
      <c r="S353" s="18" t="n"/>
      <c r="T353" s="18" t="n"/>
      <c r="U353" s="30" t="n"/>
      <c r="V353" s="18" t="n"/>
      <c r="W353" s="18" t="n"/>
      <c r="X353" s="18" t="n"/>
      <c r="Y353" s="65" t="n"/>
      <c r="Z353" s="65" t="n"/>
      <c r="AA353" s="28" t="n"/>
      <c r="AB353" s="28" t="n"/>
      <c r="AC353" s="28" t="n"/>
      <c r="AD353" s="28" t="n"/>
      <c r="AE353" s="28" t="n"/>
      <c r="AF353" s="28" t="n"/>
      <c r="AG353" s="28" t="n"/>
      <c r="AH353" s="28" t="n"/>
      <c r="AI353" s="28" t="n"/>
      <c r="AJ353" s="28" t="n"/>
      <c r="AK353" s="28" t="n"/>
      <c r="AL353" s="65" t="n"/>
      <c r="AM353" s="65" t="n"/>
      <c r="AN353" s="65" t="n"/>
      <c r="AO353" s="65" t="n"/>
      <c r="AP353" s="65" t="n"/>
    </row>
    <row r="354" ht="51.75" customHeight="1" s="222">
      <c r="A354" s="28" t="inlineStr">
        <is>
          <t>STK Steakhouse - Downtown</t>
        </is>
      </c>
      <c r="B354" s="73" t="inlineStr">
        <is>
          <t>Restaurant</t>
        </is>
      </c>
      <c r="C354" s="8" t="n"/>
      <c r="D354" s="28" t="inlineStr">
        <is>
          <t>Pre-open Across the Street from Suns Stadium</t>
        </is>
      </c>
      <c r="E354" s="73" t="inlineStr">
        <is>
          <t>Downtown</t>
        </is>
      </c>
      <c r="F354" s="73" t="n"/>
      <c r="G354" s="205" t="n"/>
      <c r="H354" s="116" t="n"/>
      <c r="I354" s="88" t="n"/>
      <c r="J354" s="28" t="n"/>
      <c r="K354" s="34" t="n"/>
      <c r="L354" s="45" t="n"/>
      <c r="M354" s="65" t="n"/>
      <c r="N354" s="65" t="n"/>
      <c r="O354" s="65" t="n"/>
      <c r="P354" s="65" t="n"/>
      <c r="Q354" s="65" t="n"/>
      <c r="R354" s="65" t="n"/>
      <c r="S354" s="18" t="n"/>
      <c r="T354" s="18" t="n"/>
      <c r="U354" s="30" t="n"/>
      <c r="V354" s="18" t="n"/>
      <c r="W354" s="18" t="n"/>
      <c r="X354" s="18" t="n"/>
      <c r="Y354" s="65" t="n"/>
      <c r="Z354" s="65" t="n"/>
      <c r="AA354" s="28" t="n"/>
      <c r="AB354" s="28" t="n"/>
      <c r="AC354" s="28" t="n"/>
      <c r="AD354" s="28" t="n"/>
      <c r="AE354" s="28" t="n"/>
      <c r="AF354" s="28" t="n"/>
      <c r="AG354" s="28" t="n"/>
      <c r="AH354" s="28" t="n"/>
      <c r="AI354" s="28" t="n"/>
      <c r="AJ354" s="28" t="n"/>
      <c r="AK354" s="28" t="n"/>
      <c r="AL354" s="65" t="n"/>
      <c r="AM354" s="65" t="n"/>
      <c r="AN354" s="65" t="n"/>
      <c r="AO354" s="65" t="n"/>
      <c r="AP354" s="65" t="n"/>
    </row>
    <row r="355" ht="51.75" customHeight="1" s="222">
      <c r="A355" s="28" t="inlineStr">
        <is>
          <t>The Westin Kierland Villas, Scottsdale</t>
        </is>
      </c>
      <c r="B355" s="105" t="inlineStr">
        <is>
          <t>Villas</t>
        </is>
      </c>
      <c r="C355" s="8" t="n"/>
      <c r="D355" s="28" t="inlineStr">
        <is>
          <t>15620 N Clubgate Dr, Scottsdale, AZ 85254</t>
        </is>
      </c>
      <c r="E355" s="105" t="inlineStr">
        <is>
          <t>Scottsdale</t>
        </is>
      </c>
      <c r="F355" s="105" t="n">
        <v>14806241700</v>
      </c>
      <c r="G355" s="20" t="inlineStr">
        <is>
          <t>https://www.marriott.com/en-us/hotels/phxwk-the-westin-kierland-villas-scottsdale/overview/?scid=f2ae0541-1279-4f24-b197-a979c79310b0</t>
        </is>
      </c>
      <c r="H355" s="116" t="n">
        <v>25</v>
      </c>
      <c r="I355" s="88" t="inlineStr">
        <is>
          <t>No Valet</t>
        </is>
      </c>
      <c r="J355" s="28" t="n">
        <v>298</v>
      </c>
      <c r="K355" s="67" t="n">
        <v>0.3</v>
      </c>
      <c r="L355" s="28" t="n">
        <v>10</v>
      </c>
      <c r="M355" s="28" t="n"/>
      <c r="N355" s="93" t="n"/>
      <c r="O355" s="80" t="n"/>
      <c r="P355" s="80" t="n"/>
      <c r="Q355" s="28" t="n"/>
      <c r="R355" s="28" t="n"/>
      <c r="S355" s="18" t="n"/>
      <c r="T355" s="18" t="n"/>
      <c r="U355" s="18" t="n"/>
      <c r="V355" s="82" t="n"/>
      <c r="W355" s="82" t="n"/>
      <c r="X355" s="82" t="n"/>
      <c r="Y355" s="80" t="n"/>
      <c r="Z355" s="80" t="n"/>
      <c r="AA355" s="28" t="n"/>
      <c r="AB355" s="28" t="n"/>
      <c r="AC355" s="28" t="n"/>
      <c r="AD355" s="28" t="n"/>
      <c r="AE355" s="28" t="n"/>
      <c r="AF355" s="28" t="n"/>
      <c r="AG355" s="28" t="n"/>
      <c r="AH355" s="28" t="n"/>
      <c r="AI355" s="28" t="n"/>
      <c r="AJ355" s="28" t="n"/>
      <c r="AK355" s="28" t="n"/>
      <c r="AL355" s="80" t="n"/>
      <c r="AM355" s="93" t="n"/>
      <c r="AN355" s="80" t="n"/>
      <c r="AO355" s="80" t="n"/>
      <c r="AP355" s="80" t="n"/>
    </row>
    <row r="356" ht="51.75" customHeight="1" s="222">
      <c r="A356" s="28" t="inlineStr">
        <is>
          <t>Scottsdale Camelback Resort</t>
        </is>
      </c>
      <c r="B356" s="105" t="inlineStr">
        <is>
          <t>Villas</t>
        </is>
      </c>
      <c r="C356" s="8" t="n"/>
      <c r="D356" s="28" t="inlineStr">
        <is>
          <t>6302 E Camelback Rd, Scottsdale, AZ 85251</t>
        </is>
      </c>
      <c r="E356" s="105" t="inlineStr">
        <is>
          <t>Scottsdale</t>
        </is>
      </c>
      <c r="F356" s="105">
        <f>14809473300</f>
        <v/>
      </c>
      <c r="G356" s="20" t="inlineStr">
        <is>
          <t>http://www.scottsdalecamelback.com/?utm_source=gmb&amp;utm_medium=wix_google_business_profile&amp;utm_campaign=4873867034260296567</t>
        </is>
      </c>
      <c r="H356" s="123" t="n"/>
      <c r="I356" s="93" t="n"/>
      <c r="J356" s="8" t="n">
        <v>111</v>
      </c>
      <c r="K356" s="34" t="n">
        <v>0.38</v>
      </c>
      <c r="L356" s="65" t="n">
        <v>8</v>
      </c>
      <c r="M356" s="28" t="n"/>
      <c r="N356" s="28" t="n"/>
      <c r="O356" s="28" t="n"/>
      <c r="P356" s="28" t="n"/>
      <c r="Q356" s="28" t="n"/>
      <c r="R356" s="28" t="n"/>
      <c r="S356" s="18" t="n"/>
      <c r="T356" s="18" t="n"/>
      <c r="U356" s="30" t="n"/>
      <c r="V356" s="18" t="n"/>
      <c r="W356" s="18" t="n"/>
      <c r="X356" s="18" t="n"/>
      <c r="Y356" s="28" t="n"/>
      <c r="Z356" s="28" t="n"/>
      <c r="AA356" s="28" t="n"/>
      <c r="AB356" s="28" t="n"/>
      <c r="AC356" s="28" t="n"/>
      <c r="AD356" s="28" t="n"/>
      <c r="AE356" s="28" t="n"/>
      <c r="AF356" s="28" t="n"/>
      <c r="AG356" s="28" t="n"/>
      <c r="AH356" s="28" t="n"/>
      <c r="AI356" s="28" t="n"/>
      <c r="AJ356" s="28" t="n"/>
      <c r="AK356" s="28" t="n"/>
      <c r="AL356" s="28" t="n"/>
      <c r="AM356" s="28" t="n"/>
      <c r="AN356" s="28" t="n"/>
      <c r="AO356" s="28" t="n"/>
      <c r="AP356" s="28" t="n"/>
    </row>
    <row r="357" ht="51.75" customHeight="1" s="222">
      <c r="A357" s="28" t="inlineStr">
        <is>
          <t>Events by Sloane</t>
        </is>
      </c>
      <c r="B357" s="73" t="inlineStr">
        <is>
          <t>Wedding Planner</t>
        </is>
      </c>
      <c r="C357" s="8" t="n"/>
      <c r="D357" s="28" t="n"/>
      <c r="E357" s="105" t="n"/>
      <c r="F357" s="105" t="n"/>
      <c r="G357" s="205" t="n"/>
      <c r="H357" s="121" t="n"/>
      <c r="I357" s="88" t="n"/>
      <c r="J357" s="28" t="n"/>
      <c r="K357" s="34" t="n"/>
      <c r="L357" s="45" t="n"/>
      <c r="M357" s="65" t="n"/>
      <c r="N357" s="65" t="n"/>
      <c r="O357" s="65" t="n"/>
      <c r="P357" s="65" t="n"/>
      <c r="Q357" s="65" t="n"/>
      <c r="R357" s="65" t="n"/>
      <c r="S357" s="18" t="n"/>
      <c r="T357" s="39" t="inlineStr">
        <is>
          <t>Shyann Sloane</t>
        </is>
      </c>
      <c r="U357" s="30" t="n"/>
      <c r="V357" s="39" t="inlineStr">
        <is>
          <t>sloane@eventsbysloane.com</t>
        </is>
      </c>
      <c r="W357" s="39" t="n">
        <v>6022141618</v>
      </c>
      <c r="X357" s="18" t="n"/>
      <c r="Y357" s="65" t="n"/>
      <c r="Z357" s="122" t="inlineStr">
        <is>
          <t xml:space="preserve">Sent over info about sophi and she replied saying she is going to hold on to it and make sure to contact us if needed. </t>
        </is>
      </c>
      <c r="AA357" s="28" t="n"/>
      <c r="AB357" s="28" t="n"/>
      <c r="AC357" s="28" t="n"/>
      <c r="AD357" s="28" t="n"/>
      <c r="AE357" s="28" t="n"/>
      <c r="AF357" s="28" t="n"/>
      <c r="AG357" s="28" t="n"/>
      <c r="AH357" s="28" t="n"/>
      <c r="AI357" s="28" t="n"/>
      <c r="AJ357" s="28" t="n"/>
      <c r="AK357" s="28" t="n"/>
      <c r="AL357" s="65" t="n"/>
      <c r="AM357" s="65" t="n"/>
      <c r="AN357" s="65" t="n"/>
      <c r="AO357" s="65" t="n"/>
      <c r="AP357" s="65" t="n"/>
    </row>
    <row r="358" ht="51.75" customHeight="1" s="222">
      <c r="A358" s="28" t="inlineStr">
        <is>
          <t>Cactus Bloom Wedding &amp; Events</t>
        </is>
      </c>
      <c r="B358" s="73" t="inlineStr">
        <is>
          <t>Wedding Planner</t>
        </is>
      </c>
      <c r="C358" s="8" t="n"/>
      <c r="D358" s="28" t="n"/>
      <c r="E358" s="105" t="n"/>
      <c r="F358" s="105" t="n"/>
      <c r="G358" s="205" t="n"/>
      <c r="H358" s="121" t="n"/>
      <c r="I358" s="88" t="n"/>
      <c r="J358" s="28" t="n"/>
      <c r="K358" s="34" t="n"/>
      <c r="L358" s="45" t="n"/>
      <c r="M358" s="65" t="n"/>
      <c r="N358" s="65" t="n"/>
      <c r="O358" s="65" t="n"/>
      <c r="P358" s="65" t="n"/>
      <c r="Q358" s="65" t="n"/>
      <c r="R358" s="65" t="n"/>
      <c r="S358" s="18" t="n"/>
      <c r="T358" s="39" t="inlineStr">
        <is>
          <t xml:space="preserve">Jaycie </t>
        </is>
      </c>
      <c r="U358" s="30" t="n"/>
      <c r="V358" s="39" t="inlineStr">
        <is>
          <t>info@cactusbloomevents.com</t>
        </is>
      </c>
      <c r="W358" s="39" t="n">
        <v>5038582071</v>
      </c>
      <c r="X358" s="18" t="n"/>
      <c r="Y358" s="65" t="n"/>
      <c r="Z358" s="122" t="inlineStr">
        <is>
          <t xml:space="preserve">Sent over info about SOPHI and she will reach out if any events need valet or shuttles </t>
        </is>
      </c>
      <c r="AA358" s="28" t="n"/>
      <c r="AB358" s="28" t="n"/>
      <c r="AC358" s="28" t="n"/>
      <c r="AD358" s="28" t="n"/>
      <c r="AE358" s="28" t="n"/>
      <c r="AF358" s="28" t="n"/>
      <c r="AG358" s="28" t="n"/>
      <c r="AH358" s="28" t="n"/>
      <c r="AI358" s="28" t="n"/>
      <c r="AJ358" s="28" t="n"/>
      <c r="AK358" s="28" t="n"/>
      <c r="AL358" s="65" t="n"/>
      <c r="AM358" s="65" t="n"/>
      <c r="AN358" s="65" t="n"/>
      <c r="AO358" s="65" t="n"/>
      <c r="AP358" s="65" t="n"/>
    </row>
    <row r="359" ht="51.75" customHeight="1" s="222">
      <c r="A359" s="28" t="inlineStr">
        <is>
          <t>Wedding Bel AZ</t>
        </is>
      </c>
      <c r="B359" s="73" t="inlineStr">
        <is>
          <t>Wedding Planner</t>
        </is>
      </c>
      <c r="C359" s="8" t="n"/>
      <c r="D359" s="28" t="n"/>
      <c r="E359" s="105" t="n"/>
      <c r="F359" s="105" t="n"/>
      <c r="G359" s="205" t="n"/>
      <c r="H359" s="121" t="n"/>
      <c r="I359" s="88" t="n"/>
      <c r="J359" s="28" t="n"/>
      <c r="K359" s="34" t="n"/>
      <c r="L359" s="45" t="n"/>
      <c r="M359" s="65" t="n"/>
      <c r="N359" s="65" t="n"/>
      <c r="O359" s="65" t="n"/>
      <c r="P359" s="65" t="n"/>
      <c r="Q359" s="65" t="n"/>
      <c r="R359" s="65" t="n"/>
      <c r="S359" s="18" t="n"/>
      <c r="T359" s="39" t="inlineStr">
        <is>
          <t>Belinda</t>
        </is>
      </c>
      <c r="U359" s="30" t="n"/>
      <c r="V359" s="30" t="n"/>
      <c r="W359" s="39" t="n">
        <v>8437012169</v>
      </c>
      <c r="X359" s="18" t="n"/>
      <c r="Y359" s="65" t="n"/>
      <c r="Z359" s="122" t="inlineStr">
        <is>
          <t>Left Voicemail</t>
        </is>
      </c>
      <c r="AA359" s="28" t="n"/>
      <c r="AB359" s="28" t="n"/>
      <c r="AC359" s="28" t="n"/>
      <c r="AD359" s="28" t="n"/>
      <c r="AE359" s="28" t="n"/>
      <c r="AF359" s="28" t="n"/>
      <c r="AG359" s="28" t="n"/>
      <c r="AH359" s="28" t="n"/>
      <c r="AI359" s="28" t="n"/>
      <c r="AJ359" s="28" t="n"/>
      <c r="AK359" s="28" t="n"/>
      <c r="AL359" s="65" t="n"/>
      <c r="AM359" s="65" t="n"/>
      <c r="AN359" s="65" t="n"/>
      <c r="AO359" s="65" t="n"/>
      <c r="AP359" s="65" t="n"/>
    </row>
    <row r="360" ht="51.75" customHeight="1" s="222">
      <c r="A360" s="28" t="inlineStr">
        <is>
          <t>Un Jour D'Amour Weddings &amp; Events</t>
        </is>
      </c>
      <c r="B360" s="73" t="inlineStr">
        <is>
          <t>Wedding Planner</t>
        </is>
      </c>
      <c r="C360" s="8" t="n"/>
      <c r="D360" s="28" t="n"/>
      <c r="E360" s="105" t="n"/>
      <c r="F360" s="105" t="n"/>
      <c r="G360" s="205" t="n"/>
      <c r="H360" s="121" t="n"/>
      <c r="I360" s="88" t="n"/>
      <c r="J360" s="28" t="n"/>
      <c r="K360" s="34" t="n"/>
      <c r="L360" s="45" t="n"/>
      <c r="M360" s="65" t="n"/>
      <c r="N360" s="65" t="n"/>
      <c r="O360" s="65" t="n"/>
      <c r="P360" s="65" t="n"/>
      <c r="Q360" s="65" t="n"/>
      <c r="R360" s="65" t="n"/>
      <c r="S360" s="18" t="n"/>
      <c r="T360" s="39" t="inlineStr">
        <is>
          <t>Leslie Hernandez</t>
        </is>
      </c>
      <c r="U360" s="30" t="n"/>
      <c r="V360" s="30" t="n"/>
      <c r="W360" s="39" t="n">
        <v>4804252372</v>
      </c>
      <c r="X360" s="18" t="n"/>
      <c r="Y360" s="65" t="n"/>
      <c r="Z360" s="122" t="inlineStr">
        <is>
          <t>Left Voicemail</t>
        </is>
      </c>
      <c r="AA360" s="28" t="n"/>
      <c r="AB360" s="28" t="n"/>
      <c r="AC360" s="28" t="n"/>
      <c r="AD360" s="28" t="n"/>
      <c r="AE360" s="28" t="n"/>
      <c r="AF360" s="28" t="n"/>
      <c r="AG360" s="28" t="n"/>
      <c r="AH360" s="28" t="n"/>
      <c r="AI360" s="28" t="n"/>
      <c r="AJ360" s="28" t="n"/>
      <c r="AK360" s="28" t="n"/>
      <c r="AL360" s="65" t="n"/>
      <c r="AM360" s="65" t="n"/>
      <c r="AN360" s="65" t="n"/>
      <c r="AO360" s="65" t="n"/>
      <c r="AP360" s="65" t="n"/>
    </row>
    <row r="361" ht="51.75" customHeight="1" s="222">
      <c r="A361" s="28" t="inlineStr">
        <is>
          <t>WeddingsbyShaye</t>
        </is>
      </c>
      <c r="B361" s="73" t="inlineStr">
        <is>
          <t>Wedding Planner</t>
        </is>
      </c>
      <c r="C361" s="8" t="n"/>
      <c r="D361" s="28" t="n"/>
      <c r="E361" s="105" t="n"/>
      <c r="F361" s="105" t="n"/>
      <c r="G361" s="205" t="n"/>
      <c r="H361" s="121" t="n"/>
      <c r="I361" s="88" t="n"/>
      <c r="J361" s="28" t="n"/>
      <c r="K361" s="34" t="n"/>
      <c r="L361" s="45" t="n"/>
      <c r="M361" s="65" t="n"/>
      <c r="N361" s="65" t="n"/>
      <c r="O361" s="65" t="n"/>
      <c r="P361" s="65" t="n"/>
      <c r="Q361" s="65" t="n"/>
      <c r="R361" s="65" t="n"/>
      <c r="S361" s="18" t="n"/>
      <c r="T361" s="39" t="inlineStr">
        <is>
          <t>Shaye Thaldorf</t>
        </is>
      </c>
      <c r="U361" s="30" t="n"/>
      <c r="V361" s="39" t="inlineStr">
        <is>
          <t>weddingsbyshaye@gmail.com</t>
        </is>
      </c>
      <c r="W361" s="39" t="n">
        <v>6026185277</v>
      </c>
      <c r="X361" s="18" t="n"/>
      <c r="Y361" s="65" t="n"/>
      <c r="Z361" s="122" t="inlineStr">
        <is>
          <t xml:space="preserve">Sent over info about SOPHI and she will reach out if any events need valet or shuttles </t>
        </is>
      </c>
      <c r="AA361" s="28" t="n"/>
      <c r="AB361" s="28" t="n"/>
      <c r="AC361" s="28" t="n"/>
      <c r="AD361" s="28" t="n"/>
      <c r="AE361" s="28" t="n"/>
      <c r="AF361" s="28" t="n"/>
      <c r="AG361" s="28" t="n"/>
      <c r="AH361" s="28" t="n"/>
      <c r="AI361" s="28" t="n"/>
      <c r="AJ361" s="28" t="n"/>
      <c r="AK361" s="28" t="n"/>
      <c r="AL361" s="65" t="n"/>
      <c r="AM361" s="65" t="n"/>
      <c r="AN361" s="65" t="n"/>
      <c r="AO361" s="65" t="n"/>
      <c r="AP361" s="65" t="n"/>
    </row>
    <row r="362" ht="51.75" customHeight="1" s="222">
      <c r="A362" s="28" t="inlineStr">
        <is>
          <t>Sydney Lema Weddings &amp; Events</t>
        </is>
      </c>
      <c r="B362" s="73" t="inlineStr">
        <is>
          <t>Wedding Planner</t>
        </is>
      </c>
      <c r="C362" s="8" t="n"/>
      <c r="D362" s="28" t="n"/>
      <c r="E362" s="105" t="n"/>
      <c r="F362" s="105" t="n"/>
      <c r="G362" s="205" t="n"/>
      <c r="H362" s="121" t="n"/>
      <c r="I362" s="88" t="n"/>
      <c r="J362" s="28" t="n"/>
      <c r="K362" s="34" t="n"/>
      <c r="L362" s="45" t="n"/>
      <c r="M362" s="65" t="n"/>
      <c r="N362" s="65" t="n"/>
      <c r="O362" s="65" t="n"/>
      <c r="P362" s="65" t="n"/>
      <c r="Q362" s="65" t="n"/>
      <c r="R362" s="65" t="n"/>
      <c r="S362" s="18" t="n"/>
      <c r="T362" s="39" t="inlineStr">
        <is>
          <t>Sydney Lema</t>
        </is>
      </c>
      <c r="U362" s="30" t="n"/>
      <c r="V362" s="30" t="n"/>
      <c r="W362" s="39" t="inlineStr">
        <is>
          <t>435-260-2507</t>
        </is>
      </c>
      <c r="X362" s="18" t="n"/>
      <c r="Y362" s="65" t="n"/>
      <c r="Z362" s="65" t="n"/>
      <c r="AA362" s="28" t="n"/>
      <c r="AB362" s="28" t="n"/>
      <c r="AC362" s="28" t="n"/>
      <c r="AD362" s="28" t="n"/>
      <c r="AE362" s="28" t="n"/>
      <c r="AF362" s="28" t="n"/>
      <c r="AG362" s="28" t="n"/>
      <c r="AH362" s="28" t="n"/>
      <c r="AI362" s="28" t="n"/>
      <c r="AJ362" s="28" t="n"/>
      <c r="AK362" s="28" t="n"/>
      <c r="AL362" s="65" t="n"/>
      <c r="AM362" s="65" t="n"/>
      <c r="AN362" s="65" t="n"/>
      <c r="AO362" s="65" t="n"/>
      <c r="AP362" s="65" t="n"/>
    </row>
    <row r="363" ht="51.75" customHeight="1" s="222">
      <c r="A363" s="28" t="inlineStr">
        <is>
          <t>Riding Tandem</t>
        </is>
      </c>
      <c r="B363" s="73" t="inlineStr">
        <is>
          <t>Wedding Planner</t>
        </is>
      </c>
      <c r="C363" s="8" t="n"/>
      <c r="D363" s="28" t="n"/>
      <c r="E363" s="105" t="n"/>
      <c r="F363" s="105" t="n"/>
      <c r="G363" s="8" t="n"/>
      <c r="H363" s="121" t="n"/>
      <c r="I363" s="88" t="n"/>
      <c r="J363" s="28" t="n"/>
      <c r="K363" s="34" t="n"/>
      <c r="L363" s="45" t="n"/>
      <c r="M363" s="65" t="n"/>
      <c r="N363" s="65" t="n"/>
      <c r="O363" s="65" t="n"/>
      <c r="P363" s="65" t="n"/>
      <c r="Q363" s="65" t="n"/>
      <c r="R363" s="65" t="n"/>
      <c r="S363" s="18" t="n"/>
      <c r="T363" s="39" t="inlineStr">
        <is>
          <t>Kaitlyn Graf</t>
        </is>
      </c>
      <c r="U363" s="30" t="n"/>
      <c r="V363" s="30" t="n"/>
      <c r="W363" s="39" t="n">
        <v>4068550012</v>
      </c>
      <c r="X363" s="18" t="n"/>
      <c r="Y363" s="65" t="n"/>
      <c r="Z363" s="65" t="n"/>
      <c r="AA363" s="28" t="n"/>
      <c r="AB363" s="28" t="n"/>
      <c r="AC363" s="28" t="n"/>
      <c r="AD363" s="28" t="n"/>
      <c r="AE363" s="28" t="n"/>
      <c r="AF363" s="28" t="n"/>
      <c r="AG363" s="28" t="n"/>
      <c r="AH363" s="28" t="n"/>
      <c r="AI363" s="28" t="n"/>
      <c r="AJ363" s="28" t="n"/>
      <c r="AK363" s="28" t="n"/>
      <c r="AL363" s="65" t="n"/>
      <c r="AM363" s="65" t="n"/>
      <c r="AN363" s="65" t="n"/>
      <c r="AO363" s="65" t="n"/>
      <c r="AP363" s="65" t="n"/>
    </row>
    <row r="364" ht="51.75" customHeight="1" s="222">
      <c r="A364" s="28" t="inlineStr">
        <is>
          <t>K Marie Weddings</t>
        </is>
      </c>
      <c r="B364" s="73" t="inlineStr">
        <is>
          <t>Wedding Planner</t>
        </is>
      </c>
      <c r="C364" s="8" t="n"/>
      <c r="D364" s="28" t="n"/>
      <c r="E364" s="105" t="n"/>
      <c r="F364" s="105" t="n"/>
      <c r="G364" s="205" t="n"/>
      <c r="H364" s="121" t="n"/>
      <c r="I364" s="88" t="n"/>
      <c r="J364" s="28" t="n"/>
      <c r="K364" s="34" t="n"/>
      <c r="L364" s="45" t="n"/>
      <c r="M364" s="65" t="n"/>
      <c r="N364" s="65" t="n"/>
      <c r="O364" s="65" t="n"/>
      <c r="P364" s="65" t="n"/>
      <c r="Q364" s="65" t="n"/>
      <c r="R364" s="65" t="n"/>
      <c r="S364" s="18" t="n"/>
      <c r="T364" s="39" t="inlineStr">
        <is>
          <t>Kylie Wallace</t>
        </is>
      </c>
      <c r="U364" s="30" t="n"/>
      <c r="V364" s="39" t="inlineStr">
        <is>
          <t>kmarieweddings@gmail.com</t>
        </is>
      </c>
      <c r="W364" s="18" t="n"/>
      <c r="X364" s="18" t="n"/>
      <c r="Y364" s="65" t="n"/>
      <c r="Z364" s="65" t="n"/>
      <c r="AA364" s="28" t="n"/>
      <c r="AB364" s="28" t="n"/>
      <c r="AC364" s="28" t="n"/>
      <c r="AD364" s="28" t="n"/>
      <c r="AE364" s="28" t="n"/>
      <c r="AF364" s="28" t="n"/>
      <c r="AG364" s="28" t="n"/>
      <c r="AH364" s="28" t="n"/>
      <c r="AI364" s="28" t="n"/>
      <c r="AJ364" s="28" t="n"/>
      <c r="AK364" s="28" t="n"/>
      <c r="AL364" s="65" t="n"/>
      <c r="AM364" s="65" t="n"/>
      <c r="AN364" s="65" t="n"/>
      <c r="AO364" s="65" t="n"/>
      <c r="AP364" s="65" t="n"/>
    </row>
    <row r="365" ht="51.75" customHeight="1" s="222">
      <c r="A365" s="28" t="inlineStr">
        <is>
          <t>Beatriz Events</t>
        </is>
      </c>
      <c r="B365" s="73" t="inlineStr">
        <is>
          <t>Wedding Planner</t>
        </is>
      </c>
      <c r="C365" s="8" t="n"/>
      <c r="D365" s="28" t="n"/>
      <c r="E365" s="105" t="n"/>
      <c r="F365" s="105" t="n"/>
      <c r="G365" s="205" t="n"/>
      <c r="H365" s="121" t="n"/>
      <c r="I365" s="88" t="n"/>
      <c r="J365" s="28" t="n"/>
      <c r="K365" s="34" t="n"/>
      <c r="L365" s="45" t="n"/>
      <c r="M365" s="65" t="n"/>
      <c r="N365" s="65" t="n"/>
      <c r="O365" s="65" t="n"/>
      <c r="P365" s="65" t="n"/>
      <c r="Q365" s="65" t="n"/>
      <c r="R365" s="65" t="n"/>
      <c r="S365" s="18" t="n"/>
      <c r="T365" s="39" t="inlineStr">
        <is>
          <t>Beatriz Adame</t>
        </is>
      </c>
      <c r="U365" s="30" t="n"/>
      <c r="V365" s="30" t="n"/>
      <c r="W365" s="39" t="n">
        <v>9092470467</v>
      </c>
      <c r="X365" s="18" t="n"/>
      <c r="Y365" s="65" t="n"/>
      <c r="Z365" s="65" t="n"/>
      <c r="AA365" s="28" t="n"/>
      <c r="AB365" s="28" t="n"/>
      <c r="AC365" s="28" t="n"/>
      <c r="AD365" s="28" t="n"/>
      <c r="AE365" s="28" t="n"/>
      <c r="AF365" s="28" t="n"/>
      <c r="AG365" s="28" t="n"/>
      <c r="AH365" s="28" t="n"/>
      <c r="AI365" s="28" t="n"/>
      <c r="AJ365" s="28" t="n"/>
      <c r="AK365" s="28" t="n"/>
      <c r="AL365" s="65" t="n"/>
      <c r="AM365" s="65" t="n"/>
      <c r="AN365" s="65" t="n"/>
      <c r="AO365" s="65" t="n"/>
      <c r="AP365" s="65" t="n"/>
    </row>
    <row r="366" ht="51.75" customHeight="1" s="222">
      <c r="A366" s="36" t="n"/>
      <c r="B366" s="73" t="n"/>
      <c r="C366" s="8" t="n"/>
      <c r="D366" s="28" t="n"/>
      <c r="E366" s="105" t="n"/>
      <c r="F366" s="105" t="n"/>
      <c r="G366" s="205" t="n"/>
      <c r="H366" s="123" t="n"/>
      <c r="I366" s="88" t="n"/>
      <c r="J366" s="28" t="n"/>
      <c r="K366" s="34" t="n"/>
      <c r="L366" s="45" t="n"/>
      <c r="M366" s="65" t="n"/>
      <c r="N366" s="65" t="n"/>
      <c r="O366" s="65" t="n"/>
      <c r="P366" s="65" t="n"/>
      <c r="Q366" s="65" t="n"/>
      <c r="R366" s="49" t="n"/>
      <c r="S366" s="18" t="n"/>
      <c r="T366" s="18" t="n"/>
      <c r="U366" s="30" t="n"/>
      <c r="V366" s="18" t="n"/>
      <c r="W366" s="18" t="n"/>
      <c r="X366" s="18" t="n"/>
      <c r="Y366" s="65" t="n"/>
      <c r="Z366" s="65" t="n"/>
      <c r="AA366" s="28" t="n"/>
      <c r="AB366" s="28" t="n"/>
      <c r="AC366" s="28" t="n"/>
      <c r="AD366" s="28" t="n"/>
      <c r="AE366" s="28" t="n"/>
      <c r="AF366" s="28" t="n"/>
      <c r="AG366" s="28" t="n"/>
      <c r="AH366" s="28" t="n"/>
      <c r="AI366" s="28" t="n"/>
      <c r="AJ366" s="28" t="n"/>
      <c r="AK366" s="28" t="n"/>
      <c r="AL366" s="65" t="n"/>
      <c r="AM366" s="65" t="n"/>
      <c r="AN366" s="65" t="n"/>
      <c r="AO366" s="65" t="n"/>
      <c r="AP366" s="65" t="n"/>
    </row>
    <row r="367" ht="51.75" customHeight="1" s="222">
      <c r="A367" s="36" t="n"/>
      <c r="B367" s="73" t="n"/>
      <c r="C367" s="8" t="n"/>
      <c r="D367" s="28" t="n"/>
      <c r="E367" s="105" t="n"/>
      <c r="F367" s="105" t="n"/>
      <c r="G367" s="205" t="n"/>
      <c r="H367" s="123" t="n"/>
      <c r="I367" s="88" t="n"/>
      <c r="J367" s="28" t="n"/>
      <c r="K367" s="34" t="n"/>
      <c r="L367" s="45" t="n"/>
      <c r="M367" s="65" t="n"/>
      <c r="N367" s="65" t="n"/>
      <c r="O367" s="65" t="n"/>
      <c r="P367" s="65" t="n"/>
      <c r="Q367" s="65" t="n"/>
      <c r="R367" s="49" t="n"/>
      <c r="S367" s="18" t="n"/>
      <c r="T367" s="18" t="n"/>
      <c r="U367" s="30" t="n"/>
      <c r="V367" s="18" t="n"/>
      <c r="W367" s="18" t="n"/>
      <c r="X367" s="18" t="n"/>
      <c r="Y367" s="65" t="n"/>
      <c r="Z367" s="65" t="n"/>
      <c r="AA367" s="28" t="n"/>
      <c r="AB367" s="28" t="n"/>
      <c r="AC367" s="28" t="n"/>
      <c r="AD367" s="28" t="n"/>
      <c r="AE367" s="28" t="n"/>
      <c r="AF367" s="28" t="n"/>
      <c r="AG367" s="28" t="n"/>
      <c r="AH367" s="28" t="n"/>
      <c r="AI367" s="28" t="n"/>
      <c r="AJ367" s="28" t="n"/>
      <c r="AK367" s="28" t="n"/>
      <c r="AL367" s="65" t="n"/>
      <c r="AM367" s="65" t="n"/>
      <c r="AN367" s="65" t="n"/>
      <c r="AO367" s="65" t="n"/>
      <c r="AP367" s="65" t="n"/>
    </row>
    <row r="368" ht="51.75" customHeight="1" s="222">
      <c r="A368" s="28" t="inlineStr">
        <is>
          <t>Perry's Steakhouse</t>
        </is>
      </c>
      <c r="B368" s="73" t="inlineStr">
        <is>
          <t>Restaurant</t>
        </is>
      </c>
      <c r="C368" s="8" t="n"/>
      <c r="D368" s="28" t="inlineStr">
        <is>
          <t>Pre Open - Gilbert</t>
        </is>
      </c>
      <c r="E368" s="73" t="inlineStr">
        <is>
          <t>Gilbert</t>
        </is>
      </c>
      <c r="F368" s="73" t="n"/>
      <c r="G368" s="205" t="n"/>
      <c r="H368" s="116" t="n"/>
      <c r="I368" s="88" t="n"/>
      <c r="J368" s="28" t="n"/>
      <c r="K368" s="34" t="n"/>
      <c r="L368" s="45" t="n"/>
      <c r="M368" s="65" t="n"/>
      <c r="N368" s="65" t="n"/>
      <c r="O368" s="65" t="n"/>
      <c r="P368" s="65" t="n"/>
      <c r="Q368" s="65" t="n"/>
      <c r="R368" s="65" t="n"/>
      <c r="S368" s="18" t="n"/>
      <c r="T368" s="18" t="n"/>
      <c r="U368" s="30" t="n"/>
      <c r="V368" s="18" t="n"/>
      <c r="W368" s="18" t="n"/>
      <c r="X368" s="18" t="n"/>
      <c r="Y368" s="65" t="n"/>
      <c r="Z368" s="65" t="n"/>
      <c r="AA368" s="28" t="n"/>
      <c r="AB368" s="28" t="n"/>
      <c r="AC368" s="28" t="n"/>
      <c r="AD368" s="28" t="n"/>
      <c r="AE368" s="28" t="n"/>
      <c r="AF368" s="28" t="n"/>
      <c r="AG368" s="28" t="n"/>
      <c r="AH368" s="28" t="n"/>
      <c r="AI368" s="28" t="n"/>
      <c r="AJ368" s="28" t="n"/>
      <c r="AK368" s="28" t="n"/>
      <c r="AL368" s="65" t="n"/>
      <c r="AM368" s="65" t="n"/>
      <c r="AN368" s="65" t="n"/>
      <c r="AO368" s="65" t="n"/>
      <c r="AP368" s="65" t="n"/>
    </row>
    <row r="369" ht="51.75" customHeight="1" s="222">
      <c r="A369" s="28" t="n"/>
      <c r="B369" s="73" t="n"/>
      <c r="C369" s="8" t="n"/>
      <c r="D369" s="28" t="n"/>
      <c r="E369" s="73" t="n"/>
      <c r="F369" s="73" t="n"/>
      <c r="G369" s="205" t="n"/>
      <c r="H369" s="116" t="n"/>
      <c r="I369" s="88" t="n"/>
      <c r="J369" s="28" t="n"/>
      <c r="K369" s="34" t="n"/>
      <c r="L369" s="45" t="n"/>
      <c r="M369" s="65" t="n"/>
      <c r="N369" s="65" t="n"/>
      <c r="O369" s="65" t="n"/>
      <c r="P369" s="65" t="n"/>
      <c r="Q369" s="65" t="n"/>
      <c r="R369" s="65" t="n"/>
      <c r="S369" s="18" t="n"/>
      <c r="T369" s="18" t="n"/>
      <c r="U369" s="30" t="n"/>
      <c r="V369" s="18" t="n"/>
      <c r="W369" s="18" t="n"/>
      <c r="X369" s="18" t="n"/>
      <c r="Y369" s="65" t="n"/>
      <c r="Z369" s="65" t="n"/>
      <c r="AA369" s="28" t="n"/>
      <c r="AB369" s="28" t="n"/>
      <c r="AC369" s="28" t="n"/>
      <c r="AD369" s="28" t="n"/>
      <c r="AE369" s="28" t="n"/>
      <c r="AF369" s="28" t="n"/>
      <c r="AG369" s="28" t="n"/>
      <c r="AH369" s="28" t="n"/>
      <c r="AI369" s="28" t="n"/>
      <c r="AJ369" s="28" t="n"/>
      <c r="AK369" s="28" t="n"/>
      <c r="AL369" s="65" t="n"/>
      <c r="AM369" s="65" t="n"/>
      <c r="AN369" s="65" t="n"/>
      <c r="AO369" s="65" t="n"/>
      <c r="AP369" s="65" t="n"/>
    </row>
    <row r="370" ht="51.75" customHeight="1" s="222">
      <c r="A370" s="28" t="n"/>
      <c r="B370" s="73" t="n"/>
      <c r="C370" s="8" t="n"/>
      <c r="D370" s="28" t="n"/>
      <c r="E370" s="73" t="n"/>
      <c r="F370" s="73" t="n"/>
      <c r="G370" s="205" t="n"/>
      <c r="H370" s="116" t="n"/>
      <c r="I370" s="88" t="n"/>
      <c r="J370" s="28" t="n"/>
      <c r="K370" s="34" t="n"/>
      <c r="L370" s="45" t="n"/>
      <c r="M370" s="65" t="n"/>
      <c r="N370" s="65" t="n"/>
      <c r="O370" s="65" t="n"/>
      <c r="P370" s="65" t="n"/>
      <c r="Q370" s="65" t="n"/>
      <c r="R370" s="65" t="n"/>
      <c r="S370" s="18" t="n"/>
      <c r="T370" s="18" t="n"/>
      <c r="U370" s="30" t="n"/>
      <c r="V370" s="18" t="n"/>
      <c r="W370" s="18" t="n"/>
      <c r="X370" s="18" t="n"/>
      <c r="Y370" s="65" t="n"/>
      <c r="Z370" s="65" t="n"/>
      <c r="AA370" s="28" t="n"/>
      <c r="AB370" s="28" t="n"/>
      <c r="AC370" s="28" t="n"/>
      <c r="AD370" s="28" t="n"/>
      <c r="AE370" s="28" t="n"/>
      <c r="AF370" s="28" t="n"/>
      <c r="AG370" s="28" t="n"/>
      <c r="AH370" s="28" t="n"/>
      <c r="AI370" s="28" t="n"/>
      <c r="AJ370" s="28" t="n"/>
      <c r="AK370" s="28" t="n"/>
      <c r="AL370" s="65" t="n"/>
      <c r="AM370" s="65" t="n"/>
      <c r="AN370" s="65" t="n"/>
      <c r="AO370" s="65" t="n"/>
      <c r="AP370" s="65" t="n"/>
    </row>
    <row r="371" ht="51.75" customHeight="1" s="222">
      <c r="A371" s="28" t="n"/>
      <c r="B371" s="73" t="n"/>
      <c r="C371" s="8" t="n"/>
      <c r="D371" s="28" t="n"/>
      <c r="E371" s="73" t="n"/>
      <c r="F371" s="73" t="n"/>
      <c r="G371" s="205" t="n"/>
      <c r="H371" s="116" t="n"/>
      <c r="I371" s="88" t="n"/>
      <c r="J371" s="28" t="n"/>
      <c r="K371" s="34" t="n"/>
      <c r="L371" s="45" t="n"/>
      <c r="M371" s="65" t="n"/>
      <c r="N371" s="65" t="n"/>
      <c r="O371" s="65" t="n"/>
      <c r="P371" s="65" t="n"/>
      <c r="Q371" s="65" t="n"/>
      <c r="R371" s="65" t="n"/>
      <c r="S371" s="18" t="n"/>
      <c r="T371" s="18" t="n"/>
      <c r="U371" s="30" t="n"/>
      <c r="V371" s="18" t="n"/>
      <c r="W371" s="18" t="n"/>
      <c r="X371" s="18" t="n"/>
      <c r="Y371" s="65" t="n"/>
      <c r="Z371" s="65" t="n"/>
      <c r="AA371" s="28" t="n"/>
      <c r="AB371" s="28" t="n"/>
      <c r="AC371" s="28" t="n"/>
      <c r="AD371" s="28" t="n"/>
      <c r="AE371" s="28" t="n"/>
      <c r="AF371" s="28" t="n"/>
      <c r="AG371" s="28" t="n"/>
      <c r="AH371" s="28" t="n"/>
      <c r="AI371" s="28" t="n"/>
      <c r="AJ371" s="28" t="n"/>
      <c r="AK371" s="28" t="n"/>
      <c r="AL371" s="65" t="n"/>
      <c r="AM371" s="65" t="n"/>
      <c r="AN371" s="65" t="n"/>
      <c r="AO371" s="65" t="n"/>
      <c r="AP371" s="65" t="n"/>
    </row>
    <row r="372" ht="51.75" customHeight="1" s="222">
      <c r="A372" s="28" t="n"/>
      <c r="B372" s="73" t="n"/>
      <c r="C372" s="8" t="n"/>
      <c r="D372" s="28" t="n"/>
      <c r="E372" s="73" t="n"/>
      <c r="F372" s="73" t="n"/>
      <c r="G372" s="205" t="n"/>
      <c r="H372" s="116" t="n"/>
      <c r="I372" s="88" t="n"/>
      <c r="J372" s="28" t="n"/>
      <c r="K372" s="34" t="n"/>
      <c r="L372" s="45" t="n"/>
      <c r="M372" s="65" t="n"/>
      <c r="N372" s="65" t="n"/>
      <c r="O372" s="65" t="n"/>
      <c r="P372" s="65" t="n"/>
      <c r="Q372" s="65" t="n"/>
      <c r="R372" s="65" t="n"/>
      <c r="S372" s="18" t="n"/>
      <c r="T372" s="18" t="n"/>
      <c r="U372" s="30" t="n"/>
      <c r="V372" s="18" t="n"/>
      <c r="W372" s="18" t="n"/>
      <c r="X372" s="18" t="n"/>
      <c r="Y372" s="65" t="n"/>
      <c r="Z372" s="65" t="n"/>
      <c r="AA372" s="28" t="n"/>
      <c r="AB372" s="28" t="n"/>
      <c r="AC372" s="28" t="n"/>
      <c r="AD372" s="28" t="n"/>
      <c r="AE372" s="28" t="n"/>
      <c r="AF372" s="28" t="n"/>
      <c r="AG372" s="28" t="n"/>
      <c r="AH372" s="28" t="n"/>
      <c r="AI372" s="28" t="n"/>
      <c r="AJ372" s="28" t="n"/>
      <c r="AK372" s="28" t="n"/>
      <c r="AL372" s="65" t="n"/>
      <c r="AM372" s="65" t="n"/>
      <c r="AN372" s="65" t="n"/>
      <c r="AO372" s="65" t="n"/>
      <c r="AP372" s="65" t="n"/>
    </row>
    <row r="373" ht="51.75" customHeight="1" s="222">
      <c r="A373" s="28" t="n"/>
      <c r="B373" s="73" t="n"/>
      <c r="C373" s="8" t="n"/>
      <c r="D373" s="28" t="n"/>
      <c r="E373" s="73" t="n"/>
      <c r="F373" s="73" t="n"/>
      <c r="G373" s="205" t="n"/>
      <c r="H373" s="116" t="n"/>
      <c r="I373" s="88" t="n"/>
      <c r="J373" s="28" t="n"/>
      <c r="K373" s="34" t="n"/>
      <c r="L373" s="45" t="n"/>
      <c r="M373" s="65" t="n"/>
      <c r="N373" s="65" t="n"/>
      <c r="O373" s="65" t="n"/>
      <c r="P373" s="65" t="n"/>
      <c r="Q373" s="65" t="n"/>
      <c r="R373" s="65" t="n"/>
      <c r="S373" s="18" t="n"/>
      <c r="T373" s="18" t="n"/>
      <c r="U373" s="30" t="n"/>
      <c r="V373" s="18" t="n"/>
      <c r="W373" s="18" t="n"/>
      <c r="X373" s="18" t="n"/>
      <c r="Y373" s="65" t="n"/>
      <c r="Z373" s="65" t="n"/>
      <c r="AA373" s="28" t="n"/>
      <c r="AB373" s="28" t="n"/>
      <c r="AC373" s="28" t="n"/>
      <c r="AD373" s="28" t="n"/>
      <c r="AE373" s="28" t="n"/>
      <c r="AF373" s="28" t="n"/>
      <c r="AG373" s="28" t="n"/>
      <c r="AH373" s="28" t="n"/>
      <c r="AI373" s="28" t="n"/>
      <c r="AJ373" s="28" t="n"/>
      <c r="AK373" s="28" t="n"/>
      <c r="AL373" s="65" t="n"/>
      <c r="AM373" s="65" t="n"/>
      <c r="AN373" s="65" t="n"/>
      <c r="AO373" s="65" t="n"/>
      <c r="AP373" s="65" t="n"/>
    </row>
    <row r="374" ht="51.75" customHeight="1" s="222">
      <c r="A374" s="73" t="n"/>
      <c r="B374" s="73" t="n"/>
      <c r="C374" s="105" t="n"/>
      <c r="D374" s="28" t="n"/>
      <c r="E374" s="73" t="n"/>
      <c r="F374" s="73" t="n"/>
      <c r="G374" s="205" t="n"/>
      <c r="H374" s="116" t="n"/>
      <c r="I374" s="88" t="n"/>
      <c r="J374" s="28" t="n"/>
      <c r="K374" s="34" t="n"/>
      <c r="L374" s="45" t="n"/>
      <c r="M374" s="65" t="n"/>
      <c r="N374" s="65" t="n"/>
      <c r="O374" s="65" t="n"/>
      <c r="P374" s="65" t="n"/>
      <c r="Q374" s="65" t="n"/>
      <c r="R374" s="65" t="n"/>
      <c r="S374" s="18" t="n"/>
      <c r="T374" s="18" t="n"/>
      <c r="U374" s="30" t="n"/>
      <c r="V374" s="18" t="n"/>
      <c r="W374" s="18" t="n"/>
      <c r="X374" s="18" t="n"/>
      <c r="Y374" s="65" t="n"/>
      <c r="Z374" s="65" t="n"/>
      <c r="AA374" s="28" t="n"/>
      <c r="AB374" s="28" t="n"/>
      <c r="AC374" s="28" t="n"/>
      <c r="AD374" s="28" t="n"/>
      <c r="AE374" s="28" t="n"/>
      <c r="AF374" s="28" t="n"/>
      <c r="AG374" s="28" t="n"/>
      <c r="AH374" s="28" t="n"/>
      <c r="AI374" s="28" t="n"/>
      <c r="AJ374" s="28" t="n"/>
      <c r="AK374" s="28" t="n"/>
      <c r="AL374" s="65" t="n"/>
      <c r="AM374" s="65" t="n"/>
      <c r="AN374" s="65" t="n"/>
      <c r="AO374" s="65" t="n"/>
      <c r="AP374" s="65" t="n"/>
    </row>
    <row r="375" ht="51.75" customHeight="1" s="222">
      <c r="A375" s="73" t="n"/>
      <c r="B375" s="73" t="n"/>
      <c r="C375" s="105" t="n"/>
      <c r="D375" s="28" t="n"/>
      <c r="E375" s="73" t="n"/>
      <c r="F375" s="73" t="n"/>
      <c r="G375" s="205" t="n"/>
      <c r="H375" s="116" t="n"/>
      <c r="I375" s="88" t="n"/>
      <c r="J375" s="28" t="n"/>
      <c r="K375" s="34" t="n"/>
      <c r="L375" s="45" t="n"/>
      <c r="M375" s="65" t="n"/>
      <c r="N375" s="65" t="n"/>
      <c r="O375" s="65" t="n"/>
      <c r="P375" s="65" t="n"/>
      <c r="Q375" s="65" t="n"/>
      <c r="R375" s="65" t="n"/>
      <c r="S375" s="18" t="n"/>
      <c r="T375" s="18" t="n"/>
      <c r="U375" s="30" t="n"/>
      <c r="V375" s="18" t="n"/>
      <c r="W375" s="18" t="n"/>
      <c r="X375" s="18" t="n"/>
      <c r="Y375" s="65" t="n"/>
      <c r="Z375" s="65" t="n"/>
      <c r="AA375" s="28" t="n"/>
      <c r="AB375" s="28" t="n"/>
      <c r="AC375" s="28" t="n"/>
      <c r="AD375" s="28" t="n"/>
      <c r="AE375" s="28" t="n"/>
      <c r="AF375" s="28" t="n"/>
      <c r="AG375" s="28" t="n"/>
      <c r="AH375" s="28" t="n"/>
      <c r="AI375" s="28" t="n"/>
      <c r="AJ375" s="28" t="n"/>
      <c r="AK375" s="28" t="n"/>
      <c r="AL375" s="65" t="n"/>
      <c r="AM375" s="65" t="n"/>
      <c r="AN375" s="65" t="n"/>
      <c r="AO375" s="65" t="n"/>
      <c r="AP375" s="65" t="n"/>
    </row>
    <row r="376" ht="51.75" customHeight="1" s="222">
      <c r="A376" s="73" t="n"/>
      <c r="B376" s="73" t="n"/>
      <c r="C376" s="105" t="n"/>
      <c r="D376" s="28" t="n"/>
      <c r="E376" s="73" t="n"/>
      <c r="F376" s="73" t="n"/>
      <c r="G376" s="205" t="n"/>
      <c r="H376" s="116" t="n"/>
      <c r="I376" s="88" t="n"/>
      <c r="J376" s="28" t="n"/>
      <c r="K376" s="34" t="n"/>
      <c r="L376" s="45" t="n"/>
      <c r="M376" s="65" t="n"/>
      <c r="N376" s="65" t="n"/>
      <c r="O376" s="65" t="n"/>
      <c r="P376" s="65" t="n"/>
      <c r="Q376" s="65" t="n"/>
      <c r="R376" s="65" t="n"/>
      <c r="S376" s="18" t="n"/>
      <c r="T376" s="18" t="n"/>
      <c r="U376" s="30" t="n"/>
      <c r="V376" s="18" t="n"/>
      <c r="W376" s="18" t="n"/>
      <c r="X376" s="18" t="n"/>
      <c r="Y376" s="65" t="n"/>
      <c r="Z376" s="65" t="n"/>
      <c r="AA376" s="28" t="n"/>
      <c r="AB376" s="28" t="n"/>
      <c r="AC376" s="28" t="n"/>
      <c r="AD376" s="28" t="n"/>
      <c r="AE376" s="28" t="n"/>
      <c r="AF376" s="28" t="n"/>
      <c r="AG376" s="28" t="n"/>
      <c r="AH376" s="28" t="n"/>
      <c r="AI376" s="28" t="n"/>
      <c r="AJ376" s="28" t="n"/>
      <c r="AK376" s="28" t="n"/>
      <c r="AL376" s="65" t="n"/>
      <c r="AM376" s="65" t="n"/>
      <c r="AN376" s="65" t="n"/>
      <c r="AO376" s="65" t="n"/>
      <c r="AP376" s="65" t="n"/>
    </row>
    <row r="377" ht="51.75" customHeight="1" s="222">
      <c r="A377" s="73" t="n"/>
      <c r="B377" s="73" t="n"/>
      <c r="C377" s="105" t="n"/>
      <c r="D377" s="28" t="n"/>
      <c r="E377" s="73" t="n"/>
      <c r="F377" s="73" t="n"/>
      <c r="G377" s="205" t="n"/>
      <c r="H377" s="116" t="n"/>
      <c r="I377" s="88" t="n"/>
      <c r="J377" s="28" t="n"/>
      <c r="K377" s="34" t="n"/>
      <c r="L377" s="45" t="n"/>
      <c r="M377" s="65" t="n"/>
      <c r="N377" s="65" t="n"/>
      <c r="O377" s="65" t="n"/>
      <c r="P377" s="65" t="n"/>
      <c r="Q377" s="65" t="n"/>
      <c r="R377" s="65" t="n"/>
      <c r="S377" s="18" t="n"/>
      <c r="T377" s="18" t="n"/>
      <c r="U377" s="30" t="n"/>
      <c r="V377" s="18" t="n"/>
      <c r="W377" s="18" t="n"/>
      <c r="X377" s="18" t="n"/>
      <c r="Y377" s="65" t="n"/>
      <c r="Z377" s="65" t="n"/>
      <c r="AA377" s="28" t="n"/>
      <c r="AB377" s="28" t="n"/>
      <c r="AC377" s="28" t="n"/>
      <c r="AD377" s="28" t="n"/>
      <c r="AE377" s="28" t="n"/>
      <c r="AF377" s="28" t="n"/>
      <c r="AG377" s="28" t="n"/>
      <c r="AH377" s="28" t="n"/>
      <c r="AI377" s="28" t="n"/>
      <c r="AJ377" s="28" t="n"/>
      <c r="AK377" s="28" t="n"/>
      <c r="AL377" s="65" t="n"/>
      <c r="AM377" s="65" t="n"/>
      <c r="AN377" s="65" t="n"/>
      <c r="AO377" s="65" t="n"/>
      <c r="AP377" s="65" t="n"/>
    </row>
    <row r="378" ht="51.75" customHeight="1" s="222">
      <c r="A378" s="73" t="n"/>
      <c r="B378" s="73" t="n"/>
      <c r="C378" s="105" t="n"/>
      <c r="D378" s="28" t="n"/>
      <c r="E378" s="73" t="n"/>
      <c r="F378" s="73" t="n"/>
      <c r="G378" s="205" t="n"/>
      <c r="H378" s="116" t="n"/>
      <c r="I378" s="88" t="n"/>
      <c r="J378" s="28" t="n"/>
      <c r="K378" s="34" t="n"/>
      <c r="L378" s="45" t="n"/>
      <c r="M378" s="65" t="n"/>
      <c r="N378" s="65" t="n"/>
      <c r="O378" s="65" t="n"/>
      <c r="P378" s="65" t="n"/>
      <c r="Q378" s="65" t="n"/>
      <c r="R378" s="65" t="n"/>
      <c r="S378" s="18" t="n"/>
      <c r="T378" s="18" t="n"/>
      <c r="U378" s="30" t="n"/>
      <c r="V378" s="18" t="n"/>
      <c r="W378" s="18" t="n"/>
      <c r="X378" s="18" t="n"/>
      <c r="Y378" s="65" t="n"/>
      <c r="Z378" s="65" t="n"/>
      <c r="AA378" s="28" t="n"/>
      <c r="AB378" s="28" t="n"/>
      <c r="AC378" s="28" t="n"/>
      <c r="AD378" s="28" t="n"/>
      <c r="AE378" s="28" t="n"/>
      <c r="AF378" s="28" t="n"/>
      <c r="AG378" s="28" t="n"/>
      <c r="AH378" s="28" t="n"/>
      <c r="AI378" s="28" t="n"/>
      <c r="AJ378" s="28" t="n"/>
      <c r="AK378" s="28" t="n"/>
      <c r="AL378" s="65" t="n"/>
      <c r="AM378" s="65" t="n"/>
      <c r="AN378" s="65" t="n"/>
      <c r="AO378" s="65" t="n"/>
      <c r="AP378" s="65" t="n"/>
    </row>
    <row r="379" ht="51.75" customHeight="1" s="222">
      <c r="A379" s="73" t="n"/>
      <c r="B379" s="73" t="n"/>
      <c r="C379" s="105" t="n"/>
      <c r="D379" s="28" t="n"/>
      <c r="E379" s="73" t="n"/>
      <c r="F379" s="73" t="n"/>
      <c r="G379" s="205" t="n"/>
      <c r="H379" s="116" t="n"/>
      <c r="I379" s="88" t="n"/>
      <c r="J379" s="28" t="n"/>
      <c r="K379" s="34" t="n"/>
      <c r="L379" s="45" t="n"/>
      <c r="M379" s="65" t="n"/>
      <c r="N379" s="65" t="n"/>
      <c r="O379" s="65" t="n"/>
      <c r="P379" s="65" t="n"/>
      <c r="Q379" s="65" t="n"/>
      <c r="R379" s="65" t="n"/>
      <c r="S379" s="18" t="n"/>
      <c r="T379" s="18" t="n"/>
      <c r="U379" s="30" t="n"/>
      <c r="V379" s="18" t="n"/>
      <c r="W379" s="18" t="n"/>
      <c r="X379" s="18" t="n"/>
      <c r="Y379" s="65" t="n"/>
      <c r="Z379" s="65" t="n"/>
      <c r="AA379" s="28" t="n"/>
      <c r="AB379" s="28" t="n"/>
      <c r="AC379" s="28" t="n"/>
      <c r="AD379" s="28" t="n"/>
      <c r="AE379" s="28" t="n"/>
      <c r="AF379" s="28" t="n"/>
      <c r="AG379" s="28" t="n"/>
      <c r="AH379" s="28" t="n"/>
      <c r="AI379" s="28" t="n"/>
      <c r="AJ379" s="28" t="n"/>
      <c r="AK379" s="28" t="n"/>
      <c r="AL379" s="65" t="n"/>
      <c r="AM379" s="65" t="n"/>
      <c r="AN379" s="65" t="n"/>
      <c r="AO379" s="65" t="n"/>
      <c r="AP379" s="65" t="n"/>
    </row>
    <row r="380" ht="51.75" customHeight="1" s="222">
      <c r="A380" s="73" t="n"/>
      <c r="B380" s="73" t="n"/>
      <c r="C380" s="105" t="n"/>
      <c r="D380" s="28" t="n"/>
      <c r="E380" s="73" t="n"/>
      <c r="F380" s="73" t="n"/>
      <c r="G380" s="205" t="n"/>
      <c r="H380" s="116" t="n"/>
      <c r="I380" s="88" t="n"/>
      <c r="J380" s="28" t="n"/>
      <c r="K380" s="34" t="n"/>
      <c r="L380" s="45" t="n"/>
      <c r="M380" s="65" t="n"/>
      <c r="N380" s="65" t="n"/>
      <c r="O380" s="65" t="n"/>
      <c r="P380" s="65" t="n"/>
      <c r="Q380" s="65" t="n"/>
      <c r="R380" s="65" t="n"/>
      <c r="S380" s="18" t="n"/>
      <c r="T380" s="18" t="n"/>
      <c r="U380" s="30" t="n"/>
      <c r="V380" s="18" t="n"/>
      <c r="W380" s="18" t="n"/>
      <c r="X380" s="18" t="n"/>
      <c r="Y380" s="65" t="n"/>
      <c r="Z380" s="65" t="n"/>
      <c r="AA380" s="28" t="n"/>
      <c r="AB380" s="28" t="n"/>
      <c r="AC380" s="28" t="n"/>
      <c r="AD380" s="28" t="n"/>
      <c r="AE380" s="28" t="n"/>
      <c r="AF380" s="28" t="n"/>
      <c r="AG380" s="28" t="n"/>
      <c r="AH380" s="28" t="n"/>
      <c r="AI380" s="28" t="n"/>
      <c r="AJ380" s="28" t="n"/>
      <c r="AK380" s="28" t="n"/>
      <c r="AL380" s="65" t="n"/>
      <c r="AM380" s="65" t="n"/>
      <c r="AN380" s="65" t="n"/>
      <c r="AO380" s="65" t="n"/>
      <c r="AP380" s="65" t="n"/>
    </row>
    <row r="381" ht="51.75" customHeight="1" s="222">
      <c r="A381" s="73" t="n"/>
      <c r="B381" s="73" t="n"/>
      <c r="C381" s="105" t="n"/>
      <c r="D381" s="28" t="n"/>
      <c r="E381" s="73" t="n"/>
      <c r="F381" s="73" t="n"/>
      <c r="G381" s="205" t="n"/>
      <c r="H381" s="116" t="n"/>
      <c r="I381" s="88" t="n"/>
      <c r="J381" s="28" t="n"/>
      <c r="K381" s="34" t="n"/>
      <c r="L381" s="45" t="n"/>
      <c r="M381" s="65" t="n"/>
      <c r="N381" s="65" t="n"/>
      <c r="O381" s="65" t="n"/>
      <c r="P381" s="65" t="n"/>
      <c r="Q381" s="65" t="n"/>
      <c r="R381" s="65" t="n"/>
      <c r="S381" s="18" t="n"/>
      <c r="T381" s="18" t="n"/>
      <c r="U381" s="30" t="n"/>
      <c r="V381" s="18" t="n"/>
      <c r="W381" s="18" t="n"/>
      <c r="X381" s="18" t="n"/>
      <c r="Y381" s="65" t="n"/>
      <c r="Z381" s="65" t="n"/>
      <c r="AA381" s="28" t="n"/>
      <c r="AB381" s="28" t="n"/>
      <c r="AC381" s="28" t="n"/>
      <c r="AD381" s="28" t="n"/>
      <c r="AE381" s="28" t="n"/>
      <c r="AF381" s="28" t="n"/>
      <c r="AG381" s="28" t="n"/>
      <c r="AH381" s="28" t="n"/>
      <c r="AI381" s="28" t="n"/>
      <c r="AJ381" s="28" t="n"/>
      <c r="AK381" s="28" t="n"/>
      <c r="AL381" s="65" t="n"/>
      <c r="AM381" s="65" t="n"/>
      <c r="AN381" s="65" t="n"/>
      <c r="AO381" s="65" t="n"/>
      <c r="AP381" s="65" t="n"/>
    </row>
    <row r="382" ht="51.75" customHeight="1" s="222">
      <c r="A382" s="73" t="n"/>
      <c r="B382" s="73" t="n"/>
      <c r="C382" s="105" t="n"/>
      <c r="D382" s="28" t="n"/>
      <c r="E382" s="73" t="n"/>
      <c r="F382" s="73" t="n"/>
      <c r="G382" s="205" t="n"/>
      <c r="H382" s="116" t="n"/>
      <c r="I382" s="88" t="n"/>
      <c r="J382" s="28" t="n"/>
      <c r="K382" s="34" t="n"/>
      <c r="L382" s="45" t="n"/>
      <c r="M382" s="65" t="n"/>
      <c r="N382" s="65" t="n"/>
      <c r="O382" s="65" t="n"/>
      <c r="P382" s="65" t="n"/>
      <c r="Q382" s="65" t="n"/>
      <c r="R382" s="65" t="n"/>
      <c r="S382" s="18" t="n"/>
      <c r="T382" s="18" t="n"/>
      <c r="U382" s="30" t="n"/>
      <c r="V382" s="18" t="n"/>
      <c r="W382" s="18" t="n"/>
      <c r="X382" s="18" t="n"/>
      <c r="Y382" s="65" t="n"/>
      <c r="Z382" s="65" t="n"/>
      <c r="AA382" s="28" t="n"/>
      <c r="AB382" s="28" t="n"/>
      <c r="AC382" s="28" t="n"/>
      <c r="AD382" s="28" t="n"/>
      <c r="AE382" s="28" t="n"/>
      <c r="AF382" s="28" t="n"/>
      <c r="AG382" s="28" t="n"/>
      <c r="AH382" s="28" t="n"/>
      <c r="AI382" s="28" t="n"/>
      <c r="AJ382" s="28" t="n"/>
      <c r="AK382" s="28" t="n"/>
      <c r="AL382" s="65" t="n"/>
      <c r="AM382" s="65" t="n"/>
      <c r="AN382" s="65" t="n"/>
      <c r="AO382" s="65" t="n"/>
      <c r="AP382" s="65" t="n"/>
    </row>
    <row r="383" ht="51.75" customHeight="1" s="222">
      <c r="A383" s="73" t="n"/>
      <c r="B383" s="73" t="n"/>
      <c r="C383" s="105" t="n"/>
      <c r="D383" s="28" t="n"/>
      <c r="E383" s="73" t="n"/>
      <c r="F383" s="73" t="n"/>
      <c r="G383" s="205" t="n"/>
      <c r="H383" s="116" t="n"/>
      <c r="I383" s="88" t="n"/>
      <c r="J383" s="28" t="n"/>
      <c r="K383" s="34" t="n"/>
      <c r="L383" s="45" t="n"/>
      <c r="M383" s="65" t="n"/>
      <c r="N383" s="65" t="n"/>
      <c r="O383" s="65" t="n"/>
      <c r="P383" s="65" t="n"/>
      <c r="Q383" s="65" t="n"/>
      <c r="R383" s="65" t="n"/>
      <c r="S383" s="18" t="n"/>
      <c r="T383" s="18" t="n"/>
      <c r="U383" s="30" t="n"/>
      <c r="V383" s="18" t="n"/>
      <c r="W383" s="18" t="n"/>
      <c r="X383" s="18" t="n"/>
      <c r="Y383" s="65" t="n"/>
      <c r="Z383" s="65" t="n"/>
      <c r="AA383" s="28" t="n"/>
      <c r="AB383" s="28" t="n"/>
      <c r="AC383" s="28" t="n"/>
      <c r="AD383" s="28" t="n"/>
      <c r="AE383" s="28" t="n"/>
      <c r="AF383" s="28" t="n"/>
      <c r="AG383" s="28" t="n"/>
      <c r="AH383" s="28" t="n"/>
      <c r="AI383" s="28" t="n"/>
      <c r="AJ383" s="28" t="n"/>
      <c r="AK383" s="28" t="n"/>
      <c r="AL383" s="65" t="n"/>
      <c r="AM383" s="65" t="n"/>
      <c r="AN383" s="65" t="n"/>
      <c r="AO383" s="65" t="n"/>
      <c r="AP383" s="65" t="n"/>
    </row>
    <row r="384" ht="51.75" customHeight="1" s="222">
      <c r="A384" s="73" t="n"/>
      <c r="B384" s="73" t="n"/>
      <c r="C384" s="105" t="n"/>
      <c r="D384" s="28" t="n"/>
      <c r="E384" s="73" t="n"/>
      <c r="F384" s="73" t="n"/>
      <c r="G384" s="205" t="n"/>
      <c r="H384" s="116" t="n"/>
      <c r="I384" s="88" t="n"/>
      <c r="J384" s="28" t="n"/>
      <c r="K384" s="34" t="n"/>
      <c r="L384" s="45" t="n"/>
      <c r="M384" s="65" t="n"/>
      <c r="N384" s="65" t="n"/>
      <c r="O384" s="65" t="n"/>
      <c r="P384" s="65" t="n"/>
      <c r="Q384" s="65" t="n"/>
      <c r="R384" s="65" t="n"/>
      <c r="S384" s="18" t="n"/>
      <c r="T384" s="18" t="n"/>
      <c r="U384" s="30" t="n"/>
      <c r="V384" s="18" t="n"/>
      <c r="W384" s="18" t="n"/>
      <c r="X384" s="18" t="n"/>
      <c r="Y384" s="65" t="n"/>
      <c r="Z384" s="65" t="n"/>
      <c r="AA384" s="28" t="n"/>
      <c r="AB384" s="28" t="n"/>
      <c r="AC384" s="28" t="n"/>
      <c r="AD384" s="28" t="n"/>
      <c r="AE384" s="28" t="n"/>
      <c r="AF384" s="28" t="n"/>
      <c r="AG384" s="28" t="n"/>
      <c r="AH384" s="28" t="n"/>
      <c r="AI384" s="28" t="n"/>
      <c r="AJ384" s="28" t="n"/>
      <c r="AK384" s="28" t="n"/>
      <c r="AL384" s="65" t="n"/>
      <c r="AM384" s="65" t="n"/>
      <c r="AN384" s="65" t="n"/>
      <c r="AO384" s="65" t="n"/>
      <c r="AP384" s="65" t="n"/>
    </row>
    <row r="385" ht="51.75" customHeight="1" s="222">
      <c r="A385" s="73" t="n"/>
      <c r="B385" s="73" t="n"/>
      <c r="C385" s="105" t="n"/>
      <c r="D385" s="28" t="n"/>
      <c r="E385" s="73" t="n"/>
      <c r="F385" s="73" t="n"/>
      <c r="G385" s="205" t="n"/>
      <c r="H385" s="116" t="n"/>
      <c r="I385" s="88" t="n"/>
      <c r="J385" s="28" t="n"/>
      <c r="K385" s="34" t="n"/>
      <c r="L385" s="45" t="n"/>
      <c r="M385" s="65" t="n"/>
      <c r="N385" s="65" t="n"/>
      <c r="O385" s="65" t="n"/>
      <c r="P385" s="65" t="n"/>
      <c r="Q385" s="65" t="n"/>
      <c r="R385" s="65" t="n"/>
      <c r="S385" s="18" t="n"/>
      <c r="T385" s="18" t="n"/>
      <c r="U385" s="30" t="n"/>
      <c r="V385" s="18" t="n"/>
      <c r="W385" s="18" t="n"/>
      <c r="X385" s="18" t="n"/>
      <c r="Y385" s="65" t="n"/>
      <c r="Z385" s="65" t="n"/>
      <c r="AA385" s="28" t="n"/>
      <c r="AB385" s="28" t="n"/>
      <c r="AC385" s="28" t="n"/>
      <c r="AD385" s="28" t="n"/>
      <c r="AE385" s="28" t="n"/>
      <c r="AF385" s="28" t="n"/>
      <c r="AG385" s="28" t="n"/>
      <c r="AH385" s="28" t="n"/>
      <c r="AI385" s="28" t="n"/>
      <c r="AJ385" s="28" t="n"/>
      <c r="AK385" s="28" t="n"/>
      <c r="AL385" s="65" t="n"/>
      <c r="AM385" s="65" t="n"/>
      <c r="AN385" s="65" t="n"/>
      <c r="AO385" s="65" t="n"/>
      <c r="AP385" s="65" t="n"/>
    </row>
    <row r="386" ht="51.75" customHeight="1" s="222">
      <c r="A386" s="73" t="n"/>
      <c r="B386" s="73" t="n"/>
      <c r="C386" s="105" t="n"/>
      <c r="D386" s="28" t="n"/>
      <c r="E386" s="73" t="n"/>
      <c r="F386" s="73" t="n"/>
      <c r="G386" s="205" t="n"/>
      <c r="H386" s="116" t="n"/>
      <c r="I386" s="88" t="n"/>
      <c r="J386" s="28" t="n"/>
      <c r="K386" s="34" t="n"/>
      <c r="L386" s="45" t="n"/>
      <c r="M386" s="65" t="n"/>
      <c r="N386" s="65" t="n"/>
      <c r="O386" s="65" t="n"/>
      <c r="P386" s="65" t="n"/>
      <c r="Q386" s="65" t="n"/>
      <c r="R386" s="65" t="n"/>
      <c r="S386" s="18" t="n"/>
      <c r="T386" s="18" t="n"/>
      <c r="U386" s="30" t="n"/>
      <c r="V386" s="18" t="n"/>
      <c r="W386" s="18" t="n"/>
      <c r="X386" s="18" t="n"/>
      <c r="Y386" s="65" t="n"/>
      <c r="Z386" s="65" t="n"/>
      <c r="AA386" s="28" t="n"/>
      <c r="AB386" s="28" t="n"/>
      <c r="AC386" s="28" t="n"/>
      <c r="AD386" s="28" t="n"/>
      <c r="AE386" s="28" t="n"/>
      <c r="AF386" s="28" t="n"/>
      <c r="AG386" s="28" t="n"/>
      <c r="AH386" s="28" t="n"/>
      <c r="AI386" s="28" t="n"/>
      <c r="AJ386" s="28" t="n"/>
      <c r="AK386" s="28" t="n"/>
      <c r="AL386" s="65" t="n"/>
      <c r="AM386" s="65" t="n"/>
      <c r="AN386" s="65" t="n"/>
      <c r="AO386" s="65" t="n"/>
      <c r="AP386" s="65" t="n"/>
    </row>
    <row r="387" ht="51.75" customHeight="1" s="222">
      <c r="A387" s="73" t="n"/>
      <c r="B387" s="73" t="n"/>
      <c r="C387" s="105" t="n"/>
      <c r="D387" s="28" t="n"/>
      <c r="E387" s="73" t="n"/>
      <c r="F387" s="73" t="n"/>
      <c r="G387" s="205" t="n"/>
      <c r="H387" s="116" t="n"/>
      <c r="I387" s="88" t="n"/>
      <c r="J387" s="28" t="n"/>
      <c r="K387" s="34" t="n"/>
      <c r="L387" s="45" t="n"/>
      <c r="M387" s="65" t="n"/>
      <c r="N387" s="65" t="n"/>
      <c r="O387" s="65" t="n"/>
      <c r="P387" s="65" t="n"/>
      <c r="Q387" s="65" t="n"/>
      <c r="R387" s="65" t="n"/>
      <c r="S387" s="18" t="n"/>
      <c r="T387" s="18" t="n"/>
      <c r="U387" s="30" t="n"/>
      <c r="V387" s="18" t="n"/>
      <c r="W387" s="18" t="n"/>
      <c r="X387" s="18" t="n"/>
      <c r="Y387" s="65" t="n"/>
      <c r="Z387" s="65" t="n"/>
      <c r="AA387" s="28" t="n"/>
      <c r="AB387" s="28" t="n"/>
      <c r="AC387" s="28" t="n"/>
      <c r="AD387" s="28" t="n"/>
      <c r="AE387" s="28" t="n"/>
      <c r="AF387" s="28" t="n"/>
      <c r="AG387" s="28" t="n"/>
      <c r="AH387" s="28" t="n"/>
      <c r="AI387" s="28" t="n"/>
      <c r="AJ387" s="28" t="n"/>
      <c r="AK387" s="28" t="n"/>
      <c r="AL387" s="65" t="n"/>
      <c r="AM387" s="65" t="n"/>
      <c r="AN387" s="65" t="n"/>
      <c r="AO387" s="65" t="n"/>
      <c r="AP387" s="65" t="n"/>
    </row>
    <row r="388" ht="51.75" customHeight="1" s="222">
      <c r="A388" s="73" t="n"/>
      <c r="B388" s="73" t="n"/>
      <c r="C388" s="105" t="n"/>
      <c r="D388" s="28" t="n"/>
      <c r="E388" s="73" t="n"/>
      <c r="F388" s="73" t="n"/>
      <c r="G388" s="205" t="n"/>
      <c r="H388" s="116" t="n"/>
      <c r="I388" s="88" t="n"/>
      <c r="J388" s="28" t="n"/>
      <c r="K388" s="34" t="n"/>
      <c r="L388" s="45" t="n"/>
      <c r="M388" s="65" t="n"/>
      <c r="N388" s="65" t="n"/>
      <c r="O388" s="65" t="n"/>
      <c r="P388" s="65" t="n"/>
      <c r="Q388" s="65" t="n"/>
      <c r="R388" s="65" t="n"/>
      <c r="S388" s="18" t="n"/>
      <c r="T388" s="18" t="n"/>
      <c r="U388" s="30" t="n"/>
      <c r="V388" s="18" t="n"/>
      <c r="W388" s="18" t="n"/>
      <c r="X388" s="18" t="n"/>
      <c r="Y388" s="65" t="n"/>
      <c r="Z388" s="65" t="n"/>
      <c r="AA388" s="28" t="n"/>
      <c r="AB388" s="28" t="n"/>
      <c r="AC388" s="28" t="n"/>
      <c r="AD388" s="28" t="n"/>
      <c r="AE388" s="28" t="n"/>
      <c r="AF388" s="28" t="n"/>
      <c r="AG388" s="28" t="n"/>
      <c r="AH388" s="28" t="n"/>
      <c r="AI388" s="28" t="n"/>
      <c r="AJ388" s="28" t="n"/>
      <c r="AK388" s="28" t="n"/>
      <c r="AL388" s="65" t="n"/>
      <c r="AM388" s="65" t="n"/>
      <c r="AN388" s="65" t="n"/>
      <c r="AO388" s="65" t="n"/>
      <c r="AP388" s="65" t="n"/>
    </row>
    <row r="389" ht="51.75" customHeight="1" s="222">
      <c r="A389" s="73" t="n"/>
      <c r="B389" s="73" t="n"/>
      <c r="C389" s="105" t="n"/>
      <c r="D389" s="28" t="n"/>
      <c r="E389" s="73" t="n"/>
      <c r="F389" s="73" t="n"/>
      <c r="G389" s="205" t="n"/>
      <c r="H389" s="116" t="n"/>
      <c r="I389" s="88" t="n"/>
      <c r="J389" s="28" t="n"/>
      <c r="K389" s="34" t="n"/>
      <c r="L389" s="45" t="n"/>
      <c r="M389" s="65" t="n"/>
      <c r="N389" s="65" t="n"/>
      <c r="O389" s="65" t="n"/>
      <c r="P389" s="65" t="n"/>
      <c r="Q389" s="65" t="n"/>
      <c r="R389" s="65" t="n"/>
      <c r="S389" s="18" t="n"/>
      <c r="T389" s="18" t="n"/>
      <c r="U389" s="30" t="n"/>
      <c r="V389" s="18" t="n"/>
      <c r="W389" s="18" t="n"/>
      <c r="X389" s="18" t="n"/>
      <c r="Y389" s="65" t="n"/>
      <c r="Z389" s="65" t="n"/>
      <c r="AA389" s="28" t="n"/>
      <c r="AB389" s="28" t="n"/>
      <c r="AC389" s="28" t="n"/>
      <c r="AD389" s="28" t="n"/>
      <c r="AE389" s="28" t="n"/>
      <c r="AF389" s="28" t="n"/>
      <c r="AG389" s="28" t="n"/>
      <c r="AH389" s="28" t="n"/>
      <c r="AI389" s="28" t="n"/>
      <c r="AJ389" s="28" t="n"/>
      <c r="AK389" s="28" t="n"/>
      <c r="AL389" s="65" t="n"/>
      <c r="AM389" s="65" t="n"/>
      <c r="AN389" s="65" t="n"/>
      <c r="AO389" s="65" t="n"/>
      <c r="AP389" s="65" t="n"/>
    </row>
    <row r="390" ht="51.75" customHeight="1" s="222">
      <c r="A390" s="73" t="n"/>
      <c r="B390" s="73" t="n"/>
      <c r="C390" s="105" t="n"/>
      <c r="D390" s="28" t="n"/>
      <c r="E390" s="73" t="n"/>
      <c r="F390" s="73" t="n"/>
      <c r="G390" s="205" t="n"/>
      <c r="H390" s="116" t="n"/>
      <c r="I390" s="88" t="n"/>
      <c r="J390" s="28" t="n"/>
      <c r="K390" s="34" t="n"/>
      <c r="L390" s="45" t="n"/>
      <c r="M390" s="65" t="n"/>
      <c r="N390" s="65" t="n"/>
      <c r="O390" s="65" t="n"/>
      <c r="P390" s="65" t="n"/>
      <c r="Q390" s="65" t="n"/>
      <c r="R390" s="65" t="n"/>
      <c r="S390" s="18" t="n"/>
      <c r="T390" s="18" t="n"/>
      <c r="U390" s="30" t="n"/>
      <c r="V390" s="18" t="n"/>
      <c r="W390" s="18" t="n"/>
      <c r="X390" s="18" t="n"/>
      <c r="Y390" s="65" t="n"/>
      <c r="Z390" s="65" t="n"/>
      <c r="AA390" s="28" t="n"/>
      <c r="AB390" s="28" t="n"/>
      <c r="AC390" s="28" t="n"/>
      <c r="AD390" s="28" t="n"/>
      <c r="AE390" s="28" t="n"/>
      <c r="AF390" s="28" t="n"/>
      <c r="AG390" s="28" t="n"/>
      <c r="AH390" s="28" t="n"/>
      <c r="AI390" s="28" t="n"/>
      <c r="AJ390" s="28" t="n"/>
      <c r="AK390" s="28" t="n"/>
      <c r="AL390" s="65" t="n"/>
      <c r="AM390" s="65" t="n"/>
      <c r="AN390" s="65" t="n"/>
      <c r="AO390" s="65" t="n"/>
      <c r="AP390" s="65" t="n"/>
    </row>
    <row r="391" ht="51.75" customHeight="1" s="222">
      <c r="A391" s="73" t="n"/>
      <c r="B391" s="73" t="n"/>
      <c r="C391" s="105" t="n"/>
      <c r="D391" s="28" t="n"/>
      <c r="E391" s="73" t="n"/>
      <c r="F391" s="73" t="n"/>
      <c r="G391" s="205" t="n"/>
      <c r="H391" s="116" t="n"/>
      <c r="I391" s="88" t="n"/>
      <c r="J391" s="28" t="n"/>
      <c r="K391" s="34" t="n"/>
      <c r="L391" s="45" t="n"/>
      <c r="M391" s="65" t="n"/>
      <c r="N391" s="65" t="n"/>
      <c r="O391" s="65" t="n"/>
      <c r="P391" s="65" t="n"/>
      <c r="Q391" s="65" t="n"/>
      <c r="R391" s="65" t="n"/>
      <c r="S391" s="18" t="n"/>
      <c r="T391" s="18" t="n"/>
      <c r="U391" s="30" t="n"/>
      <c r="V391" s="18" t="n"/>
      <c r="W391" s="18" t="n"/>
      <c r="X391" s="18" t="n"/>
      <c r="Y391" s="65" t="n"/>
      <c r="Z391" s="65" t="n"/>
      <c r="AA391" s="28" t="n"/>
      <c r="AB391" s="28" t="n"/>
      <c r="AC391" s="28" t="n"/>
      <c r="AD391" s="28" t="n"/>
      <c r="AE391" s="28" t="n"/>
      <c r="AF391" s="28" t="n"/>
      <c r="AG391" s="28" t="n"/>
      <c r="AH391" s="28" t="n"/>
      <c r="AI391" s="28" t="n"/>
      <c r="AJ391" s="28" t="n"/>
      <c r="AK391" s="28" t="n"/>
      <c r="AL391" s="65" t="n"/>
      <c r="AM391" s="65" t="n"/>
      <c r="AN391" s="65" t="n"/>
      <c r="AO391" s="65" t="n"/>
      <c r="AP391" s="65" t="n"/>
    </row>
    <row r="392" ht="51.75" customHeight="1" s="222">
      <c r="A392" s="73" t="n"/>
      <c r="B392" s="73" t="n"/>
      <c r="C392" s="105" t="n"/>
      <c r="D392" s="28" t="n"/>
      <c r="E392" s="73" t="n"/>
      <c r="F392" s="73" t="n"/>
      <c r="G392" s="205" t="n"/>
      <c r="H392" s="116" t="n"/>
      <c r="I392" s="88" t="n"/>
      <c r="J392" s="28" t="n"/>
      <c r="K392" s="34" t="n"/>
      <c r="L392" s="45" t="n"/>
      <c r="M392" s="65" t="n"/>
      <c r="N392" s="65" t="n"/>
      <c r="O392" s="65" t="n"/>
      <c r="P392" s="65" t="n"/>
      <c r="Q392" s="65" t="n"/>
      <c r="R392" s="65" t="n"/>
      <c r="S392" s="18" t="n"/>
      <c r="T392" s="18" t="n"/>
      <c r="U392" s="30" t="n"/>
      <c r="V392" s="18" t="n"/>
      <c r="W392" s="18" t="n"/>
      <c r="X392" s="18" t="n"/>
      <c r="Y392" s="65" t="n"/>
      <c r="Z392" s="65" t="n"/>
      <c r="AA392" s="28" t="n"/>
      <c r="AB392" s="28" t="n"/>
      <c r="AC392" s="28" t="n"/>
      <c r="AD392" s="28" t="n"/>
      <c r="AE392" s="28" t="n"/>
      <c r="AF392" s="28" t="n"/>
      <c r="AG392" s="28" t="n"/>
      <c r="AH392" s="28" t="n"/>
      <c r="AI392" s="28" t="n"/>
      <c r="AJ392" s="28" t="n"/>
      <c r="AK392" s="28" t="n"/>
      <c r="AL392" s="65" t="n"/>
      <c r="AM392" s="65" t="n"/>
      <c r="AN392" s="65" t="n"/>
      <c r="AO392" s="65" t="n"/>
      <c r="AP392" s="65" t="n"/>
    </row>
    <row r="393" ht="51.75" customHeight="1" s="222">
      <c r="A393" s="73" t="n"/>
      <c r="B393" s="73" t="n"/>
      <c r="C393" s="105" t="n"/>
      <c r="D393" s="28" t="n"/>
      <c r="E393" s="73" t="n"/>
      <c r="F393" s="73" t="n"/>
      <c r="G393" s="205" t="n"/>
      <c r="H393" s="116" t="n"/>
      <c r="I393" s="88" t="n"/>
      <c r="J393" s="28" t="n"/>
      <c r="K393" s="34" t="n"/>
      <c r="L393" s="45" t="n"/>
      <c r="M393" s="65" t="n"/>
      <c r="N393" s="65" t="n"/>
      <c r="O393" s="65" t="n"/>
      <c r="P393" s="65" t="n"/>
      <c r="Q393" s="65" t="n"/>
      <c r="R393" s="65" t="n"/>
      <c r="S393" s="18" t="n"/>
      <c r="T393" s="18" t="n"/>
      <c r="U393" s="30" t="n"/>
      <c r="V393" s="18" t="n"/>
      <c r="W393" s="18" t="n"/>
      <c r="X393" s="18" t="n"/>
      <c r="Y393" s="65" t="n"/>
      <c r="Z393" s="65" t="n"/>
      <c r="AA393" s="28" t="n"/>
      <c r="AB393" s="28" t="n"/>
      <c r="AC393" s="28" t="n"/>
      <c r="AD393" s="28" t="n"/>
      <c r="AE393" s="28" t="n"/>
      <c r="AF393" s="28" t="n"/>
      <c r="AG393" s="28" t="n"/>
      <c r="AH393" s="28" t="n"/>
      <c r="AI393" s="28" t="n"/>
      <c r="AJ393" s="28" t="n"/>
      <c r="AK393" s="28" t="n"/>
      <c r="AL393" s="65" t="n"/>
      <c r="AM393" s="65" t="n"/>
      <c r="AN393" s="65" t="n"/>
      <c r="AO393" s="65" t="n"/>
      <c r="AP393" s="65" t="n"/>
    </row>
    <row r="394" ht="51.75" customHeight="1" s="222">
      <c r="A394" s="73" t="n"/>
      <c r="B394" s="73" t="n"/>
      <c r="C394" s="105" t="n"/>
      <c r="D394" s="28" t="n"/>
      <c r="E394" s="73" t="n"/>
      <c r="F394" s="73" t="n"/>
      <c r="G394" s="205" t="n"/>
      <c r="H394" s="116" t="n"/>
      <c r="I394" s="88" t="n"/>
      <c r="J394" s="28" t="n"/>
      <c r="K394" s="34" t="n"/>
      <c r="L394" s="45" t="n"/>
      <c r="M394" s="65" t="n"/>
      <c r="N394" s="65" t="n"/>
      <c r="O394" s="65" t="n"/>
      <c r="P394" s="65" t="n"/>
      <c r="Q394" s="65" t="n"/>
      <c r="R394" s="65" t="n"/>
      <c r="S394" s="18" t="n"/>
      <c r="T394" s="18" t="n"/>
      <c r="U394" s="30" t="n"/>
      <c r="V394" s="18" t="n"/>
      <c r="W394" s="18" t="n"/>
      <c r="X394" s="18" t="n"/>
      <c r="Y394" s="65" t="n"/>
      <c r="Z394" s="65" t="n"/>
      <c r="AA394" s="28" t="n"/>
      <c r="AB394" s="28" t="n"/>
      <c r="AC394" s="28" t="n"/>
      <c r="AD394" s="28" t="n"/>
      <c r="AE394" s="28" t="n"/>
      <c r="AF394" s="28" t="n"/>
      <c r="AG394" s="28" t="n"/>
      <c r="AH394" s="28" t="n"/>
      <c r="AI394" s="28" t="n"/>
      <c r="AJ394" s="28" t="n"/>
      <c r="AK394" s="28" t="n"/>
      <c r="AL394" s="65" t="n"/>
      <c r="AM394" s="65" t="n"/>
      <c r="AN394" s="65" t="n"/>
      <c r="AO394" s="65" t="n"/>
      <c r="AP394" s="65" t="n"/>
    </row>
    <row r="395" ht="51.75" customHeight="1" s="222">
      <c r="A395" s="73" t="n"/>
      <c r="B395" s="73" t="n"/>
      <c r="C395" s="105" t="n"/>
      <c r="D395" s="28" t="n"/>
      <c r="E395" s="73" t="n"/>
      <c r="F395" s="73" t="n"/>
      <c r="G395" s="205" t="n"/>
      <c r="H395" s="116" t="n"/>
      <c r="I395" s="88" t="n"/>
      <c r="J395" s="28" t="n"/>
      <c r="K395" s="34" t="n"/>
      <c r="L395" s="45" t="n"/>
      <c r="M395" s="65" t="n"/>
      <c r="N395" s="65" t="n"/>
      <c r="O395" s="65" t="n"/>
      <c r="P395" s="65" t="n"/>
      <c r="Q395" s="65" t="n"/>
      <c r="R395" s="65" t="n"/>
      <c r="S395" s="18" t="n"/>
      <c r="T395" s="18" t="n"/>
      <c r="U395" s="30" t="n"/>
      <c r="V395" s="18" t="n"/>
      <c r="W395" s="18" t="n"/>
      <c r="X395" s="18" t="n"/>
      <c r="Y395" s="65" t="n"/>
      <c r="Z395" s="65" t="n"/>
      <c r="AA395" s="28" t="n"/>
      <c r="AB395" s="28" t="n"/>
      <c r="AC395" s="28" t="n"/>
      <c r="AD395" s="28" t="n"/>
      <c r="AE395" s="28" t="n"/>
      <c r="AF395" s="28" t="n"/>
      <c r="AG395" s="28" t="n"/>
      <c r="AH395" s="28" t="n"/>
      <c r="AI395" s="28" t="n"/>
      <c r="AJ395" s="28" t="n"/>
      <c r="AK395" s="28" t="n"/>
      <c r="AL395" s="65" t="n"/>
      <c r="AM395" s="65" t="n"/>
      <c r="AN395" s="65" t="n"/>
      <c r="AO395" s="65" t="n"/>
      <c r="AP395" s="65" t="n"/>
    </row>
    <row r="396" ht="51.75" customHeight="1" s="222">
      <c r="A396" s="73" t="n"/>
      <c r="B396" s="73" t="n"/>
      <c r="C396" s="105" t="n"/>
      <c r="D396" s="28" t="n"/>
      <c r="E396" s="73" t="n"/>
      <c r="F396" s="73" t="n"/>
      <c r="G396" s="205" t="n"/>
      <c r="H396" s="116" t="n"/>
      <c r="I396" s="88" t="n"/>
      <c r="J396" s="28" t="n"/>
      <c r="K396" s="34" t="n"/>
      <c r="L396" s="45" t="n"/>
      <c r="M396" s="65" t="n"/>
      <c r="N396" s="65" t="n"/>
      <c r="O396" s="65" t="n"/>
      <c r="P396" s="65" t="n"/>
      <c r="Q396" s="65" t="n"/>
      <c r="R396" s="65" t="n"/>
      <c r="S396" s="18" t="n"/>
      <c r="T396" s="18" t="n"/>
      <c r="U396" s="30" t="n"/>
      <c r="V396" s="18" t="n"/>
      <c r="W396" s="18" t="n"/>
      <c r="X396" s="18" t="n"/>
      <c r="Y396" s="65" t="n"/>
      <c r="Z396" s="65" t="n"/>
      <c r="AA396" s="28" t="n"/>
      <c r="AB396" s="28" t="n"/>
      <c r="AC396" s="28" t="n"/>
      <c r="AD396" s="28" t="n"/>
      <c r="AE396" s="28" t="n"/>
      <c r="AF396" s="28" t="n"/>
      <c r="AG396" s="28" t="n"/>
      <c r="AH396" s="28" t="n"/>
      <c r="AI396" s="28" t="n"/>
      <c r="AJ396" s="28" t="n"/>
      <c r="AK396" s="28" t="n"/>
      <c r="AL396" s="65" t="n"/>
      <c r="AM396" s="65" t="n"/>
      <c r="AN396" s="65" t="n"/>
      <c r="AO396" s="65" t="n"/>
      <c r="AP396" s="65" t="n"/>
    </row>
    <row r="397" ht="51.75" customHeight="1" s="222">
      <c r="A397" s="73" t="n"/>
      <c r="B397" s="73" t="n"/>
      <c r="C397" s="105" t="n"/>
      <c r="D397" s="28" t="n"/>
      <c r="E397" s="73" t="n"/>
      <c r="F397" s="73" t="n"/>
      <c r="G397" s="205" t="n"/>
      <c r="H397" s="116" t="n"/>
      <c r="I397" s="88" t="n"/>
      <c r="J397" s="28" t="n"/>
      <c r="K397" s="34" t="n"/>
      <c r="L397" s="45" t="n"/>
      <c r="M397" s="65" t="n"/>
      <c r="N397" s="65" t="n"/>
      <c r="O397" s="65" t="n"/>
      <c r="P397" s="65" t="n"/>
      <c r="Q397" s="65" t="n"/>
      <c r="R397" s="65" t="n"/>
      <c r="S397" s="18" t="n"/>
      <c r="T397" s="18" t="n"/>
      <c r="U397" s="30" t="n"/>
      <c r="V397" s="18" t="n"/>
      <c r="W397" s="18" t="n"/>
      <c r="X397" s="18" t="n"/>
      <c r="Y397" s="65" t="n"/>
      <c r="Z397" s="65" t="n"/>
      <c r="AA397" s="28" t="n"/>
      <c r="AB397" s="28" t="n"/>
      <c r="AC397" s="28" t="n"/>
      <c r="AD397" s="28" t="n"/>
      <c r="AE397" s="28" t="n"/>
      <c r="AF397" s="28" t="n"/>
      <c r="AG397" s="28" t="n"/>
      <c r="AH397" s="28" t="n"/>
      <c r="AI397" s="28" t="n"/>
      <c r="AJ397" s="28" t="n"/>
      <c r="AK397" s="28" t="n"/>
      <c r="AL397" s="65" t="n"/>
      <c r="AM397" s="65" t="n"/>
      <c r="AN397" s="65" t="n"/>
      <c r="AO397" s="65" t="n"/>
      <c r="AP397" s="65" t="n"/>
    </row>
    <row r="398" ht="51.75" customHeight="1" s="222">
      <c r="A398" s="73" t="n"/>
      <c r="B398" s="73" t="n"/>
      <c r="C398" s="105" t="n"/>
      <c r="D398" s="28" t="n"/>
      <c r="E398" s="73" t="n"/>
      <c r="F398" s="73" t="n"/>
      <c r="G398" s="205" t="n"/>
      <c r="H398" s="116" t="n"/>
      <c r="I398" s="88" t="n"/>
      <c r="J398" s="28" t="n"/>
      <c r="K398" s="34" t="n"/>
      <c r="L398" s="45" t="n"/>
      <c r="M398" s="65" t="n"/>
      <c r="N398" s="65" t="n"/>
      <c r="O398" s="65" t="n"/>
      <c r="P398" s="65" t="n"/>
      <c r="Q398" s="65" t="n"/>
      <c r="R398" s="65" t="n"/>
      <c r="S398" s="18" t="n"/>
      <c r="T398" s="18" t="n"/>
      <c r="U398" s="30" t="n"/>
      <c r="V398" s="18" t="n"/>
      <c r="W398" s="18" t="n"/>
      <c r="X398" s="18" t="n"/>
      <c r="Y398" s="65" t="n"/>
      <c r="Z398" s="65" t="n"/>
      <c r="AA398" s="28" t="n"/>
      <c r="AB398" s="28" t="n"/>
      <c r="AC398" s="28" t="n"/>
      <c r="AD398" s="28" t="n"/>
      <c r="AE398" s="28" t="n"/>
      <c r="AF398" s="28" t="n"/>
      <c r="AG398" s="28" t="n"/>
      <c r="AH398" s="28" t="n"/>
      <c r="AI398" s="28" t="n"/>
      <c r="AJ398" s="28" t="n"/>
      <c r="AK398" s="28" t="n"/>
      <c r="AL398" s="65" t="n"/>
      <c r="AM398" s="65" t="n"/>
      <c r="AN398" s="65" t="n"/>
      <c r="AO398" s="65" t="n"/>
      <c r="AP398" s="65" t="n"/>
    </row>
    <row r="399" ht="51.75" customHeight="1" s="222">
      <c r="A399" s="73" t="n"/>
      <c r="B399" s="73" t="n"/>
      <c r="C399" s="105" t="n"/>
      <c r="D399" s="28" t="n"/>
      <c r="E399" s="73" t="n"/>
      <c r="F399" s="73" t="n"/>
      <c r="G399" s="205" t="n"/>
      <c r="H399" s="116" t="n"/>
      <c r="I399" s="88" t="n"/>
      <c r="J399" s="28" t="n"/>
      <c r="K399" s="34" t="n"/>
      <c r="L399" s="45" t="n"/>
      <c r="M399" s="65" t="n"/>
      <c r="N399" s="65" t="n"/>
      <c r="O399" s="65" t="n"/>
      <c r="P399" s="65" t="n"/>
      <c r="Q399" s="65" t="n"/>
      <c r="R399" s="65" t="n"/>
      <c r="S399" s="18" t="n"/>
      <c r="T399" s="18" t="n"/>
      <c r="U399" s="30" t="n"/>
      <c r="V399" s="18" t="n"/>
      <c r="W399" s="18" t="n"/>
      <c r="X399" s="18" t="n"/>
      <c r="Y399" s="65" t="n"/>
      <c r="Z399" s="65" t="n"/>
      <c r="AA399" s="28" t="n"/>
      <c r="AB399" s="28" t="n"/>
      <c r="AC399" s="28" t="n"/>
      <c r="AD399" s="28" t="n"/>
      <c r="AE399" s="28" t="n"/>
      <c r="AF399" s="28" t="n"/>
      <c r="AG399" s="28" t="n"/>
      <c r="AH399" s="28" t="n"/>
      <c r="AI399" s="28" t="n"/>
      <c r="AJ399" s="28" t="n"/>
      <c r="AK399" s="28" t="n"/>
      <c r="AL399" s="65" t="n"/>
      <c r="AM399" s="65" t="n"/>
      <c r="AN399" s="65" t="n"/>
      <c r="AO399" s="65" t="n"/>
      <c r="AP399" s="65" t="n"/>
    </row>
    <row r="400" ht="51.75" customHeight="1" s="222">
      <c r="A400" s="73" t="n"/>
      <c r="B400" s="73" t="n"/>
      <c r="C400" s="105" t="n"/>
      <c r="D400" s="28" t="n"/>
      <c r="E400" s="73" t="n"/>
      <c r="F400" s="73" t="n"/>
      <c r="G400" s="205" t="n"/>
      <c r="H400" s="116" t="n"/>
      <c r="I400" s="88" t="n"/>
      <c r="J400" s="28" t="n"/>
      <c r="K400" s="34" t="n"/>
      <c r="L400" s="45" t="n"/>
      <c r="M400" s="65" t="n"/>
      <c r="N400" s="65" t="n"/>
      <c r="O400" s="65" t="n"/>
      <c r="P400" s="65" t="n"/>
      <c r="Q400" s="65" t="n"/>
      <c r="R400" s="65" t="n"/>
      <c r="S400" s="18" t="n"/>
      <c r="T400" s="18" t="n"/>
      <c r="U400" s="30" t="n"/>
      <c r="V400" s="18" t="n"/>
      <c r="W400" s="18" t="n"/>
      <c r="X400" s="18" t="n"/>
      <c r="Y400" s="65" t="n"/>
      <c r="Z400" s="65" t="n"/>
      <c r="AA400" s="28" t="n"/>
      <c r="AB400" s="28" t="n"/>
      <c r="AC400" s="28" t="n"/>
      <c r="AD400" s="28" t="n"/>
      <c r="AE400" s="28" t="n"/>
      <c r="AF400" s="28" t="n"/>
      <c r="AG400" s="28" t="n"/>
      <c r="AH400" s="28" t="n"/>
      <c r="AI400" s="28" t="n"/>
      <c r="AJ400" s="28" t="n"/>
      <c r="AK400" s="28" t="n"/>
      <c r="AL400" s="65" t="n"/>
      <c r="AM400" s="65" t="n"/>
      <c r="AN400" s="65" t="n"/>
      <c r="AO400" s="65" t="n"/>
      <c r="AP400" s="65" t="n"/>
    </row>
    <row r="401" ht="51.75" customHeight="1" s="222">
      <c r="A401" s="73" t="n"/>
      <c r="B401" s="73" t="n"/>
      <c r="C401" s="105" t="n"/>
      <c r="D401" s="28" t="n"/>
      <c r="E401" s="73" t="n"/>
      <c r="F401" s="73" t="n"/>
      <c r="G401" s="205" t="n"/>
      <c r="H401" s="116" t="n"/>
      <c r="I401" s="88" t="n"/>
      <c r="J401" s="28" t="n"/>
      <c r="K401" s="34" t="n"/>
      <c r="L401" s="45" t="n"/>
      <c r="M401" s="65" t="n"/>
      <c r="N401" s="65" t="n"/>
      <c r="O401" s="65" t="n"/>
      <c r="P401" s="65" t="n"/>
      <c r="Q401" s="65" t="n"/>
      <c r="R401" s="65" t="n"/>
      <c r="S401" s="18" t="n"/>
      <c r="T401" s="18" t="n"/>
      <c r="U401" s="30" t="n"/>
      <c r="V401" s="18" t="n"/>
      <c r="W401" s="18" t="n"/>
      <c r="X401" s="18" t="n"/>
      <c r="Y401" s="65" t="n"/>
      <c r="Z401" s="65" t="n"/>
      <c r="AA401" s="28" t="n"/>
      <c r="AB401" s="28" t="n"/>
      <c r="AC401" s="28" t="n"/>
      <c r="AD401" s="28" t="n"/>
      <c r="AE401" s="28" t="n"/>
      <c r="AF401" s="28" t="n"/>
      <c r="AG401" s="28" t="n"/>
      <c r="AH401" s="28" t="n"/>
      <c r="AI401" s="28" t="n"/>
      <c r="AJ401" s="28" t="n"/>
      <c r="AK401" s="28" t="n"/>
      <c r="AL401" s="65" t="n"/>
      <c r="AM401" s="65" t="n"/>
      <c r="AN401" s="65" t="n"/>
      <c r="AO401" s="65" t="n"/>
      <c r="AP401" s="65" t="n"/>
    </row>
    <row r="402" ht="51.75" customHeight="1" s="222">
      <c r="A402" s="73" t="n"/>
      <c r="B402" s="73" t="n"/>
      <c r="C402" s="105" t="n"/>
      <c r="D402" s="28" t="n"/>
      <c r="E402" s="73" t="n"/>
      <c r="F402" s="73" t="n"/>
      <c r="G402" s="205" t="n"/>
      <c r="H402" s="116" t="n"/>
      <c r="I402" s="88" t="n"/>
      <c r="J402" s="28" t="n"/>
      <c r="K402" s="34" t="n"/>
      <c r="L402" s="45" t="n"/>
      <c r="M402" s="65" t="n"/>
      <c r="N402" s="65" t="n"/>
      <c r="O402" s="65" t="n"/>
      <c r="P402" s="65" t="n"/>
      <c r="Q402" s="65" t="n"/>
      <c r="R402" s="65" t="n"/>
      <c r="S402" s="18" t="n"/>
      <c r="T402" s="18" t="n"/>
      <c r="U402" s="30" t="n"/>
      <c r="V402" s="18" t="n"/>
      <c r="W402" s="18" t="n"/>
      <c r="X402" s="18" t="n"/>
      <c r="Y402" s="65" t="n"/>
      <c r="Z402" s="65" t="n"/>
      <c r="AA402" s="28" t="n"/>
      <c r="AB402" s="28" t="n"/>
      <c r="AC402" s="28" t="n"/>
      <c r="AD402" s="28" t="n"/>
      <c r="AE402" s="28" t="n"/>
      <c r="AF402" s="28" t="n"/>
      <c r="AG402" s="28" t="n"/>
      <c r="AH402" s="28" t="n"/>
      <c r="AI402" s="28" t="n"/>
      <c r="AJ402" s="28" t="n"/>
      <c r="AK402" s="28" t="n"/>
      <c r="AL402" s="65" t="n"/>
      <c r="AM402" s="65" t="n"/>
      <c r="AN402" s="65" t="n"/>
      <c r="AO402" s="65" t="n"/>
      <c r="AP402" s="65" t="n"/>
    </row>
    <row r="403" ht="51.75" customHeight="1" s="222">
      <c r="A403" s="73" t="n"/>
      <c r="B403" s="73" t="n"/>
      <c r="C403" s="105" t="n"/>
      <c r="D403" s="28" t="n"/>
      <c r="E403" s="73" t="n"/>
      <c r="F403" s="73" t="n"/>
      <c r="G403" s="205" t="n"/>
      <c r="H403" s="116" t="n"/>
      <c r="I403" s="88" t="n"/>
      <c r="J403" s="28" t="n"/>
      <c r="K403" s="34" t="n"/>
      <c r="L403" s="45" t="n"/>
      <c r="M403" s="65" t="n"/>
      <c r="N403" s="65" t="n"/>
      <c r="O403" s="65" t="n"/>
      <c r="P403" s="65" t="n"/>
      <c r="Q403" s="65" t="n"/>
      <c r="R403" s="65" t="n"/>
      <c r="S403" s="18" t="n"/>
      <c r="T403" s="18" t="n"/>
      <c r="U403" s="30" t="n"/>
      <c r="V403" s="18" t="n"/>
      <c r="W403" s="18" t="n"/>
      <c r="X403" s="18" t="n"/>
      <c r="Y403" s="65" t="n"/>
      <c r="Z403" s="65" t="n"/>
      <c r="AA403" s="28" t="n"/>
      <c r="AB403" s="28" t="n"/>
      <c r="AC403" s="28" t="n"/>
      <c r="AD403" s="28" t="n"/>
      <c r="AE403" s="28" t="n"/>
      <c r="AF403" s="28" t="n"/>
      <c r="AG403" s="28" t="n"/>
      <c r="AH403" s="28" t="n"/>
      <c r="AI403" s="28" t="n"/>
      <c r="AJ403" s="28" t="n"/>
      <c r="AK403" s="28" t="n"/>
      <c r="AL403" s="65" t="n"/>
      <c r="AM403" s="65" t="n"/>
      <c r="AN403" s="65" t="n"/>
      <c r="AO403" s="65" t="n"/>
      <c r="AP403" s="65" t="n"/>
    </row>
    <row r="404" ht="51.75" customHeight="1" s="222">
      <c r="A404" s="73" t="n"/>
      <c r="B404" s="73" t="n"/>
      <c r="C404" s="105" t="n"/>
      <c r="D404" s="28" t="n"/>
      <c r="E404" s="73" t="n"/>
      <c r="F404" s="73" t="n"/>
      <c r="G404" s="205" t="n"/>
      <c r="H404" s="116" t="n"/>
      <c r="I404" s="88" t="n"/>
      <c r="J404" s="28" t="n"/>
      <c r="K404" s="34" t="n"/>
      <c r="L404" s="45" t="n"/>
      <c r="M404" s="65" t="n"/>
      <c r="N404" s="65" t="n"/>
      <c r="O404" s="65" t="n"/>
      <c r="P404" s="65" t="n"/>
      <c r="Q404" s="65" t="n"/>
      <c r="R404" s="65" t="n"/>
      <c r="S404" s="18" t="n"/>
      <c r="T404" s="18" t="n"/>
      <c r="U404" s="30" t="n"/>
      <c r="V404" s="18" t="n"/>
      <c r="W404" s="18" t="n"/>
      <c r="X404" s="18" t="n"/>
      <c r="Y404" s="65" t="n"/>
      <c r="Z404" s="65" t="n"/>
      <c r="AA404" s="28" t="n"/>
      <c r="AB404" s="28" t="n"/>
      <c r="AC404" s="28" t="n"/>
      <c r="AD404" s="28" t="n"/>
      <c r="AE404" s="28" t="n"/>
      <c r="AF404" s="28" t="n"/>
      <c r="AG404" s="28" t="n"/>
      <c r="AH404" s="28" t="n"/>
      <c r="AI404" s="28" t="n"/>
      <c r="AJ404" s="28" t="n"/>
      <c r="AK404" s="28" t="n"/>
      <c r="AL404" s="65" t="n"/>
      <c r="AM404" s="65" t="n"/>
      <c r="AN404" s="65" t="n"/>
      <c r="AO404" s="65" t="n"/>
      <c r="AP404" s="65" t="n"/>
    </row>
    <row r="405" ht="51.75" customHeight="1" s="222">
      <c r="A405" s="73" t="n"/>
      <c r="B405" s="73" t="n"/>
      <c r="C405" s="105" t="n"/>
      <c r="D405" s="28" t="n"/>
      <c r="E405" s="73" t="n"/>
      <c r="F405" s="73" t="n"/>
      <c r="G405" s="205" t="n"/>
      <c r="H405" s="116" t="n"/>
      <c r="I405" s="88" t="n"/>
      <c r="J405" s="28" t="n"/>
      <c r="K405" s="34" t="n"/>
      <c r="L405" s="45" t="n"/>
      <c r="M405" s="65" t="n"/>
      <c r="N405" s="65" t="n"/>
      <c r="O405" s="65" t="n"/>
      <c r="P405" s="65" t="n"/>
      <c r="Q405" s="65" t="n"/>
      <c r="R405" s="65" t="n"/>
      <c r="S405" s="18" t="n"/>
      <c r="T405" s="18" t="n"/>
      <c r="U405" s="30" t="n"/>
      <c r="V405" s="18" t="n"/>
      <c r="W405" s="18" t="n"/>
      <c r="X405" s="18" t="n"/>
      <c r="Y405" s="65" t="n"/>
      <c r="Z405" s="65" t="n"/>
      <c r="AA405" s="28" t="n"/>
      <c r="AB405" s="28" t="n"/>
      <c r="AC405" s="28" t="n"/>
      <c r="AD405" s="28" t="n"/>
      <c r="AE405" s="28" t="n"/>
      <c r="AF405" s="28" t="n"/>
      <c r="AG405" s="28" t="n"/>
      <c r="AH405" s="28" t="n"/>
      <c r="AI405" s="28" t="n"/>
      <c r="AJ405" s="28" t="n"/>
      <c r="AK405" s="28" t="n"/>
      <c r="AL405" s="65" t="n"/>
      <c r="AM405" s="65" t="n"/>
      <c r="AN405" s="65" t="n"/>
      <c r="AO405" s="65" t="n"/>
      <c r="AP405" s="65" t="n"/>
    </row>
    <row r="406" ht="51.75" customHeight="1" s="222">
      <c r="A406" s="73" t="n"/>
      <c r="B406" s="73" t="n"/>
      <c r="C406" s="105" t="n"/>
      <c r="D406" s="28" t="n"/>
      <c r="E406" s="73" t="n"/>
      <c r="F406" s="73" t="n"/>
      <c r="G406" s="205" t="n"/>
      <c r="H406" s="116" t="n"/>
      <c r="I406" s="88" t="n"/>
      <c r="J406" s="28" t="n"/>
      <c r="K406" s="34" t="n"/>
      <c r="L406" s="45" t="n"/>
      <c r="M406" s="65" t="n"/>
      <c r="N406" s="65" t="n"/>
      <c r="O406" s="65" t="n"/>
      <c r="P406" s="65" t="n"/>
      <c r="Q406" s="65" t="n"/>
      <c r="R406" s="65" t="n"/>
      <c r="S406" s="18" t="n"/>
      <c r="T406" s="18" t="n"/>
      <c r="U406" s="30" t="n"/>
      <c r="V406" s="18" t="n"/>
      <c r="W406" s="18" t="n"/>
      <c r="X406" s="18" t="n"/>
      <c r="Y406" s="65" t="n"/>
      <c r="Z406" s="65" t="n"/>
      <c r="AA406" s="28" t="n"/>
      <c r="AB406" s="28" t="n"/>
      <c r="AC406" s="28" t="n"/>
      <c r="AD406" s="28" t="n"/>
      <c r="AE406" s="28" t="n"/>
      <c r="AF406" s="28" t="n"/>
      <c r="AG406" s="28" t="n"/>
      <c r="AH406" s="28" t="n"/>
      <c r="AI406" s="28" t="n"/>
      <c r="AJ406" s="28" t="n"/>
      <c r="AK406" s="28" t="n"/>
      <c r="AL406" s="65" t="n"/>
      <c r="AM406" s="65" t="n"/>
      <c r="AN406" s="65" t="n"/>
      <c r="AO406" s="65" t="n"/>
      <c r="AP406" s="65" t="n"/>
    </row>
    <row r="407" ht="51.75" customHeight="1" s="222">
      <c r="A407" s="73" t="n"/>
      <c r="B407" s="73" t="n"/>
      <c r="C407" s="105" t="n"/>
      <c r="D407" s="28" t="n"/>
      <c r="E407" s="73" t="n"/>
      <c r="F407" s="73" t="n"/>
      <c r="G407" s="205" t="n"/>
      <c r="H407" s="116" t="n"/>
      <c r="I407" s="88" t="n"/>
      <c r="J407" s="28" t="n"/>
      <c r="K407" s="34" t="n"/>
      <c r="L407" s="45" t="n"/>
      <c r="M407" s="65" t="n"/>
      <c r="N407" s="65" t="n"/>
      <c r="O407" s="65" t="n"/>
      <c r="P407" s="65" t="n"/>
      <c r="Q407" s="65" t="n"/>
      <c r="R407" s="65" t="n"/>
      <c r="S407" s="18" t="n"/>
      <c r="T407" s="18" t="n"/>
      <c r="U407" s="30" t="n"/>
      <c r="V407" s="18" t="n"/>
      <c r="W407" s="18" t="n"/>
      <c r="X407" s="18" t="n"/>
      <c r="Y407" s="65" t="n"/>
      <c r="Z407" s="65" t="n"/>
      <c r="AA407" s="28" t="n"/>
      <c r="AB407" s="28" t="n"/>
      <c r="AC407" s="28" t="n"/>
      <c r="AD407" s="28" t="n"/>
      <c r="AE407" s="28" t="n"/>
      <c r="AF407" s="28" t="n"/>
      <c r="AG407" s="28" t="n"/>
      <c r="AH407" s="28" t="n"/>
      <c r="AI407" s="28" t="n"/>
      <c r="AJ407" s="28" t="n"/>
      <c r="AK407" s="28" t="n"/>
      <c r="AL407" s="65" t="n"/>
      <c r="AM407" s="65" t="n"/>
      <c r="AN407" s="65" t="n"/>
      <c r="AO407" s="65" t="n"/>
      <c r="AP407" s="65" t="n"/>
    </row>
    <row r="408" ht="51.75" customHeight="1" s="222">
      <c r="A408" s="73" t="n"/>
      <c r="B408" s="73" t="n"/>
      <c r="C408" s="105" t="n"/>
      <c r="D408" s="28" t="n"/>
      <c r="E408" s="73" t="n"/>
      <c r="F408" s="73" t="n"/>
      <c r="G408" s="205" t="n"/>
      <c r="H408" s="116" t="n"/>
      <c r="I408" s="88" t="n"/>
      <c r="J408" s="28" t="n"/>
      <c r="K408" s="34" t="n"/>
      <c r="L408" s="45" t="n"/>
      <c r="M408" s="65" t="n"/>
      <c r="N408" s="65" t="n"/>
      <c r="O408" s="65" t="n"/>
      <c r="P408" s="65" t="n"/>
      <c r="Q408" s="65" t="n"/>
      <c r="R408" s="65" t="n"/>
      <c r="S408" s="18" t="n"/>
      <c r="T408" s="18" t="n"/>
      <c r="U408" s="30" t="n"/>
      <c r="V408" s="18" t="n"/>
      <c r="W408" s="18" t="n"/>
      <c r="X408" s="18" t="n"/>
      <c r="Y408" s="65" t="n"/>
      <c r="Z408" s="65" t="n"/>
      <c r="AA408" s="28" t="n"/>
      <c r="AB408" s="28" t="n"/>
      <c r="AC408" s="28" t="n"/>
      <c r="AD408" s="28" t="n"/>
      <c r="AE408" s="28" t="n"/>
      <c r="AF408" s="28" t="n"/>
      <c r="AG408" s="28" t="n"/>
      <c r="AH408" s="28" t="n"/>
      <c r="AI408" s="28" t="n"/>
      <c r="AJ408" s="28" t="n"/>
      <c r="AK408" s="28" t="n"/>
      <c r="AL408" s="65" t="n"/>
      <c r="AM408" s="65" t="n"/>
      <c r="AN408" s="65" t="n"/>
      <c r="AO408" s="65" t="n"/>
      <c r="AP408" s="65" t="n"/>
    </row>
    <row r="409" ht="51.75" customHeight="1" s="222">
      <c r="A409" s="73" t="n"/>
      <c r="B409" s="73" t="n"/>
      <c r="C409" s="105" t="n"/>
      <c r="D409" s="28" t="n"/>
      <c r="E409" s="73" t="n"/>
      <c r="F409" s="73" t="n"/>
      <c r="G409" s="205" t="n"/>
      <c r="H409" s="116" t="n"/>
      <c r="I409" s="88" t="n"/>
      <c r="J409" s="28" t="n"/>
      <c r="K409" s="34" t="n"/>
      <c r="L409" s="45" t="n"/>
      <c r="M409" s="65" t="n"/>
      <c r="N409" s="65" t="n"/>
      <c r="O409" s="65" t="n"/>
      <c r="P409" s="65" t="n"/>
      <c r="Q409" s="65" t="n"/>
      <c r="R409" s="65" t="n"/>
      <c r="S409" s="18" t="n"/>
      <c r="T409" s="18" t="n"/>
      <c r="U409" s="30" t="n"/>
      <c r="V409" s="18" t="n"/>
      <c r="W409" s="18" t="n"/>
      <c r="X409" s="18" t="n"/>
      <c r="Y409" s="65" t="n"/>
      <c r="Z409" s="65" t="n"/>
      <c r="AA409" s="28" t="n"/>
      <c r="AB409" s="28" t="n"/>
      <c r="AC409" s="28" t="n"/>
      <c r="AD409" s="28" t="n"/>
      <c r="AE409" s="28" t="n"/>
      <c r="AF409" s="28" t="n"/>
      <c r="AG409" s="28" t="n"/>
      <c r="AH409" s="28" t="n"/>
      <c r="AI409" s="28" t="n"/>
      <c r="AJ409" s="28" t="n"/>
      <c r="AK409" s="28" t="n"/>
      <c r="AL409" s="65" t="n"/>
      <c r="AM409" s="65" t="n"/>
      <c r="AN409" s="65" t="n"/>
      <c r="AO409" s="65" t="n"/>
      <c r="AP409" s="65" t="n"/>
    </row>
    <row r="410" ht="51.75" customHeight="1" s="222">
      <c r="A410" s="73" t="n"/>
      <c r="B410" s="73" t="n"/>
      <c r="C410" s="105" t="n"/>
      <c r="D410" s="28" t="n"/>
      <c r="E410" s="73" t="n"/>
      <c r="F410" s="73" t="n"/>
      <c r="G410" s="205" t="n"/>
      <c r="H410" s="116" t="n"/>
      <c r="I410" s="88" t="n"/>
      <c r="J410" s="28" t="n"/>
      <c r="K410" s="34" t="n"/>
      <c r="L410" s="45" t="n"/>
      <c r="M410" s="65" t="n"/>
      <c r="N410" s="65" t="n"/>
      <c r="O410" s="65" t="n"/>
      <c r="P410" s="65" t="n"/>
      <c r="Q410" s="65" t="n"/>
      <c r="R410" s="65" t="n"/>
      <c r="S410" s="18" t="n"/>
      <c r="T410" s="18" t="n"/>
      <c r="U410" s="30" t="n"/>
      <c r="V410" s="18" t="n"/>
      <c r="W410" s="18" t="n"/>
      <c r="X410" s="18" t="n"/>
      <c r="Y410" s="65" t="n"/>
      <c r="Z410" s="65" t="n"/>
      <c r="AA410" s="28" t="n"/>
      <c r="AB410" s="28" t="n"/>
      <c r="AC410" s="28" t="n"/>
      <c r="AD410" s="28" t="n"/>
      <c r="AE410" s="28" t="n"/>
      <c r="AF410" s="28" t="n"/>
      <c r="AG410" s="28" t="n"/>
      <c r="AH410" s="28" t="n"/>
      <c r="AI410" s="28" t="n"/>
      <c r="AJ410" s="28" t="n"/>
      <c r="AK410" s="28" t="n"/>
      <c r="AL410" s="65" t="n"/>
      <c r="AM410" s="65" t="n"/>
      <c r="AN410" s="65" t="n"/>
      <c r="AO410" s="65" t="n"/>
      <c r="AP410" s="65" t="n"/>
    </row>
    <row r="411" ht="51.75" customHeight="1" s="222">
      <c r="A411" s="73" t="n"/>
      <c r="B411" s="73" t="n"/>
      <c r="C411" s="105" t="n"/>
      <c r="D411" s="28" t="n"/>
      <c r="E411" s="73" t="n"/>
      <c r="F411" s="73" t="n"/>
      <c r="G411" s="205" t="n"/>
      <c r="H411" s="116" t="n"/>
      <c r="I411" s="88" t="n"/>
      <c r="J411" s="28" t="n"/>
      <c r="K411" s="34" t="n"/>
      <c r="L411" s="45" t="n"/>
      <c r="M411" s="65" t="n"/>
      <c r="N411" s="65" t="n"/>
      <c r="O411" s="65" t="n"/>
      <c r="P411" s="65" t="n"/>
      <c r="Q411" s="65" t="n"/>
      <c r="R411" s="65" t="n"/>
      <c r="S411" s="18" t="n"/>
      <c r="T411" s="18" t="n"/>
      <c r="U411" s="30" t="n"/>
      <c r="V411" s="18" t="n"/>
      <c r="W411" s="18" t="n"/>
      <c r="X411" s="18" t="n"/>
      <c r="Y411" s="65" t="n"/>
      <c r="Z411" s="65" t="n"/>
      <c r="AA411" s="28" t="n"/>
      <c r="AB411" s="28" t="n"/>
      <c r="AC411" s="28" t="n"/>
      <c r="AD411" s="28" t="n"/>
      <c r="AE411" s="28" t="n"/>
      <c r="AF411" s="28" t="n"/>
      <c r="AG411" s="28" t="n"/>
      <c r="AH411" s="28" t="n"/>
      <c r="AI411" s="28" t="n"/>
      <c r="AJ411" s="28" t="n"/>
      <c r="AK411" s="28" t="n"/>
      <c r="AL411" s="65" t="n"/>
      <c r="AM411" s="65" t="n"/>
      <c r="AN411" s="65" t="n"/>
      <c r="AO411" s="65" t="n"/>
      <c r="AP411" s="65" t="n"/>
    </row>
    <row r="412" ht="51.75" customHeight="1" s="222">
      <c r="A412" s="73" t="n"/>
      <c r="B412" s="73" t="n"/>
      <c r="C412" s="105" t="n"/>
      <c r="D412" s="28" t="n"/>
      <c r="E412" s="73" t="n"/>
      <c r="F412" s="73" t="n"/>
      <c r="G412" s="205" t="n"/>
      <c r="H412" s="116" t="n"/>
      <c r="I412" s="88" t="n"/>
      <c r="J412" s="28" t="n"/>
      <c r="K412" s="34" t="n"/>
      <c r="L412" s="45" t="n"/>
      <c r="M412" s="65" t="n"/>
      <c r="N412" s="65" t="n"/>
      <c r="O412" s="65" t="n"/>
      <c r="P412" s="65" t="n"/>
      <c r="Q412" s="65" t="n"/>
      <c r="R412" s="65" t="n"/>
      <c r="S412" s="18" t="n"/>
      <c r="T412" s="18" t="n"/>
      <c r="U412" s="30" t="n"/>
      <c r="V412" s="18" t="n"/>
      <c r="W412" s="18" t="n"/>
      <c r="X412" s="18" t="n"/>
      <c r="Y412" s="65" t="n"/>
      <c r="Z412" s="65" t="n"/>
      <c r="AA412" s="28" t="n"/>
      <c r="AB412" s="28" t="n"/>
      <c r="AC412" s="28" t="n"/>
      <c r="AD412" s="28" t="n"/>
      <c r="AE412" s="28" t="n"/>
      <c r="AF412" s="28" t="n"/>
      <c r="AG412" s="28" t="n"/>
      <c r="AH412" s="28" t="n"/>
      <c r="AI412" s="28" t="n"/>
      <c r="AJ412" s="28" t="n"/>
      <c r="AK412" s="28" t="n"/>
      <c r="AL412" s="65" t="n"/>
      <c r="AM412" s="65" t="n"/>
      <c r="AN412" s="65" t="n"/>
      <c r="AO412" s="65" t="n"/>
      <c r="AP412" s="65" t="n"/>
    </row>
    <row r="413" ht="51.75" customHeight="1" s="222">
      <c r="A413" s="73" t="n"/>
      <c r="B413" s="73" t="n"/>
      <c r="C413" s="105" t="n"/>
      <c r="D413" s="28" t="n"/>
      <c r="E413" s="73" t="n"/>
      <c r="F413" s="73" t="n"/>
      <c r="G413" s="205" t="n"/>
      <c r="H413" s="116" t="n"/>
      <c r="I413" s="88" t="n"/>
      <c r="J413" s="28" t="n"/>
      <c r="K413" s="34" t="n"/>
      <c r="L413" s="45" t="n"/>
      <c r="M413" s="65" t="n"/>
      <c r="N413" s="65" t="n"/>
      <c r="O413" s="65" t="n"/>
      <c r="P413" s="65" t="n"/>
      <c r="Q413" s="65" t="n"/>
      <c r="R413" s="65" t="n"/>
      <c r="S413" s="18" t="n"/>
      <c r="T413" s="18" t="n"/>
      <c r="U413" s="30" t="n"/>
      <c r="V413" s="18" t="n"/>
      <c r="W413" s="18" t="n"/>
      <c r="X413" s="18" t="n"/>
      <c r="Y413" s="65" t="n"/>
      <c r="Z413" s="65" t="n"/>
      <c r="AA413" s="28" t="n"/>
      <c r="AB413" s="28" t="n"/>
      <c r="AC413" s="28" t="n"/>
      <c r="AD413" s="28" t="n"/>
      <c r="AE413" s="28" t="n"/>
      <c r="AF413" s="28" t="n"/>
      <c r="AG413" s="28" t="n"/>
      <c r="AH413" s="28" t="n"/>
      <c r="AI413" s="28" t="n"/>
      <c r="AJ413" s="28" t="n"/>
      <c r="AK413" s="28" t="n"/>
      <c r="AL413" s="65" t="n"/>
      <c r="AM413" s="65" t="n"/>
      <c r="AN413" s="65" t="n"/>
      <c r="AO413" s="65" t="n"/>
      <c r="AP413" s="65" t="n"/>
    </row>
    <row r="414" ht="51.75" customHeight="1" s="222">
      <c r="A414" s="73" t="n"/>
      <c r="B414" s="73" t="n"/>
      <c r="C414" s="105" t="n"/>
      <c r="D414" s="28" t="n"/>
      <c r="E414" s="73" t="n"/>
      <c r="F414" s="73" t="n"/>
      <c r="G414" s="205" t="n"/>
      <c r="H414" s="116" t="n"/>
      <c r="I414" s="88" t="n"/>
      <c r="J414" s="28" t="n"/>
      <c r="K414" s="34" t="n"/>
      <c r="L414" s="45" t="n"/>
      <c r="M414" s="65" t="n"/>
      <c r="N414" s="65" t="n"/>
      <c r="O414" s="65" t="n"/>
      <c r="P414" s="65" t="n"/>
      <c r="Q414" s="65" t="n"/>
      <c r="R414" s="65" t="n"/>
      <c r="S414" s="18" t="n"/>
      <c r="T414" s="18" t="n"/>
      <c r="U414" s="30" t="n"/>
      <c r="V414" s="18" t="n"/>
      <c r="W414" s="18" t="n"/>
      <c r="X414" s="18" t="n"/>
      <c r="Y414" s="65" t="n"/>
      <c r="Z414" s="65" t="n"/>
      <c r="AA414" s="28" t="n"/>
      <c r="AB414" s="28" t="n"/>
      <c r="AC414" s="28" t="n"/>
      <c r="AD414" s="28" t="n"/>
      <c r="AE414" s="28" t="n"/>
      <c r="AF414" s="28" t="n"/>
      <c r="AG414" s="28" t="n"/>
      <c r="AH414" s="28" t="n"/>
      <c r="AI414" s="28" t="n"/>
      <c r="AJ414" s="28" t="n"/>
      <c r="AK414" s="28" t="n"/>
      <c r="AL414" s="65" t="n"/>
      <c r="AM414" s="65" t="n"/>
      <c r="AN414" s="65" t="n"/>
      <c r="AO414" s="65" t="n"/>
      <c r="AP414" s="65" t="n"/>
    </row>
    <row r="415" ht="51.75" customHeight="1" s="222">
      <c r="A415" s="73" t="n"/>
      <c r="B415" s="73" t="n"/>
      <c r="C415" s="105" t="n"/>
      <c r="D415" s="28" t="n"/>
      <c r="E415" s="73" t="n"/>
      <c r="F415" s="73" t="n"/>
      <c r="G415" s="205" t="n"/>
      <c r="H415" s="116" t="n"/>
      <c r="I415" s="88" t="n"/>
      <c r="J415" s="28" t="n"/>
      <c r="K415" s="34" t="n"/>
      <c r="L415" s="45" t="n"/>
      <c r="M415" s="65" t="n"/>
      <c r="N415" s="65" t="n"/>
      <c r="O415" s="65" t="n"/>
      <c r="P415" s="65" t="n"/>
      <c r="Q415" s="65" t="n"/>
      <c r="R415" s="65" t="n"/>
      <c r="S415" s="18" t="n"/>
      <c r="T415" s="18" t="n"/>
      <c r="U415" s="30" t="n"/>
      <c r="V415" s="18" t="n"/>
      <c r="W415" s="18" t="n"/>
      <c r="X415" s="18" t="n"/>
      <c r="Y415" s="65" t="n"/>
      <c r="Z415" s="65" t="n"/>
      <c r="AA415" s="28" t="n"/>
      <c r="AB415" s="28" t="n"/>
      <c r="AC415" s="28" t="n"/>
      <c r="AD415" s="28" t="n"/>
      <c r="AE415" s="28" t="n"/>
      <c r="AF415" s="28" t="n"/>
      <c r="AG415" s="28" t="n"/>
      <c r="AH415" s="28" t="n"/>
      <c r="AI415" s="28" t="n"/>
      <c r="AJ415" s="28" t="n"/>
      <c r="AK415" s="28" t="n"/>
      <c r="AL415" s="65" t="n"/>
      <c r="AM415" s="65" t="n"/>
      <c r="AN415" s="65" t="n"/>
      <c r="AO415" s="65" t="n"/>
      <c r="AP415" s="65" t="n"/>
    </row>
    <row r="416" ht="51.75" customHeight="1" s="222">
      <c r="A416" s="73" t="n"/>
      <c r="B416" s="73" t="n"/>
      <c r="C416" s="105" t="n"/>
      <c r="D416" s="28" t="n"/>
      <c r="E416" s="73" t="n"/>
      <c r="F416" s="73" t="n"/>
      <c r="G416" s="205" t="n"/>
      <c r="H416" s="116" t="n"/>
      <c r="I416" s="88" t="n"/>
      <c r="J416" s="28" t="n"/>
      <c r="K416" s="34" t="n"/>
      <c r="L416" s="45" t="n"/>
      <c r="M416" s="65" t="n"/>
      <c r="N416" s="65" t="n"/>
      <c r="O416" s="65" t="n"/>
      <c r="P416" s="65" t="n"/>
      <c r="Q416" s="65" t="n"/>
      <c r="R416" s="65" t="n"/>
      <c r="S416" s="18" t="n"/>
      <c r="T416" s="18" t="n"/>
      <c r="U416" s="30" t="n"/>
      <c r="V416" s="18" t="n"/>
      <c r="W416" s="18" t="n"/>
      <c r="X416" s="18" t="n"/>
      <c r="Y416" s="65" t="n"/>
      <c r="Z416" s="65" t="n"/>
      <c r="AA416" s="28" t="n"/>
      <c r="AB416" s="28" t="n"/>
      <c r="AC416" s="28" t="n"/>
      <c r="AD416" s="28" t="n"/>
      <c r="AE416" s="28" t="n"/>
      <c r="AF416" s="28" t="n"/>
      <c r="AG416" s="28" t="n"/>
      <c r="AH416" s="28" t="n"/>
      <c r="AI416" s="28" t="n"/>
      <c r="AJ416" s="28" t="n"/>
      <c r="AK416" s="28" t="n"/>
      <c r="AL416" s="65" t="n"/>
      <c r="AM416" s="65" t="n"/>
      <c r="AN416" s="65" t="n"/>
      <c r="AO416" s="65" t="n"/>
      <c r="AP416" s="65" t="n"/>
    </row>
    <row r="417" ht="51.75" customHeight="1" s="222">
      <c r="A417" s="73" t="n"/>
      <c r="B417" s="73" t="n"/>
      <c r="C417" s="105" t="n"/>
      <c r="D417" s="28" t="n"/>
      <c r="E417" s="73" t="n"/>
      <c r="F417" s="73" t="n"/>
      <c r="G417" s="205" t="n"/>
      <c r="H417" s="116" t="n"/>
      <c r="I417" s="88" t="n"/>
      <c r="J417" s="28" t="n"/>
      <c r="K417" s="34" t="n"/>
      <c r="L417" s="45" t="n"/>
      <c r="M417" s="65" t="n"/>
      <c r="N417" s="65" t="n"/>
      <c r="O417" s="65" t="n"/>
      <c r="P417" s="65" t="n"/>
      <c r="Q417" s="65" t="n"/>
      <c r="R417" s="65" t="n"/>
      <c r="S417" s="18" t="n"/>
      <c r="T417" s="18" t="n"/>
      <c r="U417" s="30" t="n"/>
      <c r="V417" s="18" t="n"/>
      <c r="W417" s="18" t="n"/>
      <c r="X417" s="18" t="n"/>
      <c r="Y417" s="65" t="n"/>
      <c r="Z417" s="65" t="n"/>
      <c r="AA417" s="28" t="n"/>
      <c r="AB417" s="28" t="n"/>
      <c r="AC417" s="28" t="n"/>
      <c r="AD417" s="28" t="n"/>
      <c r="AE417" s="28" t="n"/>
      <c r="AF417" s="28" t="n"/>
      <c r="AG417" s="28" t="n"/>
      <c r="AH417" s="28" t="n"/>
      <c r="AI417" s="28" t="n"/>
      <c r="AJ417" s="28" t="n"/>
      <c r="AK417" s="28" t="n"/>
      <c r="AL417" s="65" t="n"/>
      <c r="AM417" s="65" t="n"/>
      <c r="AN417" s="65" t="n"/>
      <c r="AO417" s="65" t="n"/>
      <c r="AP417" s="65" t="n"/>
    </row>
    <row r="418" ht="51.75" customHeight="1" s="222">
      <c r="A418" s="73" t="n"/>
      <c r="B418" s="73" t="n"/>
      <c r="C418" s="105" t="n"/>
      <c r="D418" s="28" t="n"/>
      <c r="E418" s="73" t="n"/>
      <c r="F418" s="73" t="n"/>
      <c r="G418" s="205" t="n"/>
      <c r="H418" s="116" t="n"/>
      <c r="I418" s="88" t="n"/>
      <c r="J418" s="28" t="n"/>
      <c r="K418" s="34" t="n"/>
      <c r="L418" s="45" t="n"/>
      <c r="M418" s="65" t="n"/>
      <c r="N418" s="65" t="n"/>
      <c r="O418" s="65" t="n"/>
      <c r="P418" s="65" t="n"/>
      <c r="Q418" s="65" t="n"/>
      <c r="R418" s="65" t="n"/>
      <c r="S418" s="18" t="n"/>
      <c r="T418" s="18" t="n"/>
      <c r="U418" s="30" t="n"/>
      <c r="V418" s="18" t="n"/>
      <c r="W418" s="18" t="n"/>
      <c r="X418" s="18" t="n"/>
      <c r="Y418" s="65" t="n"/>
      <c r="Z418" s="65" t="n"/>
      <c r="AA418" s="28" t="n"/>
      <c r="AB418" s="28" t="n"/>
      <c r="AC418" s="28" t="n"/>
      <c r="AD418" s="28" t="n"/>
      <c r="AE418" s="28" t="n"/>
      <c r="AF418" s="28" t="n"/>
      <c r="AG418" s="28" t="n"/>
      <c r="AH418" s="28" t="n"/>
      <c r="AI418" s="28" t="n"/>
      <c r="AJ418" s="28" t="n"/>
      <c r="AK418" s="28" t="n"/>
      <c r="AL418" s="65" t="n"/>
      <c r="AM418" s="65" t="n"/>
      <c r="AN418" s="65" t="n"/>
      <c r="AO418" s="65" t="n"/>
      <c r="AP418" s="65" t="n"/>
    </row>
    <row r="419" ht="51.75" customHeight="1" s="222">
      <c r="A419" s="73" t="n"/>
      <c r="B419" s="73" t="n"/>
      <c r="C419" s="105" t="n"/>
      <c r="D419" s="28" t="n"/>
      <c r="E419" s="73" t="n"/>
      <c r="F419" s="73" t="n"/>
      <c r="G419" s="205" t="n"/>
      <c r="H419" s="116" t="n"/>
      <c r="I419" s="88" t="n"/>
      <c r="J419" s="28" t="n"/>
      <c r="K419" s="34" t="n"/>
      <c r="L419" s="45" t="n"/>
      <c r="M419" s="65" t="n"/>
      <c r="N419" s="65" t="n"/>
      <c r="O419" s="65" t="n"/>
      <c r="P419" s="65" t="n"/>
      <c r="Q419" s="65" t="n"/>
      <c r="R419" s="65" t="n"/>
      <c r="S419" s="18" t="n"/>
      <c r="T419" s="18" t="n"/>
      <c r="U419" s="30" t="n"/>
      <c r="V419" s="18" t="n"/>
      <c r="W419" s="18" t="n"/>
      <c r="X419" s="18" t="n"/>
      <c r="Y419" s="65" t="n"/>
      <c r="Z419" s="65" t="n"/>
      <c r="AA419" s="28" t="n"/>
      <c r="AB419" s="28" t="n"/>
      <c r="AC419" s="28" t="n"/>
      <c r="AD419" s="28" t="n"/>
      <c r="AE419" s="28" t="n"/>
      <c r="AF419" s="28" t="n"/>
      <c r="AG419" s="28" t="n"/>
      <c r="AH419" s="28" t="n"/>
      <c r="AI419" s="28" t="n"/>
      <c r="AJ419" s="28" t="n"/>
      <c r="AK419" s="28" t="n"/>
      <c r="AL419" s="65" t="n"/>
      <c r="AM419" s="65" t="n"/>
      <c r="AN419" s="65" t="n"/>
      <c r="AO419" s="65" t="n"/>
      <c r="AP419" s="65" t="n"/>
    </row>
    <row r="420" ht="51.75" customHeight="1" s="222">
      <c r="A420" s="73" t="n"/>
      <c r="B420" s="73" t="n"/>
      <c r="C420" s="105" t="n"/>
      <c r="D420" s="28" t="n"/>
      <c r="E420" s="73" t="n"/>
      <c r="F420" s="73" t="n"/>
      <c r="G420" s="205" t="n"/>
      <c r="H420" s="116" t="n"/>
      <c r="I420" s="88" t="n"/>
      <c r="J420" s="28" t="n"/>
      <c r="K420" s="34" t="n"/>
      <c r="L420" s="45" t="n"/>
      <c r="M420" s="65" t="n"/>
      <c r="N420" s="65" t="n"/>
      <c r="O420" s="65" t="n"/>
      <c r="P420" s="65" t="n"/>
      <c r="Q420" s="65" t="n"/>
      <c r="R420" s="65" t="n"/>
      <c r="S420" s="18" t="n"/>
      <c r="T420" s="18" t="n"/>
      <c r="U420" s="30" t="n"/>
      <c r="V420" s="18" t="n"/>
      <c r="W420" s="18" t="n"/>
      <c r="X420" s="18" t="n"/>
      <c r="Y420" s="65" t="n"/>
      <c r="Z420" s="65" t="n"/>
      <c r="AA420" s="28" t="n"/>
      <c r="AB420" s="28" t="n"/>
      <c r="AC420" s="28" t="n"/>
      <c r="AD420" s="28" t="n"/>
      <c r="AE420" s="28" t="n"/>
      <c r="AF420" s="28" t="n"/>
      <c r="AG420" s="28" t="n"/>
      <c r="AH420" s="28" t="n"/>
      <c r="AI420" s="28" t="n"/>
      <c r="AJ420" s="28" t="n"/>
      <c r="AK420" s="28" t="n"/>
      <c r="AL420" s="65" t="n"/>
      <c r="AM420" s="65" t="n"/>
      <c r="AN420" s="65" t="n"/>
      <c r="AO420" s="65" t="n"/>
      <c r="AP420" s="65" t="n"/>
    </row>
    <row r="421" ht="51.75" customHeight="1" s="222">
      <c r="A421" s="73" t="n"/>
      <c r="B421" s="73" t="n"/>
      <c r="C421" s="105" t="n"/>
      <c r="D421" s="28" t="n"/>
      <c r="E421" s="73" t="n"/>
      <c r="F421" s="73" t="n"/>
      <c r="G421" s="205" t="n"/>
      <c r="H421" s="116" t="n"/>
      <c r="I421" s="88" t="n"/>
      <c r="J421" s="28" t="n"/>
      <c r="K421" s="34" t="n"/>
      <c r="L421" s="45" t="n"/>
      <c r="M421" s="65" t="n"/>
      <c r="N421" s="65" t="n"/>
      <c r="O421" s="65" t="n"/>
      <c r="P421" s="65" t="n"/>
      <c r="Q421" s="65" t="n"/>
      <c r="R421" s="65" t="n"/>
      <c r="S421" s="18" t="n"/>
      <c r="T421" s="18" t="n"/>
      <c r="U421" s="30" t="n"/>
      <c r="V421" s="18" t="n"/>
      <c r="W421" s="18" t="n"/>
      <c r="X421" s="18" t="n"/>
      <c r="Y421" s="65" t="n"/>
      <c r="Z421" s="65" t="n"/>
      <c r="AA421" s="28" t="n"/>
      <c r="AB421" s="28" t="n"/>
      <c r="AC421" s="28" t="n"/>
      <c r="AD421" s="28" t="n"/>
      <c r="AE421" s="28" t="n"/>
      <c r="AF421" s="28" t="n"/>
      <c r="AG421" s="28" t="n"/>
      <c r="AH421" s="28" t="n"/>
      <c r="AI421" s="28" t="n"/>
      <c r="AJ421" s="28" t="n"/>
      <c r="AK421" s="28" t="n"/>
      <c r="AL421" s="65" t="n"/>
      <c r="AM421" s="65" t="n"/>
      <c r="AN421" s="65" t="n"/>
      <c r="AO421" s="65" t="n"/>
      <c r="AP421" s="65" t="n"/>
    </row>
    <row r="422" ht="51.75" customHeight="1" s="222">
      <c r="A422" s="73" t="n"/>
      <c r="B422" s="73" t="n"/>
      <c r="C422" s="105" t="n"/>
      <c r="D422" s="28" t="n"/>
      <c r="E422" s="73" t="n"/>
      <c r="F422" s="73" t="n"/>
      <c r="G422" s="205" t="n"/>
      <c r="H422" s="116" t="n"/>
      <c r="I422" s="88" t="n"/>
      <c r="J422" s="28" t="n"/>
      <c r="K422" s="34" t="n"/>
      <c r="L422" s="45" t="n"/>
      <c r="M422" s="65" t="n"/>
      <c r="N422" s="65" t="n"/>
      <c r="O422" s="65" t="n"/>
      <c r="P422" s="65" t="n"/>
      <c r="Q422" s="65" t="n"/>
      <c r="R422" s="65" t="n"/>
      <c r="S422" s="18" t="n"/>
      <c r="T422" s="18" t="n"/>
      <c r="U422" s="30" t="n"/>
      <c r="V422" s="18" t="n"/>
      <c r="W422" s="18" t="n"/>
      <c r="X422" s="18" t="n"/>
      <c r="Y422" s="65" t="n"/>
      <c r="Z422" s="65" t="n"/>
      <c r="AA422" s="28" t="n"/>
      <c r="AB422" s="28" t="n"/>
      <c r="AC422" s="28" t="n"/>
      <c r="AD422" s="28" t="n"/>
      <c r="AE422" s="28" t="n"/>
      <c r="AF422" s="28" t="n"/>
      <c r="AG422" s="28" t="n"/>
      <c r="AH422" s="28" t="n"/>
      <c r="AI422" s="28" t="n"/>
      <c r="AJ422" s="28" t="n"/>
      <c r="AK422" s="28" t="n"/>
      <c r="AL422" s="65" t="n"/>
      <c r="AM422" s="65" t="n"/>
      <c r="AN422" s="65" t="n"/>
      <c r="AO422" s="65" t="n"/>
      <c r="AP422" s="65" t="n"/>
    </row>
    <row r="423" ht="51.75" customHeight="1" s="222">
      <c r="A423" s="73" t="n"/>
      <c r="B423" s="73" t="n"/>
      <c r="C423" s="105" t="n"/>
      <c r="D423" s="28" t="n"/>
      <c r="E423" s="73" t="n"/>
      <c r="F423" s="73" t="n"/>
      <c r="G423" s="205" t="n"/>
      <c r="H423" s="116" t="n"/>
      <c r="I423" s="88" t="n"/>
      <c r="J423" s="28" t="n"/>
      <c r="K423" s="34" t="n"/>
      <c r="L423" s="45" t="n"/>
      <c r="M423" s="65" t="n"/>
      <c r="N423" s="65" t="n"/>
      <c r="O423" s="65" t="n"/>
      <c r="P423" s="65" t="n"/>
      <c r="Q423" s="65" t="n"/>
      <c r="R423" s="65" t="n"/>
      <c r="S423" s="18" t="n"/>
      <c r="T423" s="18" t="n"/>
      <c r="U423" s="30" t="n"/>
      <c r="V423" s="18" t="n"/>
      <c r="W423" s="18" t="n"/>
      <c r="X423" s="18" t="n"/>
      <c r="Y423" s="65" t="n"/>
      <c r="Z423" s="65" t="n"/>
      <c r="AA423" s="28" t="n"/>
      <c r="AB423" s="28" t="n"/>
      <c r="AC423" s="28" t="n"/>
      <c r="AD423" s="28" t="n"/>
      <c r="AE423" s="28" t="n"/>
      <c r="AF423" s="28" t="n"/>
      <c r="AG423" s="28" t="n"/>
      <c r="AH423" s="28" t="n"/>
      <c r="AI423" s="28" t="n"/>
      <c r="AJ423" s="28" t="n"/>
      <c r="AK423" s="28" t="n"/>
      <c r="AL423" s="65" t="n"/>
      <c r="AM423" s="65" t="n"/>
      <c r="AN423" s="65" t="n"/>
      <c r="AO423" s="65" t="n"/>
      <c r="AP423" s="65" t="n"/>
    </row>
    <row r="424" ht="51.75" customHeight="1" s="222">
      <c r="A424" s="73" t="n"/>
      <c r="B424" s="73" t="n"/>
      <c r="C424" s="105" t="n"/>
      <c r="D424" s="28" t="n"/>
      <c r="E424" s="73" t="n"/>
      <c r="F424" s="73" t="n"/>
      <c r="G424" s="205" t="n"/>
      <c r="H424" s="116" t="n"/>
      <c r="I424" s="88" t="n"/>
      <c r="J424" s="28" t="n"/>
      <c r="K424" s="34" t="n"/>
      <c r="L424" s="45" t="n"/>
      <c r="M424" s="65" t="n"/>
      <c r="N424" s="65" t="n"/>
      <c r="O424" s="65" t="n"/>
      <c r="P424" s="65" t="n"/>
      <c r="Q424" s="65" t="n"/>
      <c r="R424" s="65" t="n"/>
      <c r="S424" s="18" t="n"/>
      <c r="T424" s="18" t="n"/>
      <c r="U424" s="30" t="n"/>
      <c r="V424" s="18" t="n"/>
      <c r="W424" s="18" t="n"/>
      <c r="X424" s="18" t="n"/>
      <c r="Y424" s="65" t="n"/>
      <c r="Z424" s="65" t="n"/>
      <c r="AA424" s="28" t="n"/>
      <c r="AB424" s="28" t="n"/>
      <c r="AC424" s="28" t="n"/>
      <c r="AD424" s="28" t="n"/>
      <c r="AE424" s="28" t="n"/>
      <c r="AF424" s="28" t="n"/>
      <c r="AG424" s="28" t="n"/>
      <c r="AH424" s="28" t="n"/>
      <c r="AI424" s="28" t="n"/>
      <c r="AJ424" s="28" t="n"/>
      <c r="AK424" s="28" t="n"/>
      <c r="AL424" s="65" t="n"/>
      <c r="AM424" s="65" t="n"/>
      <c r="AN424" s="65" t="n"/>
      <c r="AO424" s="65" t="n"/>
      <c r="AP424" s="65" t="n"/>
    </row>
    <row r="425" ht="51.75" customHeight="1" s="222">
      <c r="A425" s="73" t="n"/>
      <c r="B425" s="73" t="n"/>
      <c r="C425" s="105" t="n"/>
      <c r="D425" s="28" t="n"/>
      <c r="E425" s="73" t="n"/>
      <c r="F425" s="73" t="n"/>
      <c r="G425" s="205" t="n"/>
      <c r="H425" s="116" t="n"/>
      <c r="I425" s="88" t="n"/>
      <c r="J425" s="28" t="n"/>
      <c r="K425" s="34" t="n"/>
      <c r="L425" s="45" t="n"/>
      <c r="M425" s="65" t="n"/>
      <c r="N425" s="65" t="n"/>
      <c r="O425" s="65" t="n"/>
      <c r="P425" s="65" t="n"/>
      <c r="Q425" s="65" t="n"/>
      <c r="R425" s="65" t="n"/>
      <c r="S425" s="18" t="n"/>
      <c r="T425" s="18" t="n"/>
      <c r="U425" s="30" t="n"/>
      <c r="V425" s="18" t="n"/>
      <c r="W425" s="18" t="n"/>
      <c r="X425" s="18" t="n"/>
      <c r="Y425" s="65" t="n"/>
      <c r="Z425" s="65" t="n"/>
      <c r="AA425" s="28" t="n"/>
      <c r="AB425" s="28" t="n"/>
      <c r="AC425" s="28" t="n"/>
      <c r="AD425" s="28" t="n"/>
      <c r="AE425" s="28" t="n"/>
      <c r="AF425" s="28" t="n"/>
      <c r="AG425" s="28" t="n"/>
      <c r="AH425" s="28" t="n"/>
      <c r="AI425" s="28" t="n"/>
      <c r="AJ425" s="28" t="n"/>
      <c r="AK425" s="28" t="n"/>
      <c r="AL425" s="65" t="n"/>
      <c r="AM425" s="65" t="n"/>
      <c r="AN425" s="65" t="n"/>
      <c r="AO425" s="65" t="n"/>
      <c r="AP425" s="65" t="n"/>
    </row>
    <row r="426" ht="51.75" customHeight="1" s="222">
      <c r="A426" s="73" t="n"/>
      <c r="B426" s="73" t="n"/>
      <c r="C426" s="105" t="n"/>
      <c r="D426" s="28" t="n"/>
      <c r="E426" s="73" t="n"/>
      <c r="F426" s="73" t="n"/>
      <c r="G426" s="205" t="n"/>
      <c r="H426" s="116" t="n"/>
      <c r="I426" s="88" t="n"/>
      <c r="J426" s="28" t="n"/>
      <c r="K426" s="34" t="n"/>
      <c r="L426" s="45" t="n"/>
      <c r="M426" s="65" t="n"/>
      <c r="N426" s="65" t="n"/>
      <c r="O426" s="65" t="n"/>
      <c r="P426" s="65" t="n"/>
      <c r="Q426" s="65" t="n"/>
      <c r="R426" s="65" t="n"/>
      <c r="S426" s="18" t="n"/>
      <c r="T426" s="18" t="n"/>
      <c r="U426" s="30" t="n"/>
      <c r="V426" s="18" t="n"/>
      <c r="W426" s="18" t="n"/>
      <c r="X426" s="18" t="n"/>
      <c r="Y426" s="65" t="n"/>
      <c r="Z426" s="65" t="n"/>
      <c r="AA426" s="28" t="n"/>
      <c r="AB426" s="28" t="n"/>
      <c r="AC426" s="28" t="n"/>
      <c r="AD426" s="28" t="n"/>
      <c r="AE426" s="28" t="n"/>
      <c r="AF426" s="28" t="n"/>
      <c r="AG426" s="28" t="n"/>
      <c r="AH426" s="28" t="n"/>
      <c r="AI426" s="28" t="n"/>
      <c r="AJ426" s="28" t="n"/>
      <c r="AK426" s="28" t="n"/>
      <c r="AL426" s="65" t="n"/>
      <c r="AM426" s="65" t="n"/>
      <c r="AN426" s="65" t="n"/>
      <c r="AO426" s="65" t="n"/>
      <c r="AP426" s="65" t="n"/>
    </row>
    <row r="427" ht="51.75" customHeight="1" s="222">
      <c r="A427" s="73" t="n"/>
      <c r="B427" s="73" t="n"/>
      <c r="C427" s="105" t="n"/>
      <c r="D427" s="28" t="n"/>
      <c r="E427" s="73" t="n"/>
      <c r="F427" s="73" t="n"/>
      <c r="G427" s="205" t="n"/>
      <c r="H427" s="116" t="n"/>
      <c r="I427" s="88" t="n"/>
      <c r="J427" s="28" t="n"/>
      <c r="K427" s="34" t="n"/>
      <c r="L427" s="45" t="n"/>
      <c r="M427" s="65" t="n"/>
      <c r="N427" s="65" t="n"/>
      <c r="O427" s="65" t="n"/>
      <c r="P427" s="65" t="n"/>
      <c r="Q427" s="65" t="n"/>
      <c r="R427" s="65" t="n"/>
      <c r="S427" s="18" t="n"/>
      <c r="T427" s="18" t="n"/>
      <c r="U427" s="30" t="n"/>
      <c r="V427" s="18" t="n"/>
      <c r="W427" s="18" t="n"/>
      <c r="X427" s="18" t="n"/>
      <c r="Y427" s="65" t="n"/>
      <c r="Z427" s="65" t="n"/>
      <c r="AA427" s="28" t="n"/>
      <c r="AB427" s="28" t="n"/>
      <c r="AC427" s="28" t="n"/>
      <c r="AD427" s="28" t="n"/>
      <c r="AE427" s="28" t="n"/>
      <c r="AF427" s="28" t="n"/>
      <c r="AG427" s="28" t="n"/>
      <c r="AH427" s="28" t="n"/>
      <c r="AI427" s="28" t="n"/>
      <c r="AJ427" s="28" t="n"/>
      <c r="AK427" s="28" t="n"/>
      <c r="AL427" s="65" t="n"/>
      <c r="AM427" s="65" t="n"/>
      <c r="AN427" s="65" t="n"/>
      <c r="AO427" s="65" t="n"/>
      <c r="AP427" s="65" t="n"/>
    </row>
    <row r="428" ht="51.75" customHeight="1" s="222">
      <c r="A428" s="73" t="n"/>
      <c r="B428" s="73" t="n"/>
      <c r="C428" s="105" t="n"/>
      <c r="D428" s="28" t="n"/>
      <c r="E428" s="73" t="n"/>
      <c r="F428" s="73" t="n"/>
      <c r="G428" s="205" t="n"/>
      <c r="H428" s="116" t="n"/>
      <c r="I428" s="88" t="n"/>
      <c r="J428" s="28" t="n"/>
      <c r="K428" s="34" t="n"/>
      <c r="L428" s="45" t="n"/>
      <c r="M428" s="65" t="n"/>
      <c r="N428" s="65" t="n"/>
      <c r="O428" s="65" t="n"/>
      <c r="P428" s="65" t="n"/>
      <c r="Q428" s="65" t="n"/>
      <c r="R428" s="65" t="n"/>
      <c r="S428" s="18" t="n"/>
      <c r="T428" s="18" t="n"/>
      <c r="U428" s="30" t="n"/>
      <c r="V428" s="18" t="n"/>
      <c r="W428" s="18" t="n"/>
      <c r="X428" s="18" t="n"/>
      <c r="Y428" s="65" t="n"/>
      <c r="Z428" s="65" t="n"/>
      <c r="AA428" s="28" t="n"/>
      <c r="AB428" s="28" t="n"/>
      <c r="AC428" s="28" t="n"/>
      <c r="AD428" s="28" t="n"/>
      <c r="AE428" s="28" t="n"/>
      <c r="AF428" s="28" t="n"/>
      <c r="AG428" s="28" t="n"/>
      <c r="AH428" s="28" t="n"/>
      <c r="AI428" s="28" t="n"/>
      <c r="AJ428" s="28" t="n"/>
      <c r="AK428" s="28" t="n"/>
      <c r="AL428" s="65" t="n"/>
      <c r="AM428" s="65" t="n"/>
      <c r="AN428" s="65" t="n"/>
      <c r="AO428" s="65" t="n"/>
      <c r="AP428" s="65" t="n"/>
    </row>
    <row r="429" ht="51.75" customHeight="1" s="222">
      <c r="A429" s="73" t="n"/>
      <c r="B429" s="73" t="n"/>
      <c r="C429" s="105" t="n"/>
      <c r="D429" s="28" t="n"/>
      <c r="E429" s="73" t="n"/>
      <c r="F429" s="73" t="n"/>
      <c r="G429" s="205" t="n"/>
      <c r="H429" s="116" t="n"/>
      <c r="I429" s="88" t="n"/>
      <c r="J429" s="28" t="n"/>
      <c r="K429" s="34" t="n"/>
      <c r="L429" s="45" t="n"/>
      <c r="M429" s="65" t="n"/>
      <c r="N429" s="65" t="n"/>
      <c r="O429" s="65" t="n"/>
      <c r="P429" s="65" t="n"/>
      <c r="Q429" s="65" t="n"/>
      <c r="R429" s="65" t="n"/>
      <c r="S429" s="18" t="n"/>
      <c r="T429" s="18" t="n"/>
      <c r="U429" s="30" t="n"/>
      <c r="V429" s="18" t="n"/>
      <c r="W429" s="18" t="n"/>
      <c r="X429" s="18" t="n"/>
      <c r="Y429" s="65" t="n"/>
      <c r="Z429" s="65" t="n"/>
      <c r="AA429" s="28" t="n"/>
      <c r="AB429" s="28" t="n"/>
      <c r="AC429" s="28" t="n"/>
      <c r="AD429" s="28" t="n"/>
      <c r="AE429" s="28" t="n"/>
      <c r="AF429" s="28" t="n"/>
      <c r="AG429" s="28" t="n"/>
      <c r="AH429" s="28" t="n"/>
      <c r="AI429" s="28" t="n"/>
      <c r="AJ429" s="28" t="n"/>
      <c r="AK429" s="28" t="n"/>
      <c r="AL429" s="65" t="n"/>
      <c r="AM429" s="65" t="n"/>
      <c r="AN429" s="65" t="n"/>
      <c r="AO429" s="65" t="n"/>
      <c r="AP429" s="65" t="n"/>
    </row>
    <row r="430" ht="51.75" customHeight="1" s="222">
      <c r="A430" s="73" t="n"/>
      <c r="B430" s="73" t="n"/>
      <c r="C430" s="105" t="n"/>
      <c r="D430" s="28" t="n"/>
      <c r="E430" s="73" t="n"/>
      <c r="F430" s="73" t="n"/>
      <c r="G430" s="205" t="n"/>
      <c r="H430" s="116" t="n"/>
      <c r="I430" s="88" t="n"/>
      <c r="J430" s="28" t="n"/>
      <c r="K430" s="34" t="n"/>
      <c r="L430" s="45" t="n"/>
      <c r="M430" s="65" t="n"/>
      <c r="N430" s="65" t="n"/>
      <c r="O430" s="65" t="n"/>
      <c r="P430" s="65" t="n"/>
      <c r="Q430" s="65" t="n"/>
      <c r="R430" s="65" t="n"/>
      <c r="S430" s="18" t="n"/>
      <c r="T430" s="18" t="n"/>
      <c r="U430" s="30" t="n"/>
      <c r="V430" s="18" t="n"/>
      <c r="W430" s="18" t="n"/>
      <c r="X430" s="18" t="n"/>
      <c r="Y430" s="65" t="n"/>
      <c r="Z430" s="65" t="n"/>
      <c r="AA430" s="28" t="n"/>
      <c r="AB430" s="28" t="n"/>
      <c r="AC430" s="28" t="n"/>
      <c r="AD430" s="28" t="n"/>
      <c r="AE430" s="28" t="n"/>
      <c r="AF430" s="28" t="n"/>
      <c r="AG430" s="28" t="n"/>
      <c r="AH430" s="28" t="n"/>
      <c r="AI430" s="28" t="n"/>
      <c r="AJ430" s="28" t="n"/>
      <c r="AK430" s="28" t="n"/>
      <c r="AL430" s="65" t="n"/>
      <c r="AM430" s="65" t="n"/>
      <c r="AN430" s="65" t="n"/>
      <c r="AO430" s="65" t="n"/>
      <c r="AP430" s="65" t="n"/>
    </row>
    <row r="431" ht="51.75" customHeight="1" s="222">
      <c r="A431" s="73" t="n"/>
      <c r="B431" s="73" t="n"/>
      <c r="C431" s="105" t="n"/>
      <c r="D431" s="28" t="n"/>
      <c r="E431" s="73" t="n"/>
      <c r="F431" s="73" t="n"/>
      <c r="G431" s="205" t="n"/>
      <c r="H431" s="116" t="n"/>
      <c r="I431" s="88" t="n"/>
      <c r="J431" s="28" t="n"/>
      <c r="K431" s="34" t="n"/>
      <c r="L431" s="45" t="n"/>
      <c r="M431" s="65" t="n"/>
      <c r="N431" s="65" t="n"/>
      <c r="O431" s="65" t="n"/>
      <c r="P431" s="65" t="n"/>
      <c r="Q431" s="65" t="n"/>
      <c r="R431" s="65" t="n"/>
      <c r="S431" s="18" t="n"/>
      <c r="T431" s="18" t="n"/>
      <c r="U431" s="30" t="n"/>
      <c r="V431" s="18" t="n"/>
      <c r="W431" s="18" t="n"/>
      <c r="X431" s="18" t="n"/>
      <c r="Y431" s="65" t="n"/>
      <c r="Z431" s="65" t="n"/>
      <c r="AA431" s="28" t="n"/>
      <c r="AB431" s="28" t="n"/>
      <c r="AC431" s="28" t="n"/>
      <c r="AD431" s="28" t="n"/>
      <c r="AE431" s="28" t="n"/>
      <c r="AF431" s="28" t="n"/>
      <c r="AG431" s="28" t="n"/>
      <c r="AH431" s="28" t="n"/>
      <c r="AI431" s="28" t="n"/>
      <c r="AJ431" s="28" t="n"/>
      <c r="AK431" s="28" t="n"/>
      <c r="AL431" s="65" t="n"/>
      <c r="AM431" s="65" t="n"/>
      <c r="AN431" s="65" t="n"/>
      <c r="AO431" s="65" t="n"/>
      <c r="AP431" s="65" t="n"/>
    </row>
    <row r="432" ht="51.75" customHeight="1" s="222">
      <c r="A432" s="73" t="n"/>
      <c r="B432" s="73" t="n"/>
      <c r="C432" s="105" t="n"/>
      <c r="D432" s="28" t="n"/>
      <c r="E432" s="73" t="n"/>
      <c r="F432" s="73" t="n"/>
      <c r="G432" s="205" t="n"/>
      <c r="H432" s="116" t="n"/>
      <c r="I432" s="88" t="n"/>
      <c r="J432" s="28" t="n"/>
      <c r="K432" s="34" t="n"/>
      <c r="L432" s="45" t="n"/>
      <c r="M432" s="65" t="n"/>
      <c r="N432" s="65" t="n"/>
      <c r="O432" s="65" t="n"/>
      <c r="P432" s="65" t="n"/>
      <c r="Q432" s="65" t="n"/>
      <c r="R432" s="65" t="n"/>
      <c r="S432" s="18" t="n"/>
      <c r="T432" s="18" t="n"/>
      <c r="U432" s="30" t="n"/>
      <c r="V432" s="18" t="n"/>
      <c r="W432" s="18" t="n"/>
      <c r="X432" s="18" t="n"/>
      <c r="Y432" s="65" t="n"/>
      <c r="Z432" s="65" t="n"/>
      <c r="AA432" s="28" t="n"/>
      <c r="AB432" s="28" t="n"/>
      <c r="AC432" s="28" t="n"/>
      <c r="AD432" s="28" t="n"/>
      <c r="AE432" s="28" t="n"/>
      <c r="AF432" s="28" t="n"/>
      <c r="AG432" s="28" t="n"/>
      <c r="AH432" s="28" t="n"/>
      <c r="AI432" s="28" t="n"/>
      <c r="AJ432" s="28" t="n"/>
      <c r="AK432" s="28" t="n"/>
      <c r="AL432" s="65" t="n"/>
      <c r="AM432" s="65" t="n"/>
      <c r="AN432" s="65" t="n"/>
      <c r="AO432" s="65" t="n"/>
      <c r="AP432" s="65" t="n"/>
    </row>
    <row r="433" ht="51.75" customHeight="1" s="222">
      <c r="A433" s="73" t="n"/>
      <c r="B433" s="73" t="n"/>
      <c r="C433" s="105" t="n"/>
      <c r="D433" s="28" t="n"/>
      <c r="E433" s="73" t="n"/>
      <c r="F433" s="73" t="n"/>
      <c r="G433" s="205" t="n"/>
      <c r="H433" s="116" t="n"/>
      <c r="I433" s="88" t="n"/>
      <c r="J433" s="28" t="n"/>
      <c r="K433" s="34" t="n"/>
      <c r="L433" s="45" t="n"/>
      <c r="M433" s="65" t="n"/>
      <c r="N433" s="65" t="n"/>
      <c r="O433" s="65" t="n"/>
      <c r="P433" s="65" t="n"/>
      <c r="Q433" s="65" t="n"/>
      <c r="R433" s="65" t="n"/>
      <c r="S433" s="18" t="n"/>
      <c r="T433" s="18" t="n"/>
      <c r="U433" s="30" t="n"/>
      <c r="V433" s="18" t="n"/>
      <c r="W433" s="18" t="n"/>
      <c r="X433" s="18" t="n"/>
      <c r="Y433" s="65" t="n"/>
      <c r="Z433" s="65" t="n"/>
      <c r="AA433" s="28" t="n"/>
      <c r="AB433" s="28" t="n"/>
      <c r="AC433" s="28" t="n"/>
      <c r="AD433" s="28" t="n"/>
      <c r="AE433" s="28" t="n"/>
      <c r="AF433" s="28" t="n"/>
      <c r="AG433" s="28" t="n"/>
      <c r="AH433" s="28" t="n"/>
      <c r="AI433" s="28" t="n"/>
      <c r="AJ433" s="28" t="n"/>
      <c r="AK433" s="28" t="n"/>
      <c r="AL433" s="65" t="n"/>
      <c r="AM433" s="65" t="n"/>
      <c r="AN433" s="65" t="n"/>
      <c r="AO433" s="65" t="n"/>
      <c r="AP433" s="65" t="n"/>
    </row>
    <row r="434" ht="51.75" customHeight="1" s="222">
      <c r="A434" s="73" t="n"/>
      <c r="B434" s="73" t="n"/>
      <c r="C434" s="105" t="n"/>
      <c r="D434" s="28" t="n"/>
      <c r="E434" s="73" t="n"/>
      <c r="F434" s="73" t="n"/>
      <c r="G434" s="205" t="n"/>
      <c r="H434" s="116" t="n"/>
      <c r="I434" s="88" t="n"/>
      <c r="J434" s="28" t="n"/>
      <c r="K434" s="34" t="n"/>
      <c r="L434" s="45" t="n"/>
      <c r="M434" s="65" t="n"/>
      <c r="N434" s="65" t="n"/>
      <c r="O434" s="65" t="n"/>
      <c r="P434" s="65" t="n"/>
      <c r="Q434" s="65" t="n"/>
      <c r="R434" s="65" t="n"/>
      <c r="S434" s="18" t="n"/>
      <c r="T434" s="18" t="n"/>
      <c r="U434" s="30" t="n"/>
      <c r="V434" s="18" t="n"/>
      <c r="W434" s="18" t="n"/>
      <c r="X434" s="18" t="n"/>
      <c r="Y434" s="65" t="n"/>
      <c r="Z434" s="65" t="n"/>
      <c r="AA434" s="28" t="n"/>
      <c r="AB434" s="28" t="n"/>
      <c r="AC434" s="28" t="n"/>
      <c r="AD434" s="28" t="n"/>
      <c r="AE434" s="28" t="n"/>
      <c r="AF434" s="28" t="n"/>
      <c r="AG434" s="28" t="n"/>
      <c r="AH434" s="28" t="n"/>
      <c r="AI434" s="28" t="n"/>
      <c r="AJ434" s="28" t="n"/>
      <c r="AK434" s="28" t="n"/>
      <c r="AL434" s="65" t="n"/>
      <c r="AM434" s="65" t="n"/>
      <c r="AN434" s="65" t="n"/>
      <c r="AO434" s="65" t="n"/>
      <c r="AP434" s="65" t="n"/>
    </row>
    <row r="435" ht="51.75" customHeight="1" s="222">
      <c r="A435" s="73" t="n"/>
      <c r="B435" s="73" t="n"/>
      <c r="C435" s="105" t="n"/>
      <c r="D435" s="28" t="n"/>
      <c r="E435" s="73" t="n"/>
      <c r="F435" s="73" t="n"/>
      <c r="G435" s="205" t="n"/>
      <c r="H435" s="116" t="n"/>
      <c r="I435" s="88" t="n"/>
      <c r="J435" s="28" t="n"/>
      <c r="K435" s="34" t="n"/>
      <c r="L435" s="45" t="n"/>
      <c r="M435" s="65" t="n"/>
      <c r="N435" s="65" t="n"/>
      <c r="O435" s="65" t="n"/>
      <c r="P435" s="65" t="n"/>
      <c r="Q435" s="65" t="n"/>
      <c r="R435" s="65" t="n"/>
      <c r="S435" s="18" t="n"/>
      <c r="T435" s="18" t="n"/>
      <c r="U435" s="30" t="n"/>
      <c r="V435" s="18" t="n"/>
      <c r="W435" s="18" t="n"/>
      <c r="X435" s="18" t="n"/>
      <c r="Y435" s="65" t="n"/>
      <c r="Z435" s="65" t="n"/>
      <c r="AA435" s="28" t="n"/>
      <c r="AB435" s="28" t="n"/>
      <c r="AC435" s="28" t="n"/>
      <c r="AD435" s="28" t="n"/>
      <c r="AE435" s="28" t="n"/>
      <c r="AF435" s="28" t="n"/>
      <c r="AG435" s="28" t="n"/>
      <c r="AH435" s="28" t="n"/>
      <c r="AI435" s="28" t="n"/>
      <c r="AJ435" s="28" t="n"/>
      <c r="AK435" s="28" t="n"/>
      <c r="AL435" s="65" t="n"/>
      <c r="AM435" s="65" t="n"/>
      <c r="AN435" s="65" t="n"/>
      <c r="AO435" s="65" t="n"/>
      <c r="AP435" s="65" t="n"/>
    </row>
    <row r="436" ht="51.75" customHeight="1" s="222">
      <c r="A436" s="73" t="n"/>
      <c r="B436" s="73" t="n"/>
      <c r="C436" s="105" t="n"/>
      <c r="D436" s="28" t="n"/>
      <c r="E436" s="73" t="n"/>
      <c r="F436" s="73" t="n"/>
      <c r="G436" s="205" t="n"/>
      <c r="H436" s="116" t="n"/>
      <c r="I436" s="88" t="n"/>
      <c r="J436" s="28" t="n"/>
      <c r="K436" s="34" t="n"/>
      <c r="L436" s="45" t="n"/>
      <c r="M436" s="65" t="n"/>
      <c r="N436" s="65" t="n"/>
      <c r="O436" s="65" t="n"/>
      <c r="P436" s="65" t="n"/>
      <c r="Q436" s="65" t="n"/>
      <c r="R436" s="65" t="n"/>
      <c r="S436" s="18" t="n"/>
      <c r="T436" s="18" t="n"/>
      <c r="U436" s="30" t="n"/>
      <c r="V436" s="18" t="n"/>
      <c r="W436" s="18" t="n"/>
      <c r="X436" s="18" t="n"/>
      <c r="Y436" s="65" t="n"/>
      <c r="Z436" s="65" t="n"/>
      <c r="AA436" s="28" t="n"/>
      <c r="AB436" s="28" t="n"/>
      <c r="AC436" s="28" t="n"/>
      <c r="AD436" s="28" t="n"/>
      <c r="AE436" s="28" t="n"/>
      <c r="AF436" s="28" t="n"/>
      <c r="AG436" s="28" t="n"/>
      <c r="AH436" s="28" t="n"/>
      <c r="AI436" s="28" t="n"/>
      <c r="AJ436" s="28" t="n"/>
      <c r="AK436" s="28" t="n"/>
      <c r="AL436" s="65" t="n"/>
      <c r="AM436" s="65" t="n"/>
      <c r="AN436" s="65" t="n"/>
      <c r="AO436" s="65" t="n"/>
      <c r="AP436" s="65" t="n"/>
    </row>
    <row r="437" ht="51.75" customHeight="1" s="222">
      <c r="A437" s="73" t="n"/>
      <c r="B437" s="73" t="n"/>
      <c r="C437" s="105" t="n"/>
      <c r="D437" s="28" t="n"/>
      <c r="E437" s="73" t="n"/>
      <c r="F437" s="73" t="n"/>
      <c r="G437" s="205" t="n"/>
      <c r="H437" s="116" t="n"/>
      <c r="I437" s="88" t="n"/>
      <c r="J437" s="28" t="n"/>
      <c r="K437" s="34" t="n"/>
      <c r="L437" s="45" t="n"/>
      <c r="M437" s="65" t="n"/>
      <c r="N437" s="65" t="n"/>
      <c r="O437" s="65" t="n"/>
      <c r="P437" s="65" t="n"/>
      <c r="Q437" s="65" t="n"/>
      <c r="R437" s="65" t="n"/>
      <c r="S437" s="18" t="n"/>
      <c r="T437" s="18" t="n"/>
      <c r="U437" s="30" t="n"/>
      <c r="V437" s="18" t="n"/>
      <c r="W437" s="18" t="n"/>
      <c r="X437" s="18" t="n"/>
      <c r="Y437" s="65" t="n"/>
      <c r="Z437" s="65" t="n"/>
      <c r="AA437" s="28" t="n"/>
      <c r="AB437" s="28" t="n"/>
      <c r="AC437" s="28" t="n"/>
      <c r="AD437" s="28" t="n"/>
      <c r="AE437" s="28" t="n"/>
      <c r="AF437" s="28" t="n"/>
      <c r="AG437" s="28" t="n"/>
      <c r="AH437" s="28" t="n"/>
      <c r="AI437" s="28" t="n"/>
      <c r="AJ437" s="28" t="n"/>
      <c r="AK437" s="28" t="n"/>
      <c r="AL437" s="65" t="n"/>
      <c r="AM437" s="65" t="n"/>
      <c r="AN437" s="65" t="n"/>
      <c r="AO437" s="65" t="n"/>
      <c r="AP437" s="65" t="n"/>
    </row>
    <row r="438" ht="51.75" customHeight="1" s="222">
      <c r="A438" s="73" t="n"/>
      <c r="B438" s="73" t="n"/>
      <c r="C438" s="105" t="n"/>
      <c r="D438" s="28" t="n"/>
      <c r="E438" s="73" t="n"/>
      <c r="F438" s="73" t="n"/>
      <c r="G438" s="205" t="n"/>
      <c r="H438" s="116" t="n"/>
      <c r="I438" s="88" t="n"/>
      <c r="J438" s="28" t="n"/>
      <c r="K438" s="34" t="n"/>
      <c r="L438" s="45" t="n"/>
      <c r="M438" s="65" t="n"/>
      <c r="N438" s="65" t="n"/>
      <c r="O438" s="65" t="n"/>
      <c r="P438" s="65" t="n"/>
      <c r="Q438" s="65" t="n"/>
      <c r="R438" s="65" t="n"/>
      <c r="S438" s="18" t="n"/>
      <c r="T438" s="18" t="n"/>
      <c r="U438" s="30" t="n"/>
      <c r="V438" s="18" t="n"/>
      <c r="W438" s="18" t="n"/>
      <c r="X438" s="18" t="n"/>
      <c r="Y438" s="65" t="n"/>
      <c r="Z438" s="65" t="n"/>
      <c r="AA438" s="28" t="n"/>
      <c r="AB438" s="28" t="n"/>
      <c r="AC438" s="28" t="n"/>
      <c r="AD438" s="28" t="n"/>
      <c r="AE438" s="28" t="n"/>
      <c r="AF438" s="28" t="n"/>
      <c r="AG438" s="28" t="n"/>
      <c r="AH438" s="28" t="n"/>
      <c r="AI438" s="28" t="n"/>
      <c r="AJ438" s="28" t="n"/>
      <c r="AK438" s="28" t="n"/>
      <c r="AL438" s="65" t="n"/>
      <c r="AM438" s="65" t="n"/>
      <c r="AN438" s="65" t="n"/>
      <c r="AO438" s="65" t="n"/>
      <c r="AP438" s="65" t="n"/>
    </row>
    <row r="439" ht="51.75" customHeight="1" s="222">
      <c r="A439" s="73" t="n"/>
      <c r="B439" s="73" t="n"/>
      <c r="C439" s="105" t="n"/>
      <c r="D439" s="28" t="n"/>
      <c r="E439" s="73" t="n"/>
      <c r="F439" s="73" t="n"/>
      <c r="G439" s="205" t="n"/>
      <c r="H439" s="116" t="n"/>
      <c r="I439" s="88" t="n"/>
      <c r="J439" s="28" t="n"/>
      <c r="K439" s="34" t="n"/>
      <c r="L439" s="45" t="n"/>
      <c r="M439" s="65" t="n"/>
      <c r="N439" s="65" t="n"/>
      <c r="O439" s="65" t="n"/>
      <c r="P439" s="65" t="n"/>
      <c r="Q439" s="65" t="n"/>
      <c r="R439" s="65" t="n"/>
      <c r="S439" s="18" t="n"/>
      <c r="T439" s="18" t="n"/>
      <c r="U439" s="30" t="n"/>
      <c r="V439" s="18" t="n"/>
      <c r="W439" s="18" t="n"/>
      <c r="X439" s="18" t="n"/>
      <c r="Y439" s="65" t="n"/>
      <c r="Z439" s="65" t="n"/>
      <c r="AA439" s="28" t="n"/>
      <c r="AB439" s="28" t="n"/>
      <c r="AC439" s="28" t="n"/>
      <c r="AD439" s="28" t="n"/>
      <c r="AE439" s="28" t="n"/>
      <c r="AF439" s="28" t="n"/>
      <c r="AG439" s="28" t="n"/>
      <c r="AH439" s="28" t="n"/>
      <c r="AI439" s="28" t="n"/>
      <c r="AJ439" s="28" t="n"/>
      <c r="AK439" s="28" t="n"/>
      <c r="AL439" s="65" t="n"/>
      <c r="AM439" s="65" t="n"/>
      <c r="AN439" s="65" t="n"/>
      <c r="AO439" s="65" t="n"/>
      <c r="AP439" s="65" t="n"/>
    </row>
    <row r="440" ht="51.75" customHeight="1" s="222">
      <c r="A440" s="73" t="n"/>
      <c r="B440" s="73" t="n"/>
      <c r="C440" s="105" t="n"/>
      <c r="D440" s="28" t="n"/>
      <c r="E440" s="73" t="n"/>
      <c r="F440" s="73" t="n"/>
      <c r="G440" s="205" t="n"/>
      <c r="H440" s="116" t="n"/>
      <c r="I440" s="88" t="n"/>
      <c r="J440" s="28" t="n"/>
      <c r="K440" s="34" t="n"/>
      <c r="L440" s="45" t="n"/>
      <c r="M440" s="65" t="n"/>
      <c r="N440" s="65" t="n"/>
      <c r="O440" s="65" t="n"/>
      <c r="P440" s="65" t="n"/>
      <c r="Q440" s="65" t="n"/>
      <c r="R440" s="65" t="n"/>
      <c r="S440" s="18" t="n"/>
      <c r="T440" s="18" t="n"/>
      <c r="U440" s="30" t="n"/>
      <c r="V440" s="18" t="n"/>
      <c r="W440" s="18" t="n"/>
      <c r="X440" s="18" t="n"/>
      <c r="Y440" s="65" t="n"/>
      <c r="Z440" s="65" t="n"/>
      <c r="AA440" s="28" t="n"/>
      <c r="AB440" s="28" t="n"/>
      <c r="AC440" s="28" t="n"/>
      <c r="AD440" s="28" t="n"/>
      <c r="AE440" s="28" t="n"/>
      <c r="AF440" s="28" t="n"/>
      <c r="AG440" s="28" t="n"/>
      <c r="AH440" s="28" t="n"/>
      <c r="AI440" s="28" t="n"/>
      <c r="AJ440" s="28" t="n"/>
      <c r="AK440" s="28" t="n"/>
      <c r="AL440" s="65" t="n"/>
      <c r="AM440" s="65" t="n"/>
      <c r="AN440" s="65" t="n"/>
      <c r="AO440" s="65" t="n"/>
      <c r="AP440" s="65" t="n"/>
    </row>
    <row r="441" ht="51.75" customHeight="1" s="222">
      <c r="A441" s="73" t="n"/>
      <c r="B441" s="73" t="n"/>
      <c r="C441" s="105" t="n"/>
      <c r="D441" s="28" t="n"/>
      <c r="E441" s="73" t="n"/>
      <c r="F441" s="73" t="n"/>
      <c r="G441" s="205" t="n"/>
      <c r="H441" s="116" t="n"/>
      <c r="I441" s="88" t="n"/>
      <c r="J441" s="28" t="n"/>
      <c r="K441" s="34" t="n"/>
      <c r="L441" s="45" t="n"/>
      <c r="M441" s="65" t="n"/>
      <c r="N441" s="65" t="n"/>
      <c r="O441" s="65" t="n"/>
      <c r="P441" s="65" t="n"/>
      <c r="Q441" s="65" t="n"/>
      <c r="R441" s="65" t="n"/>
      <c r="S441" s="18" t="n"/>
      <c r="T441" s="18" t="n"/>
      <c r="U441" s="30" t="n"/>
      <c r="V441" s="18" t="n"/>
      <c r="W441" s="18" t="n"/>
      <c r="X441" s="18" t="n"/>
      <c r="Y441" s="65" t="n"/>
      <c r="Z441" s="65" t="n"/>
      <c r="AA441" s="28" t="n"/>
      <c r="AB441" s="28" t="n"/>
      <c r="AC441" s="28" t="n"/>
      <c r="AD441" s="28" t="n"/>
      <c r="AE441" s="28" t="n"/>
      <c r="AF441" s="28" t="n"/>
      <c r="AG441" s="28" t="n"/>
      <c r="AH441" s="28" t="n"/>
      <c r="AI441" s="28" t="n"/>
      <c r="AJ441" s="28" t="n"/>
      <c r="AK441" s="28" t="n"/>
      <c r="AL441" s="65" t="n"/>
      <c r="AM441" s="65" t="n"/>
      <c r="AN441" s="65" t="n"/>
      <c r="AO441" s="65" t="n"/>
      <c r="AP441" s="65" t="n"/>
    </row>
    <row r="442" ht="51.75" customHeight="1" s="222">
      <c r="A442" s="73" t="n"/>
      <c r="B442" s="73" t="n"/>
      <c r="C442" s="105" t="n"/>
      <c r="D442" s="28" t="n"/>
      <c r="E442" s="73" t="n"/>
      <c r="F442" s="73" t="n"/>
      <c r="G442" s="205" t="n"/>
      <c r="H442" s="116" t="n"/>
      <c r="I442" s="88" t="n"/>
      <c r="J442" s="28" t="n"/>
      <c r="K442" s="34" t="n"/>
      <c r="L442" s="45" t="n"/>
      <c r="M442" s="65" t="n"/>
      <c r="N442" s="65" t="n"/>
      <c r="O442" s="65" t="n"/>
      <c r="P442" s="65" t="n"/>
      <c r="Q442" s="65" t="n"/>
      <c r="R442" s="65" t="n"/>
      <c r="S442" s="18" t="n"/>
      <c r="T442" s="18" t="n"/>
      <c r="U442" s="30" t="n"/>
      <c r="V442" s="18" t="n"/>
      <c r="W442" s="18" t="n"/>
      <c r="X442" s="18" t="n"/>
      <c r="Y442" s="65" t="n"/>
      <c r="Z442" s="65" t="n"/>
      <c r="AA442" s="28" t="n"/>
      <c r="AB442" s="28" t="n"/>
      <c r="AC442" s="28" t="n"/>
      <c r="AD442" s="28" t="n"/>
      <c r="AE442" s="28" t="n"/>
      <c r="AF442" s="28" t="n"/>
      <c r="AG442" s="28" t="n"/>
      <c r="AH442" s="28" t="n"/>
      <c r="AI442" s="28" t="n"/>
      <c r="AJ442" s="28" t="n"/>
      <c r="AK442" s="28" t="n"/>
      <c r="AL442" s="65" t="n"/>
      <c r="AM442" s="65" t="n"/>
      <c r="AN442" s="65" t="n"/>
      <c r="AO442" s="65" t="n"/>
      <c r="AP442" s="65" t="n"/>
    </row>
    <row r="443" ht="51.75" customHeight="1" s="222">
      <c r="A443" s="73" t="n"/>
      <c r="B443" s="73" t="n"/>
      <c r="C443" s="105" t="n"/>
      <c r="D443" s="28" t="n"/>
      <c r="E443" s="73" t="n"/>
      <c r="F443" s="73" t="n"/>
      <c r="G443" s="205" t="n"/>
      <c r="H443" s="116" t="n"/>
      <c r="I443" s="88" t="n"/>
      <c r="J443" s="28" t="n"/>
      <c r="K443" s="34" t="n"/>
      <c r="L443" s="45" t="n"/>
      <c r="M443" s="65" t="n"/>
      <c r="N443" s="65" t="n"/>
      <c r="O443" s="65" t="n"/>
      <c r="P443" s="65" t="n"/>
      <c r="Q443" s="65" t="n"/>
      <c r="R443" s="65" t="n"/>
      <c r="S443" s="18" t="n"/>
      <c r="T443" s="18" t="n"/>
      <c r="U443" s="30" t="n"/>
      <c r="V443" s="18" t="n"/>
      <c r="W443" s="18" t="n"/>
      <c r="X443" s="18" t="n"/>
      <c r="Y443" s="65" t="n"/>
      <c r="Z443" s="65" t="n"/>
      <c r="AA443" s="28" t="n"/>
      <c r="AB443" s="28" t="n"/>
      <c r="AC443" s="28" t="n"/>
      <c r="AD443" s="28" t="n"/>
      <c r="AE443" s="28" t="n"/>
      <c r="AF443" s="28" t="n"/>
      <c r="AG443" s="28" t="n"/>
      <c r="AH443" s="28" t="n"/>
      <c r="AI443" s="28" t="n"/>
      <c r="AJ443" s="28" t="n"/>
      <c r="AK443" s="28" t="n"/>
      <c r="AL443" s="65" t="n"/>
      <c r="AM443" s="65" t="n"/>
      <c r="AN443" s="65" t="n"/>
      <c r="AO443" s="65" t="n"/>
      <c r="AP443" s="65" t="n"/>
    </row>
    <row r="444" ht="51.75" customHeight="1" s="222">
      <c r="A444" s="73" t="n"/>
      <c r="B444" s="73" t="n"/>
      <c r="C444" s="105" t="n"/>
      <c r="D444" s="28" t="n"/>
      <c r="E444" s="73" t="n"/>
      <c r="F444" s="73" t="n"/>
      <c r="G444" s="205" t="n"/>
      <c r="H444" s="116" t="n"/>
      <c r="I444" s="88" t="n"/>
      <c r="J444" s="28" t="n"/>
      <c r="K444" s="34" t="n"/>
      <c r="L444" s="45" t="n"/>
      <c r="M444" s="65" t="n"/>
      <c r="N444" s="65" t="n"/>
      <c r="O444" s="65" t="n"/>
      <c r="P444" s="65" t="n"/>
      <c r="Q444" s="65" t="n"/>
      <c r="R444" s="65" t="n"/>
      <c r="S444" s="18" t="n"/>
      <c r="T444" s="18" t="n"/>
      <c r="U444" s="30" t="n"/>
      <c r="V444" s="18" t="n"/>
      <c r="W444" s="18" t="n"/>
      <c r="X444" s="18" t="n"/>
      <c r="Y444" s="65" t="n"/>
      <c r="Z444" s="65" t="n"/>
      <c r="AA444" s="28" t="n"/>
      <c r="AB444" s="28" t="n"/>
      <c r="AC444" s="28" t="n"/>
      <c r="AD444" s="28" t="n"/>
      <c r="AE444" s="28" t="n"/>
      <c r="AF444" s="28" t="n"/>
      <c r="AG444" s="28" t="n"/>
      <c r="AH444" s="28" t="n"/>
      <c r="AI444" s="28" t="n"/>
      <c r="AJ444" s="28" t="n"/>
      <c r="AK444" s="28" t="n"/>
      <c r="AL444" s="65" t="n"/>
      <c r="AM444" s="65" t="n"/>
      <c r="AN444" s="65" t="n"/>
      <c r="AO444" s="65" t="n"/>
      <c r="AP444" s="65" t="n"/>
    </row>
    <row r="445" ht="51.75" customHeight="1" s="222">
      <c r="A445" s="73" t="n"/>
      <c r="B445" s="73" t="n"/>
      <c r="C445" s="105" t="n"/>
      <c r="D445" s="28" t="n"/>
      <c r="E445" s="73" t="n"/>
      <c r="F445" s="73" t="n"/>
      <c r="G445" s="205" t="n"/>
      <c r="H445" s="116" t="n"/>
      <c r="I445" s="88" t="n"/>
      <c r="J445" s="28" t="n"/>
      <c r="K445" s="34" t="n"/>
      <c r="L445" s="45" t="n"/>
      <c r="M445" s="65" t="n"/>
      <c r="N445" s="65" t="n"/>
      <c r="O445" s="65" t="n"/>
      <c r="P445" s="65" t="n"/>
      <c r="Q445" s="65" t="n"/>
      <c r="R445" s="65" t="n"/>
      <c r="S445" s="18" t="n"/>
      <c r="T445" s="18" t="n"/>
      <c r="U445" s="30" t="n"/>
      <c r="V445" s="18" t="n"/>
      <c r="W445" s="18" t="n"/>
      <c r="X445" s="18" t="n"/>
      <c r="Y445" s="65" t="n"/>
      <c r="Z445" s="65" t="n"/>
      <c r="AA445" s="28" t="n"/>
      <c r="AB445" s="28" t="n"/>
      <c r="AC445" s="28" t="n"/>
      <c r="AD445" s="28" t="n"/>
      <c r="AE445" s="28" t="n"/>
      <c r="AF445" s="28" t="n"/>
      <c r="AG445" s="28" t="n"/>
      <c r="AH445" s="28" t="n"/>
      <c r="AI445" s="28" t="n"/>
      <c r="AJ445" s="28" t="n"/>
      <c r="AK445" s="28" t="n"/>
      <c r="AL445" s="65" t="n"/>
      <c r="AM445" s="65" t="n"/>
      <c r="AN445" s="65" t="n"/>
      <c r="AO445" s="65" t="n"/>
      <c r="AP445" s="65" t="n"/>
    </row>
  </sheetData>
  <autoFilter ref="$A$1:$AP$368">
    <sortState ref="A1:AP368">
      <sortCondition ref="B1:B368"/>
    </sortState>
  </autoFilter>
  <conditionalFormatting sqref="H2:H445">
    <cfRule type="colorScale" priority="1">
      <colorScale>
        <cfvo type="min"/>
        <cfvo type="percent" val="40"/>
        <cfvo type="max"/>
        <color rgb="FFF4CCCC"/>
        <color rgb="FFFFFFFF"/>
        <color rgb="FFD9EAD3"/>
      </colorScale>
    </cfRule>
  </conditionalFormatting>
  <conditionalFormatting sqref="I2:I445">
    <cfRule type="colorScale" priority="2">
      <colorScale>
        <cfvo type="min"/>
        <cfvo type="percent" val="40"/>
        <cfvo type="max"/>
        <color rgb="FFF4CCCC"/>
        <color rgb="FFFFFFFF"/>
        <color rgb="FFD9EAD3"/>
      </colorScale>
    </cfRule>
  </conditionalFormatting>
  <conditionalFormatting sqref="J2:J445 R70:R138 R140:R153 R167:R445 S70:S445 T70:T138 T140:T157 T167:T445 U77 U139:V139">
    <cfRule type="colorScale" priority="3">
      <colorScale>
        <cfvo type="min"/>
        <cfvo type="percent" val="10"/>
        <cfvo type="max"/>
        <color rgb="FFF4CCCC"/>
        <color rgb="FFFFFFFF"/>
        <color rgb="FFD9EAD3"/>
      </colorScale>
    </cfRule>
  </conditionalFormatting>
  <conditionalFormatting sqref="K2:K445 U70:U76 U78:U138 U140:U445 V77 V160:V161 V163:V164 V166 AN103">
    <cfRule type="colorScale" priority="4">
      <colorScale>
        <cfvo type="percent" val="25"/>
        <cfvo type="percent" val="50"/>
        <cfvo type="max"/>
        <color rgb="FFF4CCCC"/>
        <color rgb="FFFFFFFF"/>
        <color rgb="FFD9EAD3"/>
      </colorScale>
    </cfRule>
  </conditionalFormatting>
  <conditionalFormatting sqref="A2:Q445 R2:R153 R158:R445 S2:S445 T2:T157 T167:T445 U2:U445 V2:W157 V160:V161 V163:V164 V166:V445 W165 W167:W445 X2:Y445 Z2:Z157 Z163:Z445 AA2:AP445">
    <cfRule type="containsBlanks" priority="5" dxfId="0">
      <formula>LEN(TRIM(A2))=0</formula>
    </cfRule>
  </conditionalFormatting>
  <conditionalFormatting sqref="A310 B2:Q445 R2:R153 R158:R445 S2:S445 T2:T157 T167:T445 U2:U445 V2:W157 V160:V161 V163:V164 V166:V445 W165 W167:W445 X2:Y445 Z2:Z157 Z163:Z445 AA2:AP445">
    <cfRule type="notContainsBlanks" priority="6" dxfId="1">
      <formula>LEN(TRIM(B2))&gt;0</formula>
    </cfRule>
  </conditionalFormatting>
  <hyperlinks>
    <hyperlink xmlns:r="http://schemas.openxmlformats.org/officeDocument/2006/relationships" ref="G2" r:id="rId1"/>
    <hyperlink xmlns:r="http://schemas.openxmlformats.org/officeDocument/2006/relationships" ref="G3" r:id="rId2"/>
    <hyperlink xmlns:r="http://schemas.openxmlformats.org/officeDocument/2006/relationships" ref="F4" r:id="rId3"/>
    <hyperlink xmlns:r="http://schemas.openxmlformats.org/officeDocument/2006/relationships" ref="G4" r:id="rId4"/>
    <hyperlink xmlns:r="http://schemas.openxmlformats.org/officeDocument/2006/relationships" ref="G6" r:id="rId5"/>
    <hyperlink xmlns:r="http://schemas.openxmlformats.org/officeDocument/2006/relationships" ref="G7" r:id="rId6"/>
    <hyperlink xmlns:r="http://schemas.openxmlformats.org/officeDocument/2006/relationships" ref="G10" r:id="rId7"/>
    <hyperlink xmlns:r="http://schemas.openxmlformats.org/officeDocument/2006/relationships" ref="G11" r:id="rId8"/>
    <hyperlink xmlns:r="http://schemas.openxmlformats.org/officeDocument/2006/relationships" ref="G12" r:id="rId9"/>
    <hyperlink xmlns:r="http://schemas.openxmlformats.org/officeDocument/2006/relationships" ref="G13" r:id="rId10"/>
    <hyperlink xmlns:r="http://schemas.openxmlformats.org/officeDocument/2006/relationships" ref="V13" r:id="rId11"/>
    <hyperlink xmlns:r="http://schemas.openxmlformats.org/officeDocument/2006/relationships" ref="G16"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33" r:id="rId16"/>
    <hyperlink xmlns:r="http://schemas.openxmlformats.org/officeDocument/2006/relationships" ref="G34" r:id="rId17"/>
    <hyperlink xmlns:r="http://schemas.openxmlformats.org/officeDocument/2006/relationships" ref="G35" r:id="rId18"/>
    <hyperlink xmlns:r="http://schemas.openxmlformats.org/officeDocument/2006/relationships" ref="F36" r:id="rId19"/>
    <hyperlink xmlns:r="http://schemas.openxmlformats.org/officeDocument/2006/relationships" ref="G36" r:id="rId20"/>
    <hyperlink xmlns:r="http://schemas.openxmlformats.org/officeDocument/2006/relationships" ref="G37" r:id="rId21"/>
    <hyperlink xmlns:r="http://schemas.openxmlformats.org/officeDocument/2006/relationships" ref="G38" r:id="rId22"/>
    <hyperlink xmlns:r="http://schemas.openxmlformats.org/officeDocument/2006/relationships" ref="G39" r:id="rId23"/>
    <hyperlink xmlns:r="http://schemas.openxmlformats.org/officeDocument/2006/relationships" ref="G40" r:id="rId24"/>
    <hyperlink xmlns:r="http://schemas.openxmlformats.org/officeDocument/2006/relationships" ref="G41" r:id="rId25"/>
    <hyperlink xmlns:r="http://schemas.openxmlformats.org/officeDocument/2006/relationships" ref="G42" r:id="rId26"/>
    <hyperlink xmlns:r="http://schemas.openxmlformats.org/officeDocument/2006/relationships" ref="G43" r:id="rId27"/>
    <hyperlink xmlns:r="http://schemas.openxmlformats.org/officeDocument/2006/relationships" ref="F44" r:id="rId28"/>
    <hyperlink xmlns:r="http://schemas.openxmlformats.org/officeDocument/2006/relationships" ref="G44" r:id="rId29"/>
    <hyperlink xmlns:r="http://schemas.openxmlformats.org/officeDocument/2006/relationships" ref="G45" r:id="rId30"/>
    <hyperlink xmlns:r="http://schemas.openxmlformats.org/officeDocument/2006/relationships" ref="G46" r:id="rId31"/>
    <hyperlink xmlns:r="http://schemas.openxmlformats.org/officeDocument/2006/relationships" ref="G47" r:id="rId32"/>
    <hyperlink xmlns:r="http://schemas.openxmlformats.org/officeDocument/2006/relationships" ref="G48" r:id="rId33"/>
    <hyperlink xmlns:r="http://schemas.openxmlformats.org/officeDocument/2006/relationships" ref="G49" r:id="rId34"/>
    <hyperlink xmlns:r="http://schemas.openxmlformats.org/officeDocument/2006/relationships" ref="G50" r:id="rId35"/>
    <hyperlink xmlns:r="http://schemas.openxmlformats.org/officeDocument/2006/relationships" ref="V50" r:id="rId36"/>
    <hyperlink xmlns:r="http://schemas.openxmlformats.org/officeDocument/2006/relationships" ref="G51" r:id="rId37"/>
    <hyperlink xmlns:r="http://schemas.openxmlformats.org/officeDocument/2006/relationships" ref="G52" r:id="rId38"/>
    <hyperlink xmlns:r="http://schemas.openxmlformats.org/officeDocument/2006/relationships" ref="G54" r:id="rId39"/>
    <hyperlink xmlns:r="http://schemas.openxmlformats.org/officeDocument/2006/relationships" ref="G55" r:id="rId40"/>
    <hyperlink xmlns:r="http://schemas.openxmlformats.org/officeDocument/2006/relationships" ref="G56" r:id="rId41"/>
    <hyperlink xmlns:r="http://schemas.openxmlformats.org/officeDocument/2006/relationships" ref="G57" r:id="rId42"/>
    <hyperlink xmlns:r="http://schemas.openxmlformats.org/officeDocument/2006/relationships" ref="G59" r:id="rId43"/>
    <hyperlink xmlns:r="http://schemas.openxmlformats.org/officeDocument/2006/relationships" ref="G60" r:id="rId44"/>
    <hyperlink xmlns:r="http://schemas.openxmlformats.org/officeDocument/2006/relationships" ref="F61" r:id="rId45"/>
    <hyperlink xmlns:r="http://schemas.openxmlformats.org/officeDocument/2006/relationships" ref="G61" r:id="rId46"/>
    <hyperlink xmlns:r="http://schemas.openxmlformats.org/officeDocument/2006/relationships" ref="G62" r:id="rId47"/>
    <hyperlink xmlns:r="http://schemas.openxmlformats.org/officeDocument/2006/relationships" ref="G63" r:id="rId48"/>
    <hyperlink xmlns:r="http://schemas.openxmlformats.org/officeDocument/2006/relationships" ref="G64" r:id="rId49"/>
    <hyperlink xmlns:r="http://schemas.openxmlformats.org/officeDocument/2006/relationships" ref="G65" r:id="rId50"/>
    <hyperlink xmlns:r="http://schemas.openxmlformats.org/officeDocument/2006/relationships" ref="G66" r:id="rId51"/>
    <hyperlink xmlns:r="http://schemas.openxmlformats.org/officeDocument/2006/relationships" ref="G67" r:id="rId52"/>
    <hyperlink xmlns:r="http://schemas.openxmlformats.org/officeDocument/2006/relationships" ref="G68" r:id="rId53"/>
    <hyperlink xmlns:r="http://schemas.openxmlformats.org/officeDocument/2006/relationships" ref="G69" r:id="rId54"/>
    <hyperlink xmlns:r="http://schemas.openxmlformats.org/officeDocument/2006/relationships" ref="G70" r:id="rId55"/>
    <hyperlink xmlns:r="http://schemas.openxmlformats.org/officeDocument/2006/relationships" ref="G71" r:id="rId56"/>
    <hyperlink xmlns:r="http://schemas.openxmlformats.org/officeDocument/2006/relationships" ref="G72" r:id="rId57"/>
    <hyperlink xmlns:r="http://schemas.openxmlformats.org/officeDocument/2006/relationships" ref="G73" r:id="rId58"/>
    <hyperlink xmlns:r="http://schemas.openxmlformats.org/officeDocument/2006/relationships" ref="G74" r:id="rId59"/>
    <hyperlink xmlns:r="http://schemas.openxmlformats.org/officeDocument/2006/relationships" ref="G75" r:id="rId60"/>
    <hyperlink xmlns:r="http://schemas.openxmlformats.org/officeDocument/2006/relationships" ref="G76" r:id="rId61"/>
    <hyperlink xmlns:r="http://schemas.openxmlformats.org/officeDocument/2006/relationships" ref="G77" r:id="rId62"/>
    <hyperlink xmlns:r="http://schemas.openxmlformats.org/officeDocument/2006/relationships" ref="G78" r:id="rId63"/>
    <hyperlink xmlns:r="http://schemas.openxmlformats.org/officeDocument/2006/relationships" ref="G79" r:id="rId64"/>
    <hyperlink xmlns:r="http://schemas.openxmlformats.org/officeDocument/2006/relationships" ref="G80" r:id="rId65"/>
    <hyperlink xmlns:r="http://schemas.openxmlformats.org/officeDocument/2006/relationships" ref="G81" r:id="rId66"/>
    <hyperlink xmlns:r="http://schemas.openxmlformats.org/officeDocument/2006/relationships" ref="F82" r:id="rId67"/>
    <hyperlink xmlns:r="http://schemas.openxmlformats.org/officeDocument/2006/relationships" ref="G82" r:id="rId68"/>
    <hyperlink xmlns:r="http://schemas.openxmlformats.org/officeDocument/2006/relationships" ref="G83" r:id="rId69"/>
    <hyperlink xmlns:r="http://schemas.openxmlformats.org/officeDocument/2006/relationships" ref="G84" r:id="rId70"/>
    <hyperlink xmlns:r="http://schemas.openxmlformats.org/officeDocument/2006/relationships" ref="G85" r:id="rId71"/>
    <hyperlink xmlns:r="http://schemas.openxmlformats.org/officeDocument/2006/relationships" ref="G86" r:id="rId72"/>
    <hyperlink xmlns:r="http://schemas.openxmlformats.org/officeDocument/2006/relationships" ref="G87" r:id="rId73"/>
    <hyperlink xmlns:r="http://schemas.openxmlformats.org/officeDocument/2006/relationships" ref="G88" r:id="rId74"/>
    <hyperlink xmlns:r="http://schemas.openxmlformats.org/officeDocument/2006/relationships" ref="G89" r:id="rId75"/>
    <hyperlink xmlns:r="http://schemas.openxmlformats.org/officeDocument/2006/relationships" ref="G90" r:id="rId76"/>
    <hyperlink xmlns:r="http://schemas.openxmlformats.org/officeDocument/2006/relationships" ref="G91" r:id="rId77"/>
    <hyperlink xmlns:r="http://schemas.openxmlformats.org/officeDocument/2006/relationships" ref="G92" r:id="rId78"/>
    <hyperlink xmlns:r="http://schemas.openxmlformats.org/officeDocument/2006/relationships" ref="G93" r:id="rId79"/>
    <hyperlink xmlns:r="http://schemas.openxmlformats.org/officeDocument/2006/relationships" ref="G94" r:id="rId80"/>
    <hyperlink xmlns:r="http://schemas.openxmlformats.org/officeDocument/2006/relationships" ref="G95" r:id="rId81"/>
    <hyperlink xmlns:r="http://schemas.openxmlformats.org/officeDocument/2006/relationships" ref="G96" r:id="rId82"/>
    <hyperlink xmlns:r="http://schemas.openxmlformats.org/officeDocument/2006/relationships" ref="G97" r:id="rId83"/>
    <hyperlink xmlns:r="http://schemas.openxmlformats.org/officeDocument/2006/relationships" ref="F98" r:id="rId84"/>
    <hyperlink xmlns:r="http://schemas.openxmlformats.org/officeDocument/2006/relationships" ref="G98" r:id="rId85"/>
    <hyperlink xmlns:r="http://schemas.openxmlformats.org/officeDocument/2006/relationships" ref="G99" r:id="rId86"/>
    <hyperlink xmlns:r="http://schemas.openxmlformats.org/officeDocument/2006/relationships" ref="G100" r:id="rId87"/>
    <hyperlink xmlns:r="http://schemas.openxmlformats.org/officeDocument/2006/relationships" ref="G101" r:id="rId88"/>
    <hyperlink xmlns:r="http://schemas.openxmlformats.org/officeDocument/2006/relationships" ref="G102" r:id="rId89"/>
    <hyperlink xmlns:r="http://schemas.openxmlformats.org/officeDocument/2006/relationships" ref="G103" r:id="rId90"/>
    <hyperlink xmlns:r="http://schemas.openxmlformats.org/officeDocument/2006/relationships" ref="G104" r:id="rId91"/>
    <hyperlink xmlns:r="http://schemas.openxmlformats.org/officeDocument/2006/relationships" ref="G105" r:id="rId92"/>
    <hyperlink xmlns:r="http://schemas.openxmlformats.org/officeDocument/2006/relationships" ref="G106" r:id="rId93"/>
    <hyperlink xmlns:r="http://schemas.openxmlformats.org/officeDocument/2006/relationships" ref="G107" r:id="rId94"/>
    <hyperlink xmlns:r="http://schemas.openxmlformats.org/officeDocument/2006/relationships" ref="G108" r:id="rId95"/>
    <hyperlink xmlns:r="http://schemas.openxmlformats.org/officeDocument/2006/relationships" ref="G109" r:id="rId96"/>
    <hyperlink xmlns:r="http://schemas.openxmlformats.org/officeDocument/2006/relationships" ref="G110" r:id="rId97"/>
    <hyperlink xmlns:r="http://schemas.openxmlformats.org/officeDocument/2006/relationships" ref="G112" r:id="rId98"/>
    <hyperlink xmlns:r="http://schemas.openxmlformats.org/officeDocument/2006/relationships" ref="G113" r:id="rId99"/>
    <hyperlink xmlns:r="http://schemas.openxmlformats.org/officeDocument/2006/relationships" ref="G114" r:id="rId100"/>
    <hyperlink xmlns:r="http://schemas.openxmlformats.org/officeDocument/2006/relationships" ref="F115" r:id="rId101"/>
    <hyperlink xmlns:r="http://schemas.openxmlformats.org/officeDocument/2006/relationships" ref="G115" r:id="rId102"/>
    <hyperlink xmlns:r="http://schemas.openxmlformats.org/officeDocument/2006/relationships" ref="F116" r:id="rId103"/>
    <hyperlink xmlns:r="http://schemas.openxmlformats.org/officeDocument/2006/relationships" ref="G116" r:id="rId104"/>
    <hyperlink xmlns:r="http://schemas.openxmlformats.org/officeDocument/2006/relationships" ref="G117" r:id="rId105"/>
    <hyperlink xmlns:r="http://schemas.openxmlformats.org/officeDocument/2006/relationships" ref="G118" r:id="rId106"/>
    <hyperlink xmlns:r="http://schemas.openxmlformats.org/officeDocument/2006/relationships" ref="G119" r:id="rId107"/>
    <hyperlink xmlns:r="http://schemas.openxmlformats.org/officeDocument/2006/relationships" ref="G120" r:id="rId108"/>
    <hyperlink xmlns:r="http://schemas.openxmlformats.org/officeDocument/2006/relationships" ref="G121" r:id="rId109"/>
    <hyperlink xmlns:r="http://schemas.openxmlformats.org/officeDocument/2006/relationships" ref="F122" r:id="rId110"/>
    <hyperlink xmlns:r="http://schemas.openxmlformats.org/officeDocument/2006/relationships" ref="G122" r:id="rId111"/>
    <hyperlink xmlns:r="http://schemas.openxmlformats.org/officeDocument/2006/relationships" ref="G123" r:id="rId112"/>
    <hyperlink xmlns:r="http://schemas.openxmlformats.org/officeDocument/2006/relationships" ref="G124" r:id="rId113"/>
    <hyperlink xmlns:r="http://schemas.openxmlformats.org/officeDocument/2006/relationships" ref="G125" r:id="rId114"/>
    <hyperlink xmlns:r="http://schemas.openxmlformats.org/officeDocument/2006/relationships" ref="G126" r:id="rId115"/>
    <hyperlink xmlns:r="http://schemas.openxmlformats.org/officeDocument/2006/relationships" ref="G127" r:id="rId116"/>
    <hyperlink xmlns:r="http://schemas.openxmlformats.org/officeDocument/2006/relationships" ref="F128" r:id="rId117"/>
    <hyperlink xmlns:r="http://schemas.openxmlformats.org/officeDocument/2006/relationships" ref="G128" r:id="rId118"/>
    <hyperlink xmlns:r="http://schemas.openxmlformats.org/officeDocument/2006/relationships" ref="G129" r:id="rId119"/>
    <hyperlink xmlns:r="http://schemas.openxmlformats.org/officeDocument/2006/relationships" ref="G130" r:id="rId120"/>
    <hyperlink xmlns:r="http://schemas.openxmlformats.org/officeDocument/2006/relationships" ref="G131" r:id="rId121"/>
    <hyperlink xmlns:r="http://schemas.openxmlformats.org/officeDocument/2006/relationships" ref="G132" r:id="rId122"/>
    <hyperlink xmlns:r="http://schemas.openxmlformats.org/officeDocument/2006/relationships" ref="F133" r:id="rId123"/>
    <hyperlink xmlns:r="http://schemas.openxmlformats.org/officeDocument/2006/relationships" ref="G133" r:id="rId124"/>
    <hyperlink xmlns:r="http://schemas.openxmlformats.org/officeDocument/2006/relationships" ref="G134" r:id="rId125"/>
    <hyperlink xmlns:r="http://schemas.openxmlformats.org/officeDocument/2006/relationships" ref="G135" r:id="rId126"/>
    <hyperlink xmlns:r="http://schemas.openxmlformats.org/officeDocument/2006/relationships" ref="G136" r:id="rId127"/>
    <hyperlink xmlns:r="http://schemas.openxmlformats.org/officeDocument/2006/relationships" ref="G137" r:id="rId128"/>
    <hyperlink xmlns:r="http://schemas.openxmlformats.org/officeDocument/2006/relationships" ref="G138" r:id="rId129"/>
    <hyperlink xmlns:r="http://schemas.openxmlformats.org/officeDocument/2006/relationships" ref="G139" r:id="rId130"/>
    <hyperlink xmlns:r="http://schemas.openxmlformats.org/officeDocument/2006/relationships" ref="G140" r:id="rId131"/>
    <hyperlink xmlns:r="http://schemas.openxmlformats.org/officeDocument/2006/relationships" ref="G141" r:id="rId132"/>
    <hyperlink xmlns:r="http://schemas.openxmlformats.org/officeDocument/2006/relationships" ref="G142" r:id="rId133"/>
    <hyperlink xmlns:r="http://schemas.openxmlformats.org/officeDocument/2006/relationships" ref="F143" r:id="rId134"/>
    <hyperlink xmlns:r="http://schemas.openxmlformats.org/officeDocument/2006/relationships" ref="G143" r:id="rId135"/>
    <hyperlink xmlns:r="http://schemas.openxmlformats.org/officeDocument/2006/relationships" ref="G144" r:id="rId136"/>
    <hyperlink xmlns:r="http://schemas.openxmlformats.org/officeDocument/2006/relationships" ref="F145" r:id="rId137"/>
    <hyperlink xmlns:r="http://schemas.openxmlformats.org/officeDocument/2006/relationships" ref="G145" r:id="rId138"/>
    <hyperlink xmlns:r="http://schemas.openxmlformats.org/officeDocument/2006/relationships" ref="G146" r:id="rId139"/>
    <hyperlink xmlns:r="http://schemas.openxmlformats.org/officeDocument/2006/relationships" ref="G147" r:id="rId140"/>
    <hyperlink xmlns:r="http://schemas.openxmlformats.org/officeDocument/2006/relationships" ref="G148" r:id="rId141"/>
    <hyperlink xmlns:r="http://schemas.openxmlformats.org/officeDocument/2006/relationships" ref="G149" r:id="rId142"/>
    <hyperlink xmlns:r="http://schemas.openxmlformats.org/officeDocument/2006/relationships" ref="G150" r:id="rId143"/>
    <hyperlink xmlns:r="http://schemas.openxmlformats.org/officeDocument/2006/relationships" ref="G151" r:id="rId144"/>
    <hyperlink xmlns:r="http://schemas.openxmlformats.org/officeDocument/2006/relationships" ref="G152" r:id="rId145"/>
    <hyperlink xmlns:r="http://schemas.openxmlformats.org/officeDocument/2006/relationships" ref="G153" r:id="rId146"/>
    <hyperlink xmlns:r="http://schemas.openxmlformats.org/officeDocument/2006/relationships" ref="G154" r:id="rId147"/>
    <hyperlink xmlns:r="http://schemas.openxmlformats.org/officeDocument/2006/relationships" ref="F155" r:id="rId148"/>
    <hyperlink xmlns:r="http://schemas.openxmlformats.org/officeDocument/2006/relationships" ref="G155" r:id="rId149"/>
    <hyperlink xmlns:r="http://schemas.openxmlformats.org/officeDocument/2006/relationships" ref="G156" r:id="rId150"/>
    <hyperlink xmlns:r="http://schemas.openxmlformats.org/officeDocument/2006/relationships" ref="G157" r:id="rId151"/>
    <hyperlink xmlns:r="http://schemas.openxmlformats.org/officeDocument/2006/relationships" ref="G158" r:id="rId152"/>
    <hyperlink xmlns:r="http://schemas.openxmlformats.org/officeDocument/2006/relationships" ref="G159" r:id="rId153"/>
    <hyperlink xmlns:r="http://schemas.openxmlformats.org/officeDocument/2006/relationships" ref="G160" r:id="rId154"/>
    <hyperlink xmlns:r="http://schemas.openxmlformats.org/officeDocument/2006/relationships" ref="G161" r:id="rId155"/>
    <hyperlink xmlns:r="http://schemas.openxmlformats.org/officeDocument/2006/relationships" ref="G162" r:id="rId156"/>
    <hyperlink xmlns:r="http://schemas.openxmlformats.org/officeDocument/2006/relationships" ref="G163" r:id="rId157"/>
    <hyperlink xmlns:r="http://schemas.openxmlformats.org/officeDocument/2006/relationships" ref="G164" r:id="rId158"/>
    <hyperlink xmlns:r="http://schemas.openxmlformats.org/officeDocument/2006/relationships" ref="F165" r:id="rId159"/>
    <hyperlink xmlns:r="http://schemas.openxmlformats.org/officeDocument/2006/relationships" ref="G165" r:id="rId160"/>
    <hyperlink xmlns:r="http://schemas.openxmlformats.org/officeDocument/2006/relationships" ref="F166" r:id="rId161"/>
    <hyperlink xmlns:r="http://schemas.openxmlformats.org/officeDocument/2006/relationships" ref="G166" r:id="rId162"/>
    <hyperlink xmlns:r="http://schemas.openxmlformats.org/officeDocument/2006/relationships" ref="F167" r:id="rId163"/>
    <hyperlink xmlns:r="http://schemas.openxmlformats.org/officeDocument/2006/relationships" ref="G167" r:id="rId164"/>
    <hyperlink xmlns:r="http://schemas.openxmlformats.org/officeDocument/2006/relationships" ref="F168" r:id="rId165"/>
    <hyperlink xmlns:r="http://schemas.openxmlformats.org/officeDocument/2006/relationships" ref="G168" r:id="rId166"/>
    <hyperlink xmlns:r="http://schemas.openxmlformats.org/officeDocument/2006/relationships" ref="G169" r:id="rId167"/>
    <hyperlink xmlns:r="http://schemas.openxmlformats.org/officeDocument/2006/relationships" ref="F170" r:id="rId168"/>
    <hyperlink xmlns:r="http://schemas.openxmlformats.org/officeDocument/2006/relationships" ref="G170" r:id="rId169"/>
    <hyperlink xmlns:r="http://schemas.openxmlformats.org/officeDocument/2006/relationships" ref="F171" r:id="rId170"/>
    <hyperlink xmlns:r="http://schemas.openxmlformats.org/officeDocument/2006/relationships" ref="G171" r:id="rId171"/>
    <hyperlink xmlns:r="http://schemas.openxmlformats.org/officeDocument/2006/relationships" ref="G174" r:id="rId172"/>
    <hyperlink xmlns:r="http://schemas.openxmlformats.org/officeDocument/2006/relationships" ref="G176" r:id="rId173"/>
    <hyperlink xmlns:r="http://schemas.openxmlformats.org/officeDocument/2006/relationships" ref="G177" r:id="rId174"/>
    <hyperlink xmlns:r="http://schemas.openxmlformats.org/officeDocument/2006/relationships" ref="G178" r:id="rId175"/>
    <hyperlink xmlns:r="http://schemas.openxmlformats.org/officeDocument/2006/relationships" ref="F179" r:id="rId176"/>
    <hyperlink xmlns:r="http://schemas.openxmlformats.org/officeDocument/2006/relationships" ref="G179" r:id="rId177"/>
    <hyperlink xmlns:r="http://schemas.openxmlformats.org/officeDocument/2006/relationships" ref="G270" r:id="rId178"/>
    <hyperlink xmlns:r="http://schemas.openxmlformats.org/officeDocument/2006/relationships" ref="G271" r:id="rId179"/>
    <hyperlink xmlns:r="http://schemas.openxmlformats.org/officeDocument/2006/relationships" ref="G272" r:id="rId180"/>
    <hyperlink xmlns:r="http://schemas.openxmlformats.org/officeDocument/2006/relationships" ref="G273" r:id="rId181"/>
    <hyperlink xmlns:r="http://schemas.openxmlformats.org/officeDocument/2006/relationships" ref="G275" r:id="rId182"/>
    <hyperlink xmlns:r="http://schemas.openxmlformats.org/officeDocument/2006/relationships" ref="G276" r:id="rId183"/>
    <hyperlink xmlns:r="http://schemas.openxmlformats.org/officeDocument/2006/relationships" ref="G278" r:id="rId184"/>
    <hyperlink xmlns:r="http://schemas.openxmlformats.org/officeDocument/2006/relationships" ref="G279" r:id="rId185"/>
    <hyperlink xmlns:r="http://schemas.openxmlformats.org/officeDocument/2006/relationships" ref="G280" r:id="rId186"/>
    <hyperlink xmlns:r="http://schemas.openxmlformats.org/officeDocument/2006/relationships" ref="G281" r:id="rId187"/>
    <hyperlink xmlns:r="http://schemas.openxmlformats.org/officeDocument/2006/relationships" ref="G282" r:id="rId188"/>
    <hyperlink xmlns:r="http://schemas.openxmlformats.org/officeDocument/2006/relationships" ref="G283" r:id="rId189"/>
    <hyperlink xmlns:r="http://schemas.openxmlformats.org/officeDocument/2006/relationships" ref="G284" r:id="rId190"/>
    <hyperlink xmlns:r="http://schemas.openxmlformats.org/officeDocument/2006/relationships" ref="G285" r:id="rId191"/>
    <hyperlink xmlns:r="http://schemas.openxmlformats.org/officeDocument/2006/relationships" ref="G286" r:id="rId192"/>
    <hyperlink xmlns:r="http://schemas.openxmlformats.org/officeDocument/2006/relationships" ref="G287" r:id="rId193"/>
    <hyperlink xmlns:r="http://schemas.openxmlformats.org/officeDocument/2006/relationships" ref="G288" r:id="rId194"/>
    <hyperlink xmlns:r="http://schemas.openxmlformats.org/officeDocument/2006/relationships" ref="G289" r:id="rId195"/>
    <hyperlink xmlns:r="http://schemas.openxmlformats.org/officeDocument/2006/relationships" ref="G290" r:id="rId196"/>
    <hyperlink xmlns:r="http://schemas.openxmlformats.org/officeDocument/2006/relationships" ref="G291" r:id="rId197"/>
    <hyperlink xmlns:r="http://schemas.openxmlformats.org/officeDocument/2006/relationships" ref="G292" r:id="rId198"/>
    <hyperlink xmlns:r="http://schemas.openxmlformats.org/officeDocument/2006/relationships" ref="G293" r:id="rId199"/>
    <hyperlink xmlns:r="http://schemas.openxmlformats.org/officeDocument/2006/relationships" ref="G294" r:id="rId200"/>
    <hyperlink xmlns:r="http://schemas.openxmlformats.org/officeDocument/2006/relationships" ref="G295" r:id="rId201"/>
    <hyperlink xmlns:r="http://schemas.openxmlformats.org/officeDocument/2006/relationships" ref="G296" r:id="rId202"/>
    <hyperlink xmlns:r="http://schemas.openxmlformats.org/officeDocument/2006/relationships" ref="G297" r:id="rId203"/>
    <hyperlink xmlns:r="http://schemas.openxmlformats.org/officeDocument/2006/relationships" ref="G298" r:id="rId204"/>
    <hyperlink xmlns:r="http://schemas.openxmlformats.org/officeDocument/2006/relationships" ref="G299" r:id="rId205"/>
    <hyperlink xmlns:r="http://schemas.openxmlformats.org/officeDocument/2006/relationships" ref="G300" r:id="rId206"/>
    <hyperlink xmlns:r="http://schemas.openxmlformats.org/officeDocument/2006/relationships" ref="G301" r:id="rId207"/>
    <hyperlink xmlns:r="http://schemas.openxmlformats.org/officeDocument/2006/relationships" ref="G302" r:id="rId208"/>
    <hyperlink xmlns:r="http://schemas.openxmlformats.org/officeDocument/2006/relationships" ref="G303" r:id="rId209"/>
    <hyperlink xmlns:r="http://schemas.openxmlformats.org/officeDocument/2006/relationships" ref="G304" r:id="rId210"/>
    <hyperlink xmlns:r="http://schemas.openxmlformats.org/officeDocument/2006/relationships" ref="G306" r:id="rId211"/>
    <hyperlink xmlns:r="http://schemas.openxmlformats.org/officeDocument/2006/relationships" ref="G307" r:id="rId212"/>
    <hyperlink xmlns:r="http://schemas.openxmlformats.org/officeDocument/2006/relationships" ref="G308" r:id="rId213"/>
    <hyperlink xmlns:r="http://schemas.openxmlformats.org/officeDocument/2006/relationships" ref="G309" r:id="rId214"/>
    <hyperlink xmlns:r="http://schemas.openxmlformats.org/officeDocument/2006/relationships" ref="G310" r:id="rId215"/>
    <hyperlink xmlns:r="http://schemas.openxmlformats.org/officeDocument/2006/relationships" ref="G311" r:id="rId216"/>
    <hyperlink xmlns:r="http://schemas.openxmlformats.org/officeDocument/2006/relationships" ref="G312" r:id="rId217"/>
    <hyperlink xmlns:r="http://schemas.openxmlformats.org/officeDocument/2006/relationships" ref="G313" r:id="rId218"/>
    <hyperlink xmlns:r="http://schemas.openxmlformats.org/officeDocument/2006/relationships" ref="G314" r:id="rId219"/>
    <hyperlink xmlns:r="http://schemas.openxmlformats.org/officeDocument/2006/relationships" ref="G315" r:id="rId220"/>
    <hyperlink xmlns:r="http://schemas.openxmlformats.org/officeDocument/2006/relationships" ref="G316" r:id="rId221"/>
    <hyperlink xmlns:r="http://schemas.openxmlformats.org/officeDocument/2006/relationships" ref="G317" r:id="rId222"/>
    <hyperlink xmlns:r="http://schemas.openxmlformats.org/officeDocument/2006/relationships" ref="G318" r:id="rId223"/>
    <hyperlink xmlns:r="http://schemas.openxmlformats.org/officeDocument/2006/relationships" ref="G319" r:id="rId224"/>
    <hyperlink xmlns:r="http://schemas.openxmlformats.org/officeDocument/2006/relationships" ref="G320" r:id="rId225"/>
    <hyperlink xmlns:r="http://schemas.openxmlformats.org/officeDocument/2006/relationships" ref="G321" r:id="rId226"/>
    <hyperlink xmlns:r="http://schemas.openxmlformats.org/officeDocument/2006/relationships" ref="G322" r:id="rId227"/>
    <hyperlink xmlns:r="http://schemas.openxmlformats.org/officeDocument/2006/relationships" ref="G323" r:id="rId228"/>
    <hyperlink xmlns:r="http://schemas.openxmlformats.org/officeDocument/2006/relationships" ref="G324" r:id="rId229"/>
    <hyperlink xmlns:r="http://schemas.openxmlformats.org/officeDocument/2006/relationships" ref="G325" r:id="rId230"/>
    <hyperlink xmlns:r="http://schemas.openxmlformats.org/officeDocument/2006/relationships" ref="G326" r:id="rId231"/>
    <hyperlink xmlns:r="http://schemas.openxmlformats.org/officeDocument/2006/relationships" ref="G327" r:id="rId232"/>
    <hyperlink xmlns:r="http://schemas.openxmlformats.org/officeDocument/2006/relationships" ref="G328" r:id="rId233"/>
    <hyperlink xmlns:r="http://schemas.openxmlformats.org/officeDocument/2006/relationships" ref="G329" r:id="rId234"/>
    <hyperlink xmlns:r="http://schemas.openxmlformats.org/officeDocument/2006/relationships" ref="G330" r:id="rId235"/>
    <hyperlink xmlns:r="http://schemas.openxmlformats.org/officeDocument/2006/relationships" ref="G331" r:id="rId236"/>
    <hyperlink xmlns:r="http://schemas.openxmlformats.org/officeDocument/2006/relationships" ref="G332" r:id="rId237"/>
    <hyperlink xmlns:r="http://schemas.openxmlformats.org/officeDocument/2006/relationships" ref="G333" r:id="rId238"/>
    <hyperlink xmlns:r="http://schemas.openxmlformats.org/officeDocument/2006/relationships" ref="G334" r:id="rId239"/>
    <hyperlink xmlns:r="http://schemas.openxmlformats.org/officeDocument/2006/relationships" ref="G335" r:id="rId240"/>
    <hyperlink xmlns:r="http://schemas.openxmlformats.org/officeDocument/2006/relationships" ref="G336" r:id="rId241"/>
    <hyperlink xmlns:r="http://schemas.openxmlformats.org/officeDocument/2006/relationships" ref="G337" r:id="rId242"/>
    <hyperlink xmlns:r="http://schemas.openxmlformats.org/officeDocument/2006/relationships" ref="G338" r:id="rId243"/>
    <hyperlink xmlns:r="http://schemas.openxmlformats.org/officeDocument/2006/relationships" ref="G339" r:id="rId244"/>
    <hyperlink xmlns:r="http://schemas.openxmlformats.org/officeDocument/2006/relationships" ref="G340" r:id="rId245"/>
    <hyperlink xmlns:r="http://schemas.openxmlformats.org/officeDocument/2006/relationships" ref="G341" r:id="rId246"/>
    <hyperlink xmlns:r="http://schemas.openxmlformats.org/officeDocument/2006/relationships" ref="G342" r:id="rId247"/>
    <hyperlink xmlns:r="http://schemas.openxmlformats.org/officeDocument/2006/relationships" ref="G343" r:id="rId248"/>
    <hyperlink xmlns:r="http://schemas.openxmlformats.org/officeDocument/2006/relationships" ref="G344" r:id="rId249"/>
    <hyperlink xmlns:r="http://schemas.openxmlformats.org/officeDocument/2006/relationships" ref="G345" r:id="rId250"/>
    <hyperlink xmlns:r="http://schemas.openxmlformats.org/officeDocument/2006/relationships" ref="G346" r:id="rId251"/>
    <hyperlink xmlns:r="http://schemas.openxmlformats.org/officeDocument/2006/relationships" ref="G347" r:id="rId252"/>
    <hyperlink xmlns:r="http://schemas.openxmlformats.org/officeDocument/2006/relationships" ref="G348" r:id="rId253"/>
    <hyperlink xmlns:r="http://schemas.openxmlformats.org/officeDocument/2006/relationships" ref="G349" r:id="rId254"/>
    <hyperlink xmlns:r="http://schemas.openxmlformats.org/officeDocument/2006/relationships" ref="G350" r:id="rId255"/>
    <hyperlink xmlns:r="http://schemas.openxmlformats.org/officeDocument/2006/relationships" ref="G351" r:id="rId256"/>
    <hyperlink xmlns:r="http://schemas.openxmlformats.org/officeDocument/2006/relationships" ref="G352" r:id="rId257"/>
    <hyperlink xmlns:r="http://schemas.openxmlformats.org/officeDocument/2006/relationships" ref="G353" r:id="rId258"/>
    <hyperlink xmlns:r="http://schemas.openxmlformats.org/officeDocument/2006/relationships" ref="G355" r:id="rId259"/>
    <hyperlink xmlns:r="http://schemas.openxmlformats.org/officeDocument/2006/relationships" ref="G356" r:id="rId260"/>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1059"/>
  <sheetViews>
    <sheetView workbookViewId="0">
      <selection activeCell="A1" sqref="A1"/>
    </sheetView>
  </sheetViews>
  <sheetFormatPr baseColWidth="8" defaultColWidth="12.63" defaultRowHeight="15" customHeight="1"/>
  <cols>
    <col width="21.25" customWidth="1" style="222" min="1" max="18"/>
    <col width="13.88" customWidth="1" style="222" min="19" max="20"/>
    <col width="12.13" customWidth="1" style="222" min="21" max="22"/>
    <col width="21.25" customWidth="1" style="222" min="23" max="26"/>
  </cols>
  <sheetData>
    <row r="1" ht="45.75" customHeight="1" s="222">
      <c r="A1" s="124" t="inlineStr">
        <is>
          <t>SOPHI's              MARKET SCORE</t>
        </is>
      </c>
      <c r="B1" s="125">
        <f>G2</f>
        <v/>
      </c>
      <c r="C1" s="126" t="inlineStr">
        <is>
          <t>TAM</t>
        </is>
      </c>
      <c r="D1" s="127" t="inlineStr">
        <is>
          <t>SAM</t>
        </is>
      </c>
      <c r="E1" s="127" t="inlineStr">
        <is>
          <t>SOM</t>
        </is>
      </c>
      <c r="F1" s="127" t="n"/>
      <c r="G1" s="127" t="inlineStr">
        <is>
          <t>Total</t>
        </is>
      </c>
      <c r="H1" s="127" t="inlineStr">
        <is>
          <t>Location</t>
        </is>
      </c>
      <c r="I1" s="127" t="inlineStr">
        <is>
          <t>Connections</t>
        </is>
      </c>
      <c r="J1" s="127" t="inlineStr">
        <is>
          <t xml:space="preserve">Garage </t>
        </is>
      </c>
      <c r="K1" s="127" t="inlineStr">
        <is>
          <t>Growth</t>
        </is>
      </c>
      <c r="L1" s="128" t="inlineStr">
        <is>
          <t>capacity</t>
        </is>
      </c>
      <c r="M1" s="128" t="inlineStr">
        <is>
          <t>cash flow</t>
        </is>
      </c>
      <c r="N1" s="129" t="n"/>
      <c r="O1" s="130" t="inlineStr">
        <is>
          <t>Connection 3</t>
        </is>
      </c>
      <c r="P1" s="130" t="inlineStr">
        <is>
          <t>Volume 2    170 + 2     100 + 1</t>
        </is>
      </c>
      <c r="Q1" s="130" t="inlineStr">
        <is>
          <t>Location Downtown 1 Far -1</t>
        </is>
      </c>
      <c r="R1" s="130" t="inlineStr">
        <is>
          <t>High End</t>
        </is>
      </c>
      <c r="S1" s="130" t="inlineStr">
        <is>
          <t>Garage Connection 2 location 1</t>
        </is>
      </c>
      <c r="T1" s="131" t="inlineStr">
        <is>
          <t xml:space="preserve"> Valet &amp; Paid Self Park</t>
        </is>
      </c>
      <c r="U1" s="132" t="inlineStr">
        <is>
          <t>Points</t>
        </is>
      </c>
      <c r="V1" s="132" t="inlineStr">
        <is>
          <t>Priority</t>
        </is>
      </c>
      <c r="W1" s="145" t="n"/>
      <c r="X1" s="145" t="n"/>
      <c r="Y1" s="145" t="n"/>
      <c r="Z1" s="145" t="n"/>
    </row>
    <row r="2" ht="45.75" customHeight="1" s="222">
      <c r="A2" s="145" t="n"/>
      <c r="B2" s="145" t="n"/>
      <c r="C2" s="155">
        <f>SUM(RevenueForecasting!H:H)</f>
        <v/>
      </c>
      <c r="D2" s="155">
        <f>SUMIF(#REF!,1,RevenueForecasting!H2:H36)</f>
        <v/>
      </c>
      <c r="E2" s="155">
        <f>D2/SUM(#REF!)</f>
        <v/>
      </c>
      <c r="F2" s="145" t="n"/>
      <c r="G2" s="135">
        <f>SUM(H2:L2)*2 &amp; " /100"</f>
        <v/>
      </c>
      <c r="H2" s="145" t="n">
        <v>7</v>
      </c>
      <c r="I2" s="145" t="n">
        <v>0</v>
      </c>
      <c r="J2" s="145" t="n">
        <v>8</v>
      </c>
      <c r="K2" s="145" t="n">
        <v>7</v>
      </c>
      <c r="L2" s="145" t="n"/>
      <c r="M2" s="145" t="n"/>
      <c r="N2" s="129" t="n"/>
      <c r="O2" s="140" t="n"/>
      <c r="P2" s="140" t="n"/>
      <c r="Q2" s="140" t="n"/>
      <c r="R2" s="140" t="n"/>
      <c r="S2" s="140" t="n"/>
      <c r="T2" s="141" t="n"/>
      <c r="U2" s="129" t="n"/>
      <c r="V2" s="129" t="n"/>
      <c r="W2" s="145" t="n"/>
      <c r="X2" s="145" t="n"/>
      <c r="Y2" s="145" t="n"/>
      <c r="Z2" s="145" t="n"/>
    </row>
    <row r="3" ht="45.75" customHeight="1" s="222">
      <c r="A3" s="145" t="n"/>
      <c r="B3" s="145" t="n"/>
      <c r="C3" s="138" t="inlineStr">
        <is>
          <t>sum of predicted revenues</t>
        </is>
      </c>
      <c r="D3" s="138" t="inlineStr">
        <is>
          <t>Guess of locations that I could see being interested in introducing valet</t>
        </is>
      </c>
      <c r="E3" s="138" t="inlineStr">
        <is>
          <t>SAM / # of locations in SAM. Representing 1 Hotel landed</t>
        </is>
      </c>
      <c r="F3" s="145" t="n"/>
      <c r="G3" s="145" t="n"/>
      <c r="H3" s="139" t="n"/>
      <c r="I3" s="145" t="n"/>
      <c r="J3" s="145" t="n"/>
      <c r="K3" s="145" t="n"/>
      <c r="L3" s="145" t="n"/>
      <c r="M3" s="145" t="n"/>
      <c r="N3" s="129" t="n"/>
      <c r="O3" s="140" t="n"/>
      <c r="P3" s="140" t="n"/>
      <c r="Q3" s="140" t="n"/>
      <c r="R3" s="140" t="n"/>
      <c r="S3" s="140" t="n"/>
      <c r="T3" s="141" t="n"/>
      <c r="U3" s="129" t="n"/>
      <c r="V3" s="129" t="n"/>
      <c r="W3" s="145" t="n"/>
      <c r="X3" s="145" t="n"/>
      <c r="Y3" s="145" t="n"/>
      <c r="Z3" s="145" t="n"/>
    </row>
    <row r="4" ht="45.75" customHeight="1" s="222">
      <c r="A4" s="145" t="n"/>
      <c r="B4" s="145" t="n"/>
      <c r="C4" s="145" t="inlineStr">
        <is>
          <t>all valet, all parking contracts, additional services, bell etc</t>
        </is>
      </c>
      <c r="D4" s="145" t="inlineStr">
        <is>
          <t>realistically obtained</t>
        </is>
      </c>
      <c r="E4" s="145" t="inlineStr">
        <is>
          <t>going to get</t>
        </is>
      </c>
      <c r="F4" s="145" t="n"/>
      <c r="G4" s="142" t="n"/>
      <c r="H4" s="143" t="inlineStr">
        <is>
          <t>257 miles</t>
        </is>
      </c>
      <c r="I4" s="143" t="inlineStr">
        <is>
          <t>locations? 0/7</t>
        </is>
      </c>
      <c r="J4" s="143" t="inlineStr">
        <is>
          <t>public? 8/8</t>
        </is>
      </c>
      <c r="K4" s="143" t="inlineStr">
        <is>
          <t xml:space="preserve">Population? 2/4 </t>
        </is>
      </c>
      <c r="L4" s="145" t="inlineStr">
        <is>
          <t>personal bandwidth 0/4</t>
        </is>
      </c>
      <c r="M4" s="145" t="inlineStr">
        <is>
          <t>costs</t>
        </is>
      </c>
      <c r="N4" s="129" t="n"/>
      <c r="O4" s="140" t="n"/>
      <c r="P4" s="140" t="n"/>
      <c r="Q4" s="140" t="n"/>
      <c r="R4" s="140" t="n"/>
      <c r="S4" s="140" t="n"/>
      <c r="T4" s="141" t="n"/>
      <c r="U4" s="129" t="n"/>
      <c r="V4" s="129" t="n"/>
      <c r="W4" s="145" t="n"/>
      <c r="X4" s="145" t="n"/>
      <c r="Y4" s="145" t="n"/>
      <c r="Z4" s="145" t="n"/>
    </row>
    <row r="5" ht="45.75" customHeight="1" s="222">
      <c r="A5" s="145" t="n"/>
      <c r="B5" s="145" t="n"/>
      <c r="C5" s="129" t="n"/>
      <c r="D5" s="129" t="n"/>
      <c r="E5" s="129" t="n"/>
      <c r="F5" s="145" t="n"/>
      <c r="G5" s="142" t="n"/>
      <c r="H5" s="143" t="inlineStr">
        <is>
          <t>SB  X</t>
        </is>
      </c>
      <c r="I5" s="144" t="inlineStr">
        <is>
          <t>1 connection -&gt; 5                                      2+ connections -&gt; 7</t>
        </is>
      </c>
      <c r="J5" s="144" t="inlineStr">
        <is>
          <t>yes or no</t>
        </is>
      </c>
      <c r="K5" s="144" t="inlineStr">
        <is>
          <t>small city, medium city,                      large city,  metropolis</t>
        </is>
      </c>
      <c r="L5" s="129" t="n"/>
      <c r="M5" s="145" t="n"/>
      <c r="N5" s="129" t="n"/>
      <c r="O5" s="140" t="n"/>
      <c r="P5" s="140" t="n"/>
      <c r="Q5" s="140" t="n"/>
      <c r="R5" s="140" t="n"/>
      <c r="S5" s="140" t="n"/>
      <c r="T5" s="141" t="n"/>
      <c r="U5" s="129" t="n"/>
      <c r="V5" s="129" t="n"/>
      <c r="W5" s="145" t="n"/>
      <c r="X5" s="145" t="n"/>
      <c r="Y5" s="145" t="n"/>
      <c r="Z5" s="145" t="n"/>
    </row>
    <row r="6" ht="45.75" customHeight="1" s="222">
      <c r="A6" s="129" t="n"/>
      <c r="B6" s="145" t="n"/>
      <c r="C6" s="145" t="n"/>
      <c r="D6" s="145" t="n"/>
      <c r="E6" s="145" t="inlineStr">
        <is>
          <t>Self Park</t>
        </is>
      </c>
      <c r="F6" s="145" t="inlineStr">
        <is>
          <t>Valet</t>
        </is>
      </c>
      <c r="G6" s="142" t="n"/>
      <c r="H6" s="143" t="inlineStr">
        <is>
          <t>CH</t>
        </is>
      </c>
      <c r="I6" s="143" t="inlineStr">
        <is>
          <t>employees? 3</t>
        </is>
      </c>
      <c r="J6" s="143" t="inlineStr">
        <is>
          <t>connection? 2</t>
        </is>
      </c>
      <c r="K6" s="143" t="inlineStr">
        <is>
          <t>Events Space? 4</t>
        </is>
      </c>
      <c r="L6" s="145" t="inlineStr">
        <is>
          <t>hire 0/3</t>
        </is>
      </c>
      <c r="M6" s="145" t="n"/>
      <c r="N6" s="129" t="n"/>
      <c r="O6" s="140" t="n"/>
      <c r="P6" s="140" t="n"/>
      <c r="Q6" s="140" t="n"/>
      <c r="R6" s="140" t="n"/>
      <c r="S6" s="140" t="n"/>
      <c r="T6" s="141" t="n"/>
      <c r="U6" s="129" t="n"/>
      <c r="V6" s="129" t="n"/>
      <c r="W6" s="145" t="n"/>
      <c r="X6" s="145" t="n"/>
      <c r="Y6" s="145" t="n"/>
      <c r="Z6" s="145" t="n"/>
    </row>
    <row r="7" ht="45.75" customHeight="1" s="222">
      <c r="A7" s="145" t="inlineStr">
        <is>
          <t>Average Self Park</t>
        </is>
      </c>
      <c r="B7" s="145" t="inlineStr">
        <is>
          <t xml:space="preserve">Average Valet </t>
        </is>
      </c>
      <c r="C7" s="145" t="n"/>
      <c r="D7" s="145" t="n"/>
      <c r="E7" s="145" t="inlineStr">
        <is>
          <t>Downtown</t>
        </is>
      </c>
      <c r="F7" s="145" t="inlineStr">
        <is>
          <t>Downtown</t>
        </is>
      </c>
      <c r="H7" s="146" t="n"/>
      <c r="I7" s="144" t="inlineStr">
        <is>
          <t># of possible employees</t>
        </is>
      </c>
      <c r="J7" s="144" t="inlineStr">
        <is>
          <t>yes or no</t>
        </is>
      </c>
      <c r="K7" s="144" t="inlineStr">
        <is>
          <t># of markets</t>
        </is>
      </c>
      <c r="L7" s="144" t="n"/>
      <c r="M7" s="145" t="n"/>
      <c r="N7" s="145" t="n"/>
      <c r="O7" s="140" t="n"/>
      <c r="P7" s="140" t="n"/>
      <c r="Q7" s="140" t="n"/>
      <c r="R7" s="140" t="n"/>
      <c r="S7" s="140" t="n"/>
      <c r="T7" s="141" t="n"/>
      <c r="U7" s="129" t="n"/>
      <c r="V7" s="129" t="n"/>
      <c r="W7" s="145" t="n"/>
      <c r="X7" s="145" t="n"/>
      <c r="Y7" s="145" t="n"/>
      <c r="Z7" s="145" t="n"/>
    </row>
    <row r="8" ht="45.75" customHeight="1" s="222">
      <c r="A8" s="155">
        <f>AVERAGE(Accounts!H:H)</f>
        <v/>
      </c>
      <c r="B8" s="155">
        <f>AVERAGE(Accounts!I:I)</f>
        <v/>
      </c>
      <c r="C8" s="145" t="n"/>
      <c r="D8" s="145" t="n"/>
      <c r="E8" s="147">
        <f>AVERAGEIF(Accounts!E:E,"Downtown",Accounts!H:H)</f>
        <v/>
      </c>
      <c r="F8" s="147">
        <f>AVERAGEIF(Accounts!E:E,F7,Accounts!I:I)</f>
        <v/>
      </c>
      <c r="H8" s="144" t="inlineStr">
        <is>
          <t>0 -&gt; 1000+</t>
        </is>
      </c>
      <c r="I8" s="146" t="n"/>
      <c r="J8" s="146" t="n"/>
      <c r="K8" s="143" t="inlineStr">
        <is>
          <t xml:space="preserve">Parking? 2 </t>
        </is>
      </c>
      <c r="L8" s="145" t="inlineStr">
        <is>
          <t>management 0/3</t>
        </is>
      </c>
      <c r="M8" s="145" t="n"/>
      <c r="N8" s="145" t="n"/>
      <c r="O8" s="140" t="n"/>
      <c r="P8" s="140" t="n"/>
      <c r="Q8" s="140" t="n"/>
      <c r="R8" s="140" t="n"/>
      <c r="S8" s="140" t="n"/>
      <c r="T8" s="141" t="n"/>
      <c r="U8" s="129" t="n"/>
      <c r="V8" s="129" t="n"/>
      <c r="W8" s="145" t="n"/>
      <c r="X8" s="145" t="n"/>
      <c r="Y8" s="145" t="n"/>
      <c r="Z8" s="145" t="n"/>
    </row>
    <row r="9" ht="45.75" customHeight="1" s="222">
      <c r="C9" s="145" t="n"/>
      <c r="D9" s="145" t="n"/>
      <c r="E9" s="145" t="n"/>
      <c r="F9" s="145" t="n"/>
      <c r="G9" s="142" t="n"/>
      <c r="H9" s="144" t="inlineStr">
        <is>
          <t>3 -&gt; 700 - 1000</t>
        </is>
      </c>
      <c r="I9" s="146" t="n"/>
      <c r="J9" s="146" t="n"/>
      <c r="K9" s="144" t="inlineStr">
        <is>
          <t>reducing, steady, increasing</t>
        </is>
      </c>
      <c r="L9" s="144" t="n"/>
      <c r="M9" s="145" t="n"/>
      <c r="N9" s="145" t="n"/>
      <c r="O9" s="140" t="n"/>
      <c r="P9" s="140" t="n"/>
      <c r="Q9" s="140" t="n"/>
      <c r="R9" s="140" t="n"/>
      <c r="S9" s="140" t="n"/>
      <c r="T9" s="141" t="n"/>
      <c r="U9" s="129" t="n"/>
      <c r="V9" s="129" t="n"/>
      <c r="W9" s="145" t="n"/>
      <c r="X9" s="145" t="n"/>
      <c r="Y9" s="145" t="n"/>
      <c r="Z9" s="145" t="n"/>
    </row>
    <row r="10" ht="45.75" customHeight="1" s="222">
      <c r="C10" s="145" t="n"/>
      <c r="D10" s="145" t="n"/>
      <c r="E10" s="145" t="n"/>
      <c r="F10" s="145" t="n"/>
      <c r="G10" s="142" t="n"/>
      <c r="H10" s="144" t="inlineStr">
        <is>
          <t>5 -&gt; 500 - 700</t>
        </is>
      </c>
      <c r="I10" s="146" t="n"/>
      <c r="J10" s="146" t="n"/>
      <c r="K10" s="146" t="n"/>
      <c r="L10" s="143" t="n"/>
      <c r="M10" s="145" t="n"/>
      <c r="N10" s="145" t="n"/>
      <c r="O10" s="140" t="n"/>
      <c r="P10" s="140" t="n"/>
      <c r="Q10" s="140" t="n"/>
      <c r="R10" s="140" t="n"/>
      <c r="S10" s="140" t="n"/>
      <c r="T10" s="141" t="n"/>
      <c r="U10" s="129" t="n"/>
      <c r="V10" s="129" t="n"/>
      <c r="W10" s="145" t="n"/>
      <c r="X10" s="145" t="n"/>
      <c r="Y10" s="145" t="n"/>
      <c r="Z10" s="145" t="n"/>
    </row>
    <row r="11" ht="45.75" customHeight="1" s="222">
      <c r="A11" s="145" t="n"/>
      <c r="B11" s="145" t="n"/>
      <c r="C11" s="145" t="n"/>
      <c r="D11" s="145" t="n"/>
      <c r="E11" s="145" t="n"/>
      <c r="F11" s="145" t="n"/>
      <c r="G11" s="142" t="n"/>
      <c r="H11" s="144" t="inlineStr">
        <is>
          <t>7 -&gt; 250 - 500</t>
        </is>
      </c>
      <c r="I11" s="146" t="n"/>
      <c r="J11" s="146" t="n"/>
      <c r="K11" s="146" t="n"/>
      <c r="L11" s="144" t="n"/>
      <c r="M11" s="145" t="n"/>
      <c r="N11" s="145" t="n"/>
      <c r="O11" s="140" t="n"/>
      <c r="P11" s="140" t="n"/>
      <c r="Q11" s="140" t="n"/>
      <c r="R11" s="140" t="n"/>
      <c r="S11" s="140" t="n"/>
      <c r="T11" s="141" t="n"/>
      <c r="U11" s="129" t="n"/>
      <c r="V11" s="129" t="n"/>
      <c r="W11" s="145" t="n"/>
      <c r="X11" s="145" t="n"/>
      <c r="Y11" s="145" t="n"/>
      <c r="Z11" s="145" t="n"/>
    </row>
    <row r="12" ht="45.75" customHeight="1" s="222">
      <c r="A12" s="145" t="n"/>
      <c r="B12" s="145" t="n"/>
      <c r="C12" s="145" t="n"/>
      <c r="D12" s="145" t="n"/>
      <c r="E12" s="145" t="n"/>
      <c r="F12" s="145" t="n"/>
      <c r="G12" s="142" t="n"/>
      <c r="H12" s="144" t="inlineStr">
        <is>
          <t>10 -&gt; 0 - 250</t>
        </is>
      </c>
      <c r="I12" s="146" t="n"/>
      <c r="J12" s="146" t="n"/>
      <c r="K12" s="146" t="n"/>
      <c r="L12" s="146" t="n"/>
      <c r="M12" s="145" t="n"/>
      <c r="N12" s="145" t="n"/>
      <c r="O12" s="140" t="n"/>
      <c r="P12" s="140" t="n"/>
      <c r="Q12" s="140" t="n"/>
      <c r="R12" s="140" t="n"/>
      <c r="S12" s="140" t="n"/>
      <c r="T12" s="141" t="n"/>
      <c r="U12" s="129" t="n"/>
      <c r="V12" s="129" t="n"/>
      <c r="W12" s="145" t="n"/>
      <c r="X12" s="145" t="n"/>
      <c r="Y12" s="145" t="n"/>
      <c r="Z12" s="145" t="n"/>
    </row>
    <row r="13" ht="45.75" customHeight="1" s="222">
      <c r="A13" s="145" t="n"/>
      <c r="B13" s="145" t="n"/>
      <c r="C13" s="145" t="n"/>
      <c r="D13" s="145" t="n"/>
      <c r="E13" s="145" t="n"/>
      <c r="F13" s="145" t="n"/>
      <c r="G13" s="145" t="n"/>
      <c r="H13" s="145" t="n"/>
      <c r="I13" s="145" t="n"/>
      <c r="J13" s="145" t="n"/>
      <c r="K13" s="145" t="n"/>
      <c r="L13" s="145" t="n"/>
      <c r="M13" s="145" t="n"/>
      <c r="N13" s="145" t="n"/>
      <c r="O13" s="140" t="n"/>
      <c r="P13" s="140" t="n"/>
      <c r="Q13" s="140" t="n"/>
      <c r="R13" s="140" t="n"/>
      <c r="S13" s="140" t="n"/>
      <c r="T13" s="141" t="n"/>
      <c r="U13" s="129" t="n"/>
      <c r="V13" s="129" t="n"/>
      <c r="W13" s="145" t="n"/>
      <c r="X13" s="145" t="n"/>
      <c r="Y13" s="145" t="n"/>
      <c r="Z13" s="145" t="n"/>
    </row>
    <row r="14" ht="45.75" customHeight="1" s="222">
      <c r="A14" s="145" t="n"/>
      <c r="B14" s="145" t="n"/>
      <c r="C14" s="145" t="n"/>
      <c r="D14" s="145" t="n"/>
      <c r="E14" s="145" t="n"/>
      <c r="F14" s="145" t="n"/>
      <c r="G14" s="145" t="inlineStr">
        <is>
          <t>avg + reviews</t>
        </is>
      </c>
      <c r="H14" s="145" t="n"/>
      <c r="I14" s="145" t="n"/>
      <c r="J14" s="145" t="n"/>
      <c r="K14" s="145" t="n"/>
      <c r="L14" s="145" t="n"/>
      <c r="M14" s="145" t="n"/>
      <c r="N14" s="145" t="n"/>
      <c r="O14" s="140" t="n"/>
      <c r="P14" s="140" t="n"/>
      <c r="Q14" s="140" t="n"/>
      <c r="R14" s="140" t="n"/>
      <c r="S14" s="140" t="n"/>
      <c r="T14" s="141" t="n"/>
      <c r="U14" s="129" t="n"/>
      <c r="V14" s="129" t="n"/>
      <c r="W14" s="145" t="n"/>
      <c r="X14" s="145" t="n"/>
      <c r="Y14" s="145" t="n"/>
      <c r="Z14" s="145" t="n"/>
    </row>
    <row r="15" ht="45.75" customHeight="1" s="222">
      <c r="A15" s="145" t="n"/>
      <c r="B15" s="145" t="n"/>
      <c r="C15" s="145" t="n"/>
      <c r="D15" s="148" t="n"/>
      <c r="F15" s="145" t="n"/>
      <c r="G15" s="149">
        <f>AVERAGE(Accounts!K:K)</f>
        <v/>
      </c>
      <c r="H15" s="145" t="n"/>
      <c r="I15" s="145" t="n"/>
      <c r="J15" s="155" t="n"/>
      <c r="K15" s="145" t="n"/>
      <c r="L15" s="145" t="n"/>
      <c r="M15" s="145" t="n"/>
      <c r="O15" s="140" t="n"/>
      <c r="P15" s="140" t="n"/>
      <c r="Q15" s="140" t="n"/>
      <c r="R15" s="140" t="n"/>
      <c r="S15" s="140" t="n"/>
      <c r="T15" s="141" t="n"/>
      <c r="U15" s="129" t="n"/>
      <c r="V15" s="129" t="n"/>
      <c r="W15" s="145" t="n"/>
      <c r="X15" s="145" t="n"/>
      <c r="Y15" s="145" t="n"/>
      <c r="Z15" s="145" t="n"/>
    </row>
    <row r="16" ht="45.75" customHeight="1" s="222">
      <c r="A16" s="145" t="n"/>
      <c r="B16" s="145" t="n"/>
      <c r="C16" s="155" t="n"/>
      <c r="D16" s="150" t="n"/>
      <c r="F16" s="145" t="n"/>
      <c r="G16" s="145" t="n"/>
      <c r="H16" s="149" t="n"/>
      <c r="I16" s="145" t="n"/>
      <c r="J16" s="145" t="n"/>
      <c r="K16" s="145" t="n"/>
      <c r="L16" s="149" t="n"/>
      <c r="M16" s="145" t="n"/>
      <c r="N16" s="145" t="n"/>
      <c r="O16" s="140" t="n"/>
      <c r="P16" s="140" t="n"/>
      <c r="Q16" s="140" t="n"/>
      <c r="R16" s="140" t="n"/>
      <c r="S16" s="140" t="n"/>
      <c r="T16" s="141" t="n"/>
      <c r="U16" s="129" t="n"/>
      <c r="V16" s="129" t="n"/>
      <c r="W16" s="145" t="n"/>
      <c r="X16" s="145" t="n"/>
      <c r="Y16" s="145" t="n"/>
      <c r="Z16" s="145" t="n"/>
    </row>
    <row r="17" ht="45.75" customHeight="1" s="222">
      <c r="A17" s="145" t="n"/>
      <c r="B17" s="145" t="n"/>
      <c r="C17" s="155" t="n"/>
      <c r="D17" s="155" t="n"/>
      <c r="F17" s="145" t="n"/>
      <c r="G17" s="145" t="inlineStr">
        <is>
          <t>avg + reviews downtown</t>
        </is>
      </c>
      <c r="H17" s="149" t="n"/>
      <c r="I17" s="145" t="n"/>
      <c r="J17" s="145" t="n"/>
      <c r="K17" s="145" t="n"/>
      <c r="L17" s="149" t="n"/>
      <c r="M17" s="145" t="n"/>
      <c r="N17" s="145" t="n"/>
      <c r="O17" s="140" t="n"/>
      <c r="P17" s="140" t="n"/>
      <c r="Q17" s="140" t="n"/>
      <c r="R17" s="140" t="n"/>
      <c r="S17" s="140" t="n"/>
      <c r="T17" s="141" t="n"/>
      <c r="U17" s="129" t="n"/>
      <c r="V17" s="129" t="n"/>
      <c r="W17" s="145" t="n"/>
      <c r="X17" s="145" t="n"/>
      <c r="Y17" s="145" t="n"/>
      <c r="Z17" s="145" t="n"/>
    </row>
    <row r="18" ht="45.75" customHeight="1" s="222">
      <c r="A18" s="145" t="n"/>
      <c r="B18" s="145" t="n"/>
      <c r="C18" s="155" t="n"/>
      <c r="D18" s="155" t="n"/>
      <c r="F18" s="151" t="n"/>
      <c r="G18" s="149">
        <f>AVERAGEIF(Accounts!E:E,"Downtown",Accounts!K:K)</f>
        <v/>
      </c>
      <c r="H18" s="149" t="n"/>
      <c r="I18" s="145" t="n"/>
      <c r="J18" s="145" t="n"/>
      <c r="K18" s="145" t="n"/>
      <c r="L18" s="149" t="n"/>
      <c r="M18" s="145" t="n"/>
      <c r="N18" s="145" t="n"/>
      <c r="O18" s="140" t="n"/>
      <c r="P18" s="140" t="n"/>
      <c r="Q18" s="140" t="n"/>
      <c r="R18" s="140" t="n"/>
      <c r="S18" s="140" t="n"/>
      <c r="T18" s="141" t="n"/>
      <c r="U18" s="129" t="n"/>
      <c r="V18" s="129" t="n"/>
      <c r="W18" s="145" t="n"/>
      <c r="X18" s="145" t="n"/>
      <c r="Y18" s="145" t="n"/>
      <c r="Z18" s="145" t="n"/>
    </row>
    <row r="19" ht="45.75" customHeight="1" s="222">
      <c r="A19" s="145" t="n"/>
      <c r="B19" s="145" t="n"/>
      <c r="C19" s="155" t="n"/>
      <c r="D19" s="155" t="n"/>
      <c r="F19" s="145" t="n"/>
      <c r="G19" s="145" t="n"/>
      <c r="H19" s="149" t="n"/>
      <c r="I19" s="145" t="n"/>
      <c r="J19" s="145" t="n"/>
      <c r="K19" s="145" t="n"/>
      <c r="L19" s="149" t="n"/>
      <c r="M19" s="145" t="n"/>
      <c r="N19" s="145" t="n"/>
      <c r="O19" s="140" t="n"/>
      <c r="P19" s="140" t="n"/>
      <c r="Q19" s="140" t="n"/>
      <c r="R19" s="140" t="n"/>
      <c r="S19" s="140" t="n"/>
      <c r="T19" s="141" t="n"/>
      <c r="U19" s="129" t="n"/>
      <c r="V19" s="129" t="n"/>
      <c r="W19" s="145" t="n"/>
      <c r="X19" s="145" t="n"/>
      <c r="Y19" s="145" t="n"/>
      <c r="Z19" s="145" t="n"/>
    </row>
    <row r="20" ht="45.75" customHeight="1" s="222">
      <c r="A20" s="145" t="n"/>
      <c r="B20" s="145" t="n"/>
      <c r="C20" s="145" t="n"/>
      <c r="D20" s="145" t="n"/>
      <c r="F20" s="145" t="n"/>
      <c r="G20" s="145" t="n"/>
      <c r="H20" s="149" t="n"/>
      <c r="I20" s="145" t="n"/>
      <c r="J20" s="145" t="n"/>
      <c r="K20" s="145" t="n"/>
      <c r="L20" s="149" t="n"/>
      <c r="M20" s="145" t="n"/>
      <c r="O20" s="140" t="n"/>
      <c r="P20" s="140" t="n"/>
      <c r="Q20" s="140" t="n"/>
      <c r="R20" s="140" t="n"/>
      <c r="S20" s="140" t="n"/>
      <c r="T20" s="141" t="n"/>
      <c r="U20" s="129" t="n"/>
      <c r="V20" s="129" t="n"/>
      <c r="W20" s="145" t="n"/>
      <c r="X20" s="145" t="n"/>
      <c r="Y20" s="145" t="n"/>
      <c r="Z20" s="145" t="n"/>
    </row>
    <row r="21" ht="45.75" customHeight="1" s="222">
      <c r="A21" s="145" t="n"/>
      <c r="B21" s="145" t="n"/>
      <c r="C21" s="145" t="n"/>
      <c r="F21" s="151" t="n"/>
      <c r="G21" s="145" t="n"/>
      <c r="H21" s="149" t="n"/>
      <c r="I21" s="145" t="n"/>
      <c r="J21" s="145" t="n"/>
      <c r="K21" s="145" t="n"/>
      <c r="L21" s="149" t="n"/>
      <c r="M21" s="145" t="n"/>
      <c r="N21" s="145" t="n"/>
      <c r="O21" s="140" t="n"/>
      <c r="P21" s="140" t="n"/>
      <c r="Q21" s="140" t="n"/>
      <c r="R21" s="140" t="n"/>
      <c r="S21" s="140" t="n"/>
      <c r="T21" s="141" t="n"/>
      <c r="U21" s="129" t="n"/>
      <c r="V21" s="129" t="n"/>
      <c r="W21" s="145" t="n"/>
      <c r="X21" s="145" t="n"/>
      <c r="Y21" s="145" t="n"/>
      <c r="Z21" s="145" t="n"/>
    </row>
    <row r="22" ht="45.75" customHeight="1" s="222">
      <c r="I22" s="145" t="n"/>
      <c r="M22" s="145" t="n"/>
      <c r="Q22" s="140" t="n"/>
      <c r="R22" s="140" t="n"/>
      <c r="S22" s="140" t="n"/>
      <c r="T22" s="141" t="n"/>
      <c r="U22" s="129" t="n"/>
      <c r="V22" s="129" t="n"/>
      <c r="W22" s="145" t="n"/>
      <c r="X22" s="145" t="n"/>
      <c r="Y22" s="145" t="n"/>
      <c r="Z22" s="145" t="n"/>
    </row>
    <row r="23" ht="45.75" customHeight="1" s="222">
      <c r="I23" s="145" t="n"/>
      <c r="M23" s="145" t="n"/>
      <c r="Q23" s="140" t="n"/>
      <c r="R23" s="140" t="n"/>
      <c r="S23" s="140" t="n"/>
      <c r="T23" s="141" t="n"/>
      <c r="U23" s="129" t="n"/>
      <c r="V23" s="129" t="n"/>
      <c r="W23" s="145" t="n"/>
      <c r="X23" s="145" t="n"/>
      <c r="Y23" s="145" t="n"/>
      <c r="Z23" s="145" t="n"/>
    </row>
    <row r="24" ht="45.75" customHeight="1" s="222">
      <c r="I24" s="145" t="n"/>
      <c r="M24" s="145" t="n"/>
      <c r="Q24" s="140" t="n"/>
      <c r="R24" s="140" t="n"/>
      <c r="S24" s="140" t="n"/>
      <c r="T24" s="141" t="n"/>
      <c r="U24" s="129" t="n"/>
      <c r="V24" s="129" t="n"/>
      <c r="W24" s="145" t="n"/>
      <c r="X24" s="145" t="n"/>
      <c r="Y24" s="145" t="n"/>
      <c r="Z24" s="145" t="n"/>
    </row>
    <row r="25" ht="45.75" customHeight="1" s="222">
      <c r="I25" s="145" t="n"/>
      <c r="M25" s="145" t="n"/>
      <c r="Q25" s="140" t="n"/>
      <c r="R25" s="140" t="n"/>
      <c r="S25" s="140" t="n"/>
      <c r="T25" s="141" t="n"/>
      <c r="U25" s="129" t="n"/>
      <c r="V25" s="129" t="n"/>
      <c r="W25" s="145" t="n"/>
      <c r="X25" s="145" t="n"/>
      <c r="Y25" s="145" t="n"/>
      <c r="Z25" s="145" t="n"/>
    </row>
    <row r="26" ht="45.75" customHeight="1" s="222">
      <c r="I26" s="145" t="n"/>
      <c r="M26" s="145" t="n"/>
      <c r="Q26" s="140" t="n"/>
      <c r="R26" s="140" t="n"/>
      <c r="S26" s="140" t="n"/>
      <c r="T26" s="141" t="n"/>
      <c r="U26" s="129" t="n"/>
      <c r="V26" s="129" t="n"/>
      <c r="W26" s="145" t="n"/>
      <c r="X26" s="145" t="n"/>
      <c r="Y26" s="145" t="n"/>
      <c r="Z26" s="145" t="n"/>
    </row>
    <row r="27" ht="45.75" customHeight="1" s="222">
      <c r="I27" s="145" t="n"/>
      <c r="M27" s="145" t="n"/>
      <c r="N27" s="145" t="n"/>
      <c r="O27" s="140" t="n"/>
      <c r="P27" s="140" t="n"/>
      <c r="Q27" s="140" t="n"/>
      <c r="R27" s="140" t="n"/>
      <c r="S27" s="140" t="n"/>
      <c r="T27" s="141" t="n"/>
      <c r="U27" s="129" t="n"/>
      <c r="V27" s="129" t="n"/>
      <c r="W27" s="145" t="n"/>
      <c r="X27" s="145" t="n"/>
      <c r="Y27" s="145" t="n"/>
      <c r="Z27" s="145" t="n"/>
    </row>
    <row r="28" ht="45.75" customHeight="1" s="222">
      <c r="I28" s="145" t="n"/>
      <c r="M28" s="145" t="n"/>
      <c r="N28" s="145" t="n"/>
      <c r="O28" s="140" t="n"/>
      <c r="P28" s="140" t="n"/>
      <c r="Q28" s="140" t="n"/>
      <c r="R28" s="140" t="n"/>
      <c r="S28" s="140" t="n"/>
      <c r="T28" s="141" t="n"/>
      <c r="U28" s="129" t="n"/>
      <c r="V28" s="129" t="n"/>
      <c r="W28" s="145" t="n"/>
      <c r="X28" s="145" t="n"/>
      <c r="Y28" s="145" t="n"/>
      <c r="Z28" s="145" t="n"/>
    </row>
    <row r="29" ht="45.75" customHeight="1" s="222">
      <c r="F29" s="145" t="n"/>
      <c r="G29" s="145" t="n"/>
      <c r="H29" s="145" t="n"/>
      <c r="I29" s="145" t="n"/>
      <c r="J29" s="145" t="n"/>
      <c r="K29" s="145" t="n"/>
      <c r="L29" s="149" t="n"/>
      <c r="M29" s="145" t="n"/>
      <c r="N29" s="145" t="n"/>
      <c r="O29" s="140" t="n"/>
      <c r="P29" s="140" t="n"/>
      <c r="Q29" s="140" t="n"/>
      <c r="R29" s="140" t="n"/>
      <c r="S29" s="140" t="n"/>
      <c r="T29" s="141" t="n"/>
      <c r="U29" s="129" t="n"/>
      <c r="V29" s="129" t="n"/>
      <c r="W29" s="145" t="n"/>
      <c r="X29" s="145" t="n"/>
      <c r="Y29" s="145" t="n"/>
      <c r="Z29" s="145" t="n"/>
    </row>
    <row r="30" ht="45.75" customHeight="1" s="222">
      <c r="E30" s="145" t="n"/>
      <c r="F30" s="145" t="n"/>
      <c r="G30" s="145" t="n"/>
      <c r="H30" s="145" t="n"/>
      <c r="I30" s="145" t="n"/>
      <c r="J30" s="145" t="n"/>
      <c r="K30" s="145" t="n"/>
      <c r="L30" s="145" t="n"/>
      <c r="M30" s="145" t="n"/>
      <c r="N30" s="145" t="n"/>
      <c r="O30" s="140" t="n"/>
      <c r="P30" s="140" t="n"/>
      <c r="Q30" s="140" t="n"/>
      <c r="R30" s="140" t="n"/>
      <c r="S30" s="140" t="n"/>
      <c r="T30" s="141" t="n"/>
      <c r="U30" s="129" t="n"/>
      <c r="V30" s="129" t="n"/>
      <c r="W30" s="145" t="n"/>
      <c r="X30" s="145" t="n"/>
      <c r="Y30" s="145" t="n"/>
      <c r="Z30" s="145" t="n"/>
    </row>
    <row r="31" ht="45.75" customHeight="1" s="222">
      <c r="E31" s="145" t="n"/>
      <c r="F31" s="145" t="n"/>
      <c r="G31" s="145" t="n"/>
      <c r="H31" s="145" t="n"/>
      <c r="I31" s="145" t="n"/>
      <c r="J31" s="145" t="n"/>
      <c r="K31" s="145" t="n"/>
      <c r="L31" s="145" t="n"/>
      <c r="M31" s="145" t="n"/>
      <c r="N31" s="145" t="n"/>
      <c r="O31" s="140" t="n"/>
      <c r="P31" s="140" t="n"/>
      <c r="Q31" s="140" t="n"/>
      <c r="R31" s="140" t="n"/>
      <c r="S31" s="140" t="n"/>
      <c r="T31" s="141" t="n"/>
      <c r="U31" s="129" t="n"/>
      <c r="V31" s="129" t="n"/>
      <c r="W31" s="145" t="n"/>
      <c r="X31" s="145" t="n"/>
      <c r="Y31" s="145" t="n"/>
      <c r="Z31" s="145" t="n"/>
    </row>
    <row r="32" ht="45.75" customHeight="1" s="222">
      <c r="E32" s="145" t="n"/>
      <c r="F32" s="145" t="n"/>
      <c r="G32" s="145" t="n"/>
      <c r="H32" s="145" t="n"/>
      <c r="I32" s="145" t="n"/>
      <c r="J32" s="145" t="n"/>
      <c r="K32" s="145" t="n"/>
      <c r="L32" s="145" t="n"/>
      <c r="M32" s="145" t="n"/>
      <c r="N32" s="145" t="n"/>
      <c r="O32" s="140" t="n"/>
      <c r="P32" s="140" t="n"/>
      <c r="Q32" s="140" t="n"/>
      <c r="R32" s="140" t="n"/>
      <c r="S32" s="140" t="n"/>
      <c r="T32" s="141" t="n"/>
      <c r="U32" s="129" t="n"/>
      <c r="V32" s="129" t="n"/>
      <c r="W32" s="145" t="n"/>
      <c r="X32" s="145" t="n"/>
      <c r="Y32" s="145" t="n"/>
      <c r="Z32" s="145" t="n"/>
    </row>
    <row r="33" ht="45.75" customHeight="1" s="222">
      <c r="E33" s="145" t="n"/>
      <c r="F33" s="145" t="n"/>
      <c r="G33" s="145" t="n"/>
      <c r="H33" s="145" t="n"/>
      <c r="I33" s="145" t="n"/>
      <c r="J33" s="145" t="n"/>
      <c r="K33" s="145" t="n"/>
      <c r="L33" s="145" t="n"/>
      <c r="M33" s="145" t="n"/>
      <c r="N33" s="145" t="n"/>
      <c r="O33" s="140" t="n"/>
      <c r="P33" s="140" t="n"/>
      <c r="Q33" s="140" t="n"/>
      <c r="R33" s="140" t="n"/>
      <c r="S33" s="140" t="n"/>
      <c r="T33" s="141" t="n"/>
      <c r="U33" s="129" t="n"/>
      <c r="V33" s="129" t="n"/>
      <c r="W33" s="145" t="n"/>
      <c r="X33" s="145" t="n"/>
      <c r="Y33" s="145" t="n"/>
      <c r="Z33" s="145" t="n"/>
    </row>
    <row r="34" ht="45.75" customHeight="1" s="222">
      <c r="A34" s="145" t="n"/>
      <c r="B34" s="145" t="n"/>
      <c r="C34" s="145" t="n"/>
      <c r="D34" s="145" t="n"/>
      <c r="E34" s="145" t="n"/>
      <c r="F34" s="145" t="n"/>
      <c r="G34" s="145" t="n"/>
      <c r="H34" s="145" t="n"/>
      <c r="I34" s="145" t="n"/>
      <c r="J34" s="145" t="n"/>
      <c r="K34" s="145" t="n"/>
      <c r="L34" s="145" t="n"/>
      <c r="M34" s="145" t="n"/>
      <c r="N34" s="145" t="n"/>
      <c r="O34" s="140" t="n"/>
      <c r="P34" s="140" t="n"/>
      <c r="Q34" s="140" t="n"/>
      <c r="R34" s="140" t="n"/>
      <c r="S34" s="140" t="n"/>
      <c r="T34" s="141" t="n"/>
      <c r="U34" s="129" t="n"/>
      <c r="V34" s="129" t="n"/>
      <c r="W34" s="145" t="n"/>
      <c r="X34" s="145" t="n"/>
      <c r="Y34" s="145" t="n"/>
      <c r="Z34" s="145" t="n"/>
    </row>
    <row r="35" ht="45.75" customHeight="1" s="222">
      <c r="A35" s="145" t="n"/>
      <c r="B35" s="145" t="n"/>
      <c r="C35" s="145" t="n"/>
      <c r="D35" s="145" t="n"/>
      <c r="E35" s="145" t="n"/>
      <c r="F35" s="145" t="n"/>
      <c r="G35" s="145" t="n"/>
      <c r="H35" s="145" t="n"/>
      <c r="I35" s="145" t="n"/>
      <c r="J35" s="145" t="n"/>
      <c r="K35" s="145" t="n"/>
      <c r="L35" s="145" t="n"/>
      <c r="M35" s="145" t="n"/>
      <c r="N35" s="145" t="n"/>
      <c r="O35" s="140" t="n"/>
      <c r="P35" s="140" t="n"/>
      <c r="Q35" s="140" t="n"/>
      <c r="R35" s="140" t="n"/>
      <c r="S35" s="140" t="n"/>
      <c r="T35" s="141" t="n"/>
      <c r="U35" s="129" t="n"/>
      <c r="V35" s="129" t="n"/>
      <c r="W35" s="145" t="n"/>
      <c r="X35" s="145" t="n"/>
      <c r="Y35" s="145" t="n"/>
      <c r="Z35" s="145" t="n"/>
    </row>
    <row r="36" ht="45.75" customHeight="1" s="222">
      <c r="A36" s="145" t="n"/>
      <c r="B36" s="145" t="n"/>
      <c r="C36" s="145" t="n"/>
      <c r="D36" s="145" t="n"/>
      <c r="E36" s="145" t="n"/>
      <c r="F36" s="145" t="n"/>
      <c r="G36" s="145" t="n"/>
      <c r="H36" s="145" t="n"/>
      <c r="I36" s="145" t="n"/>
      <c r="J36" s="145" t="n"/>
      <c r="K36" s="145" t="n"/>
      <c r="L36" s="145" t="n"/>
      <c r="M36" s="145" t="n"/>
      <c r="N36" s="145" t="n"/>
      <c r="O36" s="140" t="n"/>
      <c r="P36" s="140" t="n"/>
      <c r="Q36" s="140" t="n"/>
      <c r="R36" s="140" t="n"/>
      <c r="S36" s="140" t="n"/>
      <c r="T36" s="141" t="n"/>
      <c r="U36" s="129" t="n"/>
      <c r="V36" s="129" t="n"/>
      <c r="W36" s="145" t="n"/>
      <c r="X36" s="145" t="n"/>
      <c r="Y36" s="145" t="n"/>
      <c r="Z36" s="145" t="n"/>
    </row>
    <row r="37" ht="45.75" customHeight="1" s="222">
      <c r="A37" s="145" t="n"/>
      <c r="B37" s="145" t="n"/>
      <c r="C37" s="145" t="n"/>
      <c r="D37" s="145" t="n"/>
      <c r="E37" s="145" t="n"/>
      <c r="F37" s="145" t="n"/>
      <c r="G37" s="145" t="n"/>
      <c r="H37" s="145" t="n"/>
      <c r="I37" s="145" t="n"/>
      <c r="J37" s="145" t="n"/>
      <c r="K37" s="145" t="n"/>
      <c r="L37" s="145" t="n"/>
      <c r="M37" s="145" t="n"/>
      <c r="N37" s="145" t="n"/>
      <c r="O37" s="140" t="n"/>
      <c r="P37" s="140" t="n"/>
      <c r="Q37" s="140" t="n"/>
      <c r="R37" s="140" t="n"/>
      <c r="S37" s="140" t="n"/>
      <c r="T37" s="141" t="n"/>
      <c r="U37" s="129" t="n"/>
      <c r="V37" s="129" t="n"/>
      <c r="W37" s="145" t="n"/>
      <c r="X37" s="145" t="n"/>
      <c r="Y37" s="145" t="n"/>
      <c r="Z37" s="145" t="n"/>
    </row>
    <row r="38" ht="45.75" customHeight="1" s="222">
      <c r="A38" s="145" t="n"/>
      <c r="B38" s="145" t="n"/>
      <c r="C38" s="145" t="n"/>
      <c r="D38" s="145" t="n"/>
      <c r="E38" s="145" t="n"/>
      <c r="F38" s="145" t="n"/>
      <c r="G38" s="145" t="n"/>
      <c r="H38" s="145" t="n"/>
      <c r="I38" s="145" t="n"/>
      <c r="J38" s="145" t="n"/>
      <c r="K38" s="145" t="n"/>
      <c r="L38" s="145" t="n"/>
      <c r="M38" s="145" t="n"/>
      <c r="N38" s="145" t="n"/>
      <c r="O38" s="140" t="n"/>
      <c r="P38" s="140" t="n"/>
      <c r="Q38" s="140" t="n"/>
      <c r="R38" s="140" t="n"/>
      <c r="S38" s="140" t="n"/>
      <c r="T38" s="141" t="n"/>
      <c r="U38" s="129" t="n"/>
      <c r="V38" s="129" t="n"/>
      <c r="W38" s="145" t="n"/>
      <c r="X38" s="145" t="n"/>
      <c r="Y38" s="145" t="n"/>
      <c r="Z38" s="145" t="n"/>
    </row>
    <row r="39" ht="45.75" customHeight="1" s="222">
      <c r="A39" s="145" t="n"/>
      <c r="B39" s="145" t="n"/>
      <c r="C39" s="145" t="n"/>
      <c r="D39" s="145" t="n"/>
      <c r="E39" s="145" t="n"/>
      <c r="F39" s="145" t="n"/>
      <c r="G39" s="145" t="n"/>
      <c r="H39" s="145" t="n"/>
      <c r="I39" s="145" t="n"/>
      <c r="J39" s="145" t="n"/>
      <c r="K39" s="145" t="n"/>
      <c r="L39" s="145" t="n"/>
      <c r="M39" s="145" t="n"/>
      <c r="N39" s="145" t="n"/>
      <c r="O39" s="140" t="n"/>
      <c r="P39" s="140" t="n"/>
      <c r="Q39" s="140" t="n"/>
      <c r="R39" s="140" t="n"/>
      <c r="S39" s="140" t="n"/>
      <c r="T39" s="141" t="n"/>
      <c r="U39" s="129" t="n"/>
      <c r="V39" s="129" t="n"/>
      <c r="W39" s="145" t="n"/>
      <c r="X39" s="145" t="n"/>
      <c r="Y39" s="145" t="n"/>
      <c r="Z39" s="145" t="n"/>
    </row>
    <row r="40" ht="45.75" customHeight="1" s="222">
      <c r="A40" s="145" t="n"/>
      <c r="B40" s="145" t="n"/>
      <c r="C40" s="145" t="n"/>
      <c r="D40" s="145" t="n"/>
      <c r="E40" s="145" t="n"/>
      <c r="F40" s="145" t="n"/>
      <c r="G40" s="145" t="n"/>
      <c r="H40" s="145" t="n"/>
      <c r="I40" s="145" t="n"/>
      <c r="J40" s="145" t="n"/>
      <c r="K40" s="145" t="n"/>
      <c r="L40" s="145" t="n"/>
      <c r="M40" s="145" t="n"/>
      <c r="N40" s="145" t="n"/>
      <c r="O40" s="140" t="n"/>
      <c r="P40" s="140" t="n"/>
      <c r="Q40" s="140" t="n"/>
      <c r="R40" s="140" t="n"/>
      <c r="S40" s="140" t="n"/>
      <c r="T40" s="141" t="n"/>
      <c r="U40" s="129" t="n"/>
      <c r="V40" s="129" t="n"/>
      <c r="W40" s="145" t="n"/>
      <c r="X40" s="145" t="n"/>
      <c r="Y40" s="145" t="n"/>
      <c r="Z40" s="145" t="n"/>
    </row>
    <row r="41" ht="45.75" customHeight="1" s="222">
      <c r="A41" s="145" t="n"/>
      <c r="B41" s="145" t="n"/>
      <c r="C41" s="145" t="n"/>
      <c r="D41" s="145" t="n"/>
      <c r="E41" s="145" t="n"/>
      <c r="F41" s="145" t="n"/>
      <c r="G41" s="145" t="n"/>
      <c r="H41" s="145" t="n"/>
      <c r="I41" s="145" t="n"/>
      <c r="J41" s="145" t="n"/>
      <c r="K41" s="145" t="n"/>
      <c r="L41" s="145" t="n"/>
      <c r="M41" s="145" t="n"/>
      <c r="N41" s="145" t="n"/>
      <c r="O41" s="140" t="n"/>
      <c r="P41" s="140" t="n"/>
      <c r="Q41" s="140" t="n"/>
      <c r="R41" s="140" t="n"/>
      <c r="S41" s="140" t="n"/>
      <c r="T41" s="141" t="n"/>
      <c r="U41" s="129" t="n"/>
      <c r="V41" s="129" t="n"/>
      <c r="W41" s="145" t="n"/>
      <c r="X41" s="145" t="n"/>
      <c r="Y41" s="145" t="n"/>
      <c r="Z41" s="145" t="n"/>
    </row>
    <row r="42" ht="45.75" customHeight="1" s="222">
      <c r="A42" s="145" t="n"/>
      <c r="B42" s="145" t="n"/>
      <c r="C42" s="145" t="n"/>
      <c r="D42" s="145" t="n"/>
      <c r="E42" s="145" t="n"/>
      <c r="F42" s="145" t="n"/>
      <c r="G42" s="145" t="n"/>
      <c r="H42" s="145" t="n"/>
      <c r="I42" s="145" t="n"/>
      <c r="J42" s="145" t="n"/>
      <c r="K42" s="145" t="n"/>
      <c r="L42" s="145" t="n"/>
      <c r="M42" s="145" t="n"/>
      <c r="N42" s="145" t="n"/>
      <c r="O42" s="140" t="n"/>
      <c r="P42" s="140" t="n"/>
      <c r="Q42" s="140" t="n"/>
      <c r="R42" s="140" t="n"/>
      <c r="S42" s="140" t="n"/>
      <c r="T42" s="141" t="n"/>
      <c r="U42" s="129" t="n"/>
      <c r="V42" s="129" t="n"/>
      <c r="W42" s="145" t="n"/>
      <c r="X42" s="145" t="n"/>
      <c r="Y42" s="145" t="n"/>
      <c r="Z42" s="145" t="n"/>
    </row>
    <row r="43" ht="45.75" customHeight="1" s="222">
      <c r="A43" s="145" t="n"/>
      <c r="B43" s="145" t="n"/>
      <c r="C43" s="145" t="n"/>
      <c r="D43" s="145" t="n"/>
      <c r="E43" s="145" t="n"/>
      <c r="F43" s="145" t="n"/>
      <c r="G43" s="145" t="n"/>
      <c r="H43" s="145" t="n"/>
      <c r="I43" s="145" t="n"/>
      <c r="J43" s="145" t="n"/>
      <c r="K43" s="145" t="n"/>
      <c r="L43" s="145" t="n"/>
      <c r="M43" s="145" t="n"/>
      <c r="N43" s="145" t="n"/>
      <c r="O43" s="140" t="n"/>
      <c r="P43" s="140" t="n"/>
      <c r="Q43" s="140" t="n"/>
      <c r="R43" s="140" t="n"/>
      <c r="S43" s="140" t="n"/>
      <c r="T43" s="141" t="n"/>
      <c r="U43" s="129" t="n"/>
      <c r="V43" s="129" t="n"/>
      <c r="W43" s="145" t="n"/>
      <c r="X43" s="145" t="n"/>
      <c r="Y43" s="145" t="n"/>
      <c r="Z43" s="145" t="n"/>
    </row>
    <row r="44" ht="45.75" customHeight="1" s="222">
      <c r="A44" s="145" t="n"/>
      <c r="B44" s="145" t="n"/>
      <c r="C44" s="145" t="n"/>
      <c r="D44" s="145" t="n"/>
      <c r="E44" s="145" t="n"/>
      <c r="F44" s="145" t="n"/>
      <c r="G44" s="145" t="n"/>
      <c r="H44" s="145" t="n"/>
      <c r="I44" s="145" t="n"/>
      <c r="J44" s="145" t="n"/>
      <c r="K44" s="145" t="n"/>
      <c r="L44" s="145" t="n"/>
      <c r="M44" s="145" t="n"/>
      <c r="N44" s="145" t="n"/>
      <c r="O44" s="140" t="n"/>
      <c r="P44" s="140" t="n"/>
      <c r="Q44" s="140" t="n"/>
      <c r="R44" s="140" t="n"/>
      <c r="S44" s="140" t="n"/>
      <c r="T44" s="141" t="n"/>
      <c r="U44" s="129" t="n"/>
      <c r="V44" s="129" t="n"/>
      <c r="W44" s="145" t="n"/>
      <c r="X44" s="145" t="n"/>
      <c r="Y44" s="145" t="n"/>
      <c r="Z44" s="145" t="n"/>
    </row>
    <row r="45" ht="45.75" customHeight="1" s="222">
      <c r="A45" s="145" t="n"/>
      <c r="B45" s="145" t="n"/>
      <c r="C45" s="145" t="n"/>
      <c r="D45" s="145" t="n"/>
      <c r="E45" s="145" t="n"/>
      <c r="F45" s="145" t="n"/>
      <c r="G45" s="145" t="n"/>
      <c r="H45" s="145" t="n"/>
      <c r="I45" s="145" t="n"/>
      <c r="J45" s="145" t="n"/>
      <c r="K45" s="145" t="n"/>
      <c r="L45" s="145" t="n"/>
      <c r="M45" s="145" t="n"/>
      <c r="N45" s="145" t="n"/>
      <c r="O45" s="140" t="n"/>
      <c r="P45" s="140" t="n"/>
      <c r="Q45" s="140" t="n"/>
      <c r="R45" s="140" t="n"/>
      <c r="S45" s="140" t="n"/>
      <c r="T45" s="141" t="n"/>
      <c r="U45" s="129" t="n"/>
      <c r="V45" s="129" t="n"/>
      <c r="W45" s="145" t="n"/>
      <c r="X45" s="145" t="n"/>
      <c r="Y45" s="145" t="n"/>
      <c r="Z45" s="145" t="n"/>
    </row>
    <row r="46" ht="45.75" customHeight="1" s="222">
      <c r="A46" s="145" t="n"/>
      <c r="B46" s="145" t="n"/>
      <c r="C46" s="145" t="n"/>
      <c r="D46" s="145" t="n"/>
      <c r="E46" s="145" t="n"/>
      <c r="F46" s="145" t="n"/>
      <c r="G46" s="145" t="n"/>
      <c r="H46" s="145" t="n"/>
      <c r="I46" s="145" t="n"/>
      <c r="J46" s="145" t="n"/>
      <c r="K46" s="145" t="n"/>
      <c r="L46" s="145" t="n"/>
      <c r="M46" s="145" t="n"/>
      <c r="N46" s="145" t="n"/>
      <c r="O46" s="140" t="n"/>
      <c r="P46" s="140" t="n"/>
      <c r="Q46" s="140" t="n"/>
      <c r="R46" s="140" t="n"/>
      <c r="S46" s="140" t="n"/>
      <c r="T46" s="141" t="n"/>
      <c r="U46" s="129" t="n"/>
      <c r="V46" s="129" t="n"/>
      <c r="W46" s="145" t="n"/>
      <c r="X46" s="145" t="n"/>
      <c r="Y46" s="145" t="n"/>
      <c r="Z46" s="145" t="n"/>
    </row>
    <row r="47" ht="45.75" customHeight="1" s="222">
      <c r="A47" s="145" t="n"/>
      <c r="B47" s="145" t="n"/>
      <c r="C47" s="145" t="n"/>
      <c r="D47" s="145" t="n"/>
      <c r="E47" s="145" t="n"/>
      <c r="F47" s="145" t="n"/>
      <c r="G47" s="145" t="n"/>
      <c r="H47" s="145" t="n"/>
      <c r="I47" s="145" t="n"/>
      <c r="J47" s="145" t="n"/>
      <c r="K47" s="145" t="n"/>
      <c r="L47" s="145" t="n"/>
      <c r="M47" s="145" t="n"/>
      <c r="N47" s="145" t="n"/>
      <c r="O47" s="140" t="n"/>
      <c r="P47" s="140" t="n"/>
      <c r="Q47" s="140" t="n"/>
      <c r="R47" s="140" t="n"/>
      <c r="S47" s="140" t="n"/>
      <c r="T47" s="141" t="n"/>
      <c r="U47" s="129" t="n"/>
      <c r="V47" s="129" t="n"/>
      <c r="W47" s="145" t="n"/>
      <c r="X47" s="145" t="n"/>
      <c r="Y47" s="145" t="n"/>
      <c r="Z47" s="145" t="n"/>
    </row>
    <row r="48" ht="45.75" customHeight="1" s="222">
      <c r="A48" s="145" t="n"/>
      <c r="B48" s="145" t="n"/>
      <c r="C48" s="145" t="n"/>
      <c r="D48" s="145" t="n"/>
      <c r="E48" s="145" t="n"/>
      <c r="F48" s="145" t="n"/>
      <c r="G48" s="145" t="n"/>
      <c r="H48" s="145" t="n"/>
      <c r="I48" s="145" t="n"/>
      <c r="J48" s="145" t="n"/>
      <c r="K48" s="145" t="n"/>
      <c r="L48" s="145" t="n"/>
      <c r="M48" s="145" t="n"/>
      <c r="N48" s="145" t="n"/>
      <c r="O48" s="140" t="n"/>
      <c r="P48" s="140" t="n"/>
      <c r="Q48" s="140" t="n"/>
      <c r="R48" s="140" t="n"/>
      <c r="S48" s="140" t="n"/>
      <c r="T48" s="141" t="n"/>
      <c r="U48" s="129" t="n"/>
      <c r="V48" s="129" t="n"/>
      <c r="W48" s="145" t="n"/>
      <c r="X48" s="145" t="n"/>
      <c r="Y48" s="145" t="n"/>
      <c r="Z48" s="145" t="n"/>
    </row>
    <row r="49" ht="45.75" customHeight="1" s="222">
      <c r="A49" s="145" t="n"/>
      <c r="B49" s="145" t="n"/>
      <c r="C49" s="145" t="n"/>
      <c r="D49" s="145" t="n"/>
      <c r="E49" s="145" t="n"/>
      <c r="F49" s="145" t="n"/>
      <c r="G49" s="145" t="n"/>
      <c r="H49" s="145" t="n"/>
      <c r="I49" s="145" t="n"/>
      <c r="J49" s="145" t="n"/>
      <c r="K49" s="145" t="n"/>
      <c r="L49" s="145" t="n"/>
      <c r="M49" s="145" t="n"/>
      <c r="N49" s="145" t="n"/>
      <c r="O49" s="140" t="n"/>
      <c r="P49" s="140" t="n"/>
      <c r="Q49" s="140" t="n"/>
      <c r="R49" s="140" t="n"/>
      <c r="S49" s="140" t="n"/>
      <c r="T49" s="141" t="n"/>
      <c r="U49" s="129" t="n"/>
      <c r="V49" s="129" t="n"/>
      <c r="W49" s="145" t="n"/>
      <c r="X49" s="145" t="n"/>
      <c r="Y49" s="145" t="n"/>
      <c r="Z49" s="145" t="n"/>
    </row>
    <row r="50" ht="45.75" customHeight="1" s="222">
      <c r="A50" s="145" t="n"/>
      <c r="B50" s="145" t="n"/>
      <c r="C50" s="145" t="n"/>
      <c r="D50" s="145" t="n"/>
      <c r="E50" s="145" t="n"/>
      <c r="F50" s="145" t="n"/>
      <c r="G50" s="145" t="n"/>
      <c r="H50" s="145" t="n"/>
      <c r="I50" s="145" t="n"/>
      <c r="J50" s="145" t="n"/>
      <c r="K50" s="145" t="n"/>
      <c r="L50" s="145" t="n"/>
      <c r="M50" s="145" t="n"/>
      <c r="N50" s="145" t="n"/>
      <c r="O50" s="140" t="n"/>
      <c r="P50" s="140" t="n"/>
      <c r="Q50" s="140" t="n"/>
      <c r="R50" s="140" t="n"/>
      <c r="S50" s="140" t="n"/>
      <c r="T50" s="141" t="n"/>
      <c r="U50" s="129" t="n"/>
      <c r="V50" s="129" t="n"/>
      <c r="W50" s="145" t="n"/>
      <c r="X50" s="145" t="n"/>
      <c r="Y50" s="145" t="n"/>
      <c r="Z50" s="145" t="n"/>
    </row>
    <row r="51" ht="45.75" customHeight="1" s="222">
      <c r="A51" s="145" t="n"/>
      <c r="B51" s="145" t="n"/>
      <c r="C51" s="145" t="n"/>
      <c r="D51" s="145" t="n"/>
      <c r="E51" s="145" t="n"/>
      <c r="F51" s="145" t="n"/>
      <c r="G51" s="145" t="n"/>
      <c r="H51" s="145" t="n"/>
      <c r="I51" s="145" t="n"/>
      <c r="J51" s="145" t="n"/>
      <c r="K51" s="145" t="n"/>
      <c r="L51" s="145" t="n"/>
      <c r="M51" s="145" t="n"/>
      <c r="N51" s="145" t="n"/>
      <c r="O51" s="140" t="n"/>
      <c r="P51" s="140" t="n"/>
      <c r="Q51" s="140" t="n"/>
      <c r="R51" s="140" t="n"/>
      <c r="S51" s="140" t="n"/>
      <c r="T51" s="141" t="n"/>
      <c r="U51" s="129" t="n"/>
      <c r="V51" s="129" t="n"/>
      <c r="W51" s="145" t="n"/>
      <c r="X51" s="145" t="n"/>
      <c r="Y51" s="145" t="n"/>
      <c r="Z51" s="145" t="n"/>
    </row>
    <row r="52" ht="45.75" customHeight="1" s="222">
      <c r="A52" s="145" t="n"/>
      <c r="B52" s="145" t="n"/>
      <c r="C52" s="145" t="n"/>
      <c r="D52" s="145" t="n"/>
      <c r="E52" s="145" t="n"/>
      <c r="F52" s="145" t="n"/>
      <c r="G52" s="145" t="n"/>
      <c r="H52" s="145" t="n"/>
      <c r="I52" s="145" t="n"/>
      <c r="J52" s="145" t="n"/>
      <c r="K52" s="145" t="n"/>
      <c r="L52" s="145" t="n"/>
      <c r="M52" s="145" t="n"/>
      <c r="N52" s="145" t="n"/>
      <c r="O52" s="140" t="n"/>
      <c r="P52" s="140" t="n"/>
      <c r="Q52" s="140" t="n"/>
      <c r="R52" s="140" t="n"/>
      <c r="S52" s="140" t="n"/>
      <c r="T52" s="141" t="n"/>
      <c r="U52" s="129" t="n"/>
      <c r="V52" s="129" t="n"/>
      <c r="W52" s="145" t="n"/>
      <c r="X52" s="145" t="n"/>
      <c r="Y52" s="145" t="n"/>
      <c r="Z52" s="145" t="n"/>
    </row>
    <row r="53" ht="45.75" customHeight="1" s="222">
      <c r="A53" s="145" t="n"/>
      <c r="B53" s="145" t="n"/>
      <c r="C53" s="145" t="n"/>
      <c r="D53" s="145" t="n"/>
      <c r="E53" s="145" t="n"/>
      <c r="F53" s="145" t="n"/>
      <c r="G53" s="145" t="n"/>
      <c r="H53" s="145" t="n"/>
      <c r="I53" s="145" t="n"/>
      <c r="J53" s="145" t="n"/>
      <c r="K53" s="145" t="n"/>
      <c r="L53" s="145" t="n"/>
      <c r="M53" s="145" t="n"/>
      <c r="N53" s="145" t="n"/>
      <c r="O53" s="140" t="n"/>
      <c r="P53" s="140" t="n"/>
      <c r="Q53" s="140" t="n"/>
      <c r="R53" s="140" t="n"/>
      <c r="S53" s="140" t="n"/>
      <c r="T53" s="141" t="n"/>
      <c r="U53" s="129" t="n"/>
      <c r="V53" s="129" t="n"/>
      <c r="W53" s="145" t="n"/>
      <c r="X53" s="145" t="n"/>
      <c r="Y53" s="145" t="n"/>
      <c r="Z53" s="145" t="n"/>
    </row>
    <row r="54" ht="45.75" customHeight="1" s="222">
      <c r="A54" s="145" t="n"/>
      <c r="B54" s="145" t="n"/>
      <c r="C54" s="145" t="n"/>
      <c r="D54" s="145" t="n"/>
      <c r="E54" s="145" t="n"/>
      <c r="F54" s="145" t="n"/>
      <c r="G54" s="145" t="n"/>
      <c r="H54" s="145" t="n"/>
      <c r="I54" s="145" t="n"/>
      <c r="J54" s="145" t="n"/>
      <c r="K54" s="145" t="n"/>
      <c r="L54" s="145" t="n"/>
      <c r="M54" s="145" t="n"/>
      <c r="N54" s="145" t="n"/>
      <c r="O54" s="140" t="n"/>
      <c r="P54" s="140" t="n"/>
      <c r="Q54" s="140" t="n"/>
      <c r="R54" s="140" t="n"/>
      <c r="S54" s="140" t="n"/>
      <c r="T54" s="141" t="n"/>
      <c r="U54" s="129" t="n"/>
      <c r="V54" s="129" t="n"/>
      <c r="W54" s="145" t="n"/>
      <c r="X54" s="145" t="n"/>
      <c r="Y54" s="145" t="n"/>
      <c r="Z54" s="145" t="n"/>
    </row>
    <row r="55" ht="45.75" customHeight="1" s="222">
      <c r="A55" s="145" t="n"/>
      <c r="B55" s="145" t="n"/>
      <c r="C55" s="145" t="n"/>
      <c r="D55" s="145" t="n"/>
      <c r="E55" s="145" t="n"/>
      <c r="F55" s="145" t="n"/>
      <c r="G55" s="145" t="n"/>
      <c r="H55" s="145" t="n"/>
      <c r="I55" s="145" t="n"/>
      <c r="J55" s="145" t="n"/>
      <c r="K55" s="145" t="n"/>
      <c r="L55" s="145" t="n"/>
      <c r="M55" s="145" t="n"/>
      <c r="N55" s="145" t="n"/>
      <c r="O55" s="140" t="n"/>
      <c r="P55" s="140" t="n"/>
      <c r="Q55" s="140" t="n"/>
      <c r="R55" s="140" t="n"/>
      <c r="S55" s="140" t="n"/>
      <c r="T55" s="141" t="n"/>
      <c r="U55" s="129" t="n"/>
      <c r="V55" s="129" t="n"/>
      <c r="W55" s="145" t="n"/>
      <c r="X55" s="145" t="n"/>
      <c r="Y55" s="145" t="n"/>
      <c r="Z55" s="145" t="n"/>
    </row>
    <row r="56" ht="45.75" customHeight="1" s="222">
      <c r="A56" s="145" t="n"/>
      <c r="B56" s="145" t="n"/>
      <c r="C56" s="145" t="n"/>
      <c r="D56" s="145" t="n"/>
      <c r="E56" s="145" t="n"/>
      <c r="F56" s="145" t="n"/>
      <c r="G56" s="145" t="n"/>
      <c r="H56" s="145" t="n"/>
      <c r="I56" s="145" t="n"/>
      <c r="J56" s="145" t="n"/>
      <c r="K56" s="145" t="n"/>
      <c r="L56" s="145" t="n"/>
      <c r="M56" s="145" t="n"/>
      <c r="N56" s="145" t="n"/>
      <c r="O56" s="140" t="n"/>
      <c r="P56" s="140" t="n"/>
      <c r="Q56" s="140" t="n"/>
      <c r="R56" s="140" t="n"/>
      <c r="S56" s="140" t="n"/>
      <c r="T56" s="141" t="n"/>
      <c r="U56" s="129" t="n"/>
      <c r="V56" s="129" t="n"/>
      <c r="W56" s="145" t="n"/>
      <c r="X56" s="145" t="n"/>
      <c r="Y56" s="145" t="n"/>
      <c r="Z56" s="145" t="n"/>
    </row>
    <row r="57" ht="45.75" customHeight="1" s="222">
      <c r="A57" s="145" t="n"/>
      <c r="B57" s="145" t="n"/>
      <c r="C57" s="145" t="n"/>
      <c r="D57" s="145" t="n"/>
      <c r="E57" s="145" t="n"/>
      <c r="F57" s="145" t="n"/>
      <c r="G57" s="145" t="n"/>
      <c r="H57" s="145" t="n"/>
      <c r="I57" s="145" t="n"/>
      <c r="J57" s="145" t="n"/>
      <c r="K57" s="145" t="n"/>
      <c r="L57" s="145" t="n"/>
      <c r="M57" s="145" t="n"/>
      <c r="N57" s="145" t="n"/>
      <c r="O57" s="140" t="n"/>
      <c r="P57" s="140" t="n"/>
      <c r="Q57" s="140" t="n"/>
      <c r="R57" s="140" t="n"/>
      <c r="S57" s="140" t="n"/>
      <c r="T57" s="141" t="n"/>
      <c r="U57" s="129" t="n"/>
      <c r="V57" s="129" t="n"/>
      <c r="W57" s="145" t="n"/>
      <c r="X57" s="145" t="n"/>
      <c r="Y57" s="145" t="n"/>
      <c r="Z57" s="145" t="n"/>
    </row>
    <row r="58" ht="45.75" customHeight="1" s="222">
      <c r="A58" s="145" t="n"/>
      <c r="B58" s="145" t="n"/>
      <c r="C58" s="145" t="n"/>
      <c r="D58" s="145" t="n"/>
      <c r="E58" s="145" t="n"/>
      <c r="F58" s="145" t="n"/>
      <c r="G58" s="145" t="n"/>
      <c r="H58" s="145" t="n"/>
      <c r="I58" s="145" t="n"/>
      <c r="J58" s="145" t="n"/>
      <c r="K58" s="145" t="n"/>
      <c r="L58" s="145" t="n"/>
      <c r="M58" s="145" t="n"/>
      <c r="N58" s="145" t="n"/>
      <c r="O58" s="140" t="n"/>
      <c r="P58" s="140" t="n"/>
      <c r="Q58" s="140" t="n"/>
      <c r="R58" s="140" t="n"/>
      <c r="S58" s="140" t="n"/>
      <c r="T58" s="141" t="n"/>
      <c r="U58" s="129" t="n"/>
      <c r="V58" s="129" t="n"/>
      <c r="W58" s="145" t="n"/>
      <c r="X58" s="145" t="n"/>
      <c r="Y58" s="145" t="n"/>
      <c r="Z58" s="145" t="n"/>
    </row>
    <row r="59" ht="45.75" customHeight="1" s="222">
      <c r="A59" s="145" t="n"/>
      <c r="B59" s="145" t="n"/>
      <c r="C59" s="145" t="n"/>
      <c r="D59" s="145" t="n"/>
      <c r="E59" s="145" t="n"/>
      <c r="F59" s="145" t="n"/>
      <c r="G59" s="145" t="n"/>
      <c r="H59" s="145" t="n"/>
      <c r="I59" s="145" t="n"/>
      <c r="J59" s="145" t="n"/>
      <c r="K59" s="145" t="n"/>
      <c r="L59" s="145" t="n"/>
      <c r="M59" s="145" t="n"/>
      <c r="N59" s="145" t="n"/>
      <c r="O59" s="140" t="n"/>
      <c r="P59" s="140" t="n"/>
      <c r="Q59" s="140" t="n"/>
      <c r="R59" s="140" t="n"/>
      <c r="S59" s="140" t="n"/>
      <c r="T59" s="141" t="n"/>
      <c r="U59" s="129" t="n"/>
      <c r="V59" s="129" t="n"/>
      <c r="W59" s="145" t="n"/>
      <c r="X59" s="145" t="n"/>
      <c r="Y59" s="145" t="n"/>
      <c r="Z59" s="145" t="n"/>
    </row>
    <row r="60" ht="45.75" customHeight="1" s="222">
      <c r="A60" s="145" t="n"/>
      <c r="B60" s="145" t="n"/>
      <c r="C60" s="145" t="n"/>
      <c r="D60" s="145" t="n"/>
      <c r="E60" s="145" t="n"/>
      <c r="F60" s="145" t="n"/>
      <c r="G60" s="145" t="n"/>
      <c r="H60" s="145" t="n"/>
      <c r="I60" s="145" t="n"/>
      <c r="J60" s="145" t="n"/>
      <c r="K60" s="145" t="n"/>
      <c r="L60" s="145" t="n"/>
      <c r="M60" s="145" t="n"/>
      <c r="N60" s="145" t="n"/>
      <c r="O60" s="140" t="n"/>
      <c r="P60" s="140" t="n"/>
      <c r="Q60" s="140" t="n"/>
      <c r="R60" s="140" t="n"/>
      <c r="S60" s="140" t="n"/>
      <c r="T60" s="141" t="n"/>
      <c r="U60" s="129" t="n"/>
      <c r="V60" s="129" t="n"/>
      <c r="W60" s="145" t="n"/>
      <c r="X60" s="145" t="n"/>
      <c r="Y60" s="145" t="n"/>
      <c r="Z60" s="145" t="n"/>
    </row>
    <row r="61" ht="45.75" customHeight="1" s="222">
      <c r="A61" s="145" t="n"/>
      <c r="B61" s="145" t="n"/>
      <c r="C61" s="145" t="n"/>
      <c r="D61" s="145" t="n"/>
      <c r="E61" s="145" t="n"/>
      <c r="F61" s="145" t="n"/>
      <c r="G61" s="145" t="n"/>
      <c r="H61" s="145" t="n"/>
      <c r="I61" s="145" t="n"/>
      <c r="J61" s="145" t="n"/>
      <c r="K61" s="145" t="n"/>
      <c r="L61" s="145" t="n"/>
      <c r="M61" s="145" t="n"/>
      <c r="N61" s="145" t="n"/>
      <c r="O61" s="140" t="n"/>
      <c r="P61" s="140" t="n"/>
      <c r="Q61" s="140" t="n"/>
      <c r="R61" s="140" t="n"/>
      <c r="S61" s="140" t="n"/>
      <c r="T61" s="141" t="n"/>
      <c r="U61" s="129" t="n"/>
      <c r="V61" s="129" t="n"/>
      <c r="W61" s="145" t="n"/>
      <c r="X61" s="145" t="n"/>
      <c r="Y61" s="145" t="n"/>
      <c r="Z61" s="145" t="n"/>
    </row>
    <row r="62" ht="45.75" customHeight="1" s="222">
      <c r="A62" s="145" t="n"/>
      <c r="B62" s="145" t="n"/>
      <c r="C62" s="145" t="n"/>
      <c r="D62" s="145" t="n"/>
      <c r="E62" s="145" t="n"/>
      <c r="F62" s="145" t="n"/>
      <c r="G62" s="145" t="n"/>
      <c r="H62" s="145" t="n"/>
      <c r="I62" s="145" t="n"/>
      <c r="J62" s="145" t="n"/>
      <c r="K62" s="145" t="n"/>
      <c r="L62" s="145" t="n"/>
      <c r="M62" s="145" t="n"/>
      <c r="N62" s="145" t="n"/>
      <c r="O62" s="140" t="n"/>
      <c r="P62" s="140" t="n"/>
      <c r="Q62" s="140" t="n"/>
      <c r="R62" s="140" t="n"/>
      <c r="S62" s="140" t="n"/>
      <c r="T62" s="141" t="n"/>
      <c r="U62" s="129" t="n"/>
      <c r="V62" s="129" t="n"/>
      <c r="W62" s="145" t="n"/>
      <c r="X62" s="145" t="n"/>
      <c r="Y62" s="145" t="n"/>
      <c r="Z62" s="145" t="n"/>
    </row>
    <row r="63" ht="45.75" customHeight="1" s="222">
      <c r="A63" s="145" t="n"/>
      <c r="B63" s="145" t="n"/>
      <c r="C63" s="145" t="n"/>
      <c r="D63" s="145" t="n"/>
      <c r="E63" s="145" t="n"/>
      <c r="F63" s="145" t="n"/>
      <c r="G63" s="145" t="n"/>
      <c r="H63" s="145" t="n"/>
      <c r="I63" s="145" t="n"/>
      <c r="J63" s="145" t="n"/>
      <c r="K63" s="145" t="n"/>
      <c r="L63" s="145" t="n"/>
      <c r="M63" s="145" t="n"/>
      <c r="N63" s="145" t="n"/>
      <c r="O63" s="140" t="n"/>
      <c r="P63" s="140" t="n"/>
      <c r="Q63" s="140" t="n"/>
      <c r="R63" s="140" t="n"/>
      <c r="S63" s="140" t="n"/>
      <c r="T63" s="141" t="n"/>
      <c r="U63" s="129" t="n"/>
      <c r="V63" s="129" t="n"/>
      <c r="W63" s="145" t="n"/>
      <c r="X63" s="145" t="n"/>
      <c r="Y63" s="145" t="n"/>
      <c r="Z63" s="145" t="n"/>
    </row>
    <row r="64" ht="45.75" customHeight="1" s="222">
      <c r="A64" s="145" t="n"/>
      <c r="B64" s="145" t="n"/>
      <c r="C64" s="145" t="n"/>
      <c r="D64" s="145" t="n"/>
      <c r="E64" s="145" t="n"/>
      <c r="F64" s="145" t="n"/>
      <c r="G64" s="145" t="n"/>
      <c r="H64" s="145" t="n"/>
      <c r="I64" s="145" t="n"/>
      <c r="J64" s="145" t="n"/>
      <c r="K64" s="145" t="n"/>
      <c r="L64" s="145" t="n"/>
      <c r="M64" s="145" t="n"/>
      <c r="N64" s="145" t="n"/>
      <c r="O64" s="140" t="n"/>
      <c r="P64" s="140" t="n"/>
      <c r="Q64" s="140" t="n"/>
      <c r="R64" s="140" t="n"/>
      <c r="S64" s="140" t="n"/>
      <c r="T64" s="141" t="n"/>
      <c r="U64" s="129" t="n"/>
      <c r="V64" s="129" t="n"/>
      <c r="W64" s="145" t="n"/>
      <c r="X64" s="145" t="n"/>
      <c r="Y64" s="145" t="n"/>
      <c r="Z64" s="145" t="n"/>
    </row>
    <row r="65" ht="45.75" customHeight="1" s="222">
      <c r="A65" s="145" t="n"/>
      <c r="B65" s="145" t="n"/>
      <c r="C65" s="145" t="n"/>
      <c r="D65" s="145" t="n"/>
      <c r="E65" s="145" t="n"/>
      <c r="F65" s="145" t="n"/>
      <c r="G65" s="145" t="n"/>
      <c r="H65" s="145" t="n"/>
      <c r="I65" s="145" t="n"/>
      <c r="J65" s="145" t="n"/>
      <c r="K65" s="145" t="n"/>
      <c r="L65" s="145" t="n"/>
      <c r="M65" s="145" t="n"/>
      <c r="N65" s="145" t="n"/>
      <c r="O65" s="140" t="n"/>
      <c r="P65" s="140" t="n"/>
      <c r="Q65" s="140" t="n"/>
      <c r="R65" s="140" t="n"/>
      <c r="S65" s="140" t="n"/>
      <c r="T65" s="141" t="n"/>
      <c r="U65" s="129" t="n"/>
      <c r="V65" s="129" t="n"/>
      <c r="W65" s="145" t="n"/>
      <c r="X65" s="145" t="n"/>
      <c r="Y65" s="145" t="n"/>
      <c r="Z65" s="145" t="n"/>
    </row>
    <row r="66" ht="45.75" customHeight="1" s="222">
      <c r="A66" s="145" t="n"/>
      <c r="B66" s="145" t="n"/>
      <c r="C66" s="145" t="n"/>
      <c r="D66" s="145" t="n"/>
      <c r="E66" s="145" t="n"/>
      <c r="F66" s="145" t="n"/>
      <c r="G66" s="145" t="n"/>
      <c r="H66" s="145" t="n"/>
      <c r="I66" s="145" t="n"/>
      <c r="J66" s="145" t="n"/>
      <c r="K66" s="145" t="n"/>
      <c r="L66" s="145" t="n"/>
      <c r="M66" s="145" t="n"/>
      <c r="N66" s="145" t="n"/>
      <c r="O66" s="140" t="n"/>
      <c r="P66" s="140" t="n"/>
      <c r="Q66" s="140" t="n"/>
      <c r="R66" s="140" t="n"/>
      <c r="S66" s="140" t="n"/>
      <c r="T66" s="141" t="n"/>
      <c r="U66" s="129" t="n"/>
      <c r="V66" s="129" t="n"/>
      <c r="W66" s="145" t="n"/>
      <c r="X66" s="145" t="n"/>
      <c r="Y66" s="145" t="n"/>
      <c r="Z66" s="145" t="n"/>
    </row>
    <row r="67" ht="45.75" customHeight="1" s="222">
      <c r="A67" s="145" t="n"/>
      <c r="B67" s="145" t="n"/>
      <c r="C67" s="145" t="n"/>
      <c r="D67" s="145" t="n"/>
      <c r="E67" s="145" t="n"/>
      <c r="F67" s="145" t="n"/>
      <c r="G67" s="145" t="n"/>
      <c r="H67" s="145" t="n"/>
      <c r="I67" s="145" t="n"/>
      <c r="J67" s="145" t="n"/>
      <c r="K67" s="145" t="n"/>
      <c r="L67" s="145" t="n"/>
      <c r="M67" s="145" t="n"/>
      <c r="N67" s="145" t="n"/>
      <c r="O67" s="140" t="n"/>
      <c r="P67" s="140" t="n"/>
      <c r="Q67" s="140" t="n"/>
      <c r="R67" s="140" t="n"/>
      <c r="S67" s="140" t="n"/>
      <c r="T67" s="141" t="n"/>
      <c r="U67" s="129" t="n"/>
      <c r="V67" s="129" t="n"/>
      <c r="W67" s="145" t="n"/>
      <c r="X67" s="145" t="n"/>
      <c r="Y67" s="145" t="n"/>
      <c r="Z67" s="145" t="n"/>
    </row>
    <row r="68" ht="45.75" customHeight="1" s="222">
      <c r="A68" s="145" t="n"/>
      <c r="B68" s="145" t="n"/>
      <c r="C68" s="145" t="n"/>
      <c r="D68" s="145" t="n"/>
      <c r="E68" s="145" t="n"/>
      <c r="F68" s="145" t="n"/>
      <c r="G68" s="145" t="n"/>
      <c r="H68" s="145" t="n"/>
      <c r="I68" s="145" t="n"/>
      <c r="J68" s="145" t="n"/>
      <c r="K68" s="145" t="n"/>
      <c r="L68" s="145" t="n"/>
      <c r="M68" s="145" t="n"/>
      <c r="N68" s="145" t="n"/>
      <c r="O68" s="140" t="n"/>
      <c r="P68" s="140" t="n"/>
      <c r="Q68" s="140" t="n"/>
      <c r="R68" s="140" t="n"/>
      <c r="S68" s="140" t="n"/>
      <c r="T68" s="141" t="n"/>
      <c r="U68" s="129" t="n"/>
      <c r="V68" s="129" t="n"/>
      <c r="W68" s="145" t="n"/>
      <c r="X68" s="145" t="n"/>
      <c r="Y68" s="145" t="n"/>
      <c r="Z68" s="145" t="n"/>
    </row>
    <row r="69" ht="45.75" customHeight="1" s="222">
      <c r="A69" s="145" t="n"/>
      <c r="B69" s="145" t="n"/>
      <c r="C69" s="145" t="n"/>
      <c r="D69" s="145" t="n"/>
      <c r="E69" s="145" t="n"/>
      <c r="F69" s="145" t="n"/>
      <c r="G69" s="145" t="n"/>
      <c r="H69" s="145" t="n"/>
      <c r="I69" s="145" t="n"/>
      <c r="J69" s="145" t="n"/>
      <c r="K69" s="145" t="n"/>
      <c r="L69" s="145" t="n"/>
      <c r="M69" s="145" t="n"/>
      <c r="N69" s="145" t="n"/>
      <c r="O69" s="140" t="n"/>
      <c r="P69" s="140" t="n"/>
      <c r="Q69" s="140" t="n"/>
      <c r="R69" s="140" t="n"/>
      <c r="S69" s="140" t="n"/>
      <c r="T69" s="141" t="n"/>
      <c r="U69" s="129" t="n"/>
      <c r="V69" s="129" t="n"/>
      <c r="W69" s="145" t="n"/>
      <c r="X69" s="145" t="n"/>
      <c r="Y69" s="145" t="n"/>
      <c r="Z69" s="145" t="n"/>
    </row>
    <row r="70" ht="45.75" customHeight="1" s="222">
      <c r="A70" s="145" t="n"/>
      <c r="B70" s="145" t="n"/>
      <c r="C70" s="145" t="n"/>
      <c r="D70" s="145" t="n"/>
      <c r="E70" s="145" t="n"/>
      <c r="F70" s="145" t="n"/>
      <c r="G70" s="145" t="n"/>
      <c r="H70" s="145" t="n"/>
      <c r="I70" s="145" t="n"/>
      <c r="J70" s="145" t="n"/>
      <c r="K70" s="145" t="n"/>
      <c r="L70" s="145" t="n"/>
      <c r="M70" s="145" t="n"/>
      <c r="N70" s="145" t="n"/>
      <c r="O70" s="140" t="n"/>
      <c r="P70" s="140" t="n"/>
      <c r="Q70" s="140" t="n"/>
      <c r="R70" s="140" t="n"/>
      <c r="S70" s="140" t="n"/>
      <c r="T70" s="141" t="n"/>
      <c r="U70" s="129" t="n"/>
      <c r="V70" s="129" t="n"/>
      <c r="W70" s="145" t="n"/>
      <c r="X70" s="145" t="n"/>
      <c r="Y70" s="145" t="n"/>
      <c r="Z70" s="145" t="n"/>
    </row>
    <row r="71" ht="45.75" customHeight="1" s="222">
      <c r="A71" s="145" t="n"/>
      <c r="B71" s="145" t="n"/>
      <c r="C71" s="145" t="n"/>
      <c r="D71" s="145" t="n"/>
      <c r="E71" s="145" t="n"/>
      <c r="F71" s="145" t="n"/>
      <c r="G71" s="145" t="n"/>
      <c r="H71" s="145" t="n"/>
      <c r="I71" s="145" t="n"/>
      <c r="J71" s="145" t="n"/>
      <c r="K71" s="145" t="n"/>
      <c r="L71" s="145" t="n"/>
      <c r="M71" s="145" t="n"/>
      <c r="N71" s="145" t="n"/>
      <c r="O71" s="140" t="n"/>
      <c r="P71" s="140" t="n"/>
      <c r="Q71" s="140" t="n"/>
      <c r="R71" s="140" t="n"/>
      <c r="S71" s="140" t="n"/>
      <c r="T71" s="141" t="n"/>
      <c r="U71" s="129" t="n"/>
      <c r="V71" s="129" t="n"/>
      <c r="W71" s="145" t="n"/>
      <c r="X71" s="145" t="n"/>
      <c r="Y71" s="145" t="n"/>
      <c r="Z71" s="145" t="n"/>
    </row>
    <row r="72" ht="45.75" customHeight="1" s="222">
      <c r="A72" s="145" t="n"/>
      <c r="B72" s="145" t="n"/>
      <c r="C72" s="145" t="n"/>
      <c r="D72" s="145" t="n"/>
      <c r="E72" s="145" t="n"/>
      <c r="F72" s="145" t="n"/>
      <c r="G72" s="145" t="n"/>
      <c r="H72" s="145" t="n"/>
      <c r="I72" s="145" t="n"/>
      <c r="J72" s="145" t="n"/>
      <c r="K72" s="145" t="n"/>
      <c r="L72" s="145" t="n"/>
      <c r="M72" s="145" t="n"/>
      <c r="N72" s="145" t="n"/>
      <c r="O72" s="140" t="n"/>
      <c r="P72" s="140" t="n"/>
      <c r="Q72" s="140" t="n"/>
      <c r="R72" s="140" t="n"/>
      <c r="S72" s="140" t="n"/>
      <c r="T72" s="141" t="n"/>
      <c r="U72" s="129" t="n"/>
      <c r="V72" s="129" t="n"/>
      <c r="W72" s="145" t="n"/>
      <c r="X72" s="145" t="n"/>
      <c r="Y72" s="145" t="n"/>
      <c r="Z72" s="145" t="n"/>
    </row>
    <row r="73" ht="45.75" customHeight="1" s="222">
      <c r="A73" s="145" t="n"/>
      <c r="B73" s="145" t="n"/>
      <c r="C73" s="145" t="n"/>
      <c r="D73" s="145" t="n"/>
      <c r="E73" s="145" t="n"/>
      <c r="F73" s="145" t="n"/>
      <c r="G73" s="145" t="n"/>
      <c r="H73" s="145" t="n"/>
      <c r="I73" s="145" t="n"/>
      <c r="J73" s="145" t="n"/>
      <c r="K73" s="145" t="n"/>
      <c r="L73" s="145" t="n"/>
      <c r="M73" s="145" t="n"/>
      <c r="N73" s="145" t="n"/>
      <c r="O73" s="140" t="n"/>
      <c r="P73" s="140" t="n"/>
      <c r="Q73" s="140" t="n"/>
      <c r="R73" s="140" t="n"/>
      <c r="S73" s="140" t="n"/>
      <c r="T73" s="141" t="n"/>
      <c r="U73" s="129" t="n"/>
      <c r="V73" s="129" t="n"/>
      <c r="W73" s="145" t="n"/>
      <c r="X73" s="145" t="n"/>
      <c r="Y73" s="145" t="n"/>
      <c r="Z73" s="145" t="n"/>
    </row>
    <row r="74" ht="45.75" customHeight="1" s="222">
      <c r="A74" s="145" t="n"/>
      <c r="B74" s="145" t="n"/>
      <c r="C74" s="145" t="n"/>
      <c r="D74" s="145" t="n"/>
      <c r="E74" s="145" t="n"/>
      <c r="F74" s="145" t="n"/>
      <c r="G74" s="145" t="n"/>
      <c r="H74" s="145" t="n"/>
      <c r="I74" s="145" t="n"/>
      <c r="J74" s="145" t="n"/>
      <c r="K74" s="145" t="n"/>
      <c r="L74" s="145" t="n"/>
      <c r="M74" s="145" t="n"/>
      <c r="N74" s="145" t="n"/>
      <c r="O74" s="140" t="n"/>
      <c r="P74" s="140" t="n"/>
      <c r="Q74" s="140" t="n"/>
      <c r="R74" s="140" t="n"/>
      <c r="S74" s="140" t="n"/>
      <c r="T74" s="141" t="n"/>
      <c r="U74" s="129" t="n"/>
      <c r="V74" s="129" t="n"/>
      <c r="W74" s="145" t="n"/>
      <c r="X74" s="145" t="n"/>
      <c r="Y74" s="145" t="n"/>
      <c r="Z74" s="145" t="n"/>
    </row>
    <row r="75" ht="45.75" customHeight="1" s="222">
      <c r="A75" s="145" t="n"/>
      <c r="B75" s="145" t="n"/>
      <c r="C75" s="145" t="n"/>
      <c r="D75" s="145" t="n"/>
      <c r="E75" s="145" t="n"/>
      <c r="F75" s="145" t="n"/>
      <c r="G75" s="145" t="n"/>
      <c r="H75" s="145" t="n"/>
      <c r="I75" s="145" t="n"/>
      <c r="J75" s="145" t="n"/>
      <c r="K75" s="145" t="n"/>
      <c r="L75" s="145" t="n"/>
      <c r="M75" s="145" t="n"/>
      <c r="N75" s="145" t="n"/>
      <c r="O75" s="140" t="n"/>
      <c r="P75" s="140" t="n"/>
      <c r="Q75" s="140" t="n"/>
      <c r="R75" s="140" t="n"/>
      <c r="S75" s="140" t="n"/>
      <c r="T75" s="141" t="n"/>
      <c r="U75" s="129" t="n"/>
      <c r="V75" s="129" t="n"/>
      <c r="W75" s="145" t="n"/>
      <c r="X75" s="145" t="n"/>
      <c r="Y75" s="145" t="n"/>
      <c r="Z75" s="145" t="n"/>
    </row>
    <row r="76" ht="45.75" customHeight="1" s="222">
      <c r="A76" s="145" t="n"/>
      <c r="B76" s="145" t="n"/>
      <c r="C76" s="145" t="n"/>
      <c r="D76" s="145" t="n"/>
      <c r="E76" s="145" t="n"/>
      <c r="F76" s="145" t="n"/>
      <c r="G76" s="145" t="n"/>
      <c r="H76" s="145" t="n"/>
      <c r="I76" s="145" t="n"/>
      <c r="J76" s="145" t="n"/>
      <c r="K76" s="145" t="n"/>
      <c r="L76" s="145" t="n"/>
      <c r="M76" s="145" t="n"/>
      <c r="N76" s="145" t="n"/>
      <c r="O76" s="140" t="n"/>
      <c r="P76" s="140" t="n"/>
      <c r="Q76" s="140" t="n"/>
      <c r="R76" s="140" t="n"/>
      <c r="S76" s="140" t="n"/>
      <c r="T76" s="141" t="n"/>
      <c r="U76" s="129" t="n"/>
      <c r="V76" s="129" t="n"/>
      <c r="W76" s="145" t="n"/>
      <c r="X76" s="145" t="n"/>
      <c r="Y76" s="145" t="n"/>
      <c r="Z76" s="145" t="n"/>
    </row>
    <row r="77" ht="45.75" customHeight="1" s="222">
      <c r="A77" s="145" t="n"/>
      <c r="B77" s="145" t="n"/>
      <c r="C77" s="145" t="n"/>
      <c r="D77" s="145" t="n"/>
      <c r="E77" s="145" t="n"/>
      <c r="F77" s="145" t="n"/>
      <c r="G77" s="145" t="n"/>
      <c r="H77" s="145" t="n"/>
      <c r="I77" s="145" t="n"/>
      <c r="J77" s="145" t="n"/>
      <c r="K77" s="145" t="n"/>
      <c r="L77" s="145" t="n"/>
      <c r="M77" s="145" t="n"/>
      <c r="N77" s="145" t="n"/>
      <c r="O77" s="140" t="n"/>
      <c r="P77" s="140" t="n"/>
      <c r="Q77" s="140" t="n"/>
      <c r="R77" s="140" t="n"/>
      <c r="S77" s="140" t="n"/>
      <c r="T77" s="141" t="n"/>
      <c r="U77" s="129" t="n"/>
      <c r="V77" s="129" t="n"/>
      <c r="W77" s="145" t="n"/>
      <c r="X77" s="145" t="n"/>
      <c r="Y77" s="145" t="n"/>
      <c r="Z77" s="145" t="n"/>
    </row>
    <row r="78" ht="45.75" customHeight="1" s="222">
      <c r="A78" s="145" t="n"/>
      <c r="B78" s="145" t="n"/>
      <c r="C78" s="145" t="n"/>
      <c r="D78" s="145" t="n"/>
      <c r="E78" s="145" t="n"/>
      <c r="F78" s="145" t="n"/>
      <c r="G78" s="145" t="n"/>
      <c r="H78" s="145" t="n"/>
      <c r="I78" s="145" t="n"/>
      <c r="J78" s="145" t="n"/>
      <c r="K78" s="145" t="n"/>
      <c r="L78" s="145" t="n"/>
      <c r="M78" s="145" t="n"/>
      <c r="N78" s="145" t="n"/>
      <c r="O78" s="140" t="n"/>
      <c r="P78" s="140" t="n"/>
      <c r="Q78" s="140" t="n"/>
      <c r="R78" s="140" t="n"/>
      <c r="S78" s="140" t="n"/>
      <c r="T78" s="141" t="n"/>
      <c r="U78" s="129" t="n"/>
      <c r="V78" s="129" t="n"/>
      <c r="W78" s="145" t="n"/>
      <c r="X78" s="145" t="n"/>
      <c r="Y78" s="145" t="n"/>
      <c r="Z78" s="145" t="n"/>
    </row>
    <row r="79" ht="45.75" customHeight="1" s="222">
      <c r="A79" s="145" t="n"/>
      <c r="B79" s="145" t="n"/>
      <c r="C79" s="145" t="n"/>
      <c r="D79" s="145" t="n"/>
      <c r="E79" s="145" t="n"/>
      <c r="F79" s="145" t="n"/>
      <c r="G79" s="145" t="n"/>
      <c r="H79" s="145" t="n"/>
      <c r="I79" s="145" t="n"/>
      <c r="J79" s="145" t="n"/>
      <c r="K79" s="145" t="n"/>
      <c r="L79" s="145" t="n"/>
      <c r="M79" s="145" t="n"/>
      <c r="N79" s="145" t="n"/>
      <c r="O79" s="140" t="n"/>
      <c r="P79" s="140" t="n"/>
      <c r="Q79" s="140" t="n"/>
      <c r="R79" s="140" t="n"/>
      <c r="S79" s="140" t="n"/>
      <c r="T79" s="141" t="n"/>
      <c r="U79" s="129" t="n"/>
      <c r="V79" s="129" t="n"/>
      <c r="W79" s="145" t="n"/>
      <c r="X79" s="145" t="n"/>
      <c r="Y79" s="145" t="n"/>
      <c r="Z79" s="145" t="n"/>
    </row>
    <row r="80" ht="45.75" customHeight="1" s="222">
      <c r="A80" s="145" t="n"/>
      <c r="B80" s="145" t="n"/>
      <c r="C80" s="145" t="n"/>
      <c r="D80" s="145" t="n"/>
      <c r="E80" s="145" t="n"/>
      <c r="F80" s="145" t="n"/>
      <c r="G80" s="145" t="n"/>
      <c r="H80" s="145" t="n"/>
      <c r="I80" s="145" t="n"/>
      <c r="J80" s="145" t="n"/>
      <c r="K80" s="145" t="n"/>
      <c r="L80" s="145" t="n"/>
      <c r="M80" s="145" t="n"/>
      <c r="N80" s="145" t="n"/>
      <c r="O80" s="140" t="n"/>
      <c r="P80" s="140" t="n"/>
      <c r="Q80" s="140" t="n"/>
      <c r="R80" s="140" t="n"/>
      <c r="S80" s="140" t="n"/>
      <c r="T80" s="141" t="n"/>
      <c r="U80" s="129" t="n"/>
      <c r="V80" s="129" t="n"/>
      <c r="W80" s="145" t="n"/>
      <c r="X80" s="145" t="n"/>
      <c r="Y80" s="145" t="n"/>
      <c r="Z80" s="145" t="n"/>
    </row>
    <row r="81" ht="45.75" customHeight="1" s="222">
      <c r="A81" s="145" t="n"/>
      <c r="B81" s="145" t="n"/>
      <c r="C81" s="145" t="n"/>
      <c r="D81" s="145" t="n"/>
      <c r="E81" s="145" t="n"/>
      <c r="F81" s="145" t="n"/>
      <c r="G81" s="145" t="n"/>
      <c r="H81" s="145" t="n"/>
      <c r="I81" s="145" t="n"/>
      <c r="J81" s="145" t="n"/>
      <c r="K81" s="145" t="n"/>
      <c r="L81" s="145" t="n"/>
      <c r="M81" s="145" t="n"/>
      <c r="N81" s="145" t="n"/>
      <c r="O81" s="140" t="n"/>
      <c r="P81" s="140" t="n"/>
      <c r="Q81" s="140" t="n"/>
      <c r="R81" s="140" t="n"/>
      <c r="S81" s="140" t="n"/>
      <c r="T81" s="141" t="n"/>
      <c r="U81" s="129" t="n"/>
      <c r="V81" s="129" t="n"/>
      <c r="W81" s="145" t="n"/>
      <c r="X81" s="145" t="n"/>
      <c r="Y81" s="145" t="n"/>
      <c r="Z81" s="145" t="n"/>
    </row>
    <row r="82" ht="45.75" customHeight="1" s="222">
      <c r="A82" s="145" t="n"/>
      <c r="B82" s="145" t="n"/>
      <c r="C82" s="145" t="n"/>
      <c r="D82" s="145" t="n"/>
      <c r="E82" s="145" t="n"/>
      <c r="F82" s="145" t="n"/>
      <c r="G82" s="145" t="n"/>
      <c r="H82" s="145" t="n"/>
      <c r="I82" s="145" t="n"/>
      <c r="J82" s="145" t="n"/>
      <c r="K82" s="145" t="n"/>
      <c r="L82" s="145" t="n"/>
      <c r="M82" s="145" t="n"/>
      <c r="N82" s="145" t="n"/>
      <c r="O82" s="140" t="n"/>
      <c r="P82" s="140" t="n"/>
      <c r="Q82" s="140" t="n"/>
      <c r="R82" s="140" t="n"/>
      <c r="S82" s="140" t="n"/>
      <c r="T82" s="141" t="n"/>
      <c r="U82" s="129" t="n"/>
      <c r="V82" s="129" t="n"/>
      <c r="W82" s="145" t="n"/>
      <c r="X82" s="145" t="n"/>
      <c r="Y82" s="145" t="n"/>
      <c r="Z82" s="145" t="n"/>
    </row>
    <row r="83" ht="45.75" customHeight="1" s="222">
      <c r="A83" s="145" t="n"/>
      <c r="B83" s="145" t="n"/>
      <c r="C83" s="145" t="n"/>
      <c r="D83" s="145" t="n"/>
      <c r="E83" s="145" t="n"/>
      <c r="F83" s="145" t="n"/>
      <c r="G83" s="145" t="n"/>
      <c r="H83" s="145" t="n"/>
      <c r="I83" s="145" t="n"/>
      <c r="J83" s="145" t="n"/>
      <c r="K83" s="145" t="n"/>
      <c r="L83" s="145" t="n"/>
      <c r="M83" s="145" t="n"/>
      <c r="N83" s="145" t="n"/>
      <c r="O83" s="140" t="n"/>
      <c r="P83" s="140" t="n"/>
      <c r="Q83" s="140" t="n"/>
      <c r="R83" s="140" t="n"/>
      <c r="S83" s="140" t="n"/>
      <c r="T83" s="141" t="n"/>
      <c r="U83" s="129" t="n"/>
      <c r="V83" s="129" t="n"/>
      <c r="W83" s="145" t="n"/>
      <c r="X83" s="145" t="n"/>
      <c r="Y83" s="145" t="n"/>
      <c r="Z83" s="145" t="n"/>
    </row>
    <row r="84" ht="45.75" customHeight="1" s="222">
      <c r="A84" s="145" t="n"/>
      <c r="B84" s="145" t="n"/>
      <c r="C84" s="145" t="n"/>
      <c r="D84" s="145" t="n"/>
      <c r="E84" s="145" t="n"/>
      <c r="F84" s="145" t="n"/>
      <c r="G84" s="145" t="n"/>
      <c r="H84" s="145" t="n"/>
      <c r="I84" s="145" t="n"/>
      <c r="J84" s="145" t="n"/>
      <c r="K84" s="145" t="n"/>
      <c r="L84" s="145" t="n"/>
      <c r="M84" s="145" t="n"/>
      <c r="N84" s="145" t="n"/>
      <c r="O84" s="140" t="n"/>
      <c r="P84" s="140" t="n"/>
      <c r="Q84" s="140" t="n"/>
      <c r="R84" s="140" t="n"/>
      <c r="S84" s="140" t="n"/>
      <c r="T84" s="141" t="n"/>
      <c r="U84" s="129" t="n"/>
      <c r="V84" s="129" t="n"/>
      <c r="W84" s="145" t="n"/>
      <c r="X84" s="145" t="n"/>
      <c r="Y84" s="145" t="n"/>
      <c r="Z84" s="145" t="n"/>
    </row>
    <row r="85" ht="45.75" customHeight="1" s="222">
      <c r="A85" s="145" t="n"/>
      <c r="B85" s="145" t="n"/>
      <c r="C85" s="145" t="n"/>
      <c r="D85" s="145" t="n"/>
      <c r="E85" s="145" t="n"/>
      <c r="F85" s="145" t="n"/>
      <c r="G85" s="145" t="n"/>
      <c r="H85" s="145" t="n"/>
      <c r="I85" s="145" t="n"/>
      <c r="J85" s="145" t="n"/>
      <c r="K85" s="145" t="n"/>
      <c r="L85" s="145" t="n"/>
      <c r="M85" s="145" t="n"/>
      <c r="N85" s="145" t="n"/>
      <c r="O85" s="140" t="n"/>
      <c r="P85" s="140" t="n"/>
      <c r="Q85" s="140" t="n"/>
      <c r="R85" s="140" t="n"/>
      <c r="S85" s="140" t="n"/>
      <c r="T85" s="141" t="n"/>
      <c r="U85" s="129" t="n"/>
      <c r="V85" s="129" t="n"/>
      <c r="W85" s="145" t="n"/>
      <c r="X85" s="145" t="n"/>
      <c r="Y85" s="145" t="n"/>
      <c r="Z85" s="145" t="n"/>
    </row>
    <row r="86" ht="45.75" customHeight="1" s="222">
      <c r="A86" s="145" t="n"/>
      <c r="B86" s="145" t="n"/>
      <c r="C86" s="145" t="n"/>
      <c r="D86" s="145" t="n"/>
      <c r="E86" s="145" t="n"/>
      <c r="F86" s="145" t="n"/>
      <c r="G86" s="145" t="n"/>
      <c r="H86" s="145" t="n"/>
      <c r="I86" s="145" t="n"/>
      <c r="J86" s="145" t="n"/>
      <c r="K86" s="145" t="n"/>
      <c r="L86" s="145" t="n"/>
      <c r="M86" s="145" t="n"/>
      <c r="N86" s="145" t="n"/>
      <c r="O86" s="140" t="n"/>
      <c r="P86" s="140" t="n"/>
      <c r="Q86" s="140" t="n"/>
      <c r="R86" s="140" t="n"/>
      <c r="S86" s="140" t="n"/>
      <c r="T86" s="141" t="n"/>
      <c r="U86" s="129" t="n"/>
      <c r="V86" s="129" t="n"/>
      <c r="W86" s="145" t="n"/>
      <c r="X86" s="145" t="n"/>
      <c r="Y86" s="145" t="n"/>
      <c r="Z86" s="145" t="n"/>
    </row>
    <row r="87" ht="45.75" customHeight="1" s="222">
      <c r="A87" s="145" t="n"/>
      <c r="B87" s="145" t="n"/>
      <c r="C87" s="145" t="n"/>
      <c r="D87" s="145" t="n"/>
      <c r="E87" s="145" t="n"/>
      <c r="F87" s="145" t="n"/>
      <c r="G87" s="145" t="n"/>
      <c r="H87" s="145" t="n"/>
      <c r="I87" s="145" t="n"/>
      <c r="J87" s="145" t="n"/>
      <c r="K87" s="145" t="n"/>
      <c r="L87" s="145" t="n"/>
      <c r="M87" s="145" t="n"/>
      <c r="N87" s="145" t="n"/>
      <c r="O87" s="140" t="n"/>
      <c r="P87" s="140" t="n"/>
      <c r="Q87" s="140" t="n"/>
      <c r="R87" s="140" t="n"/>
      <c r="S87" s="140" t="n"/>
      <c r="T87" s="141" t="n"/>
      <c r="U87" s="129" t="n"/>
      <c r="V87" s="129" t="n"/>
      <c r="W87" s="145" t="n"/>
      <c r="X87" s="145" t="n"/>
      <c r="Y87" s="145" t="n"/>
      <c r="Z87" s="145" t="n"/>
    </row>
    <row r="88" ht="45.75" customHeight="1" s="222">
      <c r="A88" s="145" t="n"/>
      <c r="B88" s="145" t="n"/>
      <c r="C88" s="145" t="n"/>
      <c r="D88" s="145" t="n"/>
      <c r="E88" s="145" t="n"/>
      <c r="F88" s="145" t="n"/>
      <c r="G88" s="145" t="n"/>
      <c r="H88" s="145" t="n"/>
      <c r="I88" s="145" t="n"/>
      <c r="J88" s="145" t="n"/>
      <c r="K88" s="145" t="n"/>
      <c r="L88" s="145" t="n"/>
      <c r="M88" s="145" t="n"/>
      <c r="N88" s="145" t="n"/>
      <c r="O88" s="140" t="n"/>
      <c r="P88" s="140" t="n"/>
      <c r="Q88" s="140" t="n"/>
      <c r="R88" s="140" t="n"/>
      <c r="S88" s="140" t="n"/>
      <c r="T88" s="141" t="n"/>
      <c r="U88" s="129" t="n"/>
      <c r="V88" s="129" t="n"/>
      <c r="W88" s="145" t="n"/>
      <c r="X88" s="145" t="n"/>
      <c r="Y88" s="145" t="n"/>
      <c r="Z88" s="145" t="n"/>
    </row>
    <row r="89" ht="45.75" customHeight="1" s="222">
      <c r="A89" s="145" t="n"/>
      <c r="B89" s="145" t="n"/>
      <c r="C89" s="145" t="n"/>
      <c r="D89" s="145" t="n"/>
      <c r="E89" s="145" t="n"/>
      <c r="F89" s="145" t="n"/>
      <c r="G89" s="145" t="n"/>
      <c r="H89" s="145" t="n"/>
      <c r="I89" s="145" t="n"/>
      <c r="J89" s="145" t="n"/>
      <c r="K89" s="145" t="n"/>
      <c r="L89" s="145" t="n"/>
      <c r="M89" s="145" t="n"/>
      <c r="N89" s="145" t="n"/>
      <c r="O89" s="140" t="n"/>
      <c r="P89" s="140" t="n"/>
      <c r="Q89" s="140" t="n"/>
      <c r="R89" s="140" t="n"/>
      <c r="S89" s="140" t="n"/>
      <c r="T89" s="141" t="n"/>
      <c r="U89" s="129" t="n"/>
      <c r="V89" s="129" t="n"/>
      <c r="W89" s="145" t="n"/>
      <c r="X89" s="145" t="n"/>
      <c r="Y89" s="145" t="n"/>
      <c r="Z89" s="145" t="n"/>
    </row>
    <row r="90" ht="45.75" customHeight="1" s="222">
      <c r="A90" s="145" t="n"/>
      <c r="B90" s="145" t="n"/>
      <c r="C90" s="145" t="n"/>
      <c r="D90" s="145" t="n"/>
      <c r="E90" s="145" t="n"/>
      <c r="F90" s="145" t="n"/>
      <c r="G90" s="145" t="n"/>
      <c r="H90" s="145" t="n"/>
      <c r="I90" s="145" t="n"/>
      <c r="J90" s="145" t="n"/>
      <c r="K90" s="145" t="n"/>
      <c r="L90" s="145" t="n"/>
      <c r="M90" s="145" t="n"/>
      <c r="N90" s="145" t="n"/>
      <c r="O90" s="140" t="n"/>
      <c r="P90" s="140" t="n"/>
      <c r="Q90" s="140" t="n"/>
      <c r="R90" s="140" t="n"/>
      <c r="S90" s="140" t="n"/>
      <c r="T90" s="141" t="n"/>
      <c r="U90" s="129" t="n"/>
      <c r="V90" s="129" t="n"/>
      <c r="W90" s="145" t="n"/>
      <c r="X90" s="145" t="n"/>
      <c r="Y90" s="145" t="n"/>
      <c r="Z90" s="145" t="n"/>
    </row>
    <row r="91" ht="45.75" customHeight="1" s="222">
      <c r="A91" s="145" t="n"/>
      <c r="B91" s="145" t="n"/>
      <c r="C91" s="145" t="n"/>
      <c r="D91" s="145" t="n"/>
      <c r="E91" s="145" t="n"/>
      <c r="F91" s="145" t="n"/>
      <c r="G91" s="145" t="n"/>
      <c r="H91" s="145" t="n"/>
      <c r="I91" s="145" t="n"/>
      <c r="J91" s="145" t="n"/>
      <c r="K91" s="145" t="n"/>
      <c r="L91" s="145" t="n"/>
      <c r="M91" s="145" t="n"/>
      <c r="N91" s="145" t="n"/>
      <c r="O91" s="140" t="n"/>
      <c r="P91" s="140" t="n"/>
      <c r="Q91" s="140" t="n"/>
      <c r="R91" s="140" t="n"/>
      <c r="S91" s="140" t="n"/>
      <c r="T91" s="141" t="n"/>
      <c r="U91" s="129" t="n"/>
      <c r="V91" s="129" t="n"/>
      <c r="W91" s="145" t="n"/>
      <c r="X91" s="145" t="n"/>
      <c r="Y91" s="145" t="n"/>
      <c r="Z91" s="145" t="n"/>
    </row>
    <row r="92" ht="45.75" customHeight="1" s="222">
      <c r="A92" s="145" t="n"/>
      <c r="B92" s="145" t="n"/>
      <c r="C92" s="145" t="n"/>
      <c r="D92" s="145" t="n"/>
      <c r="E92" s="145" t="n"/>
      <c r="F92" s="145" t="n"/>
      <c r="G92" s="145" t="n"/>
      <c r="H92" s="145" t="n"/>
      <c r="I92" s="145" t="n"/>
      <c r="J92" s="145" t="n"/>
      <c r="K92" s="145" t="n"/>
      <c r="L92" s="145" t="n"/>
      <c r="M92" s="145" t="n"/>
      <c r="N92" s="145" t="n"/>
      <c r="O92" s="140" t="n"/>
      <c r="P92" s="140" t="n"/>
      <c r="Q92" s="140" t="n"/>
      <c r="R92" s="140" t="n"/>
      <c r="S92" s="140" t="n"/>
      <c r="T92" s="141" t="n"/>
      <c r="U92" s="129" t="n"/>
      <c r="V92" s="129" t="n"/>
      <c r="W92" s="145" t="n"/>
      <c r="X92" s="145" t="n"/>
      <c r="Y92" s="145" t="n"/>
      <c r="Z92" s="145" t="n"/>
    </row>
    <row r="93" ht="45.75" customHeight="1" s="222">
      <c r="A93" s="145" t="n"/>
      <c r="B93" s="145" t="n"/>
      <c r="C93" s="145" t="n"/>
      <c r="D93" s="145" t="n"/>
      <c r="E93" s="145" t="n"/>
      <c r="F93" s="145" t="n"/>
      <c r="G93" s="145" t="n"/>
      <c r="H93" s="145" t="n"/>
      <c r="I93" s="145" t="n"/>
      <c r="J93" s="145" t="n"/>
      <c r="K93" s="145" t="n"/>
      <c r="L93" s="145" t="n"/>
      <c r="M93" s="145" t="n"/>
      <c r="N93" s="145" t="n"/>
      <c r="O93" s="140" t="n"/>
      <c r="P93" s="140" t="n"/>
      <c r="Q93" s="140" t="n"/>
      <c r="R93" s="140" t="n"/>
      <c r="S93" s="140" t="n"/>
      <c r="T93" s="141" t="n"/>
      <c r="U93" s="129" t="n"/>
      <c r="V93" s="129" t="n"/>
      <c r="W93" s="145" t="n"/>
      <c r="X93" s="145" t="n"/>
      <c r="Y93" s="145" t="n"/>
      <c r="Z93" s="145" t="n"/>
    </row>
    <row r="94" ht="45.75" customHeight="1" s="222">
      <c r="A94" s="145" t="n"/>
      <c r="B94" s="145" t="n"/>
      <c r="C94" s="145" t="n"/>
      <c r="D94" s="145" t="n"/>
      <c r="E94" s="145" t="n"/>
      <c r="F94" s="145" t="n"/>
      <c r="G94" s="145" t="n"/>
      <c r="H94" s="145" t="n"/>
      <c r="I94" s="145" t="n"/>
      <c r="J94" s="145" t="n"/>
      <c r="K94" s="145" t="n"/>
      <c r="L94" s="145" t="n"/>
      <c r="M94" s="145" t="n"/>
      <c r="N94" s="145" t="n"/>
      <c r="O94" s="140" t="n"/>
      <c r="P94" s="140" t="n"/>
      <c r="Q94" s="140" t="n"/>
      <c r="R94" s="140" t="n"/>
      <c r="S94" s="140" t="n"/>
      <c r="T94" s="141" t="n"/>
      <c r="U94" s="129" t="n"/>
      <c r="V94" s="129" t="n"/>
      <c r="W94" s="145" t="n"/>
      <c r="X94" s="145" t="n"/>
      <c r="Y94" s="145" t="n"/>
      <c r="Z94" s="145" t="n"/>
    </row>
    <row r="95" ht="45.75" customHeight="1" s="222">
      <c r="A95" s="145" t="n"/>
      <c r="B95" s="145" t="n"/>
      <c r="C95" s="145" t="n"/>
      <c r="D95" s="145" t="n"/>
      <c r="E95" s="145" t="n"/>
      <c r="F95" s="145" t="n"/>
      <c r="G95" s="145" t="n"/>
      <c r="H95" s="145" t="n"/>
      <c r="I95" s="145" t="n"/>
      <c r="J95" s="145" t="n"/>
      <c r="K95" s="145" t="n"/>
      <c r="L95" s="145" t="n"/>
      <c r="M95" s="145" t="n"/>
      <c r="N95" s="145" t="n"/>
      <c r="O95" s="140" t="n"/>
      <c r="P95" s="140" t="n"/>
      <c r="Q95" s="140" t="n"/>
      <c r="R95" s="140" t="n"/>
      <c r="S95" s="140" t="n"/>
      <c r="T95" s="141" t="n"/>
      <c r="U95" s="129" t="n"/>
      <c r="V95" s="129" t="n"/>
      <c r="W95" s="145" t="n"/>
      <c r="X95" s="145" t="n"/>
      <c r="Y95" s="145" t="n"/>
      <c r="Z95" s="145" t="n"/>
    </row>
    <row r="96" ht="45.75" customHeight="1" s="222">
      <c r="A96" s="145" t="n"/>
      <c r="B96" s="145" t="n"/>
      <c r="C96" s="145" t="n"/>
      <c r="D96" s="145" t="n"/>
      <c r="E96" s="145" t="n"/>
      <c r="F96" s="145" t="n"/>
      <c r="G96" s="145" t="n"/>
      <c r="H96" s="145" t="n"/>
      <c r="I96" s="145" t="n"/>
      <c r="J96" s="145" t="n"/>
      <c r="K96" s="145" t="n"/>
      <c r="L96" s="145" t="n"/>
      <c r="M96" s="145" t="n"/>
      <c r="N96" s="145" t="n"/>
      <c r="O96" s="140" t="n"/>
      <c r="P96" s="140" t="n"/>
      <c r="Q96" s="140" t="n"/>
      <c r="R96" s="140" t="n"/>
      <c r="S96" s="140" t="n"/>
      <c r="T96" s="141" t="n"/>
      <c r="U96" s="129" t="n"/>
      <c r="V96" s="129" t="n"/>
      <c r="W96" s="145" t="n"/>
      <c r="X96" s="145" t="n"/>
      <c r="Y96" s="145" t="n"/>
      <c r="Z96" s="145" t="n"/>
    </row>
    <row r="97" ht="45.75" customHeight="1" s="222">
      <c r="A97" s="145" t="n"/>
      <c r="B97" s="145" t="n"/>
      <c r="C97" s="145" t="n"/>
      <c r="D97" s="145" t="n"/>
      <c r="E97" s="145" t="n"/>
      <c r="F97" s="145" t="n"/>
      <c r="G97" s="145" t="n"/>
      <c r="H97" s="145" t="n"/>
      <c r="I97" s="145" t="n"/>
      <c r="J97" s="145" t="n"/>
      <c r="K97" s="145" t="n"/>
      <c r="L97" s="145" t="n"/>
      <c r="M97" s="145" t="n"/>
      <c r="N97" s="145" t="n"/>
      <c r="O97" s="140" t="n"/>
      <c r="P97" s="140" t="n"/>
      <c r="Q97" s="140" t="n"/>
      <c r="R97" s="140" t="n"/>
      <c r="S97" s="140" t="n"/>
      <c r="T97" s="141" t="n"/>
      <c r="U97" s="129" t="n"/>
      <c r="V97" s="129" t="n"/>
      <c r="W97" s="145" t="n"/>
      <c r="X97" s="145" t="n"/>
      <c r="Y97" s="145" t="n"/>
      <c r="Z97" s="145" t="n"/>
    </row>
    <row r="98" ht="45.75" customHeight="1" s="222">
      <c r="A98" s="145" t="n"/>
      <c r="B98" s="145" t="n"/>
      <c r="C98" s="145" t="n"/>
      <c r="D98" s="145" t="n"/>
      <c r="E98" s="145" t="n"/>
      <c r="F98" s="145" t="n"/>
      <c r="G98" s="145" t="n"/>
      <c r="H98" s="145" t="n"/>
      <c r="I98" s="145" t="n"/>
      <c r="J98" s="145" t="n"/>
      <c r="K98" s="145" t="n"/>
      <c r="L98" s="145" t="n"/>
      <c r="M98" s="145" t="n"/>
      <c r="N98" s="145" t="n"/>
      <c r="O98" s="140" t="n"/>
      <c r="P98" s="140" t="n"/>
      <c r="Q98" s="140" t="n"/>
      <c r="R98" s="140" t="n"/>
      <c r="S98" s="140" t="n"/>
      <c r="T98" s="141" t="n"/>
      <c r="U98" s="129" t="n"/>
      <c r="V98" s="129" t="n"/>
      <c r="W98" s="145" t="n"/>
      <c r="X98" s="145" t="n"/>
      <c r="Y98" s="145" t="n"/>
      <c r="Z98" s="145" t="n"/>
    </row>
    <row r="99" ht="45.75" customHeight="1" s="222">
      <c r="A99" s="145" t="n"/>
      <c r="B99" s="145" t="n"/>
      <c r="C99" s="145" t="n"/>
      <c r="D99" s="145" t="n"/>
      <c r="E99" s="145" t="n"/>
      <c r="F99" s="145" t="n"/>
      <c r="G99" s="145" t="n"/>
      <c r="H99" s="145" t="n"/>
      <c r="I99" s="145" t="n"/>
      <c r="J99" s="145" t="n"/>
      <c r="K99" s="145" t="n"/>
      <c r="L99" s="145" t="n"/>
      <c r="M99" s="145" t="n"/>
      <c r="N99" s="145" t="n"/>
      <c r="O99" s="140" t="n"/>
      <c r="P99" s="140" t="n"/>
      <c r="Q99" s="140" t="n"/>
      <c r="R99" s="140" t="n"/>
      <c r="S99" s="140" t="n"/>
      <c r="T99" s="141" t="n"/>
      <c r="U99" s="129" t="n"/>
      <c r="V99" s="129" t="n"/>
      <c r="W99" s="145" t="n"/>
      <c r="X99" s="145" t="n"/>
      <c r="Y99" s="145" t="n"/>
      <c r="Z99" s="145" t="n"/>
    </row>
    <row r="100" ht="45.75" customHeight="1" s="222">
      <c r="A100" s="145" t="n"/>
      <c r="B100" s="145" t="n"/>
      <c r="C100" s="145" t="n"/>
      <c r="D100" s="145" t="n"/>
      <c r="E100" s="145" t="n"/>
      <c r="F100" s="145" t="n"/>
      <c r="G100" s="145" t="n"/>
      <c r="H100" s="145" t="n"/>
      <c r="I100" s="145" t="n"/>
      <c r="J100" s="145" t="n"/>
      <c r="K100" s="145" t="n"/>
      <c r="L100" s="145" t="n"/>
      <c r="M100" s="145" t="n"/>
      <c r="N100" s="145" t="n"/>
      <c r="O100" s="140" t="n"/>
      <c r="P100" s="140" t="n"/>
      <c r="Q100" s="140" t="n"/>
      <c r="R100" s="140" t="n"/>
      <c r="S100" s="140" t="n"/>
      <c r="T100" s="141" t="n"/>
      <c r="U100" s="129" t="n"/>
      <c r="V100" s="129" t="n"/>
      <c r="W100" s="145" t="n"/>
      <c r="X100" s="145" t="n"/>
      <c r="Y100" s="145" t="n"/>
      <c r="Z100" s="145" t="n"/>
    </row>
    <row r="101" ht="45.75" customHeight="1" s="222">
      <c r="A101" s="145" t="n"/>
      <c r="B101" s="145" t="n"/>
      <c r="C101" s="145" t="n"/>
      <c r="D101" s="145" t="n"/>
      <c r="E101" s="145" t="n"/>
      <c r="F101" s="145" t="n"/>
      <c r="G101" s="145" t="n"/>
      <c r="H101" s="145" t="n"/>
      <c r="I101" s="145" t="n"/>
      <c r="J101" s="145" t="n"/>
      <c r="K101" s="145" t="n"/>
      <c r="L101" s="145" t="n"/>
      <c r="M101" s="145" t="n"/>
      <c r="N101" s="145" t="n"/>
      <c r="O101" s="140" t="n"/>
      <c r="P101" s="140" t="n"/>
      <c r="Q101" s="140" t="n"/>
      <c r="R101" s="140" t="n"/>
      <c r="S101" s="140" t="n"/>
      <c r="T101" s="141" t="n"/>
      <c r="U101" s="129" t="n"/>
      <c r="V101" s="129" t="n"/>
      <c r="W101" s="145" t="n"/>
      <c r="X101" s="145" t="n"/>
      <c r="Y101" s="145" t="n"/>
      <c r="Z101" s="145" t="n"/>
    </row>
    <row r="102" ht="45.75" customHeight="1" s="222">
      <c r="A102" s="145" t="n"/>
      <c r="B102" s="145" t="n"/>
      <c r="C102" s="145" t="n"/>
      <c r="D102" s="145" t="n"/>
      <c r="E102" s="145" t="n"/>
      <c r="F102" s="145" t="n"/>
      <c r="G102" s="145" t="n"/>
      <c r="H102" s="145" t="n"/>
      <c r="I102" s="145" t="n"/>
      <c r="J102" s="145" t="n"/>
      <c r="K102" s="145" t="n"/>
      <c r="L102" s="145" t="n"/>
      <c r="M102" s="145" t="n"/>
      <c r="N102" s="145" t="n"/>
      <c r="O102" s="140" t="n"/>
      <c r="P102" s="140" t="n"/>
      <c r="Q102" s="140" t="n"/>
      <c r="R102" s="140" t="n"/>
      <c r="S102" s="140" t="n"/>
      <c r="T102" s="141" t="n"/>
      <c r="U102" s="129" t="n"/>
      <c r="V102" s="129" t="n"/>
      <c r="W102" s="145" t="n"/>
      <c r="X102" s="145" t="n"/>
      <c r="Y102" s="145" t="n"/>
      <c r="Z102" s="145" t="n"/>
    </row>
    <row r="103" ht="45.75" customHeight="1" s="222">
      <c r="A103" s="145" t="n"/>
      <c r="B103" s="145" t="n"/>
      <c r="C103" s="145" t="n"/>
      <c r="D103" s="145" t="n"/>
      <c r="E103" s="145" t="n"/>
      <c r="F103" s="145" t="n"/>
      <c r="G103" s="145" t="n"/>
      <c r="H103" s="145" t="n"/>
      <c r="I103" s="145" t="n"/>
      <c r="J103" s="145" t="n"/>
      <c r="K103" s="145" t="n"/>
      <c r="L103" s="145" t="n"/>
      <c r="M103" s="145" t="n"/>
      <c r="N103" s="145" t="n"/>
      <c r="O103" s="140" t="n"/>
      <c r="P103" s="140" t="n"/>
      <c r="Q103" s="140" t="n"/>
      <c r="R103" s="140" t="n"/>
      <c r="S103" s="140" t="n"/>
      <c r="T103" s="141" t="n"/>
      <c r="U103" s="129" t="n"/>
      <c r="V103" s="129" t="n"/>
      <c r="W103" s="145" t="n"/>
      <c r="X103" s="145" t="n"/>
      <c r="Y103" s="145" t="n"/>
      <c r="Z103" s="145" t="n"/>
    </row>
    <row r="104" ht="45.75" customHeight="1" s="222">
      <c r="A104" s="145" t="n"/>
      <c r="B104" s="145" t="n"/>
      <c r="C104" s="145" t="n"/>
      <c r="D104" s="145" t="n"/>
      <c r="E104" s="145" t="n"/>
      <c r="F104" s="145" t="n"/>
      <c r="G104" s="145" t="n"/>
      <c r="H104" s="145" t="n"/>
      <c r="I104" s="145" t="n"/>
      <c r="J104" s="145" t="n"/>
      <c r="K104" s="145" t="n"/>
      <c r="L104" s="145" t="n"/>
      <c r="M104" s="145" t="n"/>
      <c r="N104" s="145" t="n"/>
      <c r="O104" s="140" t="n"/>
      <c r="P104" s="140" t="n"/>
      <c r="Q104" s="140" t="n"/>
      <c r="R104" s="140" t="n"/>
      <c r="S104" s="140" t="n"/>
      <c r="T104" s="141" t="n"/>
      <c r="U104" s="129" t="n"/>
      <c r="V104" s="129" t="n"/>
      <c r="W104" s="145" t="n"/>
      <c r="X104" s="145" t="n"/>
      <c r="Y104" s="145" t="n"/>
      <c r="Z104" s="145" t="n"/>
    </row>
    <row r="105" ht="45.75" customHeight="1" s="222">
      <c r="A105" s="145" t="n"/>
      <c r="B105" s="145" t="n"/>
      <c r="C105" s="145" t="n"/>
      <c r="D105" s="145" t="n"/>
      <c r="E105" s="145" t="n"/>
      <c r="F105" s="145" t="n"/>
      <c r="G105" s="145" t="n"/>
      <c r="H105" s="145" t="n"/>
      <c r="I105" s="145" t="n"/>
      <c r="J105" s="145" t="n"/>
      <c r="K105" s="145" t="n"/>
      <c r="L105" s="145" t="n"/>
      <c r="M105" s="145" t="n"/>
      <c r="N105" s="145" t="n"/>
      <c r="O105" s="140" t="n"/>
      <c r="P105" s="140" t="n"/>
      <c r="Q105" s="140" t="n"/>
      <c r="R105" s="140" t="n"/>
      <c r="S105" s="140" t="n"/>
      <c r="T105" s="141" t="n"/>
      <c r="U105" s="129" t="n"/>
      <c r="V105" s="129" t="n"/>
      <c r="W105" s="145" t="n"/>
      <c r="X105" s="145" t="n"/>
      <c r="Y105" s="145" t="n"/>
      <c r="Z105" s="145" t="n"/>
    </row>
    <row r="106" ht="45.75" customHeight="1" s="222">
      <c r="A106" s="145" t="n"/>
      <c r="B106" s="145" t="n"/>
      <c r="C106" s="145" t="n"/>
      <c r="D106" s="145" t="n"/>
      <c r="E106" s="145" t="n"/>
      <c r="F106" s="145" t="n"/>
      <c r="G106" s="145" t="n"/>
      <c r="H106" s="145" t="n"/>
      <c r="I106" s="145" t="n"/>
      <c r="J106" s="145" t="n"/>
      <c r="K106" s="145" t="n"/>
      <c r="L106" s="145" t="n"/>
      <c r="M106" s="145" t="n"/>
      <c r="N106" s="145" t="n"/>
      <c r="O106" s="140" t="n"/>
      <c r="P106" s="140" t="n"/>
      <c r="Q106" s="140" t="n"/>
      <c r="R106" s="140" t="n"/>
      <c r="S106" s="140" t="n"/>
      <c r="T106" s="141" t="n"/>
      <c r="U106" s="129" t="n"/>
      <c r="V106" s="129" t="n"/>
      <c r="W106" s="145" t="n"/>
      <c r="X106" s="145" t="n"/>
      <c r="Y106" s="145" t="n"/>
      <c r="Z106" s="145" t="n"/>
    </row>
    <row r="107" ht="45.75" customHeight="1" s="222">
      <c r="A107" s="145" t="n"/>
      <c r="B107" s="145" t="n"/>
      <c r="C107" s="145" t="n"/>
      <c r="D107" s="145" t="n"/>
      <c r="E107" s="145" t="n"/>
      <c r="F107" s="145" t="n"/>
      <c r="G107" s="145" t="n"/>
      <c r="H107" s="145" t="n"/>
      <c r="I107" s="145" t="n"/>
      <c r="J107" s="145" t="n"/>
      <c r="K107" s="145" t="n"/>
      <c r="L107" s="145" t="n"/>
      <c r="M107" s="145" t="n"/>
      <c r="N107" s="145" t="n"/>
      <c r="O107" s="140" t="n"/>
      <c r="P107" s="140" t="n"/>
      <c r="Q107" s="140" t="n"/>
      <c r="R107" s="140" t="n"/>
      <c r="S107" s="140" t="n"/>
      <c r="T107" s="141" t="n"/>
      <c r="U107" s="129" t="n"/>
      <c r="V107" s="129" t="n"/>
      <c r="W107" s="145" t="n"/>
      <c r="X107" s="145" t="n"/>
      <c r="Y107" s="145" t="n"/>
      <c r="Z107" s="145" t="n"/>
    </row>
    <row r="108" ht="45.75" customHeight="1" s="222">
      <c r="A108" s="145" t="n"/>
      <c r="B108" s="145" t="n"/>
      <c r="C108" s="145" t="n"/>
      <c r="D108" s="145" t="n"/>
      <c r="E108" s="145" t="n"/>
      <c r="F108" s="145" t="n"/>
      <c r="G108" s="145" t="n"/>
      <c r="H108" s="145" t="n"/>
      <c r="I108" s="145" t="n"/>
      <c r="J108" s="145" t="n"/>
      <c r="K108" s="145" t="n"/>
      <c r="L108" s="145" t="n"/>
      <c r="M108" s="145" t="n"/>
      <c r="N108" s="145" t="n"/>
      <c r="O108" s="140" t="n"/>
      <c r="P108" s="140" t="n"/>
      <c r="Q108" s="140" t="n"/>
      <c r="R108" s="140" t="n"/>
      <c r="S108" s="140" t="n"/>
      <c r="T108" s="141" t="n"/>
      <c r="U108" s="129" t="n"/>
      <c r="V108" s="129" t="n"/>
      <c r="W108" s="145" t="n"/>
      <c r="X108" s="145" t="n"/>
      <c r="Y108" s="145" t="n"/>
      <c r="Z108" s="145" t="n"/>
    </row>
    <row r="109" ht="45.75" customHeight="1" s="222">
      <c r="A109" s="145" t="n"/>
      <c r="B109" s="145" t="n"/>
      <c r="C109" s="145" t="n"/>
      <c r="D109" s="145" t="n"/>
      <c r="E109" s="145" t="n"/>
      <c r="F109" s="145" t="n"/>
      <c r="G109" s="145" t="n"/>
      <c r="H109" s="145" t="n"/>
      <c r="I109" s="145" t="n"/>
      <c r="J109" s="145" t="n"/>
      <c r="K109" s="145" t="n"/>
      <c r="L109" s="145" t="n"/>
      <c r="M109" s="145" t="n"/>
      <c r="N109" s="145" t="n"/>
      <c r="O109" s="140" t="n"/>
      <c r="P109" s="140" t="n"/>
      <c r="Q109" s="140" t="n"/>
      <c r="R109" s="140" t="n"/>
      <c r="S109" s="140" t="n"/>
      <c r="T109" s="141" t="n"/>
      <c r="U109" s="129" t="n"/>
      <c r="V109" s="129" t="n"/>
      <c r="W109" s="145" t="n"/>
      <c r="X109" s="145" t="n"/>
      <c r="Y109" s="145" t="n"/>
      <c r="Z109" s="145" t="n"/>
    </row>
    <row r="110" ht="45.75" customHeight="1" s="222">
      <c r="A110" s="145" t="n"/>
      <c r="B110" s="145" t="n"/>
      <c r="C110" s="145" t="n"/>
      <c r="D110" s="145" t="n"/>
      <c r="E110" s="145" t="n"/>
      <c r="F110" s="145" t="n"/>
      <c r="G110" s="145" t="n"/>
      <c r="H110" s="145" t="n"/>
      <c r="I110" s="145" t="n"/>
      <c r="J110" s="145" t="n"/>
      <c r="K110" s="145" t="n"/>
      <c r="L110" s="145" t="n"/>
      <c r="M110" s="145" t="n"/>
      <c r="N110" s="145" t="n"/>
      <c r="O110" s="140" t="n"/>
      <c r="P110" s="140" t="n"/>
      <c r="Q110" s="140" t="n"/>
      <c r="R110" s="140" t="n"/>
      <c r="S110" s="140" t="n"/>
      <c r="T110" s="141" t="n"/>
      <c r="U110" s="129" t="n"/>
      <c r="V110" s="129" t="n"/>
      <c r="W110" s="145" t="n"/>
      <c r="X110" s="145" t="n"/>
      <c r="Y110" s="145" t="n"/>
      <c r="Z110" s="145" t="n"/>
    </row>
    <row r="111" ht="45.75" customHeight="1" s="222">
      <c r="A111" s="145" t="n"/>
      <c r="B111" s="145" t="n"/>
      <c r="C111" s="145" t="n"/>
      <c r="D111" s="145" t="n"/>
      <c r="E111" s="145" t="n"/>
      <c r="F111" s="145" t="n"/>
      <c r="G111" s="145" t="n"/>
      <c r="H111" s="145" t="n"/>
      <c r="I111" s="145" t="n"/>
      <c r="J111" s="145" t="n"/>
      <c r="K111" s="145" t="n"/>
      <c r="L111" s="145" t="n"/>
      <c r="M111" s="145" t="n"/>
      <c r="N111" s="145" t="n"/>
      <c r="O111" s="140" t="n"/>
      <c r="P111" s="140" t="n"/>
      <c r="Q111" s="140" t="n"/>
      <c r="R111" s="140" t="n"/>
      <c r="S111" s="140" t="n"/>
      <c r="T111" s="141" t="n"/>
      <c r="U111" s="129" t="n"/>
      <c r="V111" s="129" t="n"/>
      <c r="W111" s="145" t="n"/>
      <c r="X111" s="145" t="n"/>
      <c r="Y111" s="145" t="n"/>
      <c r="Z111" s="145" t="n"/>
    </row>
    <row r="112" ht="45.75" customHeight="1" s="222">
      <c r="A112" s="145" t="n"/>
      <c r="B112" s="145" t="n"/>
      <c r="C112" s="145" t="n"/>
      <c r="D112" s="145" t="n"/>
      <c r="E112" s="145" t="n"/>
      <c r="F112" s="145" t="n"/>
      <c r="G112" s="145" t="n"/>
      <c r="H112" s="145" t="n"/>
      <c r="I112" s="145" t="n"/>
      <c r="J112" s="145" t="n"/>
      <c r="K112" s="145" t="n"/>
      <c r="L112" s="145" t="n"/>
      <c r="M112" s="145" t="n"/>
      <c r="N112" s="145" t="n"/>
      <c r="O112" s="140" t="n"/>
      <c r="P112" s="140" t="n"/>
      <c r="Q112" s="140" t="n"/>
      <c r="R112" s="140" t="n"/>
      <c r="S112" s="140" t="n"/>
      <c r="T112" s="141" t="n"/>
      <c r="U112" s="129" t="n"/>
      <c r="V112" s="129" t="n"/>
      <c r="W112" s="145" t="n"/>
      <c r="X112" s="145" t="n"/>
      <c r="Y112" s="145" t="n"/>
      <c r="Z112" s="145" t="n"/>
    </row>
    <row r="113" ht="45.75" customHeight="1" s="222">
      <c r="A113" s="145" t="n"/>
      <c r="B113" s="145" t="n"/>
      <c r="C113" s="145" t="n"/>
      <c r="D113" s="145" t="n"/>
      <c r="E113" s="145" t="n"/>
      <c r="F113" s="145" t="n"/>
      <c r="G113" s="145" t="n"/>
      <c r="H113" s="145" t="n"/>
      <c r="I113" s="145" t="n"/>
      <c r="J113" s="145" t="n"/>
      <c r="K113" s="145" t="n"/>
      <c r="L113" s="145" t="n"/>
      <c r="M113" s="145" t="n"/>
      <c r="N113" s="145" t="n"/>
      <c r="O113" s="140" t="n"/>
      <c r="P113" s="140" t="n"/>
      <c r="Q113" s="140" t="n"/>
      <c r="R113" s="140" t="n"/>
      <c r="S113" s="140" t="n"/>
      <c r="T113" s="141" t="n"/>
      <c r="U113" s="129" t="n"/>
      <c r="V113" s="129" t="n"/>
      <c r="W113" s="145" t="n"/>
      <c r="X113" s="145" t="n"/>
      <c r="Y113" s="145" t="n"/>
      <c r="Z113" s="145" t="n"/>
    </row>
    <row r="114" ht="45.75" customHeight="1" s="222">
      <c r="A114" s="145" t="n"/>
      <c r="B114" s="145" t="n"/>
      <c r="C114" s="145" t="n"/>
      <c r="D114" s="145" t="n"/>
      <c r="E114" s="145" t="n"/>
      <c r="F114" s="145" t="n"/>
      <c r="G114" s="145" t="n"/>
      <c r="H114" s="145" t="n"/>
      <c r="I114" s="145" t="n"/>
      <c r="J114" s="145" t="n"/>
      <c r="K114" s="145" t="n"/>
      <c r="L114" s="145" t="n"/>
      <c r="M114" s="145" t="n"/>
      <c r="N114" s="145" t="n"/>
      <c r="O114" s="140" t="n"/>
      <c r="P114" s="140" t="n"/>
      <c r="Q114" s="140" t="n"/>
      <c r="R114" s="140" t="n"/>
      <c r="S114" s="140" t="n"/>
      <c r="T114" s="141" t="n"/>
      <c r="U114" s="129" t="n"/>
      <c r="V114" s="129" t="n"/>
      <c r="W114" s="145" t="n"/>
      <c r="X114" s="145" t="n"/>
      <c r="Y114" s="145" t="n"/>
      <c r="Z114" s="145" t="n"/>
    </row>
    <row r="115" ht="45.75" customHeight="1" s="222">
      <c r="A115" s="145" t="n"/>
      <c r="B115" s="145" t="n"/>
      <c r="C115" s="145" t="n"/>
      <c r="D115" s="145" t="n"/>
      <c r="E115" s="145" t="n"/>
      <c r="F115" s="145" t="n"/>
      <c r="G115" s="145" t="n"/>
      <c r="H115" s="145" t="n"/>
      <c r="I115" s="145" t="n"/>
      <c r="J115" s="145" t="n"/>
      <c r="K115" s="145" t="n"/>
      <c r="L115" s="145" t="n"/>
      <c r="M115" s="145" t="n"/>
      <c r="N115" s="145" t="n"/>
      <c r="O115" s="140" t="n"/>
      <c r="P115" s="140" t="n"/>
      <c r="Q115" s="140" t="n"/>
      <c r="R115" s="140" t="n"/>
      <c r="S115" s="140" t="n"/>
      <c r="T115" s="141" t="n"/>
      <c r="U115" s="129" t="n"/>
      <c r="V115" s="129" t="n"/>
      <c r="W115" s="145" t="n"/>
      <c r="X115" s="145" t="n"/>
      <c r="Y115" s="145" t="n"/>
      <c r="Z115" s="145" t="n"/>
    </row>
    <row r="116" ht="45.75" customHeight="1" s="222">
      <c r="A116" s="145" t="n"/>
      <c r="B116" s="145" t="n"/>
      <c r="C116" s="145" t="n"/>
      <c r="D116" s="145" t="n"/>
      <c r="E116" s="145" t="n"/>
      <c r="F116" s="145" t="n"/>
      <c r="G116" s="145" t="n"/>
      <c r="H116" s="145" t="n"/>
      <c r="I116" s="145" t="n"/>
      <c r="J116" s="145" t="n"/>
      <c r="K116" s="145" t="n"/>
      <c r="L116" s="145" t="n"/>
      <c r="M116" s="145" t="n"/>
      <c r="N116" s="145" t="n"/>
      <c r="O116" s="140" t="n"/>
      <c r="P116" s="140" t="n"/>
      <c r="Q116" s="140" t="n"/>
      <c r="R116" s="140" t="n"/>
      <c r="S116" s="140" t="n"/>
      <c r="T116" s="141" t="n"/>
      <c r="U116" s="129" t="n"/>
      <c r="V116" s="129" t="n"/>
      <c r="W116" s="145" t="n"/>
      <c r="X116" s="145" t="n"/>
      <c r="Y116" s="145" t="n"/>
      <c r="Z116" s="145" t="n"/>
    </row>
    <row r="117" ht="45.75" customHeight="1" s="222">
      <c r="A117" s="145" t="n"/>
      <c r="B117" s="145" t="n"/>
      <c r="C117" s="145" t="n"/>
      <c r="D117" s="145" t="n"/>
      <c r="E117" s="145" t="n"/>
      <c r="F117" s="145" t="n"/>
      <c r="G117" s="145" t="n"/>
      <c r="H117" s="145" t="n"/>
      <c r="I117" s="145" t="n"/>
      <c r="J117" s="145" t="n"/>
      <c r="K117" s="145" t="n"/>
      <c r="L117" s="145" t="n"/>
      <c r="M117" s="145" t="n"/>
      <c r="N117" s="145" t="n"/>
      <c r="O117" s="140" t="n"/>
      <c r="P117" s="140" t="n"/>
      <c r="Q117" s="140" t="n"/>
      <c r="R117" s="140" t="n"/>
      <c r="S117" s="140" t="n"/>
      <c r="T117" s="141" t="n"/>
      <c r="U117" s="129" t="n"/>
      <c r="V117" s="129" t="n"/>
      <c r="W117" s="145" t="n"/>
      <c r="X117" s="145" t="n"/>
      <c r="Y117" s="145" t="n"/>
      <c r="Z117" s="145" t="n"/>
    </row>
    <row r="118" ht="45.75" customHeight="1" s="222">
      <c r="A118" s="145" t="n"/>
      <c r="B118" s="145" t="n"/>
      <c r="C118" s="145" t="n"/>
      <c r="D118" s="145" t="n"/>
      <c r="E118" s="145" t="n"/>
      <c r="F118" s="145" t="n"/>
      <c r="G118" s="145" t="n"/>
      <c r="H118" s="145" t="n"/>
      <c r="I118" s="145" t="n"/>
      <c r="J118" s="145" t="n"/>
      <c r="K118" s="145" t="n"/>
      <c r="L118" s="145" t="n"/>
      <c r="M118" s="145" t="n"/>
      <c r="N118" s="145" t="n"/>
      <c r="O118" s="140" t="n"/>
      <c r="P118" s="140" t="n"/>
      <c r="Q118" s="140" t="n"/>
      <c r="R118" s="140" t="n"/>
      <c r="S118" s="140" t="n"/>
      <c r="T118" s="141" t="n"/>
      <c r="U118" s="129" t="n"/>
      <c r="V118" s="129" t="n"/>
      <c r="W118" s="145" t="n"/>
      <c r="X118" s="145" t="n"/>
      <c r="Y118" s="145" t="n"/>
      <c r="Z118" s="145" t="n"/>
    </row>
    <row r="119" ht="45.75" customHeight="1" s="222">
      <c r="A119" s="145" t="n"/>
      <c r="B119" s="145" t="n"/>
      <c r="C119" s="145" t="n"/>
      <c r="D119" s="145" t="n"/>
      <c r="E119" s="145" t="n"/>
      <c r="F119" s="145" t="n"/>
      <c r="G119" s="145" t="n"/>
      <c r="H119" s="145" t="n"/>
      <c r="I119" s="145" t="n"/>
      <c r="J119" s="145" t="n"/>
      <c r="K119" s="145" t="n"/>
      <c r="L119" s="145" t="n"/>
      <c r="M119" s="145" t="n"/>
      <c r="N119" s="145" t="n"/>
      <c r="O119" s="140" t="n"/>
      <c r="P119" s="140" t="n"/>
      <c r="Q119" s="140" t="n"/>
      <c r="R119" s="140" t="n"/>
      <c r="S119" s="140" t="n"/>
      <c r="T119" s="141" t="n"/>
      <c r="U119" s="129" t="n"/>
      <c r="V119" s="129" t="n"/>
      <c r="W119" s="145" t="n"/>
      <c r="X119" s="145" t="n"/>
      <c r="Y119" s="145" t="n"/>
      <c r="Z119" s="145" t="n"/>
    </row>
    <row r="120" ht="45.75" customHeight="1" s="222">
      <c r="A120" s="145" t="n"/>
      <c r="B120" s="145" t="n"/>
      <c r="C120" s="145" t="n"/>
      <c r="D120" s="145" t="n"/>
      <c r="E120" s="145" t="n"/>
      <c r="F120" s="145" t="n"/>
      <c r="G120" s="145" t="n"/>
      <c r="H120" s="145" t="n"/>
      <c r="I120" s="145" t="n"/>
      <c r="J120" s="145" t="n"/>
      <c r="K120" s="145" t="n"/>
      <c r="L120" s="145" t="n"/>
      <c r="M120" s="145" t="n"/>
      <c r="N120" s="145" t="n"/>
      <c r="O120" s="140" t="n"/>
      <c r="P120" s="140" t="n"/>
      <c r="Q120" s="140" t="n"/>
      <c r="R120" s="140" t="n"/>
      <c r="S120" s="140" t="n"/>
      <c r="T120" s="141" t="n"/>
      <c r="U120" s="129" t="n"/>
      <c r="V120" s="129" t="n"/>
      <c r="W120" s="145" t="n"/>
      <c r="X120" s="145" t="n"/>
      <c r="Y120" s="145" t="n"/>
      <c r="Z120" s="145" t="n"/>
    </row>
    <row r="121" ht="45.75" customHeight="1" s="222">
      <c r="A121" s="145" t="n"/>
      <c r="B121" s="145" t="n"/>
      <c r="C121" s="145" t="n"/>
      <c r="D121" s="145" t="n"/>
      <c r="E121" s="145" t="n"/>
      <c r="F121" s="145" t="n"/>
      <c r="G121" s="145" t="n"/>
      <c r="H121" s="145" t="n"/>
      <c r="I121" s="145" t="n"/>
      <c r="J121" s="145" t="n"/>
      <c r="K121" s="145" t="n"/>
      <c r="L121" s="145" t="n"/>
      <c r="M121" s="145" t="n"/>
      <c r="N121" s="145" t="n"/>
      <c r="O121" s="140" t="n"/>
      <c r="P121" s="140" t="n"/>
      <c r="Q121" s="140" t="n"/>
      <c r="R121" s="140" t="n"/>
      <c r="S121" s="140" t="n"/>
      <c r="T121" s="141" t="n"/>
      <c r="U121" s="129" t="n"/>
      <c r="V121" s="129" t="n"/>
      <c r="W121" s="145" t="n"/>
      <c r="X121" s="145" t="n"/>
      <c r="Y121" s="145" t="n"/>
      <c r="Z121" s="145" t="n"/>
    </row>
    <row r="122" ht="45.75" customHeight="1" s="222">
      <c r="A122" s="145" t="n"/>
      <c r="B122" s="145" t="n"/>
      <c r="C122" s="145" t="n"/>
      <c r="D122" s="145" t="n"/>
      <c r="E122" s="145" t="n"/>
      <c r="F122" s="145" t="n"/>
      <c r="G122" s="145" t="n"/>
      <c r="H122" s="145" t="n"/>
      <c r="I122" s="145" t="n"/>
      <c r="J122" s="145" t="n"/>
      <c r="K122" s="145" t="n"/>
      <c r="L122" s="145" t="n"/>
      <c r="M122" s="145" t="n"/>
      <c r="N122" s="145" t="n"/>
      <c r="O122" s="140" t="n"/>
      <c r="P122" s="140" t="n"/>
      <c r="Q122" s="140" t="n"/>
      <c r="R122" s="140" t="n"/>
      <c r="S122" s="140" t="n"/>
      <c r="T122" s="141" t="n"/>
      <c r="U122" s="129" t="n"/>
      <c r="V122" s="129" t="n"/>
      <c r="W122" s="145" t="n"/>
      <c r="X122" s="145" t="n"/>
      <c r="Y122" s="145" t="n"/>
      <c r="Z122" s="145" t="n"/>
    </row>
    <row r="123" ht="45.75" customHeight="1" s="222">
      <c r="A123" s="145" t="n"/>
      <c r="B123" s="145" t="n"/>
      <c r="C123" s="145" t="n"/>
      <c r="D123" s="145" t="n"/>
      <c r="E123" s="145" t="n"/>
      <c r="F123" s="145" t="n"/>
      <c r="G123" s="145" t="n"/>
      <c r="H123" s="145" t="n"/>
      <c r="I123" s="145" t="n"/>
      <c r="J123" s="145" t="n"/>
      <c r="K123" s="145" t="n"/>
      <c r="L123" s="145" t="n"/>
      <c r="M123" s="145" t="n"/>
      <c r="N123" s="145" t="n"/>
      <c r="O123" s="140" t="n"/>
      <c r="P123" s="140" t="n"/>
      <c r="Q123" s="140" t="n"/>
      <c r="R123" s="140" t="n"/>
      <c r="S123" s="140" t="n"/>
      <c r="T123" s="141" t="n"/>
      <c r="U123" s="129" t="n"/>
      <c r="V123" s="129" t="n"/>
      <c r="W123" s="145" t="n"/>
      <c r="X123" s="145" t="n"/>
      <c r="Y123" s="145" t="n"/>
      <c r="Z123" s="145" t="n"/>
    </row>
    <row r="124" ht="45.75" customHeight="1" s="222">
      <c r="A124" s="145" t="n"/>
      <c r="B124" s="145" t="n"/>
      <c r="C124" s="145" t="n"/>
      <c r="D124" s="145" t="n"/>
      <c r="E124" s="145" t="n"/>
      <c r="F124" s="145" t="n"/>
      <c r="G124" s="145" t="n"/>
      <c r="H124" s="145" t="n"/>
      <c r="I124" s="145" t="n"/>
      <c r="J124" s="145" t="n"/>
      <c r="K124" s="145" t="n"/>
      <c r="L124" s="145" t="n"/>
      <c r="M124" s="145" t="n"/>
      <c r="N124" s="145" t="n"/>
      <c r="O124" s="140" t="n"/>
      <c r="P124" s="140" t="n"/>
      <c r="Q124" s="140" t="n"/>
      <c r="R124" s="140" t="n"/>
      <c r="S124" s="140" t="n"/>
      <c r="T124" s="141" t="n"/>
      <c r="U124" s="129" t="n"/>
      <c r="V124" s="129" t="n"/>
      <c r="W124" s="145" t="n"/>
      <c r="X124" s="145" t="n"/>
      <c r="Y124" s="145" t="n"/>
      <c r="Z124" s="145" t="n"/>
    </row>
    <row r="125" ht="45.75" customHeight="1" s="222">
      <c r="A125" s="145" t="n"/>
      <c r="B125" s="145" t="n"/>
      <c r="C125" s="145" t="n"/>
      <c r="D125" s="145" t="n"/>
      <c r="E125" s="145" t="n"/>
      <c r="F125" s="145" t="n"/>
      <c r="G125" s="145" t="n"/>
      <c r="H125" s="145" t="n"/>
      <c r="I125" s="145" t="n"/>
      <c r="J125" s="145" t="n"/>
      <c r="K125" s="145" t="n"/>
      <c r="L125" s="145" t="n"/>
      <c r="M125" s="145" t="n"/>
      <c r="N125" s="145" t="n"/>
      <c r="O125" s="140" t="n"/>
      <c r="P125" s="140" t="n"/>
      <c r="Q125" s="140" t="n"/>
      <c r="R125" s="140" t="n"/>
      <c r="S125" s="140" t="n"/>
      <c r="T125" s="141" t="n"/>
      <c r="U125" s="129" t="n"/>
      <c r="V125" s="129" t="n"/>
      <c r="W125" s="145" t="n"/>
      <c r="X125" s="145" t="n"/>
      <c r="Y125" s="145" t="n"/>
      <c r="Z125" s="145" t="n"/>
    </row>
    <row r="126" ht="45.75" customHeight="1" s="222">
      <c r="A126" s="145" t="n"/>
      <c r="B126" s="145" t="n"/>
      <c r="C126" s="145" t="n"/>
      <c r="D126" s="145" t="n"/>
      <c r="E126" s="145" t="n"/>
      <c r="F126" s="145" t="n"/>
      <c r="G126" s="145" t="n"/>
      <c r="H126" s="145" t="n"/>
      <c r="I126" s="145" t="n"/>
      <c r="J126" s="145" t="n"/>
      <c r="K126" s="145" t="n"/>
      <c r="L126" s="145" t="n"/>
      <c r="M126" s="145" t="n"/>
      <c r="N126" s="145" t="n"/>
      <c r="O126" s="140" t="n"/>
      <c r="P126" s="140" t="n"/>
      <c r="Q126" s="140" t="n"/>
      <c r="R126" s="140" t="n"/>
      <c r="S126" s="140" t="n"/>
      <c r="T126" s="141" t="n"/>
      <c r="U126" s="129" t="n"/>
      <c r="V126" s="129" t="n"/>
      <c r="W126" s="145" t="n"/>
      <c r="X126" s="145" t="n"/>
      <c r="Y126" s="145" t="n"/>
      <c r="Z126" s="145" t="n"/>
    </row>
    <row r="127" ht="45.75" customHeight="1" s="222">
      <c r="A127" s="145" t="n"/>
      <c r="B127" s="145" t="n"/>
      <c r="C127" s="145" t="n"/>
      <c r="D127" s="145" t="n"/>
      <c r="E127" s="145" t="n"/>
      <c r="F127" s="145" t="n"/>
      <c r="G127" s="145" t="n"/>
      <c r="H127" s="145" t="n"/>
      <c r="I127" s="145" t="n"/>
      <c r="J127" s="145" t="n"/>
      <c r="K127" s="145" t="n"/>
      <c r="L127" s="145" t="n"/>
      <c r="M127" s="145" t="n"/>
      <c r="N127" s="145" t="n"/>
      <c r="O127" s="140" t="n"/>
      <c r="P127" s="140" t="n"/>
      <c r="Q127" s="140" t="n"/>
      <c r="R127" s="140" t="n"/>
      <c r="S127" s="140" t="n"/>
      <c r="T127" s="141" t="n"/>
      <c r="U127" s="129" t="n"/>
      <c r="V127" s="129" t="n"/>
      <c r="W127" s="145" t="n"/>
      <c r="X127" s="145" t="n"/>
      <c r="Y127" s="145" t="n"/>
      <c r="Z127" s="145" t="n"/>
    </row>
    <row r="128" ht="45.75" customHeight="1" s="222">
      <c r="A128" s="145" t="n"/>
      <c r="B128" s="145" t="n"/>
      <c r="C128" s="145" t="n"/>
      <c r="D128" s="145" t="n"/>
      <c r="E128" s="145" t="n"/>
      <c r="F128" s="145" t="n"/>
      <c r="G128" s="145" t="n"/>
      <c r="H128" s="145" t="n"/>
      <c r="I128" s="145" t="n"/>
      <c r="J128" s="145" t="n"/>
      <c r="K128" s="145" t="n"/>
      <c r="L128" s="145" t="n"/>
      <c r="M128" s="145" t="n"/>
      <c r="N128" s="145" t="n"/>
      <c r="O128" s="140" t="n"/>
      <c r="P128" s="140" t="n"/>
      <c r="Q128" s="140" t="n"/>
      <c r="R128" s="140" t="n"/>
      <c r="S128" s="140" t="n"/>
      <c r="T128" s="141" t="n"/>
      <c r="U128" s="129" t="n"/>
      <c r="V128" s="129" t="n"/>
      <c r="W128" s="145" t="n"/>
      <c r="X128" s="145" t="n"/>
      <c r="Y128" s="145" t="n"/>
      <c r="Z128" s="145" t="n"/>
    </row>
    <row r="129" ht="45.75" customHeight="1" s="222">
      <c r="A129" s="145" t="n"/>
      <c r="B129" s="145" t="n"/>
      <c r="C129" s="145" t="n"/>
      <c r="D129" s="145" t="n"/>
      <c r="E129" s="145" t="n"/>
      <c r="F129" s="145" t="n"/>
      <c r="G129" s="145" t="n"/>
      <c r="H129" s="145" t="n"/>
      <c r="I129" s="145" t="n"/>
      <c r="J129" s="145" t="n"/>
      <c r="K129" s="145" t="n"/>
      <c r="L129" s="145" t="n"/>
      <c r="M129" s="145" t="n"/>
      <c r="N129" s="145" t="n"/>
      <c r="O129" s="140" t="n"/>
      <c r="P129" s="140" t="n"/>
      <c r="Q129" s="140" t="n"/>
      <c r="R129" s="140" t="n"/>
      <c r="S129" s="140" t="n"/>
      <c r="T129" s="141" t="n"/>
      <c r="U129" s="129" t="n"/>
      <c r="V129" s="129" t="n"/>
      <c r="W129" s="145" t="n"/>
      <c r="X129" s="145" t="n"/>
      <c r="Y129" s="145" t="n"/>
      <c r="Z129" s="145" t="n"/>
    </row>
    <row r="130" ht="45.75" customHeight="1" s="222">
      <c r="A130" s="145" t="n"/>
      <c r="B130" s="145" t="n"/>
      <c r="C130" s="145" t="n"/>
      <c r="D130" s="145" t="n"/>
      <c r="E130" s="145" t="n"/>
      <c r="F130" s="145" t="n"/>
      <c r="G130" s="145" t="n"/>
      <c r="H130" s="145" t="n"/>
      <c r="I130" s="145" t="n"/>
      <c r="J130" s="145" t="n"/>
      <c r="K130" s="145" t="n"/>
      <c r="L130" s="145" t="n"/>
      <c r="M130" s="145" t="n"/>
      <c r="N130" s="145" t="n"/>
      <c r="O130" s="140" t="n"/>
      <c r="P130" s="140" t="n"/>
      <c r="Q130" s="140" t="n"/>
      <c r="R130" s="140" t="n"/>
      <c r="S130" s="140" t="n"/>
      <c r="T130" s="141" t="n"/>
      <c r="U130" s="129" t="n"/>
      <c r="V130" s="129" t="n"/>
      <c r="W130" s="145" t="n"/>
      <c r="X130" s="145" t="n"/>
      <c r="Y130" s="145" t="n"/>
      <c r="Z130" s="145" t="n"/>
    </row>
    <row r="131" ht="45.75" customHeight="1" s="222">
      <c r="A131" s="145" t="n"/>
      <c r="B131" s="145" t="n"/>
      <c r="C131" s="145" t="n"/>
      <c r="D131" s="145" t="n"/>
      <c r="E131" s="145" t="n"/>
      <c r="F131" s="145" t="n"/>
      <c r="G131" s="145" t="n"/>
      <c r="H131" s="145" t="n"/>
      <c r="I131" s="145" t="n"/>
      <c r="J131" s="145" t="n"/>
      <c r="K131" s="145" t="n"/>
      <c r="L131" s="145" t="n"/>
      <c r="M131" s="145" t="n"/>
      <c r="N131" s="145" t="n"/>
      <c r="O131" s="140" t="n"/>
      <c r="P131" s="140" t="n"/>
      <c r="Q131" s="140" t="n"/>
      <c r="R131" s="140" t="n"/>
      <c r="S131" s="140" t="n"/>
      <c r="T131" s="141" t="n"/>
      <c r="U131" s="129" t="n"/>
      <c r="V131" s="129" t="n"/>
      <c r="W131" s="145" t="n"/>
      <c r="X131" s="145" t="n"/>
      <c r="Y131" s="145" t="n"/>
      <c r="Z131" s="145" t="n"/>
    </row>
    <row r="132" ht="45.75" customHeight="1" s="222">
      <c r="A132" s="145" t="n"/>
      <c r="B132" s="145" t="n"/>
      <c r="C132" s="145" t="n"/>
      <c r="D132" s="145" t="n"/>
      <c r="E132" s="145" t="n"/>
      <c r="F132" s="145" t="n"/>
      <c r="G132" s="145" t="n"/>
      <c r="H132" s="145" t="n"/>
      <c r="I132" s="145" t="n"/>
      <c r="J132" s="145" t="n"/>
      <c r="K132" s="145" t="n"/>
      <c r="L132" s="145" t="n"/>
      <c r="M132" s="145" t="n"/>
      <c r="N132" s="145" t="n"/>
      <c r="O132" s="140" t="n"/>
      <c r="P132" s="140" t="n"/>
      <c r="Q132" s="140" t="n"/>
      <c r="R132" s="140" t="n"/>
      <c r="S132" s="140" t="n"/>
      <c r="T132" s="141" t="n"/>
      <c r="U132" s="129" t="n"/>
      <c r="V132" s="129" t="n"/>
      <c r="W132" s="145" t="n"/>
      <c r="X132" s="145" t="n"/>
      <c r="Y132" s="145" t="n"/>
      <c r="Z132" s="145" t="n"/>
    </row>
    <row r="133" ht="45.75" customHeight="1" s="222">
      <c r="A133" s="145" t="n"/>
      <c r="B133" s="145" t="n"/>
      <c r="C133" s="145" t="n"/>
      <c r="D133" s="145" t="n"/>
      <c r="E133" s="145" t="n"/>
      <c r="F133" s="145" t="n"/>
      <c r="G133" s="145" t="n"/>
      <c r="H133" s="145" t="n"/>
      <c r="I133" s="145" t="n"/>
      <c r="J133" s="145" t="n"/>
      <c r="K133" s="145" t="n"/>
      <c r="L133" s="145" t="n"/>
      <c r="M133" s="145" t="n"/>
      <c r="N133" s="145" t="n"/>
      <c r="O133" s="140" t="n"/>
      <c r="P133" s="140" t="n"/>
      <c r="Q133" s="140" t="n"/>
      <c r="R133" s="140" t="n"/>
      <c r="S133" s="140" t="n"/>
      <c r="T133" s="141" t="n"/>
      <c r="U133" s="129" t="n"/>
      <c r="V133" s="129" t="n"/>
      <c r="W133" s="145" t="n"/>
      <c r="X133" s="145" t="n"/>
      <c r="Y133" s="145" t="n"/>
      <c r="Z133" s="145" t="n"/>
    </row>
    <row r="134" ht="45.75" customHeight="1" s="222">
      <c r="A134" s="145" t="n"/>
      <c r="B134" s="145" t="n"/>
      <c r="C134" s="145" t="n"/>
      <c r="D134" s="145" t="n"/>
      <c r="E134" s="145" t="n"/>
      <c r="F134" s="145" t="n"/>
      <c r="G134" s="145" t="n"/>
      <c r="H134" s="145" t="n"/>
      <c r="I134" s="145" t="n"/>
      <c r="J134" s="145" t="n"/>
      <c r="K134" s="145" t="n"/>
      <c r="L134" s="145" t="n"/>
      <c r="M134" s="145" t="n"/>
      <c r="N134" s="145" t="n"/>
      <c r="O134" s="140" t="n"/>
      <c r="P134" s="140" t="n"/>
      <c r="Q134" s="140" t="n"/>
      <c r="R134" s="140" t="n"/>
      <c r="S134" s="140" t="n"/>
      <c r="T134" s="141" t="n"/>
      <c r="U134" s="129" t="n"/>
      <c r="V134" s="129" t="n"/>
      <c r="W134" s="145" t="n"/>
      <c r="X134" s="145" t="n"/>
      <c r="Y134" s="145" t="n"/>
      <c r="Z134" s="145" t="n"/>
    </row>
    <row r="135" ht="45.75" customHeight="1" s="222">
      <c r="A135" s="145" t="n"/>
      <c r="B135" s="145" t="n"/>
      <c r="C135" s="145" t="n"/>
      <c r="D135" s="145" t="n"/>
      <c r="E135" s="145" t="n"/>
      <c r="F135" s="145" t="n"/>
      <c r="G135" s="145" t="n"/>
      <c r="H135" s="145" t="n"/>
      <c r="I135" s="145" t="n"/>
      <c r="J135" s="145" t="n"/>
      <c r="K135" s="145" t="n"/>
      <c r="L135" s="145" t="n"/>
      <c r="M135" s="145" t="n"/>
      <c r="N135" s="145" t="n"/>
      <c r="O135" s="140" t="n"/>
      <c r="P135" s="140" t="n"/>
      <c r="Q135" s="140" t="n"/>
      <c r="R135" s="140" t="n"/>
      <c r="S135" s="140" t="n"/>
      <c r="T135" s="141" t="n"/>
      <c r="U135" s="129" t="n"/>
      <c r="V135" s="129" t="n"/>
      <c r="W135" s="145" t="n"/>
      <c r="X135" s="145" t="n"/>
      <c r="Y135" s="145" t="n"/>
      <c r="Z135" s="145" t="n"/>
    </row>
    <row r="136" ht="45.75" customHeight="1" s="222">
      <c r="A136" s="145" t="n"/>
      <c r="B136" s="145" t="n"/>
      <c r="C136" s="145" t="n"/>
      <c r="D136" s="145" t="n"/>
      <c r="E136" s="145" t="n"/>
      <c r="F136" s="145" t="n"/>
      <c r="G136" s="145" t="n"/>
      <c r="H136" s="145" t="n"/>
      <c r="I136" s="145" t="n"/>
      <c r="J136" s="145" t="n"/>
      <c r="K136" s="145" t="n"/>
      <c r="L136" s="145" t="n"/>
      <c r="M136" s="145" t="n"/>
      <c r="N136" s="145" t="n"/>
      <c r="O136" s="140" t="n"/>
      <c r="P136" s="140" t="n"/>
      <c r="Q136" s="140" t="n"/>
      <c r="R136" s="140" t="n"/>
      <c r="S136" s="140" t="n"/>
      <c r="T136" s="141" t="n"/>
      <c r="U136" s="129" t="n"/>
      <c r="V136" s="129" t="n"/>
      <c r="W136" s="145" t="n"/>
      <c r="X136" s="145" t="n"/>
      <c r="Y136" s="145" t="n"/>
      <c r="Z136" s="145" t="n"/>
    </row>
    <row r="137" ht="45.75" customHeight="1" s="222">
      <c r="A137" s="145" t="n"/>
      <c r="B137" s="145" t="n"/>
      <c r="C137" s="145" t="n"/>
      <c r="D137" s="145" t="n"/>
      <c r="E137" s="145" t="n"/>
      <c r="F137" s="145" t="n"/>
      <c r="G137" s="145" t="n"/>
      <c r="H137" s="145" t="n"/>
      <c r="I137" s="145" t="n"/>
      <c r="J137" s="145" t="n"/>
      <c r="K137" s="145" t="n"/>
      <c r="L137" s="145" t="n"/>
      <c r="M137" s="145" t="n"/>
      <c r="N137" s="145" t="n"/>
      <c r="O137" s="140" t="n"/>
      <c r="P137" s="140" t="n"/>
      <c r="Q137" s="140" t="n"/>
      <c r="R137" s="140" t="n"/>
      <c r="S137" s="140" t="n"/>
      <c r="T137" s="141" t="n"/>
      <c r="U137" s="129" t="n"/>
      <c r="V137" s="129" t="n"/>
      <c r="W137" s="145" t="n"/>
      <c r="X137" s="145" t="n"/>
      <c r="Y137" s="145" t="n"/>
      <c r="Z137" s="145" t="n"/>
    </row>
    <row r="138" ht="45.75" customHeight="1" s="222">
      <c r="A138" s="145" t="n"/>
      <c r="B138" s="145" t="n"/>
      <c r="C138" s="145" t="n"/>
      <c r="D138" s="145" t="n"/>
      <c r="E138" s="145" t="n"/>
      <c r="F138" s="145" t="n"/>
      <c r="G138" s="145" t="n"/>
      <c r="H138" s="145" t="n"/>
      <c r="I138" s="145" t="n"/>
      <c r="J138" s="145" t="n"/>
      <c r="K138" s="145" t="n"/>
      <c r="L138" s="145" t="n"/>
      <c r="M138" s="145" t="n"/>
      <c r="N138" s="145" t="n"/>
      <c r="O138" s="140" t="n"/>
      <c r="P138" s="140" t="n"/>
      <c r="Q138" s="140" t="n"/>
      <c r="R138" s="140" t="n"/>
      <c r="S138" s="140" t="n"/>
      <c r="T138" s="141" t="n"/>
      <c r="U138" s="129" t="n"/>
      <c r="V138" s="129" t="n"/>
      <c r="W138" s="145" t="n"/>
      <c r="X138" s="145" t="n"/>
      <c r="Y138" s="145" t="n"/>
      <c r="Z138" s="145" t="n"/>
    </row>
    <row r="139" ht="45.75" customHeight="1" s="222">
      <c r="A139" s="145" t="n"/>
      <c r="B139" s="145" t="n"/>
      <c r="C139" s="145" t="n"/>
      <c r="D139" s="145" t="n"/>
      <c r="E139" s="145" t="n"/>
      <c r="F139" s="145" t="n"/>
      <c r="G139" s="145" t="n"/>
      <c r="H139" s="145" t="n"/>
      <c r="I139" s="145" t="n"/>
      <c r="J139" s="145" t="n"/>
      <c r="K139" s="145" t="n"/>
      <c r="L139" s="145" t="n"/>
      <c r="M139" s="145" t="n"/>
      <c r="N139" s="145" t="n"/>
      <c r="O139" s="140" t="n"/>
      <c r="P139" s="140" t="n"/>
      <c r="Q139" s="140" t="n"/>
      <c r="R139" s="140" t="n"/>
      <c r="S139" s="140" t="n"/>
      <c r="T139" s="141" t="n"/>
      <c r="U139" s="129" t="n"/>
      <c r="V139" s="129" t="n"/>
      <c r="W139" s="145" t="n"/>
      <c r="X139" s="145" t="n"/>
      <c r="Y139" s="145" t="n"/>
      <c r="Z139" s="145" t="n"/>
    </row>
    <row r="140" ht="45.75" customHeight="1" s="222">
      <c r="A140" s="145" t="n"/>
      <c r="B140" s="145" t="n"/>
      <c r="C140" s="145" t="n"/>
      <c r="D140" s="145" t="n"/>
      <c r="E140" s="145" t="n"/>
      <c r="F140" s="145" t="n"/>
      <c r="G140" s="145" t="n"/>
      <c r="H140" s="145" t="n"/>
      <c r="I140" s="145" t="n"/>
      <c r="J140" s="145" t="n"/>
      <c r="K140" s="145" t="n"/>
      <c r="L140" s="145" t="n"/>
      <c r="M140" s="145" t="n"/>
      <c r="N140" s="145" t="n"/>
      <c r="O140" s="140" t="n"/>
      <c r="P140" s="140" t="n"/>
      <c r="Q140" s="140" t="n"/>
      <c r="R140" s="140" t="n"/>
      <c r="S140" s="140" t="n"/>
      <c r="T140" s="141" t="n"/>
      <c r="U140" s="129" t="n"/>
      <c r="V140" s="129" t="n"/>
      <c r="W140" s="145" t="n"/>
      <c r="X140" s="145" t="n"/>
      <c r="Y140" s="145" t="n"/>
      <c r="Z140" s="145" t="n"/>
    </row>
    <row r="141" ht="45.75" customHeight="1" s="222">
      <c r="A141" s="145" t="n"/>
      <c r="B141" s="145" t="n"/>
      <c r="C141" s="145" t="n"/>
      <c r="D141" s="145" t="n"/>
      <c r="E141" s="145" t="n"/>
      <c r="F141" s="145" t="n"/>
      <c r="G141" s="145" t="n"/>
      <c r="H141" s="145" t="n"/>
      <c r="I141" s="145" t="n"/>
      <c r="J141" s="145" t="n"/>
      <c r="K141" s="145" t="n"/>
      <c r="L141" s="145" t="n"/>
      <c r="M141" s="145" t="n"/>
      <c r="N141" s="145" t="n"/>
      <c r="O141" s="140" t="n"/>
      <c r="P141" s="140" t="n"/>
      <c r="Q141" s="140" t="n"/>
      <c r="R141" s="140" t="n"/>
      <c r="S141" s="140" t="n"/>
      <c r="T141" s="141" t="n"/>
      <c r="U141" s="129" t="n"/>
      <c r="V141" s="129" t="n"/>
      <c r="W141" s="145" t="n"/>
      <c r="X141" s="145" t="n"/>
      <c r="Y141" s="145" t="n"/>
      <c r="Z141" s="145" t="n"/>
    </row>
    <row r="142" ht="45.75" customHeight="1" s="222">
      <c r="A142" s="145" t="n"/>
      <c r="B142" s="145" t="n"/>
      <c r="C142" s="145" t="n"/>
      <c r="D142" s="145" t="n"/>
      <c r="E142" s="145" t="n"/>
      <c r="F142" s="145" t="n"/>
      <c r="G142" s="145" t="n"/>
      <c r="H142" s="145" t="n"/>
      <c r="I142" s="145" t="n"/>
      <c r="J142" s="145" t="n"/>
      <c r="K142" s="145" t="n"/>
      <c r="L142" s="145" t="n"/>
      <c r="M142" s="145" t="n"/>
      <c r="N142" s="145" t="n"/>
      <c r="O142" s="140" t="n"/>
      <c r="P142" s="140" t="n"/>
      <c r="Q142" s="140" t="n"/>
      <c r="R142" s="140" t="n"/>
      <c r="S142" s="140" t="n"/>
      <c r="T142" s="141" t="n"/>
      <c r="U142" s="129" t="n"/>
      <c r="V142" s="129" t="n"/>
      <c r="W142" s="145" t="n"/>
      <c r="X142" s="145" t="n"/>
      <c r="Y142" s="145" t="n"/>
      <c r="Z142" s="145" t="n"/>
    </row>
    <row r="143" ht="45.75" customHeight="1" s="222">
      <c r="A143" s="145" t="n"/>
      <c r="B143" s="145" t="n"/>
      <c r="C143" s="145" t="n"/>
      <c r="D143" s="145" t="n"/>
      <c r="E143" s="145" t="n"/>
      <c r="F143" s="145" t="n"/>
      <c r="G143" s="145" t="n"/>
      <c r="H143" s="145" t="n"/>
      <c r="I143" s="145" t="n"/>
      <c r="J143" s="145" t="n"/>
      <c r="K143" s="145" t="n"/>
      <c r="L143" s="145" t="n"/>
      <c r="M143" s="145" t="n"/>
      <c r="N143" s="145" t="n"/>
      <c r="O143" s="140" t="n"/>
      <c r="P143" s="140" t="n"/>
      <c r="Q143" s="140" t="n"/>
      <c r="R143" s="140" t="n"/>
      <c r="S143" s="140" t="n"/>
      <c r="T143" s="141" t="n"/>
      <c r="U143" s="129" t="n"/>
      <c r="V143" s="129" t="n"/>
      <c r="W143" s="145" t="n"/>
      <c r="X143" s="145" t="n"/>
      <c r="Y143" s="145" t="n"/>
      <c r="Z143" s="145" t="n"/>
    </row>
    <row r="144" ht="45.75" customHeight="1" s="222">
      <c r="A144" s="145" t="n"/>
      <c r="B144" s="145" t="n"/>
      <c r="C144" s="145" t="n"/>
      <c r="D144" s="145" t="n"/>
      <c r="E144" s="145" t="n"/>
      <c r="F144" s="145" t="n"/>
      <c r="G144" s="145" t="n"/>
      <c r="H144" s="145" t="n"/>
      <c r="I144" s="145" t="n"/>
      <c r="J144" s="145" t="n"/>
      <c r="K144" s="145" t="n"/>
      <c r="L144" s="145" t="n"/>
      <c r="M144" s="145" t="n"/>
      <c r="N144" s="145" t="n"/>
      <c r="O144" s="140" t="n"/>
      <c r="P144" s="140" t="n"/>
      <c r="Q144" s="140" t="n"/>
      <c r="R144" s="140" t="n"/>
      <c r="S144" s="140" t="n"/>
      <c r="T144" s="141" t="n"/>
      <c r="U144" s="129" t="n"/>
      <c r="V144" s="129" t="n"/>
      <c r="W144" s="145" t="n"/>
      <c r="X144" s="145" t="n"/>
      <c r="Y144" s="145" t="n"/>
      <c r="Z144" s="145" t="n"/>
    </row>
    <row r="145" ht="45.75" customHeight="1" s="222">
      <c r="A145" s="145" t="n"/>
      <c r="B145" s="145" t="n"/>
      <c r="C145" s="145" t="n"/>
      <c r="D145" s="145" t="n"/>
      <c r="E145" s="145" t="n"/>
      <c r="F145" s="145" t="n"/>
      <c r="G145" s="145" t="n"/>
      <c r="H145" s="145" t="n"/>
      <c r="I145" s="145" t="n"/>
      <c r="J145" s="145" t="n"/>
      <c r="K145" s="145" t="n"/>
      <c r="L145" s="145" t="n"/>
      <c r="M145" s="145" t="n"/>
      <c r="N145" s="145" t="n"/>
      <c r="O145" s="140" t="n"/>
      <c r="P145" s="140" t="n"/>
      <c r="Q145" s="140" t="n"/>
      <c r="R145" s="140" t="n"/>
      <c r="S145" s="140" t="n"/>
      <c r="T145" s="141" t="n"/>
      <c r="U145" s="129" t="n"/>
      <c r="V145" s="129" t="n"/>
      <c r="W145" s="145" t="n"/>
      <c r="X145" s="145" t="n"/>
      <c r="Y145" s="145" t="n"/>
      <c r="Z145" s="145" t="n"/>
    </row>
    <row r="146" ht="45.75" customHeight="1" s="222">
      <c r="A146" s="145" t="n"/>
      <c r="B146" s="145" t="n"/>
      <c r="C146" s="145" t="n"/>
      <c r="D146" s="145" t="n"/>
      <c r="E146" s="145" t="n"/>
      <c r="F146" s="145" t="n"/>
      <c r="G146" s="145" t="n"/>
      <c r="H146" s="145" t="n"/>
      <c r="I146" s="145" t="n"/>
      <c r="J146" s="145" t="n"/>
      <c r="K146" s="145" t="n"/>
      <c r="L146" s="145" t="n"/>
      <c r="M146" s="145" t="n"/>
      <c r="N146" s="145" t="n"/>
      <c r="O146" s="140" t="n"/>
      <c r="P146" s="140" t="n"/>
      <c r="Q146" s="140" t="n"/>
      <c r="R146" s="140" t="n"/>
      <c r="S146" s="140" t="n"/>
      <c r="T146" s="141" t="n"/>
      <c r="U146" s="129" t="n"/>
      <c r="V146" s="129" t="n"/>
      <c r="W146" s="145" t="n"/>
      <c r="X146" s="145" t="n"/>
      <c r="Y146" s="145" t="n"/>
      <c r="Z146" s="145" t="n"/>
    </row>
    <row r="147" ht="45.75" customHeight="1" s="222">
      <c r="A147" s="145" t="n"/>
      <c r="B147" s="145" t="n"/>
      <c r="C147" s="145" t="n"/>
      <c r="D147" s="145" t="n"/>
      <c r="E147" s="145" t="n"/>
      <c r="F147" s="145" t="n"/>
      <c r="G147" s="145" t="n"/>
      <c r="H147" s="145" t="n"/>
      <c r="I147" s="145" t="n"/>
      <c r="J147" s="145" t="n"/>
      <c r="K147" s="145" t="n"/>
      <c r="L147" s="145" t="n"/>
      <c r="M147" s="145" t="n"/>
      <c r="N147" s="145" t="n"/>
      <c r="O147" s="140" t="n"/>
      <c r="P147" s="140" t="n"/>
      <c r="Q147" s="140" t="n"/>
      <c r="R147" s="140" t="n"/>
      <c r="S147" s="140" t="n"/>
      <c r="T147" s="141" t="n"/>
      <c r="U147" s="129" t="n"/>
      <c r="V147" s="129" t="n"/>
      <c r="W147" s="145" t="n"/>
      <c r="X147" s="145" t="n"/>
      <c r="Y147" s="145" t="n"/>
      <c r="Z147" s="145" t="n"/>
    </row>
    <row r="148" ht="45.75" customHeight="1" s="222">
      <c r="A148" s="145" t="n"/>
      <c r="B148" s="145" t="n"/>
      <c r="C148" s="145" t="n"/>
      <c r="D148" s="145" t="n"/>
      <c r="E148" s="145" t="n"/>
      <c r="F148" s="145" t="n"/>
      <c r="G148" s="145" t="n"/>
      <c r="H148" s="145" t="n"/>
      <c r="I148" s="145" t="n"/>
      <c r="J148" s="145" t="n"/>
      <c r="K148" s="145" t="n"/>
      <c r="L148" s="145" t="n"/>
      <c r="M148" s="145" t="n"/>
      <c r="N148" s="145" t="n"/>
      <c r="O148" s="140" t="n"/>
      <c r="P148" s="140" t="n"/>
      <c r="Q148" s="140" t="n"/>
      <c r="R148" s="140" t="n"/>
      <c r="S148" s="140" t="n"/>
      <c r="T148" s="141" t="n"/>
      <c r="U148" s="129" t="n"/>
      <c r="V148" s="129" t="n"/>
      <c r="W148" s="145" t="n"/>
      <c r="X148" s="145" t="n"/>
      <c r="Y148" s="145" t="n"/>
      <c r="Z148" s="145" t="n"/>
    </row>
    <row r="149" ht="45.75" customHeight="1" s="222">
      <c r="A149" s="145" t="n"/>
      <c r="B149" s="145" t="n"/>
      <c r="C149" s="145" t="n"/>
      <c r="D149" s="145" t="n"/>
      <c r="E149" s="145" t="n"/>
      <c r="F149" s="145" t="n"/>
      <c r="G149" s="145" t="n"/>
      <c r="H149" s="145" t="n"/>
      <c r="I149" s="145" t="n"/>
      <c r="J149" s="145" t="n"/>
      <c r="K149" s="145" t="n"/>
      <c r="L149" s="145" t="n"/>
      <c r="M149" s="145" t="n"/>
      <c r="N149" s="145" t="n"/>
      <c r="O149" s="140" t="n"/>
      <c r="P149" s="140" t="n"/>
      <c r="Q149" s="140" t="n"/>
      <c r="R149" s="140" t="n"/>
      <c r="S149" s="140" t="n"/>
      <c r="T149" s="141" t="n"/>
      <c r="U149" s="129" t="n"/>
      <c r="V149" s="129" t="n"/>
      <c r="W149" s="145" t="n"/>
      <c r="X149" s="145" t="n"/>
      <c r="Y149" s="145" t="n"/>
      <c r="Z149" s="145" t="n"/>
    </row>
    <row r="150" ht="45.75" customHeight="1" s="222">
      <c r="A150" s="145" t="n"/>
      <c r="B150" s="145" t="n"/>
      <c r="C150" s="145" t="n"/>
      <c r="D150" s="145" t="n"/>
      <c r="E150" s="145" t="n"/>
      <c r="F150" s="145" t="n"/>
      <c r="G150" s="145" t="n"/>
      <c r="H150" s="145" t="n"/>
      <c r="I150" s="145" t="n"/>
      <c r="J150" s="145" t="n"/>
      <c r="K150" s="145" t="n"/>
      <c r="L150" s="145" t="n"/>
      <c r="M150" s="145" t="n"/>
      <c r="N150" s="145" t="n"/>
      <c r="O150" s="140" t="n"/>
      <c r="P150" s="140" t="n"/>
      <c r="Q150" s="140" t="n"/>
      <c r="R150" s="140" t="n"/>
      <c r="S150" s="140" t="n"/>
      <c r="T150" s="141" t="n"/>
      <c r="U150" s="129" t="n"/>
      <c r="V150" s="129" t="n"/>
      <c r="W150" s="145" t="n"/>
      <c r="X150" s="145" t="n"/>
      <c r="Y150" s="145" t="n"/>
      <c r="Z150" s="145" t="n"/>
    </row>
    <row r="151" ht="45.75" customHeight="1" s="222">
      <c r="A151" s="145" t="n"/>
      <c r="B151" s="145" t="n"/>
      <c r="C151" s="145" t="n"/>
      <c r="D151" s="145" t="n"/>
      <c r="E151" s="145" t="n"/>
      <c r="F151" s="145" t="n"/>
      <c r="G151" s="145" t="n"/>
      <c r="H151" s="145" t="n"/>
      <c r="I151" s="145" t="n"/>
      <c r="J151" s="145" t="n"/>
      <c r="K151" s="145" t="n"/>
      <c r="L151" s="145" t="n"/>
      <c r="M151" s="145" t="n"/>
      <c r="N151" s="145" t="n"/>
      <c r="O151" s="140" t="n"/>
      <c r="P151" s="140" t="n"/>
      <c r="Q151" s="140" t="n"/>
      <c r="R151" s="140" t="n"/>
      <c r="S151" s="140" t="n"/>
      <c r="T151" s="141" t="n"/>
      <c r="U151" s="129" t="n"/>
      <c r="V151" s="129" t="n"/>
      <c r="W151" s="145" t="n"/>
      <c r="X151" s="145" t="n"/>
      <c r="Y151" s="145" t="n"/>
      <c r="Z151" s="145" t="n"/>
    </row>
    <row r="152" ht="45.75" customHeight="1" s="222">
      <c r="A152" s="145" t="n"/>
      <c r="B152" s="145" t="n"/>
      <c r="C152" s="145" t="n"/>
      <c r="D152" s="145" t="n"/>
      <c r="E152" s="145" t="n"/>
      <c r="F152" s="145" t="n"/>
      <c r="G152" s="145" t="n"/>
      <c r="H152" s="145" t="n"/>
      <c r="I152" s="145" t="n"/>
      <c r="J152" s="145" t="n"/>
      <c r="K152" s="145" t="n"/>
      <c r="L152" s="145" t="n"/>
      <c r="M152" s="145" t="n"/>
      <c r="N152" s="145" t="n"/>
      <c r="O152" s="140" t="n"/>
      <c r="P152" s="140" t="n"/>
      <c r="Q152" s="140" t="n"/>
      <c r="R152" s="140" t="n"/>
      <c r="S152" s="140" t="n"/>
      <c r="T152" s="141" t="n"/>
      <c r="U152" s="129" t="n"/>
      <c r="V152" s="129" t="n"/>
      <c r="W152" s="145" t="n"/>
      <c r="X152" s="145" t="n"/>
      <c r="Y152" s="145" t="n"/>
      <c r="Z152" s="145" t="n"/>
    </row>
    <row r="153" ht="45.75" customHeight="1" s="222">
      <c r="A153" s="145" t="n"/>
      <c r="B153" s="145" t="n"/>
      <c r="C153" s="145" t="n"/>
      <c r="D153" s="145" t="n"/>
      <c r="E153" s="145" t="n"/>
      <c r="F153" s="145" t="n"/>
      <c r="G153" s="145" t="n"/>
      <c r="H153" s="145" t="n"/>
      <c r="I153" s="145" t="n"/>
      <c r="J153" s="145" t="n"/>
      <c r="K153" s="145" t="n"/>
      <c r="L153" s="145" t="n"/>
      <c r="M153" s="145" t="n"/>
      <c r="N153" s="145" t="n"/>
      <c r="O153" s="140" t="n"/>
      <c r="P153" s="140" t="n"/>
      <c r="Q153" s="140" t="n"/>
      <c r="R153" s="140" t="n"/>
      <c r="S153" s="140" t="n"/>
      <c r="T153" s="141" t="n"/>
      <c r="U153" s="129" t="n"/>
      <c r="V153" s="129" t="n"/>
      <c r="W153" s="145" t="n"/>
      <c r="X153" s="145" t="n"/>
      <c r="Y153" s="145" t="n"/>
      <c r="Z153" s="145" t="n"/>
    </row>
    <row r="154" ht="45.75" customHeight="1" s="222">
      <c r="A154" s="145" t="n"/>
      <c r="B154" s="145" t="n"/>
      <c r="C154" s="145" t="n"/>
      <c r="D154" s="145" t="n"/>
      <c r="E154" s="145" t="n"/>
      <c r="F154" s="145" t="n"/>
      <c r="G154" s="145" t="n"/>
      <c r="H154" s="145" t="n"/>
      <c r="I154" s="145" t="n"/>
      <c r="J154" s="145" t="n"/>
      <c r="K154" s="145" t="n"/>
      <c r="L154" s="145" t="n"/>
      <c r="M154" s="145" t="n"/>
      <c r="N154" s="145" t="n"/>
      <c r="O154" s="140" t="n"/>
      <c r="P154" s="140" t="n"/>
      <c r="Q154" s="140" t="n"/>
      <c r="R154" s="140" t="n"/>
      <c r="S154" s="140" t="n"/>
      <c r="T154" s="141" t="n"/>
      <c r="U154" s="129" t="n"/>
      <c r="V154" s="129" t="n"/>
      <c r="W154" s="145" t="n"/>
      <c r="X154" s="145" t="n"/>
      <c r="Y154" s="145" t="n"/>
      <c r="Z154" s="145" t="n"/>
    </row>
    <row r="155" ht="45.75" customHeight="1" s="222">
      <c r="A155" s="145" t="n"/>
      <c r="B155" s="145" t="n"/>
      <c r="C155" s="145" t="n"/>
      <c r="D155" s="145" t="n"/>
      <c r="E155" s="145" t="n"/>
      <c r="F155" s="145" t="n"/>
      <c r="G155" s="145" t="n"/>
      <c r="H155" s="145" t="n"/>
      <c r="I155" s="145" t="n"/>
      <c r="J155" s="145" t="n"/>
      <c r="K155" s="145" t="n"/>
      <c r="L155" s="145" t="n"/>
      <c r="M155" s="145" t="n"/>
      <c r="N155" s="145" t="n"/>
      <c r="O155" s="140" t="n"/>
      <c r="P155" s="140" t="n"/>
      <c r="Q155" s="140" t="n"/>
      <c r="R155" s="140" t="n"/>
      <c r="S155" s="140" t="n"/>
      <c r="T155" s="141" t="n"/>
      <c r="U155" s="129" t="n"/>
      <c r="V155" s="129" t="n"/>
      <c r="W155" s="145" t="n"/>
      <c r="X155" s="145" t="n"/>
      <c r="Y155" s="145" t="n"/>
      <c r="Z155" s="145" t="n"/>
    </row>
    <row r="156" ht="45.75" customHeight="1" s="222">
      <c r="A156" s="145" t="n"/>
      <c r="B156" s="145" t="n"/>
      <c r="C156" s="145" t="n"/>
      <c r="D156" s="145" t="n"/>
      <c r="E156" s="145" t="n"/>
      <c r="F156" s="145" t="n"/>
      <c r="G156" s="145" t="n"/>
      <c r="H156" s="145" t="n"/>
      <c r="I156" s="145" t="n"/>
      <c r="J156" s="145" t="n"/>
      <c r="K156" s="145" t="n"/>
      <c r="L156" s="145" t="n"/>
      <c r="M156" s="145" t="n"/>
      <c r="N156" s="145" t="n"/>
      <c r="O156" s="140" t="n"/>
      <c r="P156" s="140" t="n"/>
      <c r="Q156" s="140" t="n"/>
      <c r="R156" s="140" t="n"/>
      <c r="S156" s="140" t="n"/>
      <c r="T156" s="141" t="n"/>
      <c r="U156" s="129" t="n"/>
      <c r="V156" s="129" t="n"/>
      <c r="W156" s="145" t="n"/>
      <c r="X156" s="145" t="n"/>
      <c r="Y156" s="145" t="n"/>
      <c r="Z156" s="145" t="n"/>
    </row>
    <row r="157" ht="45.75" customHeight="1" s="222">
      <c r="A157" s="145" t="n"/>
      <c r="B157" s="145" t="n"/>
      <c r="C157" s="145" t="n"/>
      <c r="D157" s="145" t="n"/>
      <c r="E157" s="145" t="n"/>
      <c r="F157" s="145" t="n"/>
      <c r="G157" s="145" t="n"/>
      <c r="H157" s="145" t="n"/>
      <c r="I157" s="145" t="n"/>
      <c r="J157" s="145" t="n"/>
      <c r="K157" s="145" t="n"/>
      <c r="L157" s="145" t="n"/>
      <c r="M157" s="145" t="n"/>
      <c r="N157" s="145" t="n"/>
      <c r="O157" s="140" t="n"/>
      <c r="P157" s="140" t="n"/>
      <c r="Q157" s="140" t="n"/>
      <c r="R157" s="140" t="n"/>
      <c r="S157" s="140" t="n"/>
      <c r="T157" s="141" t="n"/>
      <c r="U157" s="129" t="n"/>
      <c r="V157" s="129" t="n"/>
      <c r="W157" s="145" t="n"/>
      <c r="X157" s="145" t="n"/>
      <c r="Y157" s="145" t="n"/>
      <c r="Z157" s="145" t="n"/>
    </row>
    <row r="158" ht="45.75" customHeight="1" s="222">
      <c r="A158" s="145" t="n"/>
      <c r="B158" s="145" t="n"/>
      <c r="C158" s="145" t="n"/>
      <c r="D158" s="145" t="n"/>
      <c r="E158" s="145" t="n"/>
      <c r="F158" s="145" t="n"/>
      <c r="G158" s="145" t="n"/>
      <c r="H158" s="145" t="n"/>
      <c r="I158" s="145" t="n"/>
      <c r="J158" s="145" t="n"/>
      <c r="K158" s="145" t="n"/>
      <c r="L158" s="145" t="n"/>
      <c r="M158" s="145" t="n"/>
      <c r="N158" s="145" t="n"/>
      <c r="O158" s="140" t="n"/>
      <c r="P158" s="140" t="n"/>
      <c r="Q158" s="140" t="n"/>
      <c r="R158" s="140" t="n"/>
      <c r="S158" s="140" t="n"/>
      <c r="T158" s="141" t="n"/>
      <c r="U158" s="129" t="n"/>
      <c r="V158" s="129" t="n"/>
      <c r="W158" s="145" t="n"/>
      <c r="X158" s="145" t="n"/>
      <c r="Y158" s="145" t="n"/>
      <c r="Z158" s="145" t="n"/>
    </row>
    <row r="159" ht="45.75" customHeight="1" s="222">
      <c r="A159" s="145" t="n"/>
      <c r="B159" s="145" t="n"/>
      <c r="C159" s="145" t="n"/>
      <c r="D159" s="145" t="n"/>
      <c r="E159" s="145" t="n"/>
      <c r="F159" s="145" t="n"/>
      <c r="G159" s="145" t="n"/>
      <c r="H159" s="145" t="n"/>
      <c r="I159" s="145" t="n"/>
      <c r="J159" s="145" t="n"/>
      <c r="K159" s="145" t="n"/>
      <c r="L159" s="145" t="n"/>
      <c r="M159" s="145" t="n"/>
      <c r="N159" s="145" t="n"/>
      <c r="O159" s="140" t="n"/>
      <c r="P159" s="140" t="n"/>
      <c r="Q159" s="140" t="n"/>
      <c r="R159" s="140" t="n"/>
      <c r="S159" s="140" t="n"/>
      <c r="T159" s="141" t="n"/>
      <c r="U159" s="129" t="n"/>
      <c r="V159" s="129" t="n"/>
      <c r="W159" s="145" t="n"/>
      <c r="X159" s="145" t="n"/>
      <c r="Y159" s="145" t="n"/>
      <c r="Z159" s="145" t="n"/>
    </row>
    <row r="160" ht="45.75" customHeight="1" s="222">
      <c r="A160" s="145" t="n"/>
      <c r="B160" s="145" t="n"/>
      <c r="C160" s="145" t="n"/>
      <c r="D160" s="145" t="n"/>
      <c r="E160" s="145" t="n"/>
      <c r="F160" s="145" t="n"/>
      <c r="G160" s="145" t="n"/>
      <c r="H160" s="145" t="n"/>
      <c r="I160" s="145" t="n"/>
      <c r="J160" s="145" t="n"/>
      <c r="K160" s="145" t="n"/>
      <c r="L160" s="145" t="n"/>
      <c r="M160" s="145" t="n"/>
      <c r="N160" s="145" t="n"/>
      <c r="O160" s="140" t="n"/>
      <c r="P160" s="140" t="n"/>
      <c r="Q160" s="140" t="n"/>
      <c r="R160" s="140" t="n"/>
      <c r="S160" s="140" t="n"/>
      <c r="T160" s="141" t="n"/>
      <c r="U160" s="129" t="n"/>
      <c r="V160" s="129" t="n"/>
      <c r="W160" s="145" t="n"/>
      <c r="X160" s="145" t="n"/>
      <c r="Y160" s="145" t="n"/>
      <c r="Z160" s="145" t="n"/>
    </row>
    <row r="161" ht="45.75" customHeight="1" s="222">
      <c r="A161" s="145" t="n"/>
      <c r="B161" s="145" t="n"/>
      <c r="C161" s="145" t="n"/>
      <c r="D161" s="145" t="n"/>
      <c r="E161" s="145" t="n"/>
      <c r="F161" s="145" t="n"/>
      <c r="G161" s="145" t="n"/>
      <c r="H161" s="145" t="n"/>
      <c r="I161" s="145" t="n"/>
      <c r="J161" s="145" t="n"/>
      <c r="K161" s="145" t="n"/>
      <c r="L161" s="145" t="n"/>
      <c r="M161" s="145" t="n"/>
      <c r="N161" s="145" t="n"/>
      <c r="O161" s="140" t="n"/>
      <c r="P161" s="140" t="n"/>
      <c r="Q161" s="140" t="n"/>
      <c r="R161" s="140" t="n"/>
      <c r="S161" s="140" t="n"/>
      <c r="T161" s="141" t="n"/>
      <c r="U161" s="129" t="n"/>
      <c r="V161" s="129" t="n"/>
      <c r="W161" s="145" t="n"/>
      <c r="X161" s="145" t="n"/>
      <c r="Y161" s="145" t="n"/>
      <c r="Z161" s="145" t="n"/>
    </row>
    <row r="162" ht="45.75" customHeight="1" s="222">
      <c r="A162" s="145" t="n"/>
      <c r="B162" s="145" t="n"/>
      <c r="C162" s="145" t="n"/>
      <c r="D162" s="145" t="n"/>
      <c r="E162" s="145" t="n"/>
      <c r="F162" s="145" t="n"/>
      <c r="G162" s="145" t="n"/>
      <c r="H162" s="145" t="n"/>
      <c r="I162" s="145" t="n"/>
      <c r="J162" s="145" t="n"/>
      <c r="K162" s="145" t="n"/>
      <c r="L162" s="145" t="n"/>
      <c r="M162" s="145" t="n"/>
      <c r="N162" s="145" t="n"/>
      <c r="O162" s="140" t="n"/>
      <c r="P162" s="140" t="n"/>
      <c r="Q162" s="140" t="n"/>
      <c r="R162" s="140" t="n"/>
      <c r="S162" s="140" t="n"/>
      <c r="T162" s="141" t="n"/>
      <c r="U162" s="129" t="n"/>
      <c r="V162" s="129" t="n"/>
      <c r="W162" s="145" t="n"/>
      <c r="X162" s="145" t="n"/>
      <c r="Y162" s="145" t="n"/>
      <c r="Z162" s="145" t="n"/>
    </row>
    <row r="163" ht="45.75" customHeight="1" s="222">
      <c r="A163" s="145" t="n"/>
      <c r="B163" s="145" t="n"/>
      <c r="C163" s="145" t="n"/>
      <c r="D163" s="145" t="n"/>
      <c r="E163" s="145" t="n"/>
      <c r="F163" s="145" t="n"/>
      <c r="G163" s="145" t="n"/>
      <c r="H163" s="145" t="n"/>
      <c r="I163" s="145" t="n"/>
      <c r="J163" s="145" t="n"/>
      <c r="K163" s="145" t="n"/>
      <c r="L163" s="145" t="n"/>
      <c r="M163" s="145" t="n"/>
      <c r="N163" s="145" t="n"/>
      <c r="O163" s="140" t="n"/>
      <c r="P163" s="140" t="n"/>
      <c r="Q163" s="140" t="n"/>
      <c r="R163" s="140" t="n"/>
      <c r="S163" s="140" t="n"/>
      <c r="T163" s="141" t="n"/>
      <c r="U163" s="129" t="n"/>
      <c r="V163" s="129" t="n"/>
      <c r="W163" s="145" t="n"/>
      <c r="X163" s="145" t="n"/>
      <c r="Y163" s="145" t="n"/>
      <c r="Z163" s="145" t="n"/>
    </row>
    <row r="164" ht="45.75" customHeight="1" s="222">
      <c r="A164" s="145" t="n"/>
      <c r="B164" s="145" t="n"/>
      <c r="C164" s="145" t="n"/>
      <c r="D164" s="145" t="n"/>
      <c r="E164" s="145" t="n"/>
      <c r="F164" s="145" t="n"/>
      <c r="G164" s="145" t="n"/>
      <c r="H164" s="145" t="n"/>
      <c r="I164" s="145" t="n"/>
      <c r="J164" s="145" t="n"/>
      <c r="K164" s="145" t="n"/>
      <c r="L164" s="145" t="n"/>
      <c r="M164" s="145" t="n"/>
      <c r="N164" s="145" t="n"/>
      <c r="O164" s="140" t="n"/>
      <c r="P164" s="140" t="n"/>
      <c r="Q164" s="140" t="n"/>
      <c r="R164" s="140" t="n"/>
      <c r="S164" s="140" t="n"/>
      <c r="T164" s="141" t="n"/>
      <c r="U164" s="129" t="n"/>
      <c r="V164" s="129" t="n"/>
      <c r="W164" s="145" t="n"/>
      <c r="X164" s="145" t="n"/>
      <c r="Y164" s="145" t="n"/>
      <c r="Z164" s="145" t="n"/>
    </row>
    <row r="165" ht="45.75" customHeight="1" s="222">
      <c r="A165" s="145" t="n"/>
      <c r="B165" s="145" t="n"/>
      <c r="C165" s="145" t="n"/>
      <c r="D165" s="145" t="n"/>
      <c r="E165" s="145" t="n"/>
      <c r="F165" s="145" t="n"/>
      <c r="G165" s="145" t="n"/>
      <c r="H165" s="145" t="n"/>
      <c r="I165" s="145" t="n"/>
      <c r="J165" s="145" t="n"/>
      <c r="K165" s="145" t="n"/>
      <c r="L165" s="145" t="n"/>
      <c r="M165" s="145" t="n"/>
      <c r="N165" s="145" t="n"/>
      <c r="O165" s="140" t="n"/>
      <c r="P165" s="140" t="n"/>
      <c r="Q165" s="140" t="n"/>
      <c r="R165" s="140" t="n"/>
      <c r="S165" s="140" t="n"/>
      <c r="T165" s="141" t="n"/>
      <c r="U165" s="129" t="n"/>
      <c r="V165" s="129" t="n"/>
      <c r="W165" s="145" t="n"/>
      <c r="X165" s="145" t="n"/>
      <c r="Y165" s="145" t="n"/>
      <c r="Z165" s="145" t="n"/>
    </row>
    <row r="166" ht="45.75" customHeight="1" s="222">
      <c r="A166" s="145" t="n"/>
      <c r="B166" s="145" t="n"/>
      <c r="C166" s="145" t="n"/>
      <c r="D166" s="145" t="n"/>
      <c r="E166" s="145" t="n"/>
      <c r="F166" s="145" t="n"/>
      <c r="G166" s="145" t="n"/>
      <c r="H166" s="145" t="n"/>
      <c r="I166" s="145" t="n"/>
      <c r="J166" s="145" t="n"/>
      <c r="K166" s="145" t="n"/>
      <c r="L166" s="145" t="n"/>
      <c r="M166" s="145" t="n"/>
      <c r="N166" s="145" t="n"/>
      <c r="O166" s="140" t="n"/>
      <c r="P166" s="140" t="n"/>
      <c r="Q166" s="140" t="n"/>
      <c r="R166" s="140" t="n"/>
      <c r="S166" s="140" t="n"/>
      <c r="T166" s="141" t="n"/>
      <c r="U166" s="129" t="n"/>
      <c r="V166" s="129" t="n"/>
      <c r="W166" s="145" t="n"/>
      <c r="X166" s="145" t="n"/>
      <c r="Y166" s="145" t="n"/>
      <c r="Z166" s="145" t="n"/>
    </row>
    <row r="167" ht="45.75" customHeight="1" s="222">
      <c r="A167" s="145" t="n"/>
      <c r="B167" s="145" t="n"/>
      <c r="C167" s="145" t="n"/>
      <c r="D167" s="145" t="n"/>
      <c r="E167" s="145" t="n"/>
      <c r="F167" s="145" t="n"/>
      <c r="G167" s="145" t="n"/>
      <c r="H167" s="145" t="n"/>
      <c r="I167" s="145" t="n"/>
      <c r="J167" s="145" t="n"/>
      <c r="K167" s="145" t="n"/>
      <c r="L167" s="145" t="n"/>
      <c r="M167" s="145" t="n"/>
      <c r="N167" s="145" t="n"/>
      <c r="O167" s="140" t="n"/>
      <c r="P167" s="140" t="n"/>
      <c r="Q167" s="140" t="n"/>
      <c r="R167" s="140" t="n"/>
      <c r="S167" s="140" t="n"/>
      <c r="T167" s="141" t="n"/>
      <c r="U167" s="129" t="n"/>
      <c r="V167" s="129" t="n"/>
      <c r="W167" s="145" t="n"/>
      <c r="X167" s="145" t="n"/>
      <c r="Y167" s="145" t="n"/>
      <c r="Z167" s="145" t="n"/>
    </row>
    <row r="168" ht="45.75" customHeight="1" s="222">
      <c r="A168" s="145" t="n"/>
      <c r="B168" s="145" t="n"/>
      <c r="C168" s="145" t="n"/>
      <c r="D168" s="145" t="n"/>
      <c r="E168" s="145" t="n"/>
      <c r="F168" s="145" t="n"/>
      <c r="G168" s="145" t="n"/>
      <c r="H168" s="145" t="n"/>
      <c r="I168" s="145" t="n"/>
      <c r="J168" s="145" t="n"/>
      <c r="K168" s="145" t="n"/>
      <c r="L168" s="145" t="n"/>
      <c r="M168" s="145" t="n"/>
      <c r="N168" s="145" t="n"/>
      <c r="O168" s="140" t="n"/>
      <c r="P168" s="140" t="n"/>
      <c r="Q168" s="140" t="n"/>
      <c r="R168" s="140" t="n"/>
      <c r="S168" s="140" t="n"/>
      <c r="T168" s="141" t="n"/>
      <c r="U168" s="129" t="n"/>
      <c r="V168" s="129" t="n"/>
      <c r="W168" s="145" t="n"/>
      <c r="X168" s="145" t="n"/>
      <c r="Y168" s="145" t="n"/>
      <c r="Z168" s="145" t="n"/>
    </row>
    <row r="169" ht="45.75" customHeight="1" s="222">
      <c r="A169" s="145" t="n"/>
      <c r="B169" s="145" t="n"/>
      <c r="C169" s="145" t="n"/>
      <c r="D169" s="145" t="n"/>
      <c r="E169" s="145" t="n"/>
      <c r="F169" s="145" t="n"/>
      <c r="G169" s="145" t="n"/>
      <c r="H169" s="145" t="n"/>
      <c r="I169" s="145" t="n"/>
      <c r="J169" s="145" t="n"/>
      <c r="K169" s="145" t="n"/>
      <c r="L169" s="145" t="n"/>
      <c r="M169" s="145" t="n"/>
      <c r="N169" s="145" t="n"/>
      <c r="O169" s="140" t="n"/>
      <c r="P169" s="140" t="n"/>
      <c r="Q169" s="140" t="n"/>
      <c r="R169" s="140" t="n"/>
      <c r="S169" s="140" t="n"/>
      <c r="T169" s="141" t="n"/>
      <c r="U169" s="129" t="n"/>
      <c r="V169" s="129" t="n"/>
      <c r="W169" s="145" t="n"/>
      <c r="X169" s="145" t="n"/>
      <c r="Y169" s="145" t="n"/>
      <c r="Z169" s="145" t="n"/>
    </row>
    <row r="170" ht="45.75" customHeight="1" s="222">
      <c r="A170" s="145" t="n"/>
      <c r="B170" s="145" t="n"/>
      <c r="C170" s="145" t="n"/>
      <c r="D170" s="145" t="n"/>
      <c r="E170" s="145" t="n"/>
      <c r="F170" s="145" t="n"/>
      <c r="G170" s="145" t="n"/>
      <c r="H170" s="145" t="n"/>
      <c r="I170" s="145" t="n"/>
      <c r="J170" s="145" t="n"/>
      <c r="K170" s="145" t="n"/>
      <c r="L170" s="145" t="n"/>
      <c r="M170" s="145" t="n"/>
      <c r="N170" s="145" t="n"/>
      <c r="O170" s="140" t="n"/>
      <c r="P170" s="140" t="n"/>
      <c r="Q170" s="140" t="n"/>
      <c r="R170" s="140" t="n"/>
      <c r="S170" s="140" t="n"/>
      <c r="T170" s="141" t="n"/>
      <c r="U170" s="129" t="n"/>
      <c r="V170" s="129" t="n"/>
      <c r="W170" s="145" t="n"/>
      <c r="X170" s="145" t="n"/>
      <c r="Y170" s="145" t="n"/>
      <c r="Z170" s="145" t="n"/>
    </row>
    <row r="171" ht="45.75" customHeight="1" s="222">
      <c r="A171" s="145" t="n"/>
      <c r="B171" s="145" t="n"/>
      <c r="C171" s="145" t="n"/>
      <c r="D171" s="145" t="n"/>
      <c r="E171" s="145" t="n"/>
      <c r="F171" s="145" t="n"/>
      <c r="G171" s="145" t="n"/>
      <c r="H171" s="145" t="n"/>
      <c r="I171" s="145" t="n"/>
      <c r="J171" s="145" t="n"/>
      <c r="K171" s="145" t="n"/>
      <c r="L171" s="145" t="n"/>
      <c r="M171" s="145" t="n"/>
      <c r="N171" s="145" t="n"/>
      <c r="O171" s="140" t="n"/>
      <c r="P171" s="140" t="n"/>
      <c r="Q171" s="140" t="n"/>
      <c r="R171" s="140" t="n"/>
      <c r="S171" s="140" t="n"/>
      <c r="T171" s="141" t="n"/>
      <c r="U171" s="129" t="n"/>
      <c r="V171" s="129" t="n"/>
      <c r="W171" s="145" t="n"/>
      <c r="X171" s="145" t="n"/>
      <c r="Y171" s="145" t="n"/>
      <c r="Z171" s="145" t="n"/>
    </row>
    <row r="172" ht="45.75" customHeight="1" s="222">
      <c r="A172" s="145" t="n"/>
      <c r="B172" s="145" t="n"/>
      <c r="C172" s="145" t="n"/>
      <c r="D172" s="145" t="n"/>
      <c r="E172" s="145" t="n"/>
      <c r="F172" s="145" t="n"/>
      <c r="G172" s="145" t="n"/>
      <c r="H172" s="145" t="n"/>
      <c r="I172" s="145" t="n"/>
      <c r="J172" s="145" t="n"/>
      <c r="K172" s="145" t="n"/>
      <c r="L172" s="145" t="n"/>
      <c r="M172" s="145" t="n"/>
      <c r="N172" s="145" t="n"/>
      <c r="O172" s="140" t="n"/>
      <c r="P172" s="140" t="n"/>
      <c r="Q172" s="140" t="n"/>
      <c r="R172" s="140" t="n"/>
      <c r="S172" s="140" t="n"/>
      <c r="T172" s="141" t="n"/>
      <c r="U172" s="129" t="n"/>
      <c r="V172" s="129" t="n"/>
      <c r="W172" s="145" t="n"/>
      <c r="X172" s="145" t="n"/>
      <c r="Y172" s="145" t="n"/>
      <c r="Z172" s="145" t="n"/>
    </row>
    <row r="173" ht="45.75" customHeight="1" s="222">
      <c r="A173" s="145" t="n"/>
      <c r="B173" s="145" t="n"/>
      <c r="C173" s="145" t="n"/>
      <c r="D173" s="145" t="n"/>
      <c r="E173" s="145" t="n"/>
      <c r="F173" s="145" t="n"/>
      <c r="G173" s="145" t="n"/>
      <c r="H173" s="145" t="n"/>
      <c r="I173" s="145" t="n"/>
      <c r="J173" s="145" t="n"/>
      <c r="K173" s="145" t="n"/>
      <c r="L173" s="145" t="n"/>
      <c r="M173" s="145" t="n"/>
      <c r="N173" s="145" t="n"/>
      <c r="O173" s="140" t="n"/>
      <c r="P173" s="140" t="n"/>
      <c r="Q173" s="140" t="n"/>
      <c r="R173" s="140" t="n"/>
      <c r="S173" s="140" t="n"/>
      <c r="T173" s="141" t="n"/>
      <c r="U173" s="129" t="n"/>
      <c r="V173" s="129" t="n"/>
      <c r="W173" s="145" t="n"/>
      <c r="X173" s="145" t="n"/>
      <c r="Y173" s="145" t="n"/>
      <c r="Z173" s="145" t="n"/>
    </row>
    <row r="174" ht="45.75" customHeight="1" s="222">
      <c r="A174" s="145" t="n"/>
      <c r="B174" s="145" t="n"/>
      <c r="C174" s="145" t="n"/>
      <c r="D174" s="145" t="n"/>
      <c r="E174" s="145" t="n"/>
      <c r="F174" s="145" t="n"/>
      <c r="G174" s="145" t="n"/>
      <c r="H174" s="145" t="n"/>
      <c r="I174" s="145" t="n"/>
      <c r="J174" s="145" t="n"/>
      <c r="K174" s="145" t="n"/>
      <c r="L174" s="145" t="n"/>
      <c r="M174" s="145" t="n"/>
      <c r="N174" s="145" t="n"/>
      <c r="O174" s="140" t="n"/>
      <c r="P174" s="140" t="n"/>
      <c r="Q174" s="140" t="n"/>
      <c r="R174" s="140" t="n"/>
      <c r="S174" s="140" t="n"/>
      <c r="T174" s="141" t="n"/>
      <c r="U174" s="129" t="n"/>
      <c r="V174" s="129" t="n"/>
      <c r="W174" s="145" t="n"/>
      <c r="X174" s="145" t="n"/>
      <c r="Y174" s="145" t="n"/>
      <c r="Z174" s="145" t="n"/>
    </row>
    <row r="175" ht="45.75" customHeight="1" s="222">
      <c r="A175" s="145" t="n"/>
      <c r="B175" s="145" t="n"/>
      <c r="C175" s="145" t="n"/>
      <c r="D175" s="145" t="n"/>
      <c r="E175" s="145" t="n"/>
      <c r="F175" s="145" t="n"/>
      <c r="G175" s="145" t="n"/>
      <c r="H175" s="145" t="n"/>
      <c r="I175" s="145" t="n"/>
      <c r="J175" s="145" t="n"/>
      <c r="K175" s="145" t="n"/>
      <c r="L175" s="145" t="n"/>
      <c r="M175" s="145" t="n"/>
      <c r="N175" s="145" t="n"/>
      <c r="O175" s="140" t="n"/>
      <c r="P175" s="140" t="n"/>
      <c r="Q175" s="140" t="n"/>
      <c r="R175" s="140" t="n"/>
      <c r="S175" s="140" t="n"/>
      <c r="T175" s="141" t="n"/>
      <c r="U175" s="129" t="n"/>
      <c r="V175" s="129" t="n"/>
      <c r="W175" s="145" t="n"/>
      <c r="X175" s="145" t="n"/>
      <c r="Y175" s="145" t="n"/>
      <c r="Z175" s="145" t="n"/>
    </row>
    <row r="176" ht="45.75" customHeight="1" s="222">
      <c r="A176" s="145" t="n"/>
      <c r="B176" s="145" t="n"/>
      <c r="C176" s="145" t="n"/>
      <c r="D176" s="145" t="n"/>
      <c r="E176" s="145" t="n"/>
      <c r="F176" s="145" t="n"/>
      <c r="G176" s="145" t="n"/>
      <c r="H176" s="145" t="n"/>
      <c r="I176" s="145" t="n"/>
      <c r="J176" s="145" t="n"/>
      <c r="K176" s="145" t="n"/>
      <c r="L176" s="145" t="n"/>
      <c r="M176" s="145" t="n"/>
      <c r="N176" s="145" t="n"/>
      <c r="O176" s="140" t="n"/>
      <c r="P176" s="140" t="n"/>
      <c r="Q176" s="140" t="n"/>
      <c r="R176" s="140" t="n"/>
      <c r="S176" s="140" t="n"/>
      <c r="T176" s="141" t="n"/>
      <c r="U176" s="129" t="n"/>
      <c r="V176" s="129" t="n"/>
      <c r="W176" s="145" t="n"/>
      <c r="X176" s="145" t="n"/>
      <c r="Y176" s="145" t="n"/>
      <c r="Z176" s="145" t="n"/>
    </row>
    <row r="177" ht="45.75" customHeight="1" s="222">
      <c r="A177" s="145" t="n"/>
      <c r="B177" s="145" t="n"/>
      <c r="C177" s="145" t="n"/>
      <c r="D177" s="145" t="n"/>
      <c r="E177" s="145" t="n"/>
      <c r="F177" s="145" t="n"/>
      <c r="G177" s="145" t="n"/>
      <c r="H177" s="145" t="n"/>
      <c r="I177" s="145" t="n"/>
      <c r="J177" s="145" t="n"/>
      <c r="K177" s="145" t="n"/>
      <c r="L177" s="145" t="n"/>
      <c r="M177" s="145" t="n"/>
      <c r="N177" s="145" t="n"/>
      <c r="O177" s="140" t="n"/>
      <c r="P177" s="140" t="n"/>
      <c r="Q177" s="140" t="n"/>
      <c r="R177" s="140" t="n"/>
      <c r="S177" s="140" t="n"/>
      <c r="T177" s="141" t="n"/>
      <c r="U177" s="129" t="n"/>
      <c r="V177" s="129" t="n"/>
      <c r="W177" s="145" t="n"/>
      <c r="X177" s="145" t="n"/>
      <c r="Y177" s="145" t="n"/>
      <c r="Z177" s="145" t="n"/>
    </row>
    <row r="178" ht="45.75" customHeight="1" s="222">
      <c r="A178" s="145" t="n"/>
      <c r="B178" s="145" t="n"/>
      <c r="C178" s="145" t="n"/>
      <c r="D178" s="145" t="n"/>
      <c r="E178" s="145" t="n"/>
      <c r="F178" s="145" t="n"/>
      <c r="G178" s="145" t="n"/>
      <c r="H178" s="145" t="n"/>
      <c r="I178" s="145" t="n"/>
      <c r="J178" s="145" t="n"/>
      <c r="K178" s="145" t="n"/>
      <c r="L178" s="145" t="n"/>
      <c r="M178" s="145" t="n"/>
      <c r="N178" s="145" t="n"/>
      <c r="O178" s="140" t="n"/>
      <c r="P178" s="140" t="n"/>
      <c r="Q178" s="140" t="n"/>
      <c r="R178" s="140" t="n"/>
      <c r="S178" s="140" t="n"/>
      <c r="T178" s="141" t="n"/>
      <c r="U178" s="129" t="n"/>
      <c r="V178" s="129" t="n"/>
      <c r="W178" s="145" t="n"/>
      <c r="X178" s="145" t="n"/>
      <c r="Y178" s="145" t="n"/>
      <c r="Z178" s="145" t="n"/>
    </row>
    <row r="179" ht="45.75" customHeight="1" s="222">
      <c r="A179" s="145" t="n"/>
      <c r="B179" s="145" t="n"/>
      <c r="C179" s="145" t="n"/>
      <c r="D179" s="145" t="n"/>
      <c r="E179" s="145" t="n"/>
      <c r="F179" s="145" t="n"/>
      <c r="G179" s="145" t="n"/>
      <c r="H179" s="145" t="n"/>
      <c r="I179" s="145" t="n"/>
      <c r="J179" s="145" t="n"/>
      <c r="K179" s="145" t="n"/>
      <c r="L179" s="145" t="n"/>
      <c r="M179" s="145" t="n"/>
      <c r="N179" s="145" t="n"/>
      <c r="O179" s="140" t="n"/>
      <c r="P179" s="140" t="n"/>
      <c r="Q179" s="140" t="n"/>
      <c r="R179" s="140" t="n"/>
      <c r="S179" s="140" t="n"/>
      <c r="T179" s="141" t="n"/>
      <c r="U179" s="129" t="n"/>
      <c r="V179" s="129" t="n"/>
      <c r="W179" s="145" t="n"/>
      <c r="X179" s="145" t="n"/>
      <c r="Y179" s="145" t="n"/>
      <c r="Z179" s="145" t="n"/>
    </row>
    <row r="180" ht="45.75" customHeight="1" s="222">
      <c r="A180" s="145" t="n"/>
      <c r="B180" s="145" t="n"/>
      <c r="C180" s="145" t="n"/>
      <c r="D180" s="145" t="n"/>
      <c r="E180" s="145" t="n"/>
      <c r="F180" s="145" t="n"/>
      <c r="G180" s="145" t="n"/>
      <c r="H180" s="145" t="n"/>
      <c r="I180" s="145" t="n"/>
      <c r="J180" s="145" t="n"/>
      <c r="K180" s="145" t="n"/>
      <c r="L180" s="145" t="n"/>
      <c r="M180" s="145" t="n"/>
      <c r="N180" s="145" t="n"/>
      <c r="O180" s="140" t="n"/>
      <c r="P180" s="140" t="n"/>
      <c r="Q180" s="140" t="n"/>
      <c r="R180" s="140" t="n"/>
      <c r="S180" s="140" t="n"/>
      <c r="T180" s="141" t="n"/>
      <c r="U180" s="129" t="n"/>
      <c r="V180" s="129" t="n"/>
      <c r="W180" s="145" t="n"/>
      <c r="X180" s="145" t="n"/>
      <c r="Y180" s="145" t="n"/>
      <c r="Z180" s="145" t="n"/>
    </row>
    <row r="181" ht="45.75" customHeight="1" s="222">
      <c r="A181" s="145" t="n"/>
      <c r="B181" s="145" t="n"/>
      <c r="C181" s="145" t="n"/>
      <c r="D181" s="145" t="n"/>
      <c r="E181" s="145" t="n"/>
      <c r="F181" s="145" t="n"/>
      <c r="G181" s="145" t="n"/>
      <c r="H181" s="145" t="n"/>
      <c r="I181" s="145" t="n"/>
      <c r="J181" s="145" t="n"/>
      <c r="K181" s="145" t="n"/>
      <c r="L181" s="145" t="n"/>
      <c r="M181" s="145" t="n"/>
      <c r="N181" s="145" t="n"/>
      <c r="O181" s="140" t="n"/>
      <c r="P181" s="140" t="n"/>
      <c r="Q181" s="140" t="n"/>
      <c r="R181" s="140" t="n"/>
      <c r="S181" s="140" t="n"/>
      <c r="T181" s="141" t="n"/>
      <c r="U181" s="129" t="n"/>
      <c r="V181" s="129" t="n"/>
      <c r="W181" s="145" t="n"/>
      <c r="X181" s="145" t="n"/>
      <c r="Y181" s="145" t="n"/>
      <c r="Z181" s="145" t="n"/>
    </row>
    <row r="182" ht="45.75" customHeight="1" s="222">
      <c r="A182" s="145" t="n"/>
      <c r="B182" s="145" t="n"/>
      <c r="C182" s="145" t="n"/>
      <c r="D182" s="145" t="n"/>
      <c r="E182" s="145" t="n"/>
      <c r="F182" s="145" t="n"/>
      <c r="G182" s="145" t="n"/>
      <c r="H182" s="145" t="n"/>
      <c r="I182" s="145" t="n"/>
      <c r="J182" s="145" t="n"/>
      <c r="K182" s="145" t="n"/>
      <c r="L182" s="145" t="n"/>
      <c r="M182" s="145" t="n"/>
      <c r="N182" s="145" t="n"/>
      <c r="O182" s="140" t="n"/>
      <c r="P182" s="140" t="n"/>
      <c r="Q182" s="140" t="n"/>
      <c r="R182" s="140" t="n"/>
      <c r="S182" s="140" t="n"/>
      <c r="T182" s="141" t="n"/>
      <c r="U182" s="129" t="n"/>
      <c r="V182" s="129" t="n"/>
      <c r="W182" s="145" t="n"/>
      <c r="X182" s="145" t="n"/>
      <c r="Y182" s="145" t="n"/>
      <c r="Z182" s="145" t="n"/>
    </row>
    <row r="183" ht="45.75" customHeight="1" s="222">
      <c r="A183" s="145" t="n"/>
      <c r="B183" s="145" t="n"/>
      <c r="C183" s="145" t="n"/>
      <c r="D183" s="145" t="n"/>
      <c r="E183" s="145" t="n"/>
      <c r="F183" s="145" t="n"/>
      <c r="G183" s="145" t="n"/>
      <c r="H183" s="145" t="n"/>
      <c r="I183" s="145" t="n"/>
      <c r="J183" s="145" t="n"/>
      <c r="K183" s="145" t="n"/>
      <c r="L183" s="145" t="n"/>
      <c r="M183" s="145" t="n"/>
      <c r="N183" s="145" t="n"/>
      <c r="O183" s="140" t="n"/>
      <c r="P183" s="140" t="n"/>
      <c r="Q183" s="140" t="n"/>
      <c r="R183" s="140" t="n"/>
      <c r="S183" s="140" t="n"/>
      <c r="T183" s="141" t="n"/>
      <c r="U183" s="129" t="n"/>
      <c r="V183" s="129" t="n"/>
      <c r="W183" s="145" t="n"/>
      <c r="X183" s="145" t="n"/>
      <c r="Y183" s="145" t="n"/>
      <c r="Z183" s="145" t="n"/>
    </row>
    <row r="184" ht="45.75" customHeight="1" s="222">
      <c r="A184" s="145" t="n"/>
      <c r="B184" s="145" t="n"/>
      <c r="C184" s="145" t="n"/>
      <c r="D184" s="145" t="n"/>
      <c r="E184" s="145" t="n"/>
      <c r="F184" s="145" t="n"/>
      <c r="G184" s="145" t="n"/>
      <c r="H184" s="145" t="n"/>
      <c r="I184" s="145" t="n"/>
      <c r="J184" s="145" t="n"/>
      <c r="K184" s="145" t="n"/>
      <c r="L184" s="145" t="n"/>
      <c r="M184" s="145" t="n"/>
      <c r="N184" s="145" t="n"/>
      <c r="O184" s="140" t="n"/>
      <c r="P184" s="140" t="n"/>
      <c r="Q184" s="140" t="n"/>
      <c r="R184" s="140" t="n"/>
      <c r="S184" s="140" t="n"/>
      <c r="T184" s="141" t="n"/>
      <c r="U184" s="129" t="n"/>
      <c r="V184" s="129" t="n"/>
      <c r="W184" s="145" t="n"/>
      <c r="X184" s="145" t="n"/>
      <c r="Y184" s="145" t="n"/>
      <c r="Z184" s="145" t="n"/>
    </row>
    <row r="185" ht="45.75" customHeight="1" s="222">
      <c r="A185" s="145" t="n"/>
      <c r="B185" s="145" t="n"/>
      <c r="C185" s="145" t="n"/>
      <c r="D185" s="145" t="n"/>
      <c r="E185" s="145" t="n"/>
      <c r="F185" s="145" t="n"/>
      <c r="G185" s="145" t="n"/>
      <c r="H185" s="145" t="n"/>
      <c r="I185" s="145" t="n"/>
      <c r="J185" s="145" t="n"/>
      <c r="K185" s="145" t="n"/>
      <c r="L185" s="145" t="n"/>
      <c r="M185" s="145" t="n"/>
      <c r="N185" s="145" t="n"/>
      <c r="O185" s="140" t="n"/>
      <c r="P185" s="140" t="n"/>
      <c r="Q185" s="140" t="n"/>
      <c r="R185" s="140" t="n"/>
      <c r="S185" s="140" t="n"/>
      <c r="T185" s="141" t="n"/>
      <c r="U185" s="129" t="n"/>
      <c r="V185" s="129" t="n"/>
      <c r="W185" s="145" t="n"/>
      <c r="X185" s="145" t="n"/>
      <c r="Y185" s="145" t="n"/>
      <c r="Z185" s="145" t="n"/>
    </row>
    <row r="186" ht="45.75" customHeight="1" s="222">
      <c r="A186" s="145" t="n"/>
      <c r="B186" s="145" t="n"/>
      <c r="C186" s="145" t="n"/>
      <c r="D186" s="145" t="n"/>
      <c r="E186" s="145" t="n"/>
      <c r="F186" s="145" t="n"/>
      <c r="G186" s="145" t="n"/>
      <c r="H186" s="145" t="n"/>
      <c r="I186" s="145" t="n"/>
      <c r="J186" s="145" t="n"/>
      <c r="K186" s="145" t="n"/>
      <c r="L186" s="145" t="n"/>
      <c r="M186" s="145" t="n"/>
      <c r="N186" s="145" t="n"/>
      <c r="O186" s="140" t="n"/>
      <c r="P186" s="140" t="n"/>
      <c r="Q186" s="140" t="n"/>
      <c r="R186" s="140" t="n"/>
      <c r="S186" s="140" t="n"/>
      <c r="T186" s="141" t="n"/>
      <c r="U186" s="129" t="n"/>
      <c r="V186" s="129" t="n"/>
      <c r="W186" s="145" t="n"/>
      <c r="X186" s="145" t="n"/>
      <c r="Y186" s="145" t="n"/>
      <c r="Z186" s="145" t="n"/>
    </row>
    <row r="187" ht="45.75" customHeight="1" s="222">
      <c r="A187" s="145" t="n"/>
      <c r="B187" s="145" t="n"/>
      <c r="C187" s="145" t="n"/>
      <c r="D187" s="145" t="n"/>
      <c r="E187" s="145" t="n"/>
      <c r="F187" s="145" t="n"/>
      <c r="G187" s="145" t="n"/>
      <c r="H187" s="145" t="n"/>
      <c r="I187" s="145" t="n"/>
      <c r="J187" s="145" t="n"/>
      <c r="K187" s="145" t="n"/>
      <c r="L187" s="145" t="n"/>
      <c r="M187" s="145" t="n"/>
      <c r="N187" s="145" t="n"/>
      <c r="O187" s="140" t="n"/>
      <c r="P187" s="140" t="n"/>
      <c r="Q187" s="140" t="n"/>
      <c r="R187" s="140" t="n"/>
      <c r="S187" s="140" t="n"/>
      <c r="T187" s="141" t="n"/>
      <c r="U187" s="129" t="n"/>
      <c r="V187" s="129" t="n"/>
      <c r="W187" s="145" t="n"/>
      <c r="X187" s="145" t="n"/>
      <c r="Y187" s="145" t="n"/>
      <c r="Z187" s="145" t="n"/>
    </row>
    <row r="188" ht="45.75" customHeight="1" s="222">
      <c r="A188" s="145" t="n"/>
      <c r="B188" s="145" t="n"/>
      <c r="C188" s="145" t="n"/>
      <c r="D188" s="145" t="n"/>
      <c r="E188" s="145" t="n"/>
      <c r="F188" s="145" t="n"/>
      <c r="G188" s="145" t="n"/>
      <c r="H188" s="145" t="n"/>
      <c r="I188" s="145" t="n"/>
      <c r="J188" s="145" t="n"/>
      <c r="K188" s="145" t="n"/>
      <c r="L188" s="145" t="n"/>
      <c r="M188" s="145" t="n"/>
      <c r="N188" s="145" t="n"/>
      <c r="O188" s="140" t="n"/>
      <c r="P188" s="140" t="n"/>
      <c r="Q188" s="140" t="n"/>
      <c r="R188" s="140" t="n"/>
      <c r="S188" s="140" t="n"/>
      <c r="T188" s="141" t="n"/>
      <c r="U188" s="129" t="n"/>
      <c r="V188" s="129" t="n"/>
      <c r="W188" s="145" t="n"/>
      <c r="X188" s="145" t="n"/>
      <c r="Y188" s="145" t="n"/>
      <c r="Z188" s="145" t="n"/>
    </row>
    <row r="189" ht="45.75" customHeight="1" s="222">
      <c r="A189" s="145" t="n"/>
      <c r="B189" s="145" t="n"/>
      <c r="C189" s="145" t="n"/>
      <c r="D189" s="145" t="n"/>
      <c r="E189" s="145" t="n"/>
      <c r="F189" s="145" t="n"/>
      <c r="G189" s="145" t="n"/>
      <c r="H189" s="145" t="n"/>
      <c r="I189" s="145" t="n"/>
      <c r="J189" s="145" t="n"/>
      <c r="K189" s="145" t="n"/>
      <c r="L189" s="145" t="n"/>
      <c r="M189" s="145" t="n"/>
      <c r="N189" s="145" t="n"/>
      <c r="O189" s="140" t="n"/>
      <c r="P189" s="140" t="n"/>
      <c r="Q189" s="140" t="n"/>
      <c r="R189" s="140" t="n"/>
      <c r="S189" s="140" t="n"/>
      <c r="T189" s="141" t="n"/>
      <c r="U189" s="129" t="n"/>
      <c r="V189" s="129" t="n"/>
      <c r="W189" s="145" t="n"/>
      <c r="X189" s="145" t="n"/>
      <c r="Y189" s="145" t="n"/>
      <c r="Z189" s="145" t="n"/>
    </row>
    <row r="190" ht="45.75" customHeight="1" s="222">
      <c r="A190" s="145" t="n"/>
      <c r="B190" s="145" t="n"/>
      <c r="C190" s="145" t="n"/>
      <c r="D190" s="145" t="n"/>
      <c r="E190" s="145" t="n"/>
      <c r="F190" s="145" t="n"/>
      <c r="G190" s="145" t="n"/>
      <c r="H190" s="145" t="n"/>
      <c r="I190" s="145" t="n"/>
      <c r="J190" s="145" t="n"/>
      <c r="K190" s="145" t="n"/>
      <c r="L190" s="145" t="n"/>
      <c r="M190" s="145" t="n"/>
      <c r="N190" s="145" t="n"/>
      <c r="O190" s="140" t="n"/>
      <c r="P190" s="140" t="n"/>
      <c r="Q190" s="140" t="n"/>
      <c r="R190" s="140" t="n"/>
      <c r="S190" s="140" t="n"/>
      <c r="T190" s="141" t="n"/>
      <c r="U190" s="129" t="n"/>
      <c r="V190" s="129" t="n"/>
      <c r="W190" s="145" t="n"/>
      <c r="X190" s="145" t="n"/>
      <c r="Y190" s="145" t="n"/>
      <c r="Z190" s="145" t="n"/>
    </row>
    <row r="191" ht="45.75" customHeight="1" s="222">
      <c r="A191" s="145" t="n"/>
      <c r="B191" s="145" t="n"/>
      <c r="C191" s="145" t="n"/>
      <c r="D191" s="145" t="n"/>
      <c r="E191" s="145" t="n"/>
      <c r="F191" s="145" t="n"/>
      <c r="G191" s="145" t="n"/>
      <c r="H191" s="145" t="n"/>
      <c r="I191" s="145" t="n"/>
      <c r="J191" s="145" t="n"/>
      <c r="K191" s="145" t="n"/>
      <c r="L191" s="145" t="n"/>
      <c r="M191" s="145" t="n"/>
      <c r="N191" s="145" t="n"/>
      <c r="O191" s="140" t="n"/>
      <c r="P191" s="140" t="n"/>
      <c r="Q191" s="140" t="n"/>
      <c r="R191" s="140" t="n"/>
      <c r="S191" s="140" t="n"/>
      <c r="T191" s="141" t="n"/>
      <c r="U191" s="129" t="n"/>
      <c r="V191" s="129" t="n"/>
      <c r="W191" s="145" t="n"/>
      <c r="X191" s="145" t="n"/>
      <c r="Y191" s="145" t="n"/>
      <c r="Z191" s="145" t="n"/>
    </row>
    <row r="192" ht="45.75" customHeight="1" s="222">
      <c r="A192" s="145" t="n"/>
      <c r="B192" s="145" t="n"/>
      <c r="C192" s="145" t="n"/>
      <c r="D192" s="145" t="n"/>
      <c r="E192" s="145" t="n"/>
      <c r="F192" s="145" t="n"/>
      <c r="G192" s="145" t="n"/>
      <c r="H192" s="145" t="n"/>
      <c r="I192" s="145" t="n"/>
      <c r="J192" s="145" t="n"/>
      <c r="K192" s="145" t="n"/>
      <c r="L192" s="145" t="n"/>
      <c r="M192" s="145" t="n"/>
      <c r="N192" s="145" t="n"/>
      <c r="O192" s="140" t="n"/>
      <c r="P192" s="140" t="n"/>
      <c r="Q192" s="140" t="n"/>
      <c r="R192" s="140" t="n"/>
      <c r="S192" s="140" t="n"/>
      <c r="T192" s="141" t="n"/>
      <c r="U192" s="129" t="n"/>
      <c r="V192" s="129" t="n"/>
      <c r="W192" s="145" t="n"/>
      <c r="X192" s="145" t="n"/>
      <c r="Y192" s="145" t="n"/>
      <c r="Z192" s="145" t="n"/>
    </row>
    <row r="193" ht="45.75" customHeight="1" s="222">
      <c r="A193" s="145" t="n"/>
      <c r="B193" s="145" t="n"/>
      <c r="C193" s="145" t="n"/>
      <c r="D193" s="145" t="n"/>
      <c r="E193" s="145" t="n"/>
      <c r="F193" s="145" t="n"/>
      <c r="G193" s="145" t="n"/>
      <c r="H193" s="145" t="n"/>
      <c r="I193" s="145" t="n"/>
      <c r="J193" s="145" t="n"/>
      <c r="K193" s="145" t="n"/>
      <c r="L193" s="145" t="n"/>
      <c r="M193" s="145" t="n"/>
      <c r="N193" s="145" t="n"/>
      <c r="O193" s="140" t="n"/>
      <c r="P193" s="140" t="n"/>
      <c r="Q193" s="140" t="n"/>
      <c r="R193" s="140" t="n"/>
      <c r="S193" s="140" t="n"/>
      <c r="T193" s="141" t="n"/>
      <c r="U193" s="129" t="n"/>
      <c r="V193" s="129" t="n"/>
      <c r="W193" s="145" t="n"/>
      <c r="X193" s="145" t="n"/>
      <c r="Y193" s="145" t="n"/>
      <c r="Z193" s="145" t="n"/>
    </row>
    <row r="194" ht="45.75" customHeight="1" s="222">
      <c r="A194" s="145" t="n"/>
      <c r="B194" s="145" t="n"/>
      <c r="C194" s="145" t="n"/>
      <c r="D194" s="145" t="n"/>
      <c r="E194" s="145" t="n"/>
      <c r="F194" s="145" t="n"/>
      <c r="G194" s="145" t="n"/>
      <c r="H194" s="145" t="n"/>
      <c r="I194" s="145" t="n"/>
      <c r="J194" s="145" t="n"/>
      <c r="K194" s="145" t="n"/>
      <c r="L194" s="145" t="n"/>
      <c r="M194" s="145" t="n"/>
      <c r="N194" s="145" t="n"/>
      <c r="O194" s="140" t="n"/>
      <c r="P194" s="140" t="n"/>
      <c r="Q194" s="140" t="n"/>
      <c r="R194" s="140" t="n"/>
      <c r="S194" s="140" t="n"/>
      <c r="T194" s="141" t="n"/>
      <c r="U194" s="129" t="n"/>
      <c r="V194" s="129" t="n"/>
      <c r="W194" s="145" t="n"/>
      <c r="X194" s="145" t="n"/>
      <c r="Y194" s="145" t="n"/>
      <c r="Z194" s="145" t="n"/>
    </row>
    <row r="195" ht="45.75" customHeight="1" s="222">
      <c r="A195" s="145" t="n"/>
      <c r="B195" s="145" t="n"/>
      <c r="C195" s="145" t="n"/>
      <c r="D195" s="145" t="n"/>
      <c r="E195" s="145" t="n"/>
      <c r="F195" s="145" t="n"/>
      <c r="G195" s="145" t="n"/>
      <c r="H195" s="145" t="n"/>
      <c r="I195" s="145" t="n"/>
      <c r="J195" s="145" t="n"/>
      <c r="K195" s="145" t="n"/>
      <c r="L195" s="145" t="n"/>
      <c r="M195" s="145" t="n"/>
      <c r="N195" s="145" t="n"/>
      <c r="O195" s="140" t="n"/>
      <c r="P195" s="140" t="n"/>
      <c r="Q195" s="140" t="n"/>
      <c r="R195" s="140" t="n"/>
      <c r="S195" s="140" t="n"/>
      <c r="T195" s="141" t="n"/>
      <c r="U195" s="129" t="n"/>
      <c r="V195" s="129" t="n"/>
      <c r="W195" s="145" t="n"/>
      <c r="X195" s="145" t="n"/>
      <c r="Y195" s="145" t="n"/>
      <c r="Z195" s="145" t="n"/>
    </row>
    <row r="196" ht="45.75" customHeight="1" s="222">
      <c r="A196" s="145" t="n"/>
      <c r="B196" s="145" t="n"/>
      <c r="C196" s="145" t="n"/>
      <c r="D196" s="145" t="n"/>
      <c r="E196" s="145" t="n"/>
      <c r="F196" s="145" t="n"/>
      <c r="G196" s="145" t="n"/>
      <c r="H196" s="145" t="n"/>
      <c r="I196" s="145" t="n"/>
      <c r="J196" s="145" t="n"/>
      <c r="K196" s="145" t="n"/>
      <c r="L196" s="145" t="n"/>
      <c r="M196" s="145" t="n"/>
      <c r="N196" s="145" t="n"/>
      <c r="O196" s="140" t="n"/>
      <c r="P196" s="140" t="n"/>
      <c r="Q196" s="140" t="n"/>
      <c r="R196" s="140" t="n"/>
      <c r="S196" s="140" t="n"/>
      <c r="T196" s="141" t="n"/>
      <c r="U196" s="129" t="n"/>
      <c r="V196" s="129" t="n"/>
      <c r="W196" s="145" t="n"/>
      <c r="X196" s="145" t="n"/>
      <c r="Y196" s="145" t="n"/>
      <c r="Z196" s="145" t="n"/>
    </row>
    <row r="197" ht="45.75" customHeight="1" s="222">
      <c r="A197" s="145" t="n"/>
      <c r="B197" s="145" t="n"/>
      <c r="C197" s="145" t="n"/>
      <c r="D197" s="145" t="n"/>
      <c r="E197" s="145" t="n"/>
      <c r="F197" s="145" t="n"/>
      <c r="G197" s="145" t="n"/>
      <c r="H197" s="145" t="n"/>
      <c r="I197" s="145" t="n"/>
      <c r="J197" s="145" t="n"/>
      <c r="K197" s="145" t="n"/>
      <c r="L197" s="145" t="n"/>
      <c r="M197" s="145" t="n"/>
      <c r="N197" s="145" t="n"/>
      <c r="O197" s="140" t="n"/>
      <c r="P197" s="140" t="n"/>
      <c r="Q197" s="140" t="n"/>
      <c r="R197" s="140" t="n"/>
      <c r="S197" s="140" t="n"/>
      <c r="T197" s="141" t="n"/>
      <c r="U197" s="129" t="n"/>
      <c r="V197" s="129" t="n"/>
      <c r="W197" s="145" t="n"/>
      <c r="X197" s="145" t="n"/>
      <c r="Y197" s="145" t="n"/>
      <c r="Z197" s="145" t="n"/>
    </row>
    <row r="198" ht="45.75" customHeight="1" s="222">
      <c r="A198" s="145" t="n"/>
      <c r="B198" s="145" t="n"/>
      <c r="C198" s="145" t="n"/>
      <c r="D198" s="145" t="n"/>
      <c r="E198" s="145" t="n"/>
      <c r="F198" s="145" t="n"/>
      <c r="G198" s="145" t="n"/>
      <c r="H198" s="145" t="n"/>
      <c r="I198" s="145" t="n"/>
      <c r="J198" s="145" t="n"/>
      <c r="K198" s="145" t="n"/>
      <c r="L198" s="145" t="n"/>
      <c r="M198" s="145" t="n"/>
      <c r="N198" s="145" t="n"/>
      <c r="O198" s="140" t="n"/>
      <c r="P198" s="140" t="n"/>
      <c r="Q198" s="140" t="n"/>
      <c r="R198" s="140" t="n"/>
      <c r="S198" s="140" t="n"/>
      <c r="T198" s="141" t="n"/>
      <c r="U198" s="129" t="n"/>
      <c r="V198" s="129" t="n"/>
      <c r="W198" s="145" t="n"/>
      <c r="X198" s="145" t="n"/>
      <c r="Y198" s="145" t="n"/>
      <c r="Z198" s="145" t="n"/>
    </row>
    <row r="199" ht="45.75" customHeight="1" s="222">
      <c r="A199" s="145" t="n"/>
      <c r="B199" s="145" t="n"/>
      <c r="C199" s="145" t="n"/>
      <c r="D199" s="145" t="n"/>
      <c r="E199" s="145" t="n"/>
      <c r="F199" s="145" t="n"/>
      <c r="G199" s="145" t="n"/>
      <c r="H199" s="145" t="n"/>
      <c r="I199" s="145" t="n"/>
      <c r="J199" s="145" t="n"/>
      <c r="K199" s="145" t="n"/>
      <c r="L199" s="145" t="n"/>
      <c r="M199" s="145" t="n"/>
      <c r="N199" s="145" t="n"/>
      <c r="O199" s="140" t="n"/>
      <c r="P199" s="140" t="n"/>
      <c r="Q199" s="140" t="n"/>
      <c r="R199" s="140" t="n"/>
      <c r="S199" s="140" t="n"/>
      <c r="T199" s="141" t="n"/>
      <c r="U199" s="129" t="n"/>
      <c r="V199" s="129" t="n"/>
      <c r="W199" s="145" t="n"/>
      <c r="X199" s="145" t="n"/>
      <c r="Y199" s="145" t="n"/>
      <c r="Z199" s="145" t="n"/>
    </row>
    <row r="200" ht="45.75" customHeight="1" s="222">
      <c r="A200" s="145" t="n"/>
      <c r="B200" s="145" t="n"/>
      <c r="C200" s="145" t="n"/>
      <c r="D200" s="145" t="n"/>
      <c r="E200" s="145" t="n"/>
      <c r="F200" s="145" t="n"/>
      <c r="G200" s="145" t="n"/>
      <c r="H200" s="145" t="n"/>
      <c r="I200" s="145" t="n"/>
      <c r="J200" s="145" t="n"/>
      <c r="K200" s="145" t="n"/>
      <c r="L200" s="145" t="n"/>
      <c r="M200" s="145" t="n"/>
      <c r="N200" s="145" t="n"/>
      <c r="O200" s="140" t="n"/>
      <c r="P200" s="140" t="n"/>
      <c r="Q200" s="140" t="n"/>
      <c r="R200" s="140" t="n"/>
      <c r="S200" s="140" t="n"/>
      <c r="T200" s="141" t="n"/>
      <c r="U200" s="129" t="n"/>
      <c r="V200" s="129" t="n"/>
      <c r="W200" s="145" t="n"/>
      <c r="X200" s="145" t="n"/>
      <c r="Y200" s="145" t="n"/>
      <c r="Z200" s="145" t="n"/>
    </row>
    <row r="201" ht="45.75" customHeight="1" s="222">
      <c r="A201" s="145" t="n"/>
      <c r="B201" s="145" t="n"/>
      <c r="C201" s="145" t="n"/>
      <c r="D201" s="145" t="n"/>
      <c r="E201" s="145" t="n"/>
      <c r="F201" s="145" t="n"/>
      <c r="G201" s="145" t="n"/>
      <c r="H201" s="145" t="n"/>
      <c r="I201" s="145" t="n"/>
      <c r="J201" s="145" t="n"/>
      <c r="K201" s="145" t="n"/>
      <c r="L201" s="145" t="n"/>
      <c r="M201" s="145" t="n"/>
      <c r="N201" s="145" t="n"/>
      <c r="O201" s="140" t="n"/>
      <c r="P201" s="140" t="n"/>
      <c r="Q201" s="140" t="n"/>
      <c r="R201" s="140" t="n"/>
      <c r="S201" s="140" t="n"/>
      <c r="T201" s="141" t="n"/>
      <c r="U201" s="129" t="n"/>
      <c r="V201" s="129" t="n"/>
      <c r="W201" s="145" t="n"/>
      <c r="X201" s="145" t="n"/>
      <c r="Y201" s="145" t="n"/>
      <c r="Z201" s="145" t="n"/>
    </row>
    <row r="202" ht="45.75" customHeight="1" s="222">
      <c r="A202" s="145" t="n"/>
      <c r="B202" s="145" t="n"/>
      <c r="C202" s="145" t="n"/>
      <c r="D202" s="145" t="n"/>
      <c r="E202" s="145" t="n"/>
      <c r="F202" s="145" t="n"/>
      <c r="G202" s="145" t="n"/>
      <c r="H202" s="145" t="n"/>
      <c r="I202" s="145" t="n"/>
      <c r="J202" s="145" t="n"/>
      <c r="K202" s="145" t="n"/>
      <c r="L202" s="145" t="n"/>
      <c r="M202" s="145" t="n"/>
      <c r="N202" s="145" t="n"/>
      <c r="O202" s="140" t="n"/>
      <c r="P202" s="140" t="n"/>
      <c r="Q202" s="140" t="n"/>
      <c r="R202" s="140" t="n"/>
      <c r="S202" s="140" t="n"/>
      <c r="T202" s="141" t="n"/>
      <c r="U202" s="129" t="n"/>
      <c r="V202" s="129" t="n"/>
      <c r="W202" s="145" t="n"/>
      <c r="X202" s="145" t="n"/>
      <c r="Y202" s="145" t="n"/>
      <c r="Z202" s="145" t="n"/>
    </row>
    <row r="203" ht="45.75" customHeight="1" s="222">
      <c r="A203" s="145" t="n"/>
      <c r="B203" s="145" t="n"/>
      <c r="C203" s="145" t="n"/>
      <c r="D203" s="145" t="n"/>
      <c r="E203" s="145" t="n"/>
      <c r="F203" s="145" t="n"/>
      <c r="G203" s="145" t="n"/>
      <c r="H203" s="145" t="n"/>
      <c r="I203" s="145" t="n"/>
      <c r="J203" s="145" t="n"/>
      <c r="K203" s="145" t="n"/>
      <c r="L203" s="145" t="n"/>
      <c r="M203" s="145" t="n"/>
      <c r="N203" s="145" t="n"/>
      <c r="O203" s="140" t="n"/>
      <c r="P203" s="140" t="n"/>
      <c r="Q203" s="140" t="n"/>
      <c r="R203" s="140" t="n"/>
      <c r="S203" s="140" t="n"/>
      <c r="T203" s="141" t="n"/>
      <c r="U203" s="129" t="n"/>
      <c r="V203" s="129" t="n"/>
      <c r="W203" s="145" t="n"/>
      <c r="X203" s="145" t="n"/>
      <c r="Y203" s="145" t="n"/>
      <c r="Z203" s="145" t="n"/>
    </row>
    <row r="204" ht="45.75" customHeight="1" s="222">
      <c r="A204" s="145" t="n"/>
      <c r="B204" s="145" t="n"/>
      <c r="C204" s="145" t="n"/>
      <c r="D204" s="145" t="n"/>
      <c r="E204" s="145" t="n"/>
      <c r="F204" s="145" t="n"/>
      <c r="G204" s="145" t="n"/>
      <c r="H204" s="145" t="n"/>
      <c r="I204" s="145" t="n"/>
      <c r="J204" s="145" t="n"/>
      <c r="K204" s="145" t="n"/>
      <c r="L204" s="145" t="n"/>
      <c r="M204" s="145" t="n"/>
      <c r="N204" s="145" t="n"/>
      <c r="O204" s="140" t="n"/>
      <c r="P204" s="140" t="n"/>
      <c r="Q204" s="140" t="n"/>
      <c r="R204" s="140" t="n"/>
      <c r="S204" s="140" t="n"/>
      <c r="T204" s="141" t="n"/>
      <c r="U204" s="129" t="n"/>
      <c r="V204" s="129" t="n"/>
      <c r="W204" s="145" t="n"/>
      <c r="X204" s="145" t="n"/>
      <c r="Y204" s="145" t="n"/>
      <c r="Z204" s="145" t="n"/>
    </row>
    <row r="205" ht="45.75" customHeight="1" s="222">
      <c r="A205" s="145" t="n"/>
      <c r="B205" s="145" t="n"/>
      <c r="C205" s="145" t="n"/>
      <c r="D205" s="145" t="n"/>
      <c r="E205" s="145" t="n"/>
      <c r="F205" s="145" t="n"/>
      <c r="G205" s="145" t="n"/>
      <c r="H205" s="145" t="n"/>
      <c r="I205" s="145" t="n"/>
      <c r="J205" s="145" t="n"/>
      <c r="K205" s="145" t="n"/>
      <c r="L205" s="145" t="n"/>
      <c r="M205" s="145" t="n"/>
      <c r="N205" s="145" t="n"/>
      <c r="O205" s="140" t="n"/>
      <c r="P205" s="140" t="n"/>
      <c r="Q205" s="140" t="n"/>
      <c r="R205" s="140" t="n"/>
      <c r="S205" s="140" t="n"/>
      <c r="T205" s="141" t="n"/>
      <c r="U205" s="129" t="n"/>
      <c r="V205" s="129" t="n"/>
      <c r="W205" s="145" t="n"/>
      <c r="X205" s="145" t="n"/>
      <c r="Y205" s="145" t="n"/>
      <c r="Z205" s="145" t="n"/>
    </row>
    <row r="206" ht="45.75" customHeight="1" s="222">
      <c r="A206" s="145" t="n"/>
      <c r="B206" s="145" t="n"/>
      <c r="C206" s="145" t="n"/>
      <c r="D206" s="145" t="n"/>
      <c r="E206" s="145" t="n"/>
      <c r="F206" s="145" t="n"/>
      <c r="G206" s="145" t="n"/>
      <c r="H206" s="145" t="n"/>
      <c r="I206" s="145" t="n"/>
      <c r="J206" s="145" t="n"/>
      <c r="K206" s="145" t="n"/>
      <c r="L206" s="145" t="n"/>
      <c r="M206" s="145" t="n"/>
      <c r="N206" s="145" t="n"/>
      <c r="O206" s="140" t="n"/>
      <c r="P206" s="140" t="n"/>
      <c r="Q206" s="140" t="n"/>
      <c r="R206" s="140" t="n"/>
      <c r="S206" s="140" t="n"/>
      <c r="T206" s="141" t="n"/>
      <c r="U206" s="129" t="n"/>
      <c r="V206" s="129" t="n"/>
      <c r="W206" s="145" t="n"/>
      <c r="X206" s="145" t="n"/>
      <c r="Y206" s="145" t="n"/>
      <c r="Z206" s="145" t="n"/>
    </row>
    <row r="207" ht="45.75" customHeight="1" s="222">
      <c r="A207" s="145" t="n"/>
      <c r="B207" s="145" t="n"/>
      <c r="C207" s="145" t="n"/>
      <c r="D207" s="145" t="n"/>
      <c r="E207" s="145" t="n"/>
      <c r="F207" s="145" t="n"/>
      <c r="G207" s="145" t="n"/>
      <c r="H207" s="145" t="n"/>
      <c r="I207" s="145" t="n"/>
      <c r="J207" s="145" t="n"/>
      <c r="K207" s="145" t="n"/>
      <c r="L207" s="145" t="n"/>
      <c r="M207" s="145" t="n"/>
      <c r="N207" s="145" t="n"/>
      <c r="O207" s="140" t="n"/>
      <c r="P207" s="140" t="n"/>
      <c r="Q207" s="140" t="n"/>
      <c r="R207" s="140" t="n"/>
      <c r="S207" s="140" t="n"/>
      <c r="T207" s="141" t="n"/>
      <c r="U207" s="129" t="n"/>
      <c r="V207" s="129" t="n"/>
      <c r="W207" s="145" t="n"/>
      <c r="X207" s="145" t="n"/>
      <c r="Y207" s="145" t="n"/>
      <c r="Z207" s="145" t="n"/>
    </row>
    <row r="208" ht="45.75" customHeight="1" s="222">
      <c r="A208" s="145" t="n"/>
      <c r="B208" s="145" t="n"/>
      <c r="C208" s="145" t="n"/>
      <c r="D208" s="145" t="n"/>
      <c r="E208" s="145" t="n"/>
      <c r="F208" s="145" t="n"/>
      <c r="G208" s="145" t="n"/>
      <c r="H208" s="145" t="n"/>
      <c r="I208" s="145" t="n"/>
      <c r="J208" s="145" t="n"/>
      <c r="K208" s="145" t="n"/>
      <c r="L208" s="145" t="n"/>
      <c r="M208" s="145" t="n"/>
      <c r="N208" s="145" t="n"/>
      <c r="O208" s="140" t="n"/>
      <c r="P208" s="140" t="n"/>
      <c r="Q208" s="140" t="n"/>
      <c r="R208" s="140" t="n"/>
      <c r="S208" s="140" t="n"/>
      <c r="T208" s="141" t="n"/>
      <c r="U208" s="129" t="n"/>
      <c r="V208" s="129" t="n"/>
      <c r="W208" s="145" t="n"/>
      <c r="X208" s="145" t="n"/>
      <c r="Y208" s="145" t="n"/>
      <c r="Z208" s="145" t="n"/>
    </row>
    <row r="209" ht="45.75" customHeight="1" s="222">
      <c r="A209" s="145" t="n"/>
      <c r="B209" s="145" t="n"/>
      <c r="C209" s="145" t="n"/>
      <c r="D209" s="145" t="n"/>
      <c r="E209" s="145" t="n"/>
      <c r="F209" s="145" t="n"/>
      <c r="G209" s="145" t="n"/>
      <c r="H209" s="145" t="n"/>
      <c r="I209" s="145" t="n"/>
      <c r="J209" s="145" t="n"/>
      <c r="K209" s="145" t="n"/>
      <c r="L209" s="145" t="n"/>
      <c r="M209" s="145" t="n"/>
      <c r="N209" s="145" t="n"/>
      <c r="O209" s="140" t="n"/>
      <c r="P209" s="140" t="n"/>
      <c r="Q209" s="140" t="n"/>
      <c r="R209" s="140" t="n"/>
      <c r="S209" s="140" t="n"/>
      <c r="T209" s="141" t="n"/>
      <c r="U209" s="129" t="n"/>
      <c r="V209" s="129" t="n"/>
      <c r="W209" s="145" t="n"/>
      <c r="X209" s="145" t="n"/>
      <c r="Y209" s="145" t="n"/>
      <c r="Z209" s="145" t="n"/>
    </row>
    <row r="210" ht="45.75" customHeight="1" s="222">
      <c r="A210" s="145" t="n"/>
      <c r="B210" s="145" t="n"/>
      <c r="C210" s="145" t="n"/>
      <c r="D210" s="145" t="n"/>
      <c r="E210" s="145" t="n"/>
      <c r="F210" s="145" t="n"/>
      <c r="G210" s="145" t="n"/>
      <c r="H210" s="145" t="n"/>
      <c r="I210" s="145" t="n"/>
      <c r="J210" s="145" t="n"/>
      <c r="K210" s="145" t="n"/>
      <c r="L210" s="145" t="n"/>
      <c r="M210" s="145" t="n"/>
      <c r="N210" s="145" t="n"/>
      <c r="O210" s="140" t="n"/>
      <c r="P210" s="140" t="n"/>
      <c r="Q210" s="140" t="n"/>
      <c r="R210" s="140" t="n"/>
      <c r="S210" s="140" t="n"/>
      <c r="T210" s="141" t="n"/>
      <c r="U210" s="129" t="n"/>
      <c r="V210" s="129" t="n"/>
      <c r="W210" s="145" t="n"/>
      <c r="X210" s="145" t="n"/>
      <c r="Y210" s="145" t="n"/>
      <c r="Z210" s="145" t="n"/>
    </row>
    <row r="211" ht="45.75" customHeight="1" s="222">
      <c r="A211" s="145" t="n"/>
      <c r="B211" s="145" t="n"/>
      <c r="C211" s="145" t="n"/>
      <c r="D211" s="145" t="n"/>
      <c r="E211" s="145" t="n"/>
      <c r="F211" s="145" t="n"/>
      <c r="G211" s="145" t="n"/>
      <c r="H211" s="145" t="n"/>
      <c r="I211" s="145" t="n"/>
      <c r="J211" s="145" t="n"/>
      <c r="K211" s="145" t="n"/>
      <c r="L211" s="145" t="n"/>
      <c r="M211" s="145" t="n"/>
      <c r="N211" s="145" t="n"/>
      <c r="O211" s="140" t="n"/>
      <c r="P211" s="140" t="n"/>
      <c r="Q211" s="140" t="n"/>
      <c r="R211" s="140" t="n"/>
      <c r="S211" s="140" t="n"/>
      <c r="T211" s="141" t="n"/>
      <c r="U211" s="129" t="n"/>
      <c r="V211" s="129" t="n"/>
      <c r="W211" s="145" t="n"/>
      <c r="X211" s="145" t="n"/>
      <c r="Y211" s="145" t="n"/>
      <c r="Z211" s="145" t="n"/>
    </row>
    <row r="212" ht="45.75" customHeight="1" s="222">
      <c r="A212" s="145" t="n"/>
      <c r="B212" s="145" t="n"/>
      <c r="C212" s="145" t="n"/>
      <c r="D212" s="145" t="n"/>
      <c r="E212" s="145" t="n"/>
      <c r="F212" s="145" t="n"/>
      <c r="G212" s="145" t="n"/>
      <c r="H212" s="145" t="n"/>
      <c r="I212" s="145" t="n"/>
      <c r="J212" s="145" t="n"/>
      <c r="K212" s="145" t="n"/>
      <c r="L212" s="145" t="n"/>
      <c r="M212" s="145" t="n"/>
      <c r="N212" s="145" t="n"/>
      <c r="O212" s="140" t="n"/>
      <c r="P212" s="140" t="n"/>
      <c r="Q212" s="140" t="n"/>
      <c r="R212" s="140" t="n"/>
      <c r="S212" s="140" t="n"/>
      <c r="T212" s="141" t="n"/>
      <c r="U212" s="129" t="n"/>
      <c r="V212" s="129" t="n"/>
      <c r="W212" s="145" t="n"/>
      <c r="X212" s="145" t="n"/>
      <c r="Y212" s="145" t="n"/>
      <c r="Z212" s="145" t="n"/>
    </row>
    <row r="213" ht="45.75" customHeight="1" s="222">
      <c r="A213" s="145" t="n"/>
      <c r="B213" s="145" t="n"/>
      <c r="C213" s="145" t="n"/>
      <c r="D213" s="145" t="n"/>
      <c r="E213" s="145" t="n"/>
      <c r="F213" s="145" t="n"/>
      <c r="G213" s="145" t="n"/>
      <c r="H213" s="145" t="n"/>
      <c r="I213" s="145" t="n"/>
      <c r="J213" s="145" t="n"/>
      <c r="K213" s="145" t="n"/>
      <c r="L213" s="145" t="n"/>
      <c r="M213" s="145" t="n"/>
      <c r="N213" s="145" t="n"/>
      <c r="O213" s="140" t="n"/>
      <c r="P213" s="140" t="n"/>
      <c r="Q213" s="140" t="n"/>
      <c r="R213" s="140" t="n"/>
      <c r="S213" s="140" t="n"/>
      <c r="T213" s="141" t="n"/>
      <c r="U213" s="129" t="n"/>
      <c r="V213" s="129" t="n"/>
      <c r="W213" s="145" t="n"/>
      <c r="X213" s="145" t="n"/>
      <c r="Y213" s="145" t="n"/>
      <c r="Z213" s="145" t="n"/>
    </row>
    <row r="214" ht="45.75" customHeight="1" s="222">
      <c r="A214" s="145" t="n"/>
      <c r="B214" s="145" t="n"/>
      <c r="C214" s="145" t="n"/>
      <c r="D214" s="145" t="n"/>
      <c r="E214" s="145" t="n"/>
      <c r="F214" s="145" t="n"/>
      <c r="G214" s="145" t="n"/>
      <c r="H214" s="145" t="n"/>
      <c r="I214" s="145" t="n"/>
      <c r="J214" s="145" t="n"/>
      <c r="K214" s="145" t="n"/>
      <c r="L214" s="145" t="n"/>
      <c r="M214" s="145" t="n"/>
      <c r="N214" s="145" t="n"/>
      <c r="O214" s="140" t="n"/>
      <c r="P214" s="140" t="n"/>
      <c r="Q214" s="140" t="n"/>
      <c r="R214" s="140" t="n"/>
      <c r="S214" s="140" t="n"/>
      <c r="T214" s="141" t="n"/>
      <c r="U214" s="129" t="n"/>
      <c r="V214" s="129" t="n"/>
      <c r="W214" s="145" t="n"/>
      <c r="X214" s="145" t="n"/>
      <c r="Y214" s="145" t="n"/>
      <c r="Z214" s="145" t="n"/>
    </row>
    <row r="215" ht="45.75" customHeight="1" s="222">
      <c r="A215" s="145" t="n"/>
      <c r="B215" s="145" t="n"/>
      <c r="C215" s="145" t="n"/>
      <c r="D215" s="145" t="n"/>
      <c r="E215" s="145" t="n"/>
      <c r="F215" s="145" t="n"/>
      <c r="G215" s="145" t="n"/>
      <c r="H215" s="145" t="n"/>
      <c r="I215" s="145" t="n"/>
      <c r="J215" s="145" t="n"/>
      <c r="K215" s="145" t="n"/>
      <c r="L215" s="145" t="n"/>
      <c r="M215" s="145" t="n"/>
      <c r="N215" s="145" t="n"/>
      <c r="O215" s="140" t="n"/>
      <c r="P215" s="140" t="n"/>
      <c r="Q215" s="140" t="n"/>
      <c r="R215" s="140" t="n"/>
      <c r="S215" s="140" t="n"/>
      <c r="T215" s="141" t="n"/>
      <c r="U215" s="129" t="n"/>
      <c r="V215" s="129" t="n"/>
      <c r="W215" s="145" t="n"/>
      <c r="X215" s="145" t="n"/>
      <c r="Y215" s="145" t="n"/>
      <c r="Z215" s="145" t="n"/>
    </row>
    <row r="216" ht="45.75" customHeight="1" s="222">
      <c r="A216" s="145" t="n"/>
      <c r="B216" s="145" t="n"/>
      <c r="C216" s="145" t="n"/>
      <c r="D216" s="145" t="n"/>
      <c r="E216" s="145" t="n"/>
      <c r="F216" s="145" t="n"/>
      <c r="G216" s="145" t="n"/>
      <c r="H216" s="145" t="n"/>
      <c r="I216" s="145" t="n"/>
      <c r="J216" s="145" t="n"/>
      <c r="K216" s="145" t="n"/>
      <c r="L216" s="145" t="n"/>
      <c r="M216" s="145" t="n"/>
      <c r="N216" s="145" t="n"/>
      <c r="O216" s="140" t="n"/>
      <c r="P216" s="140" t="n"/>
      <c r="Q216" s="140" t="n"/>
      <c r="R216" s="140" t="n"/>
      <c r="S216" s="140" t="n"/>
      <c r="T216" s="141" t="n"/>
      <c r="U216" s="129" t="n"/>
      <c r="V216" s="129" t="n"/>
      <c r="W216" s="145" t="n"/>
      <c r="X216" s="145" t="n"/>
      <c r="Y216" s="145" t="n"/>
      <c r="Z216" s="145" t="n"/>
    </row>
    <row r="217" ht="45.75" customHeight="1" s="222">
      <c r="A217" s="145" t="n"/>
      <c r="B217" s="145" t="n"/>
      <c r="C217" s="145" t="n"/>
      <c r="D217" s="145" t="n"/>
      <c r="E217" s="145" t="n"/>
      <c r="F217" s="145" t="n"/>
      <c r="G217" s="145" t="n"/>
      <c r="H217" s="145" t="n"/>
      <c r="I217" s="145" t="n"/>
      <c r="J217" s="145" t="n"/>
      <c r="K217" s="145" t="n"/>
      <c r="L217" s="145" t="n"/>
      <c r="M217" s="145" t="n"/>
      <c r="N217" s="145" t="n"/>
      <c r="O217" s="140" t="n"/>
      <c r="P217" s="140" t="n"/>
      <c r="Q217" s="140" t="n"/>
      <c r="R217" s="140" t="n"/>
      <c r="S217" s="140" t="n"/>
      <c r="T217" s="141" t="n"/>
      <c r="U217" s="129" t="n"/>
      <c r="V217" s="129" t="n"/>
      <c r="W217" s="145" t="n"/>
      <c r="X217" s="145" t="n"/>
      <c r="Y217" s="145" t="n"/>
      <c r="Z217" s="145" t="n"/>
    </row>
    <row r="218" ht="45.75" customHeight="1" s="222">
      <c r="A218" s="145" t="n"/>
      <c r="B218" s="145" t="n"/>
      <c r="C218" s="145" t="n"/>
      <c r="D218" s="145" t="n"/>
      <c r="E218" s="145" t="n"/>
      <c r="F218" s="145" t="n"/>
      <c r="G218" s="145" t="n"/>
      <c r="H218" s="145" t="n"/>
      <c r="I218" s="145" t="n"/>
      <c r="J218" s="145" t="n"/>
      <c r="K218" s="145" t="n"/>
      <c r="L218" s="145" t="n"/>
      <c r="M218" s="145" t="n"/>
      <c r="N218" s="145" t="n"/>
      <c r="O218" s="140" t="n"/>
      <c r="P218" s="140" t="n"/>
      <c r="Q218" s="140" t="n"/>
      <c r="R218" s="140" t="n"/>
      <c r="S218" s="140" t="n"/>
      <c r="T218" s="141" t="n"/>
      <c r="U218" s="129" t="n"/>
      <c r="V218" s="129" t="n"/>
      <c r="W218" s="145" t="n"/>
      <c r="X218" s="145" t="n"/>
      <c r="Y218" s="145" t="n"/>
      <c r="Z218" s="145" t="n"/>
    </row>
    <row r="219" ht="45.75" customHeight="1" s="222">
      <c r="A219" s="145" t="n"/>
      <c r="B219" s="145" t="n"/>
      <c r="C219" s="145" t="n"/>
      <c r="D219" s="145" t="n"/>
      <c r="E219" s="145" t="n"/>
      <c r="F219" s="145" t="n"/>
      <c r="G219" s="145" t="n"/>
      <c r="H219" s="145" t="n"/>
      <c r="I219" s="145" t="n"/>
      <c r="J219" s="145" t="n"/>
      <c r="K219" s="145" t="n"/>
      <c r="L219" s="145" t="n"/>
      <c r="M219" s="145" t="n"/>
      <c r="N219" s="145" t="n"/>
      <c r="O219" s="140" t="n"/>
      <c r="P219" s="140" t="n"/>
      <c r="Q219" s="140" t="n"/>
      <c r="R219" s="140" t="n"/>
      <c r="S219" s="140" t="n"/>
      <c r="T219" s="141" t="n"/>
      <c r="U219" s="129" t="n"/>
      <c r="V219" s="129" t="n"/>
      <c r="W219" s="145" t="n"/>
      <c r="X219" s="145" t="n"/>
      <c r="Y219" s="145" t="n"/>
      <c r="Z219" s="145" t="n"/>
    </row>
    <row r="220" ht="45.75" customHeight="1" s="222">
      <c r="A220" s="145" t="n"/>
      <c r="B220" s="145" t="n"/>
      <c r="C220" s="145" t="n"/>
      <c r="D220" s="145" t="n"/>
      <c r="E220" s="145" t="n"/>
      <c r="F220" s="145" t="n"/>
      <c r="G220" s="145" t="n"/>
      <c r="H220" s="145" t="n"/>
      <c r="I220" s="145" t="n"/>
      <c r="J220" s="145" t="n"/>
      <c r="K220" s="145" t="n"/>
      <c r="L220" s="145" t="n"/>
      <c r="M220" s="145" t="n"/>
      <c r="N220" s="145" t="n"/>
      <c r="O220" s="140" t="n"/>
      <c r="P220" s="140" t="n"/>
      <c r="Q220" s="140" t="n"/>
      <c r="R220" s="140" t="n"/>
      <c r="S220" s="140" t="n"/>
      <c r="T220" s="141" t="n"/>
      <c r="U220" s="129" t="n"/>
      <c r="V220" s="129" t="n"/>
      <c r="W220" s="145" t="n"/>
      <c r="X220" s="145" t="n"/>
      <c r="Y220" s="145" t="n"/>
      <c r="Z220" s="145" t="n"/>
    </row>
    <row r="221" ht="45.75" customHeight="1" s="222">
      <c r="A221" s="145" t="n"/>
      <c r="B221" s="145" t="n"/>
      <c r="C221" s="145" t="n"/>
      <c r="D221" s="145" t="n"/>
      <c r="E221" s="145" t="n"/>
      <c r="F221" s="145" t="n"/>
      <c r="G221" s="145" t="n"/>
      <c r="H221" s="145" t="n"/>
      <c r="I221" s="145" t="n"/>
      <c r="J221" s="145" t="n"/>
      <c r="K221" s="145" t="n"/>
      <c r="L221" s="145" t="n"/>
      <c r="M221" s="145" t="n"/>
      <c r="N221" s="145" t="n"/>
      <c r="O221" s="140" t="n"/>
      <c r="P221" s="140" t="n"/>
      <c r="Q221" s="140" t="n"/>
      <c r="R221" s="140" t="n"/>
      <c r="S221" s="140" t="n"/>
      <c r="T221" s="141" t="n"/>
      <c r="U221" s="129" t="n"/>
      <c r="V221" s="129" t="n"/>
      <c r="W221" s="145" t="n"/>
      <c r="X221" s="145" t="n"/>
      <c r="Y221" s="145" t="n"/>
      <c r="Z221" s="145" t="n"/>
    </row>
    <row r="222" ht="45.75" customHeight="1" s="222">
      <c r="A222" s="145" t="n"/>
      <c r="B222" s="145" t="n"/>
      <c r="C222" s="145" t="n"/>
      <c r="D222" s="145" t="n"/>
      <c r="E222" s="145" t="n"/>
      <c r="F222" s="145" t="n"/>
      <c r="G222" s="145" t="n"/>
      <c r="H222" s="145" t="n"/>
      <c r="I222" s="145" t="n"/>
      <c r="J222" s="145" t="n"/>
      <c r="K222" s="145" t="n"/>
      <c r="L222" s="145" t="n"/>
      <c r="M222" s="145" t="n"/>
      <c r="N222" s="145" t="n"/>
      <c r="O222" s="140" t="n"/>
      <c r="P222" s="140" t="n"/>
      <c r="Q222" s="140" t="n"/>
      <c r="R222" s="140" t="n"/>
      <c r="S222" s="140" t="n"/>
      <c r="T222" s="141" t="n"/>
      <c r="U222" s="129" t="n"/>
      <c r="V222" s="129" t="n"/>
      <c r="W222" s="145" t="n"/>
      <c r="X222" s="145" t="n"/>
      <c r="Y222" s="145" t="n"/>
      <c r="Z222" s="145" t="n"/>
    </row>
    <row r="223" ht="45.75" customHeight="1" s="222">
      <c r="A223" s="145" t="n"/>
      <c r="B223" s="145" t="n"/>
      <c r="C223" s="145" t="n"/>
      <c r="D223" s="145" t="n"/>
      <c r="E223" s="145" t="n"/>
      <c r="F223" s="145" t="n"/>
      <c r="G223" s="145" t="n"/>
      <c r="H223" s="145" t="n"/>
      <c r="I223" s="145" t="n"/>
      <c r="J223" s="145" t="n"/>
      <c r="K223" s="145" t="n"/>
      <c r="L223" s="145" t="n"/>
      <c r="M223" s="145" t="n"/>
      <c r="N223" s="145" t="n"/>
      <c r="O223" s="140" t="n"/>
      <c r="P223" s="140" t="n"/>
      <c r="Q223" s="140" t="n"/>
      <c r="R223" s="140" t="n"/>
      <c r="S223" s="140" t="n"/>
      <c r="T223" s="141" t="n"/>
      <c r="U223" s="129" t="n"/>
      <c r="V223" s="129" t="n"/>
      <c r="W223" s="145" t="n"/>
      <c r="X223" s="145" t="n"/>
      <c r="Y223" s="145" t="n"/>
      <c r="Z223" s="145" t="n"/>
    </row>
    <row r="224" ht="45.75" customHeight="1" s="222">
      <c r="A224" s="145" t="n"/>
      <c r="B224" s="145" t="n"/>
      <c r="C224" s="145" t="n"/>
      <c r="D224" s="145" t="n"/>
      <c r="E224" s="145" t="n"/>
      <c r="F224" s="145" t="n"/>
      <c r="G224" s="145" t="n"/>
      <c r="H224" s="145" t="n"/>
      <c r="I224" s="145" t="n"/>
      <c r="J224" s="145" t="n"/>
      <c r="K224" s="145" t="n"/>
      <c r="L224" s="145" t="n"/>
      <c r="M224" s="145" t="n"/>
      <c r="N224" s="145" t="n"/>
      <c r="O224" s="140" t="n"/>
      <c r="P224" s="140" t="n"/>
      <c r="Q224" s="140" t="n"/>
      <c r="R224" s="140" t="n"/>
      <c r="S224" s="140" t="n"/>
      <c r="T224" s="141" t="n"/>
      <c r="U224" s="129" t="n"/>
      <c r="V224" s="129" t="n"/>
      <c r="W224" s="145" t="n"/>
      <c r="X224" s="145" t="n"/>
      <c r="Y224" s="145" t="n"/>
      <c r="Z224" s="145" t="n"/>
    </row>
    <row r="225" ht="45.75" customHeight="1" s="222">
      <c r="A225" s="145" t="n"/>
      <c r="B225" s="145" t="n"/>
      <c r="C225" s="145" t="n"/>
      <c r="D225" s="145" t="n"/>
      <c r="E225" s="145" t="n"/>
      <c r="F225" s="145" t="n"/>
      <c r="G225" s="145" t="n"/>
      <c r="H225" s="145" t="n"/>
      <c r="I225" s="145" t="n"/>
      <c r="J225" s="145" t="n"/>
      <c r="K225" s="145" t="n"/>
      <c r="L225" s="145" t="n"/>
      <c r="M225" s="145" t="n"/>
      <c r="N225" s="145" t="n"/>
      <c r="O225" s="140" t="n"/>
      <c r="P225" s="140" t="n"/>
      <c r="Q225" s="140" t="n"/>
      <c r="R225" s="140" t="n"/>
      <c r="S225" s="140" t="n"/>
      <c r="T225" s="141" t="n"/>
      <c r="U225" s="129" t="n"/>
      <c r="V225" s="129" t="n"/>
      <c r="W225" s="145" t="n"/>
      <c r="X225" s="145" t="n"/>
      <c r="Y225" s="145" t="n"/>
      <c r="Z225" s="145" t="n"/>
    </row>
    <row r="226" ht="45.75" customHeight="1" s="222">
      <c r="A226" s="145" t="n"/>
      <c r="B226" s="145" t="n"/>
      <c r="C226" s="145" t="n"/>
      <c r="D226" s="145" t="n"/>
      <c r="E226" s="145" t="n"/>
      <c r="F226" s="145" t="n"/>
      <c r="G226" s="145" t="n"/>
      <c r="H226" s="145" t="n"/>
      <c r="I226" s="145" t="n"/>
      <c r="J226" s="145" t="n"/>
      <c r="K226" s="145" t="n"/>
      <c r="L226" s="145" t="n"/>
      <c r="M226" s="145" t="n"/>
      <c r="N226" s="145" t="n"/>
      <c r="O226" s="140" t="n"/>
      <c r="P226" s="140" t="n"/>
      <c r="Q226" s="140" t="n"/>
      <c r="R226" s="140" t="n"/>
      <c r="S226" s="140" t="n"/>
      <c r="T226" s="141" t="n"/>
      <c r="U226" s="129" t="n"/>
      <c r="V226" s="129" t="n"/>
      <c r="W226" s="145" t="n"/>
      <c r="X226" s="145" t="n"/>
      <c r="Y226" s="145" t="n"/>
      <c r="Z226" s="145" t="n"/>
    </row>
    <row r="227" ht="45.75" customHeight="1" s="222">
      <c r="A227" s="145" t="n"/>
      <c r="B227" s="145" t="n"/>
      <c r="C227" s="145" t="n"/>
      <c r="D227" s="145" t="n"/>
      <c r="E227" s="145" t="n"/>
      <c r="F227" s="145" t="n"/>
      <c r="G227" s="145" t="n"/>
      <c r="H227" s="145" t="n"/>
      <c r="I227" s="145" t="n"/>
      <c r="J227" s="145" t="n"/>
      <c r="K227" s="145" t="n"/>
      <c r="L227" s="145" t="n"/>
      <c r="M227" s="145" t="n"/>
      <c r="N227" s="145" t="n"/>
      <c r="O227" s="140" t="n"/>
      <c r="P227" s="140" t="n"/>
      <c r="Q227" s="140" t="n"/>
      <c r="R227" s="140" t="n"/>
      <c r="S227" s="140" t="n"/>
      <c r="T227" s="141" t="n"/>
      <c r="U227" s="129" t="n"/>
      <c r="V227" s="129" t="n"/>
      <c r="W227" s="145" t="n"/>
      <c r="X227" s="145" t="n"/>
      <c r="Y227" s="145" t="n"/>
      <c r="Z227" s="145" t="n"/>
    </row>
    <row r="228" ht="45.75" customHeight="1" s="222">
      <c r="A228" s="145" t="n"/>
      <c r="B228" s="145" t="n"/>
      <c r="C228" s="145" t="n"/>
      <c r="D228" s="145" t="n"/>
      <c r="E228" s="145" t="n"/>
      <c r="F228" s="145" t="n"/>
      <c r="G228" s="145" t="n"/>
      <c r="H228" s="145" t="n"/>
      <c r="I228" s="145" t="n"/>
      <c r="J228" s="145" t="n"/>
      <c r="K228" s="145" t="n"/>
      <c r="L228" s="145" t="n"/>
      <c r="M228" s="145" t="n"/>
      <c r="N228" s="145" t="n"/>
      <c r="O228" s="140" t="n"/>
      <c r="P228" s="140" t="n"/>
      <c r="Q228" s="140" t="n"/>
      <c r="R228" s="140" t="n"/>
      <c r="S228" s="140" t="n"/>
      <c r="T228" s="141" t="n"/>
      <c r="U228" s="129" t="n"/>
      <c r="V228" s="129" t="n"/>
      <c r="W228" s="145" t="n"/>
      <c r="X228" s="145" t="n"/>
      <c r="Y228" s="145" t="n"/>
      <c r="Z228" s="145" t="n"/>
    </row>
    <row r="229" ht="45.75" customHeight="1" s="222">
      <c r="A229" s="145" t="n"/>
      <c r="B229" s="145" t="n"/>
      <c r="C229" s="145" t="n"/>
      <c r="D229" s="145" t="n"/>
      <c r="E229" s="145" t="n"/>
      <c r="F229" s="145" t="n"/>
      <c r="G229" s="145" t="n"/>
      <c r="H229" s="145" t="n"/>
      <c r="I229" s="145" t="n"/>
      <c r="J229" s="145" t="n"/>
      <c r="K229" s="145" t="n"/>
      <c r="L229" s="145" t="n"/>
      <c r="M229" s="145" t="n"/>
      <c r="N229" s="145" t="n"/>
      <c r="O229" s="140" t="n"/>
      <c r="P229" s="140" t="n"/>
      <c r="Q229" s="140" t="n"/>
      <c r="R229" s="140" t="n"/>
      <c r="S229" s="140" t="n"/>
      <c r="T229" s="141" t="n"/>
      <c r="U229" s="129" t="n"/>
      <c r="V229" s="129" t="n"/>
      <c r="W229" s="145" t="n"/>
      <c r="X229" s="145" t="n"/>
      <c r="Y229" s="145" t="n"/>
      <c r="Z229" s="145" t="n"/>
    </row>
    <row r="230" ht="45.75" customHeight="1" s="222">
      <c r="A230" s="145" t="n"/>
      <c r="B230" s="145" t="n"/>
      <c r="C230" s="145" t="n"/>
      <c r="D230" s="145" t="n"/>
      <c r="E230" s="145" t="n"/>
      <c r="F230" s="145" t="n"/>
      <c r="G230" s="145" t="n"/>
      <c r="H230" s="145" t="n"/>
      <c r="I230" s="145" t="n"/>
      <c r="J230" s="145" t="n"/>
      <c r="K230" s="145" t="n"/>
      <c r="L230" s="145" t="n"/>
      <c r="M230" s="145" t="n"/>
      <c r="N230" s="145" t="n"/>
      <c r="O230" s="140" t="n"/>
      <c r="P230" s="140" t="n"/>
      <c r="Q230" s="140" t="n"/>
      <c r="R230" s="140" t="n"/>
      <c r="S230" s="140" t="n"/>
      <c r="T230" s="141" t="n"/>
      <c r="U230" s="129" t="n"/>
      <c r="V230" s="129" t="n"/>
      <c r="W230" s="145" t="n"/>
      <c r="X230" s="145" t="n"/>
      <c r="Y230" s="145" t="n"/>
      <c r="Z230" s="145" t="n"/>
    </row>
    <row r="231" ht="45.75" customHeight="1" s="222">
      <c r="A231" s="145" t="n"/>
      <c r="B231" s="145" t="n"/>
      <c r="C231" s="145" t="n"/>
      <c r="D231" s="145" t="n"/>
      <c r="E231" s="145" t="n"/>
      <c r="F231" s="145" t="n"/>
      <c r="G231" s="145" t="n"/>
      <c r="H231" s="145" t="n"/>
      <c r="I231" s="145" t="n"/>
      <c r="J231" s="145" t="n"/>
      <c r="K231" s="145" t="n"/>
      <c r="L231" s="145" t="n"/>
      <c r="M231" s="145" t="n"/>
      <c r="N231" s="145" t="n"/>
      <c r="O231" s="140" t="n"/>
      <c r="P231" s="140" t="n"/>
      <c r="Q231" s="140" t="n"/>
      <c r="R231" s="140" t="n"/>
      <c r="S231" s="140" t="n"/>
      <c r="T231" s="141" t="n"/>
      <c r="U231" s="129" t="n"/>
      <c r="V231" s="129" t="n"/>
      <c r="W231" s="145" t="n"/>
      <c r="X231" s="145" t="n"/>
      <c r="Y231" s="145" t="n"/>
      <c r="Z231" s="145" t="n"/>
    </row>
    <row r="232" ht="45.75" customHeight="1" s="222">
      <c r="A232" s="145" t="n"/>
      <c r="B232" s="145" t="n"/>
      <c r="C232" s="145" t="n"/>
      <c r="D232" s="145" t="n"/>
      <c r="E232" s="145" t="n"/>
      <c r="F232" s="145" t="n"/>
      <c r="G232" s="145" t="n"/>
      <c r="H232" s="145" t="n"/>
      <c r="I232" s="145" t="n"/>
      <c r="J232" s="145" t="n"/>
      <c r="K232" s="145" t="n"/>
      <c r="L232" s="145" t="n"/>
      <c r="M232" s="145" t="n"/>
      <c r="N232" s="145" t="n"/>
      <c r="O232" s="140" t="n"/>
      <c r="P232" s="140" t="n"/>
      <c r="Q232" s="140" t="n"/>
      <c r="R232" s="140" t="n"/>
      <c r="S232" s="140" t="n"/>
      <c r="T232" s="141" t="n"/>
      <c r="U232" s="129" t="n"/>
      <c r="V232" s="129" t="n"/>
      <c r="W232" s="145" t="n"/>
      <c r="X232" s="145" t="n"/>
      <c r="Y232" s="145" t="n"/>
      <c r="Z232" s="145" t="n"/>
    </row>
    <row r="233" ht="45.75" customHeight="1" s="222">
      <c r="A233" s="145" t="n"/>
      <c r="B233" s="145" t="n"/>
      <c r="C233" s="145" t="n"/>
      <c r="D233" s="145" t="n"/>
      <c r="E233" s="145" t="n"/>
      <c r="F233" s="145" t="n"/>
      <c r="G233" s="145" t="n"/>
      <c r="H233" s="145" t="n"/>
      <c r="I233" s="145" t="n"/>
      <c r="J233" s="145" t="n"/>
      <c r="K233" s="145" t="n"/>
      <c r="L233" s="145" t="n"/>
      <c r="M233" s="145" t="n"/>
      <c r="N233" s="145" t="n"/>
      <c r="O233" s="140" t="n"/>
      <c r="P233" s="140" t="n"/>
      <c r="Q233" s="140" t="n"/>
      <c r="R233" s="140" t="n"/>
      <c r="S233" s="140" t="n"/>
      <c r="T233" s="141" t="n"/>
      <c r="U233" s="129" t="n"/>
      <c r="V233" s="129" t="n"/>
      <c r="W233" s="145" t="n"/>
      <c r="X233" s="145" t="n"/>
      <c r="Y233" s="145" t="n"/>
      <c r="Z233" s="145" t="n"/>
    </row>
    <row r="234" ht="45.75" customHeight="1" s="222">
      <c r="A234" s="145" t="n"/>
      <c r="B234" s="145" t="n"/>
      <c r="C234" s="145" t="n"/>
      <c r="D234" s="145" t="n"/>
      <c r="E234" s="145" t="n"/>
      <c r="F234" s="145" t="n"/>
      <c r="G234" s="145" t="n"/>
      <c r="H234" s="145" t="n"/>
      <c r="I234" s="145" t="n"/>
      <c r="J234" s="145" t="n"/>
      <c r="K234" s="145" t="n"/>
      <c r="L234" s="145" t="n"/>
      <c r="M234" s="145" t="n"/>
      <c r="N234" s="145" t="n"/>
      <c r="O234" s="140" t="n"/>
      <c r="P234" s="140" t="n"/>
      <c r="Q234" s="140" t="n"/>
      <c r="R234" s="140" t="n"/>
      <c r="S234" s="140" t="n"/>
      <c r="T234" s="141" t="n"/>
      <c r="U234" s="129" t="n"/>
      <c r="V234" s="129" t="n"/>
      <c r="W234" s="145" t="n"/>
      <c r="X234" s="145" t="n"/>
      <c r="Y234" s="145" t="n"/>
      <c r="Z234" s="145" t="n"/>
    </row>
    <row r="235" ht="45.75" customHeight="1" s="222">
      <c r="A235" s="145" t="n"/>
      <c r="B235" s="145" t="n"/>
      <c r="C235" s="145" t="n"/>
      <c r="D235" s="145" t="n"/>
      <c r="E235" s="145" t="n"/>
      <c r="F235" s="145" t="n"/>
      <c r="G235" s="145" t="n"/>
      <c r="H235" s="145" t="n"/>
      <c r="I235" s="145" t="n"/>
      <c r="J235" s="145" t="n"/>
      <c r="K235" s="145" t="n"/>
      <c r="L235" s="145" t="n"/>
      <c r="M235" s="145" t="n"/>
      <c r="N235" s="145" t="n"/>
      <c r="O235" s="140" t="n"/>
      <c r="P235" s="140" t="n"/>
      <c r="Q235" s="140" t="n"/>
      <c r="R235" s="140" t="n"/>
      <c r="S235" s="140" t="n"/>
      <c r="T235" s="141" t="n"/>
      <c r="U235" s="129" t="n"/>
      <c r="V235" s="129" t="n"/>
      <c r="W235" s="145" t="n"/>
      <c r="X235" s="145" t="n"/>
      <c r="Y235" s="145" t="n"/>
      <c r="Z235" s="145" t="n"/>
    </row>
    <row r="236" ht="45.75" customHeight="1" s="222">
      <c r="A236" s="145" t="n"/>
      <c r="B236" s="145" t="n"/>
      <c r="C236" s="145" t="n"/>
      <c r="D236" s="145" t="n"/>
      <c r="E236" s="145" t="n"/>
      <c r="F236" s="145" t="n"/>
      <c r="G236" s="145" t="n"/>
      <c r="H236" s="145" t="n"/>
      <c r="I236" s="145" t="n"/>
      <c r="J236" s="145" t="n"/>
      <c r="K236" s="145" t="n"/>
      <c r="L236" s="145" t="n"/>
      <c r="M236" s="145" t="n"/>
      <c r="N236" s="145" t="n"/>
      <c r="O236" s="140" t="n"/>
      <c r="P236" s="140" t="n"/>
      <c r="Q236" s="140" t="n"/>
      <c r="R236" s="140" t="n"/>
      <c r="S236" s="140" t="n"/>
      <c r="T236" s="141" t="n"/>
      <c r="U236" s="129" t="n"/>
      <c r="V236" s="129" t="n"/>
      <c r="W236" s="145" t="n"/>
      <c r="X236" s="145" t="n"/>
      <c r="Y236" s="145" t="n"/>
      <c r="Z236" s="145" t="n"/>
    </row>
    <row r="237" ht="45.75" customHeight="1" s="222">
      <c r="A237" s="145" t="n"/>
      <c r="B237" s="145" t="n"/>
      <c r="C237" s="145" t="n"/>
      <c r="D237" s="145" t="n"/>
      <c r="E237" s="145" t="n"/>
      <c r="F237" s="145" t="n"/>
      <c r="G237" s="145" t="n"/>
      <c r="H237" s="145" t="n"/>
      <c r="I237" s="145" t="n"/>
      <c r="J237" s="145" t="n"/>
      <c r="K237" s="145" t="n"/>
      <c r="L237" s="145" t="n"/>
      <c r="M237" s="145" t="n"/>
      <c r="N237" s="145" t="n"/>
      <c r="O237" s="140" t="n"/>
      <c r="P237" s="140" t="n"/>
      <c r="Q237" s="140" t="n"/>
      <c r="R237" s="140" t="n"/>
      <c r="S237" s="140" t="n"/>
      <c r="T237" s="141" t="n"/>
      <c r="U237" s="129" t="n"/>
      <c r="V237" s="129" t="n"/>
      <c r="W237" s="145" t="n"/>
      <c r="X237" s="145" t="n"/>
      <c r="Y237" s="145" t="n"/>
      <c r="Z237" s="145" t="n"/>
    </row>
    <row r="238" ht="45.75" customHeight="1" s="222">
      <c r="A238" s="145" t="n"/>
      <c r="B238" s="145" t="n"/>
      <c r="C238" s="145" t="n"/>
      <c r="D238" s="145" t="n"/>
      <c r="E238" s="145" t="n"/>
      <c r="F238" s="145" t="n"/>
      <c r="G238" s="145" t="n"/>
      <c r="H238" s="145" t="n"/>
      <c r="I238" s="145" t="n"/>
      <c r="J238" s="145" t="n"/>
      <c r="K238" s="145" t="n"/>
      <c r="L238" s="145" t="n"/>
      <c r="M238" s="145" t="n"/>
      <c r="N238" s="145" t="n"/>
      <c r="O238" s="140" t="n"/>
      <c r="P238" s="140" t="n"/>
      <c r="Q238" s="140" t="n"/>
      <c r="R238" s="140" t="n"/>
      <c r="S238" s="140" t="n"/>
      <c r="T238" s="141" t="n"/>
      <c r="U238" s="129" t="n"/>
      <c r="V238" s="129" t="n"/>
      <c r="W238" s="145" t="n"/>
      <c r="X238" s="145" t="n"/>
      <c r="Y238" s="145" t="n"/>
      <c r="Z238" s="145" t="n"/>
    </row>
    <row r="239" ht="45.75" customHeight="1" s="222">
      <c r="A239" s="145" t="n"/>
      <c r="B239" s="145" t="n"/>
      <c r="C239" s="145" t="n"/>
      <c r="D239" s="145" t="n"/>
      <c r="E239" s="145" t="n"/>
      <c r="F239" s="145" t="n"/>
      <c r="G239" s="145" t="n"/>
      <c r="H239" s="145" t="n"/>
      <c r="I239" s="145" t="n"/>
      <c r="J239" s="145" t="n"/>
      <c r="K239" s="145" t="n"/>
      <c r="L239" s="145" t="n"/>
      <c r="M239" s="145" t="n"/>
      <c r="N239" s="145" t="n"/>
      <c r="O239" s="140" t="n"/>
      <c r="P239" s="140" t="n"/>
      <c r="Q239" s="140" t="n"/>
      <c r="R239" s="140" t="n"/>
      <c r="S239" s="140" t="n"/>
      <c r="T239" s="141" t="n"/>
      <c r="U239" s="129" t="n"/>
      <c r="V239" s="129" t="n"/>
      <c r="W239" s="145" t="n"/>
      <c r="X239" s="145" t="n"/>
      <c r="Y239" s="145" t="n"/>
      <c r="Z239" s="145" t="n"/>
    </row>
    <row r="240" ht="45.75" customHeight="1" s="222">
      <c r="A240" s="145" t="n"/>
      <c r="B240" s="145" t="n"/>
      <c r="C240" s="145" t="n"/>
      <c r="D240" s="145" t="n"/>
      <c r="E240" s="145" t="n"/>
      <c r="F240" s="145" t="n"/>
      <c r="G240" s="145" t="n"/>
      <c r="H240" s="145" t="n"/>
      <c r="I240" s="145" t="n"/>
      <c r="J240" s="145" t="n"/>
      <c r="K240" s="145" t="n"/>
      <c r="L240" s="145" t="n"/>
      <c r="M240" s="145" t="n"/>
      <c r="N240" s="145" t="n"/>
      <c r="O240" s="140" t="n"/>
      <c r="P240" s="140" t="n"/>
      <c r="Q240" s="140" t="n"/>
      <c r="R240" s="140" t="n"/>
      <c r="S240" s="140" t="n"/>
      <c r="T240" s="141" t="n"/>
      <c r="U240" s="129" t="n"/>
      <c r="V240" s="129" t="n"/>
      <c r="W240" s="145" t="n"/>
      <c r="X240" s="145" t="n"/>
      <c r="Y240" s="145" t="n"/>
      <c r="Z240" s="145" t="n"/>
    </row>
    <row r="241" ht="45.75" customHeight="1" s="222">
      <c r="A241" s="145" t="n"/>
      <c r="B241" s="145" t="n"/>
      <c r="C241" s="145" t="n"/>
      <c r="D241" s="145" t="n"/>
      <c r="E241" s="145" t="n"/>
      <c r="F241" s="145" t="n"/>
      <c r="G241" s="145" t="n"/>
      <c r="H241" s="145" t="n"/>
      <c r="I241" s="145" t="n"/>
      <c r="J241" s="145" t="n"/>
      <c r="K241" s="145" t="n"/>
      <c r="L241" s="145" t="n"/>
      <c r="M241" s="145" t="n"/>
      <c r="N241" s="145" t="n"/>
      <c r="O241" s="140" t="n"/>
      <c r="P241" s="140" t="n"/>
      <c r="Q241" s="140" t="n"/>
      <c r="R241" s="140" t="n"/>
      <c r="S241" s="140" t="n"/>
      <c r="T241" s="141" t="n"/>
      <c r="U241" s="129" t="n"/>
      <c r="V241" s="129" t="n"/>
      <c r="W241" s="145" t="n"/>
      <c r="X241" s="145" t="n"/>
      <c r="Y241" s="145" t="n"/>
      <c r="Z241" s="145" t="n"/>
    </row>
    <row r="242" ht="45.75" customHeight="1" s="222">
      <c r="A242" s="145" t="n"/>
      <c r="B242" s="145" t="n"/>
      <c r="C242" s="145" t="n"/>
      <c r="D242" s="145" t="n"/>
      <c r="E242" s="145" t="n"/>
      <c r="F242" s="145" t="n"/>
      <c r="G242" s="145" t="n"/>
      <c r="H242" s="145" t="n"/>
      <c r="I242" s="145" t="n"/>
      <c r="J242" s="145" t="n"/>
      <c r="K242" s="145" t="n"/>
      <c r="L242" s="145" t="n"/>
      <c r="M242" s="145" t="n"/>
      <c r="N242" s="145" t="n"/>
      <c r="O242" s="140" t="n"/>
      <c r="P242" s="140" t="n"/>
      <c r="Q242" s="140" t="n"/>
      <c r="R242" s="140" t="n"/>
      <c r="S242" s="140" t="n"/>
      <c r="T242" s="141" t="n"/>
      <c r="U242" s="129" t="n"/>
      <c r="V242" s="129" t="n"/>
      <c r="W242" s="145" t="n"/>
      <c r="X242" s="145" t="n"/>
      <c r="Y242" s="145" t="n"/>
      <c r="Z242" s="145" t="n"/>
    </row>
    <row r="243" ht="45.75" customHeight="1" s="222">
      <c r="A243" s="145" t="n"/>
      <c r="B243" s="145" t="n"/>
      <c r="C243" s="145" t="n"/>
      <c r="D243" s="145" t="n"/>
      <c r="E243" s="145" t="n"/>
      <c r="F243" s="145" t="n"/>
      <c r="G243" s="145" t="n"/>
      <c r="H243" s="145" t="n"/>
      <c r="I243" s="145" t="n"/>
      <c r="J243" s="145" t="n"/>
      <c r="K243" s="145" t="n"/>
      <c r="L243" s="145" t="n"/>
      <c r="M243" s="145" t="n"/>
      <c r="N243" s="145" t="n"/>
      <c r="O243" s="140" t="n"/>
      <c r="P243" s="140" t="n"/>
      <c r="Q243" s="140" t="n"/>
      <c r="R243" s="140" t="n"/>
      <c r="S243" s="140" t="n"/>
      <c r="T243" s="141" t="n"/>
      <c r="U243" s="129" t="n"/>
      <c r="V243" s="129" t="n"/>
      <c r="W243" s="145" t="n"/>
      <c r="X243" s="145" t="n"/>
      <c r="Y243" s="145" t="n"/>
      <c r="Z243" s="145" t="n"/>
    </row>
    <row r="244" ht="45.75" customHeight="1" s="222">
      <c r="A244" s="145" t="n"/>
      <c r="B244" s="145" t="n"/>
      <c r="C244" s="145" t="n"/>
      <c r="D244" s="145" t="n"/>
      <c r="E244" s="145" t="n"/>
      <c r="F244" s="145" t="n"/>
      <c r="G244" s="145" t="n"/>
      <c r="H244" s="145" t="n"/>
      <c r="I244" s="145" t="n"/>
      <c r="J244" s="145" t="n"/>
      <c r="K244" s="145" t="n"/>
      <c r="L244" s="145" t="n"/>
      <c r="M244" s="145" t="n"/>
      <c r="N244" s="145" t="n"/>
      <c r="O244" s="140" t="n"/>
      <c r="P244" s="140" t="n"/>
      <c r="Q244" s="140" t="n"/>
      <c r="R244" s="140" t="n"/>
      <c r="S244" s="140" t="n"/>
      <c r="T244" s="141" t="n"/>
      <c r="U244" s="129" t="n"/>
      <c r="V244" s="129" t="n"/>
      <c r="W244" s="145" t="n"/>
      <c r="X244" s="145" t="n"/>
      <c r="Y244" s="145" t="n"/>
      <c r="Z244" s="145" t="n"/>
    </row>
    <row r="245" ht="45.75" customHeight="1" s="222">
      <c r="A245" s="145" t="n"/>
      <c r="B245" s="145" t="n"/>
      <c r="C245" s="145" t="n"/>
      <c r="D245" s="145" t="n"/>
      <c r="E245" s="145" t="n"/>
      <c r="F245" s="145" t="n"/>
      <c r="G245" s="145" t="n"/>
      <c r="H245" s="145" t="n"/>
      <c r="I245" s="145" t="n"/>
      <c r="J245" s="145" t="n"/>
      <c r="K245" s="145" t="n"/>
      <c r="L245" s="145" t="n"/>
      <c r="M245" s="145" t="n"/>
      <c r="N245" s="145" t="n"/>
      <c r="O245" s="140" t="n"/>
      <c r="P245" s="140" t="n"/>
      <c r="Q245" s="140" t="n"/>
      <c r="R245" s="140" t="n"/>
      <c r="S245" s="140" t="n"/>
      <c r="T245" s="141" t="n"/>
      <c r="U245" s="129" t="n"/>
      <c r="V245" s="129" t="n"/>
      <c r="W245" s="145" t="n"/>
      <c r="X245" s="145" t="n"/>
      <c r="Y245" s="145" t="n"/>
      <c r="Z245" s="145" t="n"/>
    </row>
    <row r="246" ht="45.75" customHeight="1" s="222">
      <c r="A246" s="145" t="n"/>
      <c r="B246" s="145" t="n"/>
      <c r="C246" s="145" t="n"/>
      <c r="D246" s="145" t="n"/>
      <c r="E246" s="145" t="n"/>
      <c r="F246" s="145" t="n"/>
      <c r="G246" s="145" t="n"/>
      <c r="H246" s="145" t="n"/>
      <c r="I246" s="145" t="n"/>
      <c r="J246" s="145" t="n"/>
      <c r="K246" s="145" t="n"/>
      <c r="L246" s="145" t="n"/>
      <c r="M246" s="145" t="n"/>
      <c r="N246" s="145" t="n"/>
      <c r="O246" s="140" t="n"/>
      <c r="P246" s="140" t="n"/>
      <c r="Q246" s="140" t="n"/>
      <c r="R246" s="140" t="n"/>
      <c r="S246" s="140" t="n"/>
      <c r="T246" s="141" t="n"/>
      <c r="U246" s="129" t="n"/>
      <c r="V246" s="129" t="n"/>
      <c r="W246" s="145" t="n"/>
      <c r="X246" s="145" t="n"/>
      <c r="Y246" s="145" t="n"/>
      <c r="Z246" s="145" t="n"/>
    </row>
    <row r="247" ht="45.75" customHeight="1" s="222">
      <c r="A247" s="145" t="n"/>
      <c r="B247" s="145" t="n"/>
      <c r="C247" s="145" t="n"/>
      <c r="D247" s="145" t="n"/>
      <c r="E247" s="145" t="n"/>
      <c r="F247" s="145" t="n"/>
      <c r="G247" s="145" t="n"/>
      <c r="H247" s="145" t="n"/>
      <c r="I247" s="145" t="n"/>
      <c r="J247" s="145" t="n"/>
      <c r="K247" s="145" t="n"/>
      <c r="L247" s="145" t="n"/>
      <c r="M247" s="145" t="n"/>
      <c r="N247" s="145" t="n"/>
      <c r="O247" s="140" t="n"/>
      <c r="P247" s="140" t="n"/>
      <c r="Q247" s="140" t="n"/>
      <c r="R247" s="140" t="n"/>
      <c r="S247" s="140" t="n"/>
      <c r="T247" s="141" t="n"/>
      <c r="U247" s="129" t="n"/>
      <c r="V247" s="129" t="n"/>
      <c r="W247" s="145" t="n"/>
      <c r="X247" s="145" t="n"/>
      <c r="Y247" s="145" t="n"/>
      <c r="Z247" s="145" t="n"/>
    </row>
    <row r="248" ht="45.75" customHeight="1" s="222">
      <c r="A248" s="145" t="n"/>
      <c r="B248" s="145" t="n"/>
      <c r="C248" s="145" t="n"/>
      <c r="D248" s="145" t="n"/>
      <c r="E248" s="145" t="n"/>
      <c r="F248" s="145" t="n"/>
      <c r="G248" s="145" t="n"/>
      <c r="H248" s="145" t="n"/>
      <c r="I248" s="145" t="n"/>
      <c r="J248" s="145" t="n"/>
      <c r="K248" s="145" t="n"/>
      <c r="L248" s="145" t="n"/>
      <c r="M248" s="145" t="n"/>
      <c r="N248" s="145" t="n"/>
      <c r="O248" s="140" t="n"/>
      <c r="P248" s="140" t="n"/>
      <c r="Q248" s="140" t="n"/>
      <c r="R248" s="140" t="n"/>
      <c r="S248" s="140" t="n"/>
      <c r="T248" s="141" t="n"/>
      <c r="U248" s="129" t="n"/>
      <c r="V248" s="129" t="n"/>
      <c r="W248" s="145" t="n"/>
      <c r="X248" s="145" t="n"/>
      <c r="Y248" s="145" t="n"/>
      <c r="Z248" s="145" t="n"/>
    </row>
    <row r="249" ht="45.75" customHeight="1" s="222">
      <c r="A249" s="145" t="n"/>
      <c r="B249" s="145" t="n"/>
      <c r="C249" s="145" t="n"/>
      <c r="D249" s="145" t="n"/>
      <c r="E249" s="145" t="n"/>
      <c r="F249" s="145" t="n"/>
      <c r="G249" s="145" t="n"/>
      <c r="H249" s="145" t="n"/>
      <c r="I249" s="145" t="n"/>
      <c r="J249" s="145" t="n"/>
      <c r="K249" s="145" t="n"/>
      <c r="L249" s="145" t="n"/>
      <c r="M249" s="145" t="n"/>
      <c r="N249" s="145" t="n"/>
      <c r="O249" s="140" t="n"/>
      <c r="P249" s="140" t="n"/>
      <c r="Q249" s="140" t="n"/>
      <c r="R249" s="140" t="n"/>
      <c r="S249" s="140" t="n"/>
      <c r="T249" s="141" t="n"/>
      <c r="U249" s="129" t="n"/>
      <c r="V249" s="129" t="n"/>
      <c r="W249" s="145" t="n"/>
      <c r="X249" s="145" t="n"/>
      <c r="Y249" s="145" t="n"/>
      <c r="Z249" s="145" t="n"/>
    </row>
    <row r="250" ht="45.75" customHeight="1" s="222">
      <c r="A250" s="145" t="n"/>
      <c r="B250" s="145" t="n"/>
      <c r="C250" s="145" t="n"/>
      <c r="D250" s="145" t="n"/>
      <c r="E250" s="145" t="n"/>
      <c r="F250" s="145" t="n"/>
      <c r="G250" s="145" t="n"/>
      <c r="H250" s="145" t="n"/>
      <c r="I250" s="145" t="n"/>
      <c r="J250" s="145" t="n"/>
      <c r="K250" s="145" t="n"/>
      <c r="L250" s="145" t="n"/>
      <c r="M250" s="145" t="n"/>
      <c r="N250" s="145" t="n"/>
      <c r="O250" s="140" t="n"/>
      <c r="P250" s="140" t="n"/>
      <c r="Q250" s="140" t="n"/>
      <c r="R250" s="140" t="n"/>
      <c r="S250" s="140" t="n"/>
      <c r="T250" s="141" t="n"/>
      <c r="U250" s="129" t="n"/>
      <c r="V250" s="129" t="n"/>
      <c r="W250" s="145" t="n"/>
      <c r="X250" s="145" t="n"/>
      <c r="Y250" s="145" t="n"/>
      <c r="Z250" s="145" t="n"/>
    </row>
    <row r="251" ht="45.75" customHeight="1" s="222">
      <c r="A251" s="145" t="n"/>
      <c r="B251" s="145" t="n"/>
      <c r="C251" s="145" t="n"/>
      <c r="D251" s="145" t="n"/>
      <c r="E251" s="145" t="n"/>
      <c r="F251" s="145" t="n"/>
      <c r="G251" s="145" t="n"/>
      <c r="H251" s="145" t="n"/>
      <c r="I251" s="145" t="n"/>
      <c r="J251" s="145" t="n"/>
      <c r="K251" s="145" t="n"/>
      <c r="L251" s="145" t="n"/>
      <c r="M251" s="145" t="n"/>
      <c r="N251" s="145" t="n"/>
      <c r="O251" s="140" t="n"/>
      <c r="P251" s="140" t="n"/>
      <c r="Q251" s="140" t="n"/>
      <c r="R251" s="140" t="n"/>
      <c r="S251" s="140" t="n"/>
      <c r="T251" s="141" t="n"/>
      <c r="U251" s="129" t="n"/>
      <c r="V251" s="129" t="n"/>
      <c r="W251" s="145" t="n"/>
      <c r="X251" s="145" t="n"/>
      <c r="Y251" s="145" t="n"/>
      <c r="Z251" s="145" t="n"/>
    </row>
    <row r="252" ht="45.75" customHeight="1" s="222">
      <c r="A252" s="145" t="n"/>
      <c r="B252" s="145" t="n"/>
      <c r="C252" s="145" t="n"/>
      <c r="D252" s="145" t="n"/>
      <c r="E252" s="145" t="n"/>
      <c r="F252" s="145" t="n"/>
      <c r="G252" s="145" t="n"/>
      <c r="H252" s="145" t="n"/>
      <c r="I252" s="145" t="n"/>
      <c r="J252" s="145" t="n"/>
      <c r="K252" s="145" t="n"/>
      <c r="L252" s="145" t="n"/>
      <c r="M252" s="145" t="n"/>
      <c r="N252" s="145" t="n"/>
      <c r="O252" s="140" t="n"/>
      <c r="P252" s="140" t="n"/>
      <c r="Q252" s="140" t="n"/>
      <c r="R252" s="140" t="n"/>
      <c r="S252" s="140" t="n"/>
      <c r="T252" s="141" t="n"/>
      <c r="U252" s="129" t="n"/>
      <c r="V252" s="129" t="n"/>
      <c r="W252" s="145" t="n"/>
      <c r="X252" s="145" t="n"/>
      <c r="Y252" s="145" t="n"/>
      <c r="Z252" s="145" t="n"/>
    </row>
    <row r="253" ht="45.75" customHeight="1" s="222">
      <c r="A253" s="145" t="n"/>
      <c r="B253" s="145" t="n"/>
      <c r="C253" s="145" t="n"/>
      <c r="D253" s="145" t="n"/>
      <c r="E253" s="145" t="n"/>
      <c r="F253" s="145" t="n"/>
      <c r="G253" s="145" t="n"/>
      <c r="H253" s="145" t="n"/>
      <c r="I253" s="145" t="n"/>
      <c r="J253" s="145" t="n"/>
      <c r="K253" s="145" t="n"/>
      <c r="L253" s="145" t="n"/>
      <c r="M253" s="145" t="n"/>
      <c r="N253" s="145" t="n"/>
      <c r="O253" s="140" t="n"/>
      <c r="P253" s="140" t="n"/>
      <c r="Q253" s="140" t="n"/>
      <c r="R253" s="140" t="n"/>
      <c r="S253" s="140" t="n"/>
      <c r="T253" s="141" t="n"/>
      <c r="U253" s="129" t="n"/>
      <c r="V253" s="129" t="n"/>
      <c r="W253" s="145" t="n"/>
      <c r="X253" s="145" t="n"/>
      <c r="Y253" s="145" t="n"/>
      <c r="Z253" s="145" t="n"/>
    </row>
    <row r="254" ht="45.75" customHeight="1" s="222">
      <c r="A254" s="145" t="n"/>
      <c r="B254" s="145" t="n"/>
      <c r="C254" s="145" t="n"/>
      <c r="D254" s="145" t="n"/>
      <c r="E254" s="145" t="n"/>
      <c r="F254" s="145" t="n"/>
      <c r="G254" s="145" t="n"/>
      <c r="H254" s="145" t="n"/>
      <c r="I254" s="145" t="n"/>
      <c r="J254" s="145" t="n"/>
      <c r="K254" s="145" t="n"/>
      <c r="L254" s="145" t="n"/>
      <c r="M254" s="145" t="n"/>
      <c r="N254" s="145" t="n"/>
      <c r="O254" s="140" t="n"/>
      <c r="P254" s="140" t="n"/>
      <c r="Q254" s="140" t="n"/>
      <c r="R254" s="140" t="n"/>
      <c r="S254" s="140" t="n"/>
      <c r="T254" s="141" t="n"/>
      <c r="U254" s="129" t="n"/>
      <c r="V254" s="129" t="n"/>
      <c r="W254" s="145" t="n"/>
      <c r="X254" s="145" t="n"/>
      <c r="Y254" s="145" t="n"/>
      <c r="Z254" s="145" t="n"/>
    </row>
    <row r="255" ht="45.75" customHeight="1" s="222">
      <c r="A255" s="145" t="n"/>
      <c r="B255" s="145" t="n"/>
      <c r="C255" s="145" t="n"/>
      <c r="D255" s="145" t="n"/>
      <c r="E255" s="145" t="n"/>
      <c r="F255" s="145" t="n"/>
      <c r="G255" s="145" t="n"/>
      <c r="H255" s="145" t="n"/>
      <c r="I255" s="145" t="n"/>
      <c r="J255" s="145" t="n"/>
      <c r="K255" s="145" t="n"/>
      <c r="L255" s="145" t="n"/>
      <c r="M255" s="145" t="n"/>
      <c r="N255" s="145" t="n"/>
      <c r="O255" s="140" t="n"/>
      <c r="P255" s="140" t="n"/>
      <c r="Q255" s="140" t="n"/>
      <c r="R255" s="140" t="n"/>
      <c r="S255" s="140" t="n"/>
      <c r="T255" s="141" t="n"/>
      <c r="U255" s="129" t="n"/>
      <c r="V255" s="129" t="n"/>
      <c r="W255" s="145" t="n"/>
      <c r="X255" s="145" t="n"/>
      <c r="Y255" s="145" t="n"/>
      <c r="Z255" s="145" t="n"/>
    </row>
    <row r="256" ht="45.75" customHeight="1" s="222">
      <c r="A256" s="145" t="n"/>
      <c r="B256" s="145" t="n"/>
      <c r="C256" s="145" t="n"/>
      <c r="D256" s="145" t="n"/>
      <c r="E256" s="145" t="n"/>
      <c r="F256" s="145" t="n"/>
      <c r="G256" s="145" t="n"/>
      <c r="H256" s="145" t="n"/>
      <c r="I256" s="145" t="n"/>
      <c r="J256" s="145" t="n"/>
      <c r="K256" s="145" t="n"/>
      <c r="L256" s="145" t="n"/>
      <c r="M256" s="145" t="n"/>
      <c r="N256" s="145" t="n"/>
      <c r="O256" s="140" t="n"/>
      <c r="P256" s="140" t="n"/>
      <c r="Q256" s="140" t="n"/>
      <c r="R256" s="140" t="n"/>
      <c r="S256" s="140" t="n"/>
      <c r="T256" s="141" t="n"/>
      <c r="U256" s="129" t="n"/>
      <c r="V256" s="129" t="n"/>
      <c r="W256" s="145" t="n"/>
      <c r="X256" s="145" t="n"/>
      <c r="Y256" s="145" t="n"/>
      <c r="Z256" s="145" t="n"/>
    </row>
    <row r="257" ht="45.75" customHeight="1" s="222">
      <c r="A257" s="145" t="n"/>
      <c r="B257" s="145" t="n"/>
      <c r="C257" s="145" t="n"/>
      <c r="D257" s="145" t="n"/>
      <c r="E257" s="145" t="n"/>
      <c r="F257" s="145" t="n"/>
      <c r="G257" s="145" t="n"/>
      <c r="H257" s="145" t="n"/>
      <c r="I257" s="145" t="n"/>
      <c r="J257" s="145" t="n"/>
      <c r="K257" s="145" t="n"/>
      <c r="L257" s="145" t="n"/>
      <c r="M257" s="145" t="n"/>
      <c r="N257" s="145" t="n"/>
      <c r="O257" s="140" t="n"/>
      <c r="P257" s="140" t="n"/>
      <c r="Q257" s="140" t="n"/>
      <c r="R257" s="140" t="n"/>
      <c r="S257" s="140" t="n"/>
      <c r="T257" s="141" t="n"/>
      <c r="U257" s="129" t="n"/>
      <c r="V257" s="129" t="n"/>
      <c r="W257" s="145" t="n"/>
      <c r="X257" s="145" t="n"/>
      <c r="Y257" s="145" t="n"/>
      <c r="Z257" s="145" t="n"/>
    </row>
    <row r="258" ht="45.75" customHeight="1" s="222">
      <c r="A258" s="145" t="n"/>
      <c r="B258" s="145" t="n"/>
      <c r="C258" s="145" t="n"/>
      <c r="D258" s="145" t="n"/>
      <c r="E258" s="145" t="n"/>
      <c r="F258" s="145" t="n"/>
      <c r="G258" s="145" t="n"/>
      <c r="H258" s="145" t="n"/>
      <c r="I258" s="145" t="n"/>
      <c r="J258" s="145" t="n"/>
      <c r="K258" s="145" t="n"/>
      <c r="L258" s="145" t="n"/>
      <c r="M258" s="145" t="n"/>
      <c r="N258" s="145" t="n"/>
      <c r="O258" s="140" t="n"/>
      <c r="P258" s="140" t="n"/>
      <c r="Q258" s="140" t="n"/>
      <c r="R258" s="140" t="n"/>
      <c r="S258" s="140" t="n"/>
      <c r="T258" s="141" t="n"/>
      <c r="U258" s="129" t="n"/>
      <c r="V258" s="129" t="n"/>
      <c r="W258" s="145" t="n"/>
      <c r="X258" s="145" t="n"/>
      <c r="Y258" s="145" t="n"/>
      <c r="Z258" s="145" t="n"/>
    </row>
    <row r="259" ht="45.75" customHeight="1" s="222">
      <c r="A259" s="145" t="n"/>
      <c r="B259" s="145" t="n"/>
      <c r="C259" s="145" t="n"/>
      <c r="D259" s="145" t="n"/>
      <c r="E259" s="145" t="n"/>
      <c r="F259" s="145" t="n"/>
      <c r="G259" s="145" t="n"/>
      <c r="H259" s="145" t="n"/>
      <c r="I259" s="145" t="n"/>
      <c r="J259" s="145" t="n"/>
      <c r="K259" s="145" t="n"/>
      <c r="L259" s="145" t="n"/>
      <c r="M259" s="145" t="n"/>
      <c r="N259" s="145" t="n"/>
      <c r="O259" s="140" t="n"/>
      <c r="P259" s="140" t="n"/>
      <c r="Q259" s="140" t="n"/>
      <c r="R259" s="140" t="n"/>
      <c r="S259" s="140" t="n"/>
      <c r="T259" s="141" t="n"/>
      <c r="U259" s="129" t="n"/>
      <c r="V259" s="129" t="n"/>
      <c r="W259" s="145" t="n"/>
      <c r="X259" s="145" t="n"/>
      <c r="Y259" s="145" t="n"/>
      <c r="Z259" s="145" t="n"/>
    </row>
    <row r="260" ht="45.75" customHeight="1" s="222">
      <c r="A260" s="145" t="n"/>
      <c r="B260" s="145" t="n"/>
      <c r="C260" s="145" t="n"/>
      <c r="D260" s="145" t="n"/>
      <c r="E260" s="145" t="n"/>
      <c r="F260" s="145" t="n"/>
      <c r="G260" s="145" t="n"/>
      <c r="H260" s="145" t="n"/>
      <c r="I260" s="145" t="n"/>
      <c r="J260" s="145" t="n"/>
      <c r="K260" s="145" t="n"/>
      <c r="L260" s="145" t="n"/>
      <c r="M260" s="145" t="n"/>
      <c r="N260" s="145" t="n"/>
      <c r="O260" s="140" t="n"/>
      <c r="P260" s="140" t="n"/>
      <c r="Q260" s="140" t="n"/>
      <c r="R260" s="140" t="n"/>
      <c r="S260" s="140" t="n"/>
      <c r="T260" s="141" t="n"/>
      <c r="U260" s="129" t="n"/>
      <c r="V260" s="129" t="n"/>
      <c r="W260" s="145" t="n"/>
      <c r="X260" s="145" t="n"/>
      <c r="Y260" s="145" t="n"/>
      <c r="Z260" s="145" t="n"/>
    </row>
    <row r="261" ht="45.75" customHeight="1" s="222">
      <c r="A261" s="145" t="n"/>
      <c r="B261" s="145" t="n"/>
      <c r="C261" s="145" t="n"/>
      <c r="D261" s="145" t="n"/>
      <c r="E261" s="145" t="n"/>
      <c r="F261" s="145" t="n"/>
      <c r="G261" s="145" t="n"/>
      <c r="H261" s="145" t="n"/>
      <c r="I261" s="145" t="n"/>
      <c r="J261" s="145" t="n"/>
      <c r="K261" s="145" t="n"/>
      <c r="L261" s="145" t="n"/>
      <c r="M261" s="145" t="n"/>
      <c r="N261" s="145" t="n"/>
      <c r="O261" s="140" t="n"/>
      <c r="P261" s="140" t="n"/>
      <c r="Q261" s="140" t="n"/>
      <c r="R261" s="140" t="n"/>
      <c r="S261" s="140" t="n"/>
      <c r="T261" s="141" t="n"/>
      <c r="U261" s="129" t="n"/>
      <c r="V261" s="129" t="n"/>
      <c r="W261" s="145" t="n"/>
      <c r="X261" s="145" t="n"/>
      <c r="Y261" s="145" t="n"/>
      <c r="Z261" s="145" t="n"/>
    </row>
    <row r="262" ht="45.75" customHeight="1" s="222">
      <c r="A262" s="145" t="n"/>
      <c r="B262" s="145" t="n"/>
      <c r="C262" s="145" t="n"/>
      <c r="D262" s="145" t="n"/>
      <c r="E262" s="145" t="n"/>
      <c r="F262" s="145" t="n"/>
      <c r="G262" s="145" t="n"/>
      <c r="H262" s="145" t="n"/>
      <c r="I262" s="145" t="n"/>
      <c r="J262" s="145" t="n"/>
      <c r="K262" s="145" t="n"/>
      <c r="L262" s="145" t="n"/>
      <c r="M262" s="145" t="n"/>
      <c r="N262" s="145" t="n"/>
      <c r="O262" s="140" t="n"/>
      <c r="P262" s="140" t="n"/>
      <c r="Q262" s="140" t="n"/>
      <c r="R262" s="140" t="n"/>
      <c r="S262" s="140" t="n"/>
      <c r="T262" s="141" t="n"/>
      <c r="U262" s="129" t="n"/>
      <c r="V262" s="129" t="n"/>
      <c r="W262" s="145" t="n"/>
      <c r="X262" s="145" t="n"/>
      <c r="Y262" s="145" t="n"/>
      <c r="Z262" s="145" t="n"/>
    </row>
    <row r="263" ht="45.75" customHeight="1" s="222">
      <c r="A263" s="145" t="n"/>
      <c r="B263" s="145" t="n"/>
      <c r="C263" s="145" t="n"/>
      <c r="D263" s="145" t="n"/>
      <c r="E263" s="145" t="n"/>
      <c r="F263" s="145" t="n"/>
      <c r="G263" s="145" t="n"/>
      <c r="H263" s="145" t="n"/>
      <c r="I263" s="145" t="n"/>
      <c r="J263" s="145" t="n"/>
      <c r="K263" s="145" t="n"/>
      <c r="L263" s="145" t="n"/>
      <c r="M263" s="145" t="n"/>
      <c r="N263" s="145" t="n"/>
      <c r="O263" s="140" t="n"/>
      <c r="P263" s="140" t="n"/>
      <c r="Q263" s="140" t="n"/>
      <c r="R263" s="140" t="n"/>
      <c r="S263" s="140" t="n"/>
      <c r="T263" s="141" t="n"/>
      <c r="U263" s="129" t="n"/>
      <c r="V263" s="129" t="n"/>
      <c r="W263" s="145" t="n"/>
      <c r="X263" s="145" t="n"/>
      <c r="Y263" s="145" t="n"/>
      <c r="Z263" s="145" t="n"/>
    </row>
    <row r="264" ht="45.75" customHeight="1" s="222">
      <c r="A264" s="145" t="n"/>
      <c r="B264" s="145" t="n"/>
      <c r="C264" s="145" t="n"/>
      <c r="D264" s="145" t="n"/>
      <c r="E264" s="145" t="n"/>
      <c r="F264" s="145" t="n"/>
      <c r="G264" s="145" t="n"/>
      <c r="H264" s="145" t="n"/>
      <c r="I264" s="145" t="n"/>
      <c r="J264" s="145" t="n"/>
      <c r="K264" s="145" t="n"/>
      <c r="L264" s="145" t="n"/>
      <c r="M264" s="145" t="n"/>
      <c r="N264" s="145" t="n"/>
      <c r="O264" s="140" t="n"/>
      <c r="P264" s="140" t="n"/>
      <c r="Q264" s="140" t="n"/>
      <c r="R264" s="140" t="n"/>
      <c r="S264" s="140" t="n"/>
      <c r="T264" s="141" t="n"/>
      <c r="U264" s="129" t="n"/>
      <c r="V264" s="129" t="n"/>
      <c r="W264" s="145" t="n"/>
      <c r="X264" s="145" t="n"/>
      <c r="Y264" s="145" t="n"/>
      <c r="Z264" s="145" t="n"/>
    </row>
    <row r="265" ht="45.75" customHeight="1" s="222">
      <c r="A265" s="145" t="n"/>
      <c r="B265" s="145" t="n"/>
      <c r="C265" s="145" t="n"/>
      <c r="D265" s="145" t="n"/>
      <c r="E265" s="145" t="n"/>
      <c r="F265" s="145" t="n"/>
      <c r="G265" s="145" t="n"/>
      <c r="H265" s="145" t="n"/>
      <c r="I265" s="145" t="n"/>
      <c r="J265" s="145" t="n"/>
      <c r="K265" s="145" t="n"/>
      <c r="L265" s="145" t="n"/>
      <c r="M265" s="145" t="n"/>
      <c r="N265" s="145" t="n"/>
      <c r="O265" s="140" t="n"/>
      <c r="P265" s="140" t="n"/>
      <c r="Q265" s="140" t="n"/>
      <c r="R265" s="140" t="n"/>
      <c r="S265" s="140" t="n"/>
      <c r="T265" s="141" t="n"/>
      <c r="U265" s="129" t="n"/>
      <c r="V265" s="129" t="n"/>
      <c r="W265" s="145" t="n"/>
      <c r="X265" s="145" t="n"/>
      <c r="Y265" s="145" t="n"/>
      <c r="Z265" s="145" t="n"/>
    </row>
    <row r="266" ht="45.75" customHeight="1" s="222">
      <c r="A266" s="145" t="n"/>
      <c r="B266" s="145" t="n"/>
      <c r="C266" s="145" t="n"/>
      <c r="D266" s="145" t="n"/>
      <c r="E266" s="145" t="n"/>
      <c r="F266" s="145" t="n"/>
      <c r="G266" s="145" t="n"/>
      <c r="H266" s="145" t="n"/>
      <c r="I266" s="145" t="n"/>
      <c r="J266" s="145" t="n"/>
      <c r="K266" s="145" t="n"/>
      <c r="L266" s="145" t="n"/>
      <c r="M266" s="145" t="n"/>
      <c r="N266" s="145" t="n"/>
      <c r="O266" s="140" t="n"/>
      <c r="P266" s="140" t="n"/>
      <c r="Q266" s="140" t="n"/>
      <c r="R266" s="140" t="n"/>
      <c r="S266" s="140" t="n"/>
      <c r="T266" s="141" t="n"/>
      <c r="U266" s="129" t="n"/>
      <c r="V266" s="129" t="n"/>
      <c r="W266" s="145" t="n"/>
      <c r="X266" s="145" t="n"/>
      <c r="Y266" s="145" t="n"/>
      <c r="Z266" s="145" t="n"/>
    </row>
    <row r="267" ht="45.75" customHeight="1" s="222">
      <c r="A267" s="145" t="n"/>
      <c r="B267" s="145" t="n"/>
      <c r="C267" s="145" t="n"/>
      <c r="D267" s="145" t="n"/>
      <c r="E267" s="145" t="n"/>
      <c r="F267" s="145" t="n"/>
      <c r="G267" s="145" t="n"/>
      <c r="H267" s="145" t="n"/>
      <c r="I267" s="145" t="n"/>
      <c r="J267" s="145" t="n"/>
      <c r="K267" s="145" t="n"/>
      <c r="L267" s="145" t="n"/>
      <c r="M267" s="145" t="n"/>
      <c r="N267" s="145" t="n"/>
      <c r="O267" s="140" t="n"/>
      <c r="P267" s="140" t="n"/>
      <c r="Q267" s="140" t="n"/>
      <c r="R267" s="140" t="n"/>
      <c r="S267" s="140" t="n"/>
      <c r="T267" s="141" t="n"/>
      <c r="U267" s="129" t="n"/>
      <c r="V267" s="129" t="n"/>
      <c r="W267" s="145" t="n"/>
      <c r="X267" s="145" t="n"/>
      <c r="Y267" s="145" t="n"/>
      <c r="Z267" s="145" t="n"/>
    </row>
    <row r="268" ht="45.75" customHeight="1" s="222">
      <c r="A268" s="145" t="n"/>
      <c r="B268" s="145" t="n"/>
      <c r="C268" s="145" t="n"/>
      <c r="D268" s="145" t="n"/>
      <c r="E268" s="145" t="n"/>
      <c r="F268" s="145" t="n"/>
      <c r="G268" s="145" t="n"/>
      <c r="H268" s="145" t="n"/>
      <c r="I268" s="145" t="n"/>
      <c r="J268" s="145" t="n"/>
      <c r="K268" s="145" t="n"/>
      <c r="L268" s="145" t="n"/>
      <c r="M268" s="145" t="n"/>
      <c r="N268" s="145" t="n"/>
      <c r="O268" s="140" t="n"/>
      <c r="P268" s="140" t="n"/>
      <c r="Q268" s="140" t="n"/>
      <c r="R268" s="140" t="n"/>
      <c r="S268" s="140" t="n"/>
      <c r="T268" s="141" t="n"/>
      <c r="U268" s="129" t="n"/>
      <c r="V268" s="129" t="n"/>
      <c r="W268" s="145" t="n"/>
      <c r="X268" s="145" t="n"/>
      <c r="Y268" s="145" t="n"/>
      <c r="Z268" s="145" t="n"/>
    </row>
    <row r="269" ht="45.75" customHeight="1" s="222">
      <c r="A269" s="145" t="n"/>
      <c r="B269" s="145" t="n"/>
      <c r="C269" s="145" t="n"/>
      <c r="D269" s="145" t="n"/>
      <c r="E269" s="145" t="n"/>
      <c r="F269" s="145" t="n"/>
      <c r="G269" s="145" t="n"/>
      <c r="H269" s="145" t="n"/>
      <c r="I269" s="145" t="n"/>
      <c r="J269" s="145" t="n"/>
      <c r="K269" s="145" t="n"/>
      <c r="L269" s="145" t="n"/>
      <c r="M269" s="145" t="n"/>
      <c r="N269" s="145" t="n"/>
      <c r="O269" s="140" t="n"/>
      <c r="P269" s="140" t="n"/>
      <c r="Q269" s="140" t="n"/>
      <c r="R269" s="140" t="n"/>
      <c r="S269" s="140" t="n"/>
      <c r="T269" s="141" t="n"/>
      <c r="U269" s="129" t="n"/>
      <c r="V269" s="129" t="n"/>
      <c r="W269" s="145" t="n"/>
      <c r="X269" s="145" t="n"/>
      <c r="Y269" s="145" t="n"/>
      <c r="Z269" s="145" t="n"/>
    </row>
    <row r="270" ht="45.75" customHeight="1" s="222">
      <c r="A270" s="145" t="n"/>
      <c r="B270" s="145" t="n"/>
      <c r="C270" s="145" t="n"/>
      <c r="D270" s="145" t="n"/>
      <c r="E270" s="145" t="n"/>
      <c r="F270" s="145" t="n"/>
      <c r="G270" s="145" t="n"/>
      <c r="H270" s="145" t="n"/>
      <c r="I270" s="145" t="n"/>
      <c r="J270" s="145" t="n"/>
      <c r="K270" s="145" t="n"/>
      <c r="L270" s="145" t="n"/>
      <c r="M270" s="145" t="n"/>
      <c r="N270" s="145" t="n"/>
      <c r="O270" s="140" t="n"/>
      <c r="P270" s="140" t="n"/>
      <c r="Q270" s="140" t="n"/>
      <c r="R270" s="140" t="n"/>
      <c r="S270" s="140" t="n"/>
      <c r="T270" s="141" t="n"/>
      <c r="U270" s="129" t="n"/>
      <c r="V270" s="129" t="n"/>
      <c r="W270" s="145" t="n"/>
      <c r="X270" s="145" t="n"/>
      <c r="Y270" s="145" t="n"/>
      <c r="Z270" s="145" t="n"/>
    </row>
    <row r="271" ht="45.75" customHeight="1" s="222">
      <c r="A271" s="145" t="n"/>
      <c r="B271" s="145" t="n"/>
      <c r="C271" s="145" t="n"/>
      <c r="D271" s="145" t="n"/>
      <c r="E271" s="145" t="n"/>
      <c r="F271" s="145" t="n"/>
      <c r="G271" s="145" t="n"/>
      <c r="H271" s="145" t="n"/>
      <c r="I271" s="145" t="n"/>
      <c r="J271" s="145" t="n"/>
      <c r="K271" s="145" t="n"/>
      <c r="L271" s="145" t="n"/>
      <c r="M271" s="145" t="n"/>
      <c r="N271" s="145" t="n"/>
      <c r="O271" s="140" t="n"/>
      <c r="P271" s="140" t="n"/>
      <c r="Q271" s="140" t="n"/>
      <c r="R271" s="140" t="n"/>
      <c r="S271" s="140" t="n"/>
      <c r="T271" s="141" t="n"/>
      <c r="U271" s="129" t="n"/>
      <c r="V271" s="129" t="n"/>
      <c r="W271" s="145" t="n"/>
      <c r="X271" s="145" t="n"/>
      <c r="Y271" s="145" t="n"/>
      <c r="Z271" s="145" t="n"/>
    </row>
    <row r="272" ht="45.75" customHeight="1" s="222">
      <c r="A272" s="145" t="n"/>
      <c r="B272" s="145" t="n"/>
      <c r="C272" s="145" t="n"/>
      <c r="D272" s="145" t="n"/>
      <c r="E272" s="145" t="n"/>
      <c r="F272" s="145" t="n"/>
      <c r="G272" s="145" t="n"/>
      <c r="H272" s="145" t="n"/>
      <c r="I272" s="145" t="n"/>
      <c r="J272" s="145" t="n"/>
      <c r="K272" s="145" t="n"/>
      <c r="L272" s="145" t="n"/>
      <c r="M272" s="145" t="n"/>
      <c r="N272" s="145" t="n"/>
      <c r="O272" s="140" t="n"/>
      <c r="P272" s="140" t="n"/>
      <c r="Q272" s="140" t="n"/>
      <c r="R272" s="140" t="n"/>
      <c r="S272" s="140" t="n"/>
      <c r="T272" s="141" t="n"/>
      <c r="U272" s="129" t="n"/>
      <c r="V272" s="129" t="n"/>
      <c r="W272" s="145" t="n"/>
      <c r="X272" s="145" t="n"/>
      <c r="Y272" s="145" t="n"/>
      <c r="Z272" s="145" t="n"/>
    </row>
    <row r="273" ht="45.75" customHeight="1" s="222">
      <c r="A273" s="145" t="n"/>
      <c r="B273" s="145" t="n"/>
      <c r="C273" s="145" t="n"/>
      <c r="D273" s="145" t="n"/>
      <c r="E273" s="145" t="n"/>
      <c r="F273" s="145" t="n"/>
      <c r="G273" s="145" t="n"/>
      <c r="H273" s="145" t="n"/>
      <c r="I273" s="145" t="n"/>
      <c r="J273" s="145" t="n"/>
      <c r="K273" s="145" t="n"/>
      <c r="L273" s="145" t="n"/>
      <c r="M273" s="145" t="n"/>
      <c r="N273" s="145" t="n"/>
      <c r="O273" s="140" t="n"/>
      <c r="P273" s="140" t="n"/>
      <c r="Q273" s="140" t="n"/>
      <c r="R273" s="140" t="n"/>
      <c r="S273" s="140" t="n"/>
      <c r="T273" s="141" t="n"/>
      <c r="U273" s="129" t="n"/>
      <c r="V273" s="129" t="n"/>
      <c r="W273" s="145" t="n"/>
      <c r="X273" s="145" t="n"/>
      <c r="Y273" s="145" t="n"/>
      <c r="Z273" s="145" t="n"/>
    </row>
    <row r="274" ht="45.75" customHeight="1" s="222">
      <c r="A274" s="145" t="n"/>
      <c r="B274" s="145" t="n"/>
      <c r="C274" s="145" t="n"/>
      <c r="D274" s="145" t="n"/>
      <c r="E274" s="145" t="n"/>
      <c r="F274" s="145" t="n"/>
      <c r="G274" s="145" t="n"/>
      <c r="H274" s="145" t="n"/>
      <c r="I274" s="145" t="n"/>
      <c r="J274" s="145" t="n"/>
      <c r="K274" s="145" t="n"/>
      <c r="L274" s="145" t="n"/>
      <c r="M274" s="145" t="n"/>
      <c r="N274" s="145" t="n"/>
      <c r="O274" s="140" t="n"/>
      <c r="P274" s="140" t="n"/>
      <c r="Q274" s="140" t="n"/>
      <c r="R274" s="140" t="n"/>
      <c r="S274" s="140" t="n"/>
      <c r="T274" s="141" t="n"/>
      <c r="U274" s="129" t="n"/>
      <c r="V274" s="129" t="n"/>
      <c r="W274" s="145" t="n"/>
      <c r="X274" s="145" t="n"/>
      <c r="Y274" s="145" t="n"/>
      <c r="Z274" s="145" t="n"/>
    </row>
    <row r="275" ht="45.75" customHeight="1" s="222">
      <c r="A275" s="145" t="n"/>
      <c r="B275" s="145" t="n"/>
      <c r="C275" s="145" t="n"/>
      <c r="D275" s="145" t="n"/>
      <c r="E275" s="145" t="n"/>
      <c r="F275" s="145" t="n"/>
      <c r="G275" s="145" t="n"/>
      <c r="H275" s="145" t="n"/>
      <c r="I275" s="145" t="n"/>
      <c r="J275" s="145" t="n"/>
      <c r="K275" s="145" t="n"/>
      <c r="L275" s="145" t="n"/>
      <c r="M275" s="145" t="n"/>
      <c r="N275" s="145" t="n"/>
      <c r="O275" s="140" t="n"/>
      <c r="P275" s="140" t="n"/>
      <c r="Q275" s="140" t="n"/>
      <c r="R275" s="140" t="n"/>
      <c r="S275" s="140" t="n"/>
      <c r="T275" s="141" t="n"/>
      <c r="U275" s="129" t="n"/>
      <c r="V275" s="129" t="n"/>
      <c r="W275" s="145" t="n"/>
      <c r="X275" s="145" t="n"/>
      <c r="Y275" s="145" t="n"/>
      <c r="Z275" s="145" t="n"/>
    </row>
    <row r="276" ht="45.75" customHeight="1" s="222">
      <c r="A276" s="145" t="n"/>
      <c r="B276" s="145" t="n"/>
      <c r="C276" s="145" t="n"/>
      <c r="D276" s="145" t="n"/>
      <c r="E276" s="145" t="n"/>
      <c r="F276" s="145" t="n"/>
      <c r="G276" s="145" t="n"/>
      <c r="H276" s="145" t="n"/>
      <c r="I276" s="145" t="n"/>
      <c r="J276" s="145" t="n"/>
      <c r="K276" s="145" t="n"/>
      <c r="L276" s="145" t="n"/>
      <c r="M276" s="145" t="n"/>
      <c r="N276" s="145" t="n"/>
      <c r="O276" s="140" t="n"/>
      <c r="P276" s="140" t="n"/>
      <c r="Q276" s="140" t="n"/>
      <c r="R276" s="140" t="n"/>
      <c r="S276" s="140" t="n"/>
      <c r="T276" s="141" t="n"/>
      <c r="U276" s="129" t="n"/>
      <c r="V276" s="129" t="n"/>
      <c r="W276" s="145" t="n"/>
      <c r="X276" s="145" t="n"/>
      <c r="Y276" s="145" t="n"/>
      <c r="Z276" s="145" t="n"/>
    </row>
    <row r="277" ht="45.75" customHeight="1" s="222">
      <c r="A277" s="145" t="n"/>
      <c r="B277" s="145" t="n"/>
      <c r="C277" s="145" t="n"/>
      <c r="D277" s="145" t="n"/>
      <c r="E277" s="145" t="n"/>
      <c r="F277" s="145" t="n"/>
      <c r="G277" s="145" t="n"/>
      <c r="H277" s="145" t="n"/>
      <c r="I277" s="145" t="n"/>
      <c r="J277" s="145" t="n"/>
      <c r="K277" s="145" t="n"/>
      <c r="L277" s="145" t="n"/>
      <c r="M277" s="145" t="n"/>
      <c r="N277" s="145" t="n"/>
      <c r="O277" s="140" t="n"/>
      <c r="P277" s="140" t="n"/>
      <c r="Q277" s="140" t="n"/>
      <c r="R277" s="140" t="n"/>
      <c r="S277" s="140" t="n"/>
      <c r="T277" s="141" t="n"/>
      <c r="U277" s="129" t="n"/>
      <c r="V277" s="129" t="n"/>
      <c r="W277" s="145" t="n"/>
      <c r="X277" s="145" t="n"/>
      <c r="Y277" s="145" t="n"/>
      <c r="Z277" s="145" t="n"/>
    </row>
    <row r="278" ht="45.75" customHeight="1" s="222">
      <c r="A278" s="145" t="n"/>
      <c r="B278" s="145" t="n"/>
      <c r="C278" s="145" t="n"/>
      <c r="D278" s="145" t="n"/>
      <c r="E278" s="145" t="n"/>
      <c r="F278" s="145" t="n"/>
      <c r="G278" s="145" t="n"/>
      <c r="H278" s="145" t="n"/>
      <c r="I278" s="145" t="n"/>
      <c r="J278" s="145" t="n"/>
      <c r="K278" s="145" t="n"/>
      <c r="L278" s="145" t="n"/>
      <c r="M278" s="145" t="n"/>
      <c r="N278" s="145" t="n"/>
      <c r="O278" s="140" t="n"/>
      <c r="P278" s="140" t="n"/>
      <c r="Q278" s="140" t="n"/>
      <c r="R278" s="140" t="n"/>
      <c r="S278" s="140" t="n"/>
      <c r="T278" s="141" t="n"/>
      <c r="U278" s="129" t="n"/>
      <c r="V278" s="129" t="n"/>
      <c r="W278" s="145" t="n"/>
      <c r="X278" s="145" t="n"/>
      <c r="Y278" s="145" t="n"/>
      <c r="Z278" s="145" t="n"/>
    </row>
    <row r="279" ht="45.75" customHeight="1" s="222">
      <c r="A279" s="145" t="n"/>
      <c r="B279" s="145" t="n"/>
      <c r="C279" s="145" t="n"/>
      <c r="D279" s="145" t="n"/>
      <c r="E279" s="145" t="n"/>
      <c r="F279" s="145" t="n"/>
      <c r="G279" s="145" t="n"/>
      <c r="H279" s="145" t="n"/>
      <c r="I279" s="145" t="n"/>
      <c r="J279" s="145" t="n"/>
      <c r="K279" s="145" t="n"/>
      <c r="L279" s="145" t="n"/>
      <c r="M279" s="145" t="n"/>
      <c r="N279" s="145" t="n"/>
      <c r="O279" s="140" t="n"/>
      <c r="P279" s="140" t="n"/>
      <c r="Q279" s="140" t="n"/>
      <c r="R279" s="140" t="n"/>
      <c r="S279" s="140" t="n"/>
      <c r="T279" s="141" t="n"/>
      <c r="U279" s="129" t="n"/>
      <c r="V279" s="129" t="n"/>
      <c r="W279" s="145" t="n"/>
      <c r="X279" s="145" t="n"/>
      <c r="Y279" s="145" t="n"/>
      <c r="Z279" s="145" t="n"/>
    </row>
    <row r="280" ht="45.75" customHeight="1" s="222">
      <c r="A280" s="145" t="n"/>
      <c r="B280" s="145" t="n"/>
      <c r="C280" s="145" t="n"/>
      <c r="D280" s="145" t="n"/>
      <c r="E280" s="145" t="n"/>
      <c r="F280" s="145" t="n"/>
      <c r="G280" s="145" t="n"/>
      <c r="H280" s="145" t="n"/>
      <c r="I280" s="145" t="n"/>
      <c r="J280" s="145" t="n"/>
      <c r="K280" s="145" t="n"/>
      <c r="L280" s="145" t="n"/>
      <c r="M280" s="145" t="n"/>
      <c r="N280" s="145" t="n"/>
      <c r="O280" s="140" t="n"/>
      <c r="P280" s="140" t="n"/>
      <c r="Q280" s="140" t="n"/>
      <c r="R280" s="140" t="n"/>
      <c r="S280" s="140" t="n"/>
      <c r="T280" s="141" t="n"/>
      <c r="U280" s="129" t="n"/>
      <c r="V280" s="129" t="n"/>
      <c r="W280" s="145" t="n"/>
      <c r="X280" s="145" t="n"/>
      <c r="Y280" s="145" t="n"/>
      <c r="Z280" s="145" t="n"/>
    </row>
    <row r="281" ht="45.75" customHeight="1" s="222">
      <c r="A281" s="145" t="n"/>
      <c r="B281" s="145" t="n"/>
      <c r="C281" s="145" t="n"/>
      <c r="D281" s="145" t="n"/>
      <c r="E281" s="145" t="n"/>
      <c r="F281" s="145" t="n"/>
      <c r="G281" s="145" t="n"/>
      <c r="H281" s="145" t="n"/>
      <c r="I281" s="145" t="n"/>
      <c r="J281" s="145" t="n"/>
      <c r="K281" s="145" t="n"/>
      <c r="L281" s="145" t="n"/>
      <c r="M281" s="145" t="n"/>
      <c r="N281" s="145" t="n"/>
      <c r="O281" s="140" t="n"/>
      <c r="P281" s="140" t="n"/>
      <c r="Q281" s="140" t="n"/>
      <c r="R281" s="140" t="n"/>
      <c r="S281" s="140" t="n"/>
      <c r="T281" s="141" t="n"/>
      <c r="U281" s="129" t="n"/>
      <c r="V281" s="129" t="n"/>
      <c r="W281" s="145" t="n"/>
      <c r="X281" s="145" t="n"/>
      <c r="Y281" s="145" t="n"/>
      <c r="Z281" s="145" t="n"/>
    </row>
    <row r="282" ht="45.75" customHeight="1" s="222">
      <c r="A282" s="145" t="n"/>
      <c r="B282" s="145" t="n"/>
      <c r="C282" s="145" t="n"/>
      <c r="D282" s="145" t="n"/>
      <c r="E282" s="145" t="n"/>
      <c r="F282" s="145" t="n"/>
      <c r="G282" s="145" t="n"/>
      <c r="H282" s="145" t="n"/>
      <c r="I282" s="145" t="n"/>
      <c r="J282" s="145" t="n"/>
      <c r="K282" s="145" t="n"/>
      <c r="L282" s="145" t="n"/>
      <c r="M282" s="145" t="n"/>
      <c r="N282" s="145" t="n"/>
      <c r="O282" s="140" t="n"/>
      <c r="P282" s="140" t="n"/>
      <c r="Q282" s="140" t="n"/>
      <c r="R282" s="140" t="n"/>
      <c r="S282" s="140" t="n"/>
      <c r="T282" s="141" t="n"/>
      <c r="U282" s="129" t="n"/>
      <c r="V282" s="129" t="n"/>
      <c r="W282" s="145" t="n"/>
      <c r="X282" s="145" t="n"/>
      <c r="Y282" s="145" t="n"/>
      <c r="Z282" s="145" t="n"/>
    </row>
    <row r="283" ht="45.75" customHeight="1" s="222">
      <c r="A283" s="145" t="n"/>
      <c r="B283" s="145" t="n"/>
      <c r="C283" s="145" t="n"/>
      <c r="D283" s="145" t="n"/>
      <c r="E283" s="145" t="n"/>
      <c r="F283" s="145" t="n"/>
      <c r="G283" s="145" t="n"/>
      <c r="H283" s="145" t="n"/>
      <c r="I283" s="145" t="n"/>
      <c r="J283" s="145" t="n"/>
      <c r="K283" s="145" t="n"/>
      <c r="L283" s="145" t="n"/>
      <c r="M283" s="145" t="n"/>
      <c r="N283" s="145" t="n"/>
      <c r="O283" s="140" t="n"/>
      <c r="P283" s="140" t="n"/>
      <c r="Q283" s="140" t="n"/>
      <c r="R283" s="140" t="n"/>
      <c r="S283" s="140" t="n"/>
      <c r="T283" s="141" t="n"/>
      <c r="U283" s="129" t="n"/>
      <c r="V283" s="129" t="n"/>
      <c r="W283" s="145" t="n"/>
      <c r="X283" s="145" t="n"/>
      <c r="Y283" s="145" t="n"/>
      <c r="Z283" s="145" t="n"/>
    </row>
    <row r="284" ht="45.75" customHeight="1" s="222">
      <c r="A284" s="145" t="n"/>
      <c r="B284" s="145" t="n"/>
      <c r="C284" s="145" t="n"/>
      <c r="D284" s="145" t="n"/>
      <c r="E284" s="145" t="n"/>
      <c r="F284" s="145" t="n"/>
      <c r="G284" s="145" t="n"/>
      <c r="H284" s="145" t="n"/>
      <c r="I284" s="145" t="n"/>
      <c r="J284" s="145" t="n"/>
      <c r="K284" s="145" t="n"/>
      <c r="L284" s="145" t="n"/>
      <c r="M284" s="145" t="n"/>
      <c r="N284" s="145" t="n"/>
      <c r="O284" s="140" t="n"/>
      <c r="P284" s="140" t="n"/>
      <c r="Q284" s="140" t="n"/>
      <c r="R284" s="140" t="n"/>
      <c r="S284" s="140" t="n"/>
      <c r="T284" s="141" t="n"/>
      <c r="U284" s="129" t="n"/>
      <c r="V284" s="129" t="n"/>
      <c r="W284" s="145" t="n"/>
      <c r="X284" s="145" t="n"/>
      <c r="Y284" s="145" t="n"/>
      <c r="Z284" s="145" t="n"/>
    </row>
    <row r="285" ht="45.75" customHeight="1" s="222">
      <c r="A285" s="145" t="n"/>
      <c r="B285" s="145" t="n"/>
      <c r="C285" s="145" t="n"/>
      <c r="D285" s="145" t="n"/>
      <c r="E285" s="145" t="n"/>
      <c r="F285" s="145" t="n"/>
      <c r="G285" s="145" t="n"/>
      <c r="H285" s="145" t="n"/>
      <c r="I285" s="145" t="n"/>
      <c r="J285" s="145" t="n"/>
      <c r="K285" s="145" t="n"/>
      <c r="L285" s="145" t="n"/>
      <c r="M285" s="145" t="n"/>
      <c r="N285" s="145" t="n"/>
      <c r="O285" s="140" t="n"/>
      <c r="P285" s="140" t="n"/>
      <c r="Q285" s="140" t="n"/>
      <c r="R285" s="140" t="n"/>
      <c r="S285" s="140" t="n"/>
      <c r="T285" s="141" t="n"/>
      <c r="U285" s="129" t="n"/>
      <c r="V285" s="129" t="n"/>
      <c r="W285" s="145" t="n"/>
      <c r="X285" s="145" t="n"/>
      <c r="Y285" s="145" t="n"/>
      <c r="Z285" s="145" t="n"/>
    </row>
    <row r="286" ht="45.75" customHeight="1" s="222">
      <c r="A286" s="145" t="n"/>
      <c r="B286" s="145" t="n"/>
      <c r="C286" s="145" t="n"/>
      <c r="D286" s="145" t="n"/>
      <c r="E286" s="145" t="n"/>
      <c r="F286" s="145" t="n"/>
      <c r="G286" s="145" t="n"/>
      <c r="H286" s="145" t="n"/>
      <c r="I286" s="145" t="n"/>
      <c r="J286" s="145" t="n"/>
      <c r="K286" s="145" t="n"/>
      <c r="L286" s="145" t="n"/>
      <c r="M286" s="145" t="n"/>
      <c r="N286" s="145" t="n"/>
      <c r="O286" s="140" t="n"/>
      <c r="P286" s="140" t="n"/>
      <c r="Q286" s="140" t="n"/>
      <c r="R286" s="140" t="n"/>
      <c r="S286" s="140" t="n"/>
      <c r="T286" s="141" t="n"/>
      <c r="U286" s="129" t="n"/>
      <c r="V286" s="129" t="n"/>
      <c r="W286" s="145" t="n"/>
      <c r="X286" s="145" t="n"/>
      <c r="Y286" s="145" t="n"/>
      <c r="Z286" s="145" t="n"/>
    </row>
    <row r="287" ht="45.75" customHeight="1" s="222">
      <c r="A287" s="145" t="n"/>
      <c r="B287" s="145" t="n"/>
      <c r="C287" s="145" t="n"/>
      <c r="D287" s="145" t="n"/>
      <c r="E287" s="145" t="n"/>
      <c r="F287" s="145" t="n"/>
      <c r="G287" s="145" t="n"/>
      <c r="H287" s="145" t="n"/>
      <c r="I287" s="145" t="n"/>
      <c r="J287" s="145" t="n"/>
      <c r="K287" s="145" t="n"/>
      <c r="L287" s="145" t="n"/>
      <c r="M287" s="145" t="n"/>
      <c r="N287" s="145" t="n"/>
      <c r="O287" s="140" t="n"/>
      <c r="P287" s="140" t="n"/>
      <c r="Q287" s="140" t="n"/>
      <c r="R287" s="140" t="n"/>
      <c r="S287" s="140" t="n"/>
      <c r="T287" s="141" t="n"/>
      <c r="U287" s="129" t="n"/>
      <c r="V287" s="129" t="n"/>
      <c r="W287" s="145" t="n"/>
      <c r="X287" s="145" t="n"/>
      <c r="Y287" s="145" t="n"/>
      <c r="Z287" s="145" t="n"/>
    </row>
    <row r="288" ht="45.75" customHeight="1" s="222">
      <c r="A288" s="145" t="n"/>
      <c r="B288" s="145" t="n"/>
      <c r="C288" s="145" t="n"/>
      <c r="D288" s="145" t="n"/>
      <c r="E288" s="145" t="n"/>
      <c r="F288" s="145" t="n"/>
      <c r="G288" s="145" t="n"/>
      <c r="H288" s="145" t="n"/>
      <c r="I288" s="145" t="n"/>
      <c r="J288" s="145" t="n"/>
      <c r="K288" s="145" t="n"/>
      <c r="L288" s="145" t="n"/>
      <c r="M288" s="145" t="n"/>
      <c r="N288" s="145" t="n"/>
      <c r="O288" s="140" t="n"/>
      <c r="P288" s="140" t="n"/>
      <c r="Q288" s="140" t="n"/>
      <c r="R288" s="140" t="n"/>
      <c r="S288" s="140" t="n"/>
      <c r="T288" s="141" t="n"/>
      <c r="U288" s="129" t="n"/>
      <c r="V288" s="129" t="n"/>
      <c r="W288" s="145" t="n"/>
      <c r="X288" s="145" t="n"/>
      <c r="Y288" s="145" t="n"/>
      <c r="Z288" s="145" t="n"/>
    </row>
    <row r="289" ht="45.75" customHeight="1" s="222">
      <c r="A289" s="145" t="n"/>
      <c r="B289" s="145" t="n"/>
      <c r="C289" s="145" t="n"/>
      <c r="D289" s="145" t="n"/>
      <c r="E289" s="145" t="n"/>
      <c r="F289" s="145" t="n"/>
      <c r="G289" s="145" t="n"/>
      <c r="H289" s="145" t="n"/>
      <c r="I289" s="145" t="n"/>
      <c r="J289" s="145" t="n"/>
      <c r="K289" s="145" t="n"/>
      <c r="L289" s="145" t="n"/>
      <c r="M289" s="145" t="n"/>
      <c r="N289" s="145" t="n"/>
      <c r="O289" s="140" t="n"/>
      <c r="P289" s="140" t="n"/>
      <c r="Q289" s="140" t="n"/>
      <c r="R289" s="140" t="n"/>
      <c r="S289" s="140" t="n"/>
      <c r="T289" s="141" t="n"/>
      <c r="U289" s="129" t="n"/>
      <c r="V289" s="129" t="n"/>
      <c r="W289" s="145" t="n"/>
      <c r="X289" s="145" t="n"/>
      <c r="Y289" s="145" t="n"/>
      <c r="Z289" s="145" t="n"/>
    </row>
    <row r="290" ht="45.75" customHeight="1" s="222">
      <c r="A290" s="145" t="n"/>
      <c r="B290" s="145" t="n"/>
      <c r="C290" s="145" t="n"/>
      <c r="D290" s="145" t="n"/>
      <c r="E290" s="145" t="n"/>
      <c r="F290" s="145" t="n"/>
      <c r="G290" s="145" t="n"/>
      <c r="H290" s="145" t="n"/>
      <c r="I290" s="145" t="n"/>
      <c r="J290" s="145" t="n"/>
      <c r="K290" s="145" t="n"/>
      <c r="L290" s="145" t="n"/>
      <c r="M290" s="145" t="n"/>
      <c r="N290" s="145" t="n"/>
      <c r="O290" s="140" t="n"/>
      <c r="P290" s="140" t="n"/>
      <c r="Q290" s="140" t="n"/>
      <c r="R290" s="140" t="n"/>
      <c r="S290" s="140" t="n"/>
      <c r="T290" s="141" t="n"/>
      <c r="U290" s="129" t="n"/>
      <c r="V290" s="129" t="n"/>
      <c r="W290" s="145" t="n"/>
      <c r="X290" s="145" t="n"/>
      <c r="Y290" s="145" t="n"/>
      <c r="Z290" s="145" t="n"/>
    </row>
    <row r="291" ht="45.75" customHeight="1" s="222">
      <c r="A291" s="145" t="n"/>
      <c r="B291" s="145" t="n"/>
      <c r="C291" s="145" t="n"/>
      <c r="D291" s="145" t="n"/>
      <c r="E291" s="145" t="n"/>
      <c r="F291" s="145" t="n"/>
      <c r="G291" s="145" t="n"/>
      <c r="H291" s="145" t="n"/>
      <c r="I291" s="145" t="n"/>
      <c r="J291" s="145" t="n"/>
      <c r="K291" s="145" t="n"/>
      <c r="L291" s="145" t="n"/>
      <c r="M291" s="145" t="n"/>
      <c r="N291" s="145" t="n"/>
      <c r="O291" s="140" t="n"/>
      <c r="P291" s="140" t="n"/>
      <c r="Q291" s="140" t="n"/>
      <c r="R291" s="140" t="n"/>
      <c r="S291" s="140" t="n"/>
      <c r="T291" s="141" t="n"/>
      <c r="U291" s="129" t="n"/>
      <c r="V291" s="129" t="n"/>
      <c r="W291" s="145" t="n"/>
      <c r="X291" s="145" t="n"/>
      <c r="Y291" s="145" t="n"/>
      <c r="Z291" s="145" t="n"/>
    </row>
    <row r="292" ht="45.75" customHeight="1" s="222">
      <c r="A292" s="145" t="n"/>
      <c r="B292" s="145" t="n"/>
      <c r="C292" s="145" t="n"/>
      <c r="D292" s="145" t="n"/>
      <c r="E292" s="145" t="n"/>
      <c r="F292" s="145" t="n"/>
      <c r="G292" s="145" t="n"/>
      <c r="H292" s="145" t="n"/>
      <c r="I292" s="145" t="n"/>
      <c r="J292" s="145" t="n"/>
      <c r="K292" s="145" t="n"/>
      <c r="L292" s="145" t="n"/>
      <c r="M292" s="145" t="n"/>
      <c r="N292" s="145" t="n"/>
      <c r="O292" s="140" t="n"/>
      <c r="P292" s="140" t="n"/>
      <c r="Q292" s="140" t="n"/>
      <c r="R292" s="140" t="n"/>
      <c r="S292" s="140" t="n"/>
      <c r="T292" s="141" t="n"/>
      <c r="U292" s="129" t="n"/>
      <c r="V292" s="129" t="n"/>
      <c r="W292" s="145" t="n"/>
      <c r="X292" s="145" t="n"/>
      <c r="Y292" s="145" t="n"/>
      <c r="Z292" s="145" t="n"/>
    </row>
    <row r="293" ht="45.75" customHeight="1" s="222">
      <c r="A293" s="145" t="n"/>
      <c r="B293" s="145" t="n"/>
      <c r="C293" s="145" t="n"/>
      <c r="D293" s="145" t="n"/>
      <c r="E293" s="145" t="n"/>
      <c r="F293" s="145" t="n"/>
      <c r="G293" s="145" t="n"/>
      <c r="H293" s="145" t="n"/>
      <c r="I293" s="145" t="n"/>
      <c r="J293" s="145" t="n"/>
      <c r="K293" s="145" t="n"/>
      <c r="L293" s="145" t="n"/>
      <c r="M293" s="145" t="n"/>
      <c r="N293" s="145" t="n"/>
      <c r="O293" s="140" t="n"/>
      <c r="P293" s="140" t="n"/>
      <c r="Q293" s="140" t="n"/>
      <c r="R293" s="140" t="n"/>
      <c r="S293" s="140" t="n"/>
      <c r="T293" s="141" t="n"/>
      <c r="U293" s="129" t="n"/>
      <c r="V293" s="129" t="n"/>
      <c r="W293" s="145" t="n"/>
      <c r="X293" s="145" t="n"/>
      <c r="Y293" s="145" t="n"/>
      <c r="Z293" s="145" t="n"/>
    </row>
    <row r="294" ht="45.75" customHeight="1" s="222">
      <c r="A294" s="145" t="n"/>
      <c r="B294" s="145" t="n"/>
      <c r="C294" s="145" t="n"/>
      <c r="D294" s="145" t="n"/>
      <c r="E294" s="145" t="n"/>
      <c r="F294" s="145" t="n"/>
      <c r="G294" s="145" t="n"/>
      <c r="H294" s="145" t="n"/>
      <c r="I294" s="145" t="n"/>
      <c r="J294" s="145" t="n"/>
      <c r="K294" s="145" t="n"/>
      <c r="L294" s="145" t="n"/>
      <c r="M294" s="145" t="n"/>
      <c r="N294" s="145" t="n"/>
      <c r="O294" s="140" t="n"/>
      <c r="P294" s="140" t="n"/>
      <c r="Q294" s="140" t="n"/>
      <c r="R294" s="140" t="n"/>
      <c r="S294" s="140" t="n"/>
      <c r="T294" s="141" t="n"/>
      <c r="U294" s="129" t="n"/>
      <c r="V294" s="129" t="n"/>
      <c r="W294" s="145" t="n"/>
      <c r="X294" s="145" t="n"/>
      <c r="Y294" s="145" t="n"/>
      <c r="Z294" s="145" t="n"/>
    </row>
    <row r="295" ht="45.75" customHeight="1" s="222">
      <c r="A295" s="145" t="n"/>
      <c r="B295" s="145" t="n"/>
      <c r="C295" s="145" t="n"/>
      <c r="D295" s="145" t="n"/>
      <c r="E295" s="145" t="n"/>
      <c r="F295" s="145" t="n"/>
      <c r="G295" s="145" t="n"/>
      <c r="H295" s="145" t="n"/>
      <c r="I295" s="145" t="n"/>
      <c r="J295" s="145" t="n"/>
      <c r="K295" s="145" t="n"/>
      <c r="L295" s="145" t="n"/>
      <c r="M295" s="145" t="n"/>
      <c r="N295" s="145" t="n"/>
      <c r="O295" s="140" t="n"/>
      <c r="P295" s="140" t="n"/>
      <c r="Q295" s="140" t="n"/>
      <c r="R295" s="140" t="n"/>
      <c r="S295" s="140" t="n"/>
      <c r="T295" s="141" t="n"/>
      <c r="U295" s="129" t="n"/>
      <c r="V295" s="129" t="n"/>
      <c r="W295" s="145" t="n"/>
      <c r="X295" s="145" t="n"/>
      <c r="Y295" s="145" t="n"/>
      <c r="Z295" s="145" t="n"/>
    </row>
    <row r="296" ht="45.75" customHeight="1" s="222">
      <c r="A296" s="145" t="n"/>
      <c r="B296" s="145" t="n"/>
      <c r="C296" s="145" t="n"/>
      <c r="D296" s="145" t="n"/>
      <c r="E296" s="145" t="n"/>
      <c r="F296" s="145" t="n"/>
      <c r="G296" s="145" t="n"/>
      <c r="H296" s="145" t="n"/>
      <c r="I296" s="145" t="n"/>
      <c r="J296" s="145" t="n"/>
      <c r="K296" s="145" t="n"/>
      <c r="L296" s="145" t="n"/>
      <c r="M296" s="145" t="n"/>
      <c r="N296" s="145" t="n"/>
      <c r="O296" s="140" t="n"/>
      <c r="P296" s="140" t="n"/>
      <c r="Q296" s="140" t="n"/>
      <c r="R296" s="140" t="n"/>
      <c r="S296" s="140" t="n"/>
      <c r="T296" s="141" t="n"/>
      <c r="U296" s="129" t="n"/>
      <c r="V296" s="129" t="n"/>
      <c r="W296" s="145" t="n"/>
      <c r="X296" s="145" t="n"/>
      <c r="Y296" s="145" t="n"/>
      <c r="Z296" s="145" t="n"/>
    </row>
    <row r="297" ht="45.75" customHeight="1" s="222">
      <c r="A297" s="145" t="n"/>
      <c r="B297" s="145" t="n"/>
      <c r="C297" s="145" t="n"/>
      <c r="D297" s="145" t="n"/>
      <c r="E297" s="145" t="n"/>
      <c r="F297" s="145" t="n"/>
      <c r="G297" s="145" t="n"/>
      <c r="H297" s="145" t="n"/>
      <c r="I297" s="145" t="n"/>
      <c r="J297" s="145" t="n"/>
      <c r="K297" s="145" t="n"/>
      <c r="L297" s="145" t="n"/>
      <c r="M297" s="145" t="n"/>
      <c r="N297" s="145" t="n"/>
      <c r="O297" s="140" t="n"/>
      <c r="P297" s="140" t="n"/>
      <c r="Q297" s="140" t="n"/>
      <c r="R297" s="140" t="n"/>
      <c r="S297" s="140" t="n"/>
      <c r="T297" s="141" t="n"/>
      <c r="U297" s="129" t="n"/>
      <c r="V297" s="129" t="n"/>
      <c r="W297" s="145" t="n"/>
      <c r="X297" s="145" t="n"/>
      <c r="Y297" s="145" t="n"/>
      <c r="Z297" s="145" t="n"/>
    </row>
    <row r="298" ht="45.75" customHeight="1" s="222">
      <c r="A298" s="145" t="n"/>
      <c r="B298" s="145" t="n"/>
      <c r="C298" s="145" t="n"/>
      <c r="D298" s="145" t="n"/>
      <c r="E298" s="145" t="n"/>
      <c r="F298" s="145" t="n"/>
      <c r="G298" s="145" t="n"/>
      <c r="H298" s="145" t="n"/>
      <c r="I298" s="145" t="n"/>
      <c r="J298" s="145" t="n"/>
      <c r="K298" s="145" t="n"/>
      <c r="L298" s="145" t="n"/>
      <c r="M298" s="145" t="n"/>
      <c r="N298" s="145" t="n"/>
      <c r="O298" s="140" t="n"/>
      <c r="P298" s="140" t="n"/>
      <c r="Q298" s="140" t="n"/>
      <c r="R298" s="140" t="n"/>
      <c r="S298" s="140" t="n"/>
      <c r="T298" s="141" t="n"/>
      <c r="U298" s="129" t="n"/>
      <c r="V298" s="129" t="n"/>
      <c r="W298" s="145" t="n"/>
      <c r="X298" s="145" t="n"/>
      <c r="Y298" s="145" t="n"/>
      <c r="Z298" s="145" t="n"/>
    </row>
    <row r="299" ht="45.75" customHeight="1" s="222">
      <c r="A299" s="145" t="n"/>
      <c r="B299" s="145" t="n"/>
      <c r="C299" s="145" t="n"/>
      <c r="D299" s="145" t="n"/>
      <c r="E299" s="145" t="n"/>
      <c r="F299" s="145" t="n"/>
      <c r="G299" s="145" t="n"/>
      <c r="H299" s="145" t="n"/>
      <c r="I299" s="145" t="n"/>
      <c r="J299" s="145" t="n"/>
      <c r="K299" s="145" t="n"/>
      <c r="L299" s="145" t="n"/>
      <c r="M299" s="145" t="n"/>
      <c r="N299" s="145" t="n"/>
      <c r="O299" s="140" t="n"/>
      <c r="P299" s="140" t="n"/>
      <c r="Q299" s="140" t="n"/>
      <c r="R299" s="140" t="n"/>
      <c r="S299" s="140" t="n"/>
      <c r="T299" s="141" t="n"/>
      <c r="U299" s="129" t="n"/>
      <c r="V299" s="129" t="n"/>
      <c r="W299" s="145" t="n"/>
      <c r="X299" s="145" t="n"/>
      <c r="Y299" s="145" t="n"/>
      <c r="Z299" s="145" t="n"/>
    </row>
    <row r="300" ht="45.75" customHeight="1" s="222">
      <c r="A300" s="145" t="n"/>
      <c r="B300" s="145" t="n"/>
      <c r="C300" s="145" t="n"/>
      <c r="D300" s="145" t="n"/>
      <c r="E300" s="145" t="n"/>
      <c r="F300" s="145" t="n"/>
      <c r="G300" s="145" t="n"/>
      <c r="H300" s="145" t="n"/>
      <c r="I300" s="145" t="n"/>
      <c r="J300" s="145" t="n"/>
      <c r="K300" s="145" t="n"/>
      <c r="L300" s="145" t="n"/>
      <c r="M300" s="145" t="n"/>
      <c r="N300" s="145" t="n"/>
      <c r="O300" s="140" t="n"/>
      <c r="P300" s="140" t="n"/>
      <c r="Q300" s="140" t="n"/>
      <c r="R300" s="140" t="n"/>
      <c r="S300" s="140" t="n"/>
      <c r="T300" s="141" t="n"/>
      <c r="U300" s="129" t="n"/>
      <c r="V300" s="129" t="n"/>
      <c r="W300" s="145" t="n"/>
      <c r="X300" s="145" t="n"/>
      <c r="Y300" s="145" t="n"/>
      <c r="Z300" s="145" t="n"/>
    </row>
    <row r="301" ht="45.75" customHeight="1" s="222">
      <c r="A301" s="145" t="n"/>
      <c r="B301" s="145" t="n"/>
      <c r="C301" s="145" t="n"/>
      <c r="D301" s="145" t="n"/>
      <c r="E301" s="145" t="n"/>
      <c r="F301" s="145" t="n"/>
      <c r="G301" s="145" t="n"/>
      <c r="H301" s="145" t="n"/>
      <c r="I301" s="145" t="n"/>
      <c r="J301" s="145" t="n"/>
      <c r="K301" s="145" t="n"/>
      <c r="L301" s="145" t="n"/>
      <c r="M301" s="145" t="n"/>
      <c r="N301" s="145" t="n"/>
      <c r="O301" s="140" t="n"/>
      <c r="P301" s="140" t="n"/>
      <c r="Q301" s="140" t="n"/>
      <c r="R301" s="140" t="n"/>
      <c r="S301" s="140" t="n"/>
      <c r="T301" s="141" t="n"/>
      <c r="U301" s="129" t="n"/>
      <c r="V301" s="129" t="n"/>
      <c r="W301" s="145" t="n"/>
      <c r="X301" s="145" t="n"/>
      <c r="Y301" s="145" t="n"/>
      <c r="Z301" s="145" t="n"/>
    </row>
    <row r="302" ht="45.75" customHeight="1" s="222">
      <c r="A302" s="145" t="n"/>
      <c r="B302" s="145" t="n"/>
      <c r="C302" s="145" t="n"/>
      <c r="D302" s="145" t="n"/>
      <c r="E302" s="145" t="n"/>
      <c r="F302" s="145" t="n"/>
      <c r="G302" s="145" t="n"/>
      <c r="H302" s="145" t="n"/>
      <c r="I302" s="145" t="n"/>
      <c r="J302" s="145" t="n"/>
      <c r="K302" s="145" t="n"/>
      <c r="L302" s="145" t="n"/>
      <c r="M302" s="145" t="n"/>
      <c r="N302" s="145" t="n"/>
      <c r="O302" s="140" t="n"/>
      <c r="P302" s="140" t="n"/>
      <c r="Q302" s="140" t="n"/>
      <c r="R302" s="140" t="n"/>
      <c r="S302" s="140" t="n"/>
      <c r="T302" s="141" t="n"/>
      <c r="U302" s="129" t="n"/>
      <c r="V302" s="129" t="n"/>
      <c r="W302" s="145" t="n"/>
      <c r="X302" s="145" t="n"/>
      <c r="Y302" s="145" t="n"/>
      <c r="Z302" s="145" t="n"/>
    </row>
    <row r="303" ht="45.75" customHeight="1" s="222">
      <c r="A303" s="145" t="n"/>
      <c r="B303" s="145" t="n"/>
      <c r="C303" s="145" t="n"/>
      <c r="D303" s="145" t="n"/>
      <c r="E303" s="145" t="n"/>
      <c r="F303" s="145" t="n"/>
      <c r="G303" s="145" t="n"/>
      <c r="H303" s="145" t="n"/>
      <c r="I303" s="145" t="n"/>
      <c r="J303" s="145" t="n"/>
      <c r="K303" s="145" t="n"/>
      <c r="L303" s="145" t="n"/>
      <c r="M303" s="145" t="n"/>
      <c r="N303" s="145" t="n"/>
      <c r="O303" s="140" t="n"/>
      <c r="P303" s="140" t="n"/>
      <c r="Q303" s="140" t="n"/>
      <c r="R303" s="140" t="n"/>
      <c r="S303" s="140" t="n"/>
      <c r="T303" s="141" t="n"/>
      <c r="U303" s="129" t="n"/>
      <c r="V303" s="129" t="n"/>
      <c r="W303" s="145" t="n"/>
      <c r="X303" s="145" t="n"/>
      <c r="Y303" s="145" t="n"/>
      <c r="Z303" s="145" t="n"/>
    </row>
    <row r="304" ht="45.75" customHeight="1" s="222">
      <c r="A304" s="145" t="n"/>
      <c r="B304" s="145" t="n"/>
      <c r="C304" s="145" t="n"/>
      <c r="D304" s="145" t="n"/>
      <c r="E304" s="145" t="n"/>
      <c r="F304" s="145" t="n"/>
      <c r="G304" s="145" t="n"/>
      <c r="H304" s="145" t="n"/>
      <c r="I304" s="145" t="n"/>
      <c r="J304" s="145" t="n"/>
      <c r="K304" s="145" t="n"/>
      <c r="L304" s="145" t="n"/>
      <c r="M304" s="145" t="n"/>
      <c r="N304" s="145" t="n"/>
      <c r="O304" s="140" t="n"/>
      <c r="P304" s="140" t="n"/>
      <c r="Q304" s="140" t="n"/>
      <c r="R304" s="140" t="n"/>
      <c r="S304" s="140" t="n"/>
      <c r="T304" s="141" t="n"/>
      <c r="U304" s="129" t="n"/>
      <c r="V304" s="129" t="n"/>
      <c r="W304" s="145" t="n"/>
      <c r="X304" s="145" t="n"/>
      <c r="Y304" s="145" t="n"/>
      <c r="Z304" s="145" t="n"/>
    </row>
    <row r="305" ht="45.75" customHeight="1" s="222">
      <c r="A305" s="145" t="n"/>
      <c r="B305" s="145" t="n"/>
      <c r="C305" s="145" t="n"/>
      <c r="D305" s="145" t="n"/>
      <c r="E305" s="145" t="n"/>
      <c r="F305" s="145" t="n"/>
      <c r="G305" s="145" t="n"/>
      <c r="H305" s="145" t="n"/>
      <c r="I305" s="145" t="n"/>
      <c r="J305" s="145" t="n"/>
      <c r="K305" s="145" t="n"/>
      <c r="L305" s="145" t="n"/>
      <c r="M305" s="145" t="n"/>
      <c r="N305" s="145" t="n"/>
      <c r="O305" s="140" t="n"/>
      <c r="P305" s="140" t="n"/>
      <c r="Q305" s="140" t="n"/>
      <c r="R305" s="140" t="n"/>
      <c r="S305" s="140" t="n"/>
      <c r="T305" s="141" t="n"/>
      <c r="U305" s="129" t="n"/>
      <c r="V305" s="129" t="n"/>
      <c r="W305" s="145" t="n"/>
      <c r="X305" s="145" t="n"/>
      <c r="Y305" s="145" t="n"/>
      <c r="Z305" s="145" t="n"/>
    </row>
    <row r="306" ht="45.75" customHeight="1" s="222">
      <c r="A306" s="145" t="n"/>
      <c r="B306" s="145" t="n"/>
      <c r="C306" s="145" t="n"/>
      <c r="D306" s="145" t="n"/>
      <c r="E306" s="145" t="n"/>
      <c r="F306" s="145" t="n"/>
      <c r="G306" s="145" t="n"/>
      <c r="H306" s="145" t="n"/>
      <c r="I306" s="145" t="n"/>
      <c r="J306" s="145" t="n"/>
      <c r="K306" s="145" t="n"/>
      <c r="L306" s="145" t="n"/>
      <c r="M306" s="145" t="n"/>
      <c r="N306" s="145" t="n"/>
      <c r="O306" s="140" t="n"/>
      <c r="P306" s="140" t="n"/>
      <c r="Q306" s="140" t="n"/>
      <c r="R306" s="140" t="n"/>
      <c r="S306" s="140" t="n"/>
      <c r="T306" s="141" t="n"/>
      <c r="U306" s="129" t="n"/>
      <c r="V306" s="129" t="n"/>
      <c r="W306" s="145" t="n"/>
      <c r="X306" s="145" t="n"/>
      <c r="Y306" s="145" t="n"/>
      <c r="Z306" s="145" t="n"/>
    </row>
    <row r="307" ht="45.75" customHeight="1" s="222">
      <c r="A307" s="145" t="n"/>
      <c r="B307" s="145" t="n"/>
      <c r="C307" s="145" t="n"/>
      <c r="D307" s="145" t="n"/>
      <c r="E307" s="145" t="n"/>
      <c r="F307" s="145" t="n"/>
      <c r="G307" s="145" t="n"/>
      <c r="H307" s="145" t="n"/>
      <c r="I307" s="145" t="n"/>
      <c r="J307" s="145" t="n"/>
      <c r="K307" s="145" t="n"/>
      <c r="L307" s="145" t="n"/>
      <c r="M307" s="145" t="n"/>
      <c r="N307" s="145" t="n"/>
      <c r="O307" s="140" t="n"/>
      <c r="P307" s="140" t="n"/>
      <c r="Q307" s="140" t="n"/>
      <c r="R307" s="140" t="n"/>
      <c r="S307" s="140" t="n"/>
      <c r="T307" s="141" t="n"/>
      <c r="U307" s="129" t="n"/>
      <c r="V307" s="129" t="n"/>
      <c r="W307" s="145" t="n"/>
      <c r="X307" s="145" t="n"/>
      <c r="Y307" s="145" t="n"/>
      <c r="Z307" s="145" t="n"/>
    </row>
    <row r="308" ht="45.75" customHeight="1" s="222">
      <c r="A308" s="145" t="n"/>
      <c r="B308" s="145" t="n"/>
      <c r="C308" s="145" t="n"/>
      <c r="D308" s="145" t="n"/>
      <c r="E308" s="145" t="n"/>
      <c r="F308" s="145" t="n"/>
      <c r="G308" s="145" t="n"/>
      <c r="H308" s="145" t="n"/>
      <c r="I308" s="145" t="n"/>
      <c r="J308" s="145" t="n"/>
      <c r="K308" s="145" t="n"/>
      <c r="L308" s="145" t="n"/>
      <c r="M308" s="145" t="n"/>
      <c r="N308" s="145" t="n"/>
      <c r="O308" s="140" t="n"/>
      <c r="P308" s="140" t="n"/>
      <c r="Q308" s="140" t="n"/>
      <c r="R308" s="140" t="n"/>
      <c r="S308" s="140" t="n"/>
      <c r="T308" s="141" t="n"/>
      <c r="U308" s="129" t="n"/>
      <c r="V308" s="129" t="n"/>
      <c r="W308" s="145" t="n"/>
      <c r="X308" s="145" t="n"/>
      <c r="Y308" s="145" t="n"/>
      <c r="Z308" s="145" t="n"/>
    </row>
    <row r="309" ht="45.75" customHeight="1" s="222">
      <c r="A309" s="145" t="n"/>
      <c r="B309" s="145" t="n"/>
      <c r="C309" s="145" t="n"/>
      <c r="D309" s="145" t="n"/>
      <c r="E309" s="145" t="n"/>
      <c r="F309" s="145" t="n"/>
      <c r="G309" s="145" t="n"/>
      <c r="H309" s="145" t="n"/>
      <c r="I309" s="145" t="n"/>
      <c r="J309" s="145" t="n"/>
      <c r="K309" s="145" t="n"/>
      <c r="L309" s="145" t="n"/>
      <c r="M309" s="145" t="n"/>
      <c r="N309" s="145" t="n"/>
      <c r="O309" s="140" t="n"/>
      <c r="P309" s="140" t="n"/>
      <c r="Q309" s="140" t="n"/>
      <c r="R309" s="140" t="n"/>
      <c r="S309" s="140" t="n"/>
      <c r="T309" s="141" t="n"/>
      <c r="U309" s="129" t="n"/>
      <c r="V309" s="129" t="n"/>
      <c r="W309" s="145" t="n"/>
      <c r="X309" s="145" t="n"/>
      <c r="Y309" s="145" t="n"/>
      <c r="Z309" s="145" t="n"/>
    </row>
    <row r="310" ht="45.75" customHeight="1" s="222">
      <c r="A310" s="145" t="n"/>
      <c r="B310" s="145" t="n"/>
      <c r="C310" s="145" t="n"/>
      <c r="D310" s="145" t="n"/>
      <c r="E310" s="145" t="n"/>
      <c r="F310" s="145" t="n"/>
      <c r="G310" s="145" t="n"/>
      <c r="H310" s="145" t="n"/>
      <c r="I310" s="145" t="n"/>
      <c r="J310" s="145" t="n"/>
      <c r="K310" s="145" t="n"/>
      <c r="L310" s="145" t="n"/>
      <c r="M310" s="145" t="n"/>
      <c r="N310" s="145" t="n"/>
      <c r="O310" s="140" t="n"/>
      <c r="P310" s="140" t="n"/>
      <c r="Q310" s="140" t="n"/>
      <c r="R310" s="140" t="n"/>
      <c r="S310" s="140" t="n"/>
      <c r="T310" s="141" t="n"/>
      <c r="U310" s="129" t="n"/>
      <c r="V310" s="129" t="n"/>
      <c r="W310" s="145" t="n"/>
      <c r="X310" s="145" t="n"/>
      <c r="Y310" s="145" t="n"/>
      <c r="Z310" s="145" t="n"/>
    </row>
    <row r="311" ht="45.75" customHeight="1" s="222">
      <c r="A311" s="145" t="n"/>
      <c r="B311" s="145" t="n"/>
      <c r="C311" s="145" t="n"/>
      <c r="D311" s="145" t="n"/>
      <c r="E311" s="145" t="n"/>
      <c r="F311" s="145" t="n"/>
      <c r="G311" s="145" t="n"/>
      <c r="H311" s="145" t="n"/>
      <c r="I311" s="145" t="n"/>
      <c r="J311" s="145" t="n"/>
      <c r="K311" s="145" t="n"/>
      <c r="L311" s="145" t="n"/>
      <c r="M311" s="145" t="n"/>
      <c r="N311" s="145" t="n"/>
      <c r="O311" s="140" t="n"/>
      <c r="P311" s="140" t="n"/>
      <c r="Q311" s="140" t="n"/>
      <c r="R311" s="140" t="n"/>
      <c r="S311" s="140" t="n"/>
      <c r="T311" s="141" t="n"/>
      <c r="U311" s="129" t="n"/>
      <c r="V311" s="129" t="n"/>
      <c r="W311" s="145" t="n"/>
      <c r="X311" s="145" t="n"/>
      <c r="Y311" s="145" t="n"/>
      <c r="Z311" s="145" t="n"/>
    </row>
    <row r="312" ht="45.75" customHeight="1" s="222">
      <c r="A312" s="145" t="n"/>
      <c r="B312" s="145" t="n"/>
      <c r="C312" s="145" t="n"/>
      <c r="D312" s="145" t="n"/>
      <c r="E312" s="145" t="n"/>
      <c r="F312" s="145" t="n"/>
      <c r="G312" s="145" t="n"/>
      <c r="H312" s="145" t="n"/>
      <c r="I312" s="145" t="n"/>
      <c r="J312" s="145" t="n"/>
      <c r="K312" s="145" t="n"/>
      <c r="L312" s="145" t="n"/>
      <c r="M312" s="145" t="n"/>
      <c r="N312" s="145" t="n"/>
      <c r="O312" s="140" t="n"/>
      <c r="P312" s="140" t="n"/>
      <c r="Q312" s="140" t="n"/>
      <c r="R312" s="140" t="n"/>
      <c r="S312" s="140" t="n"/>
      <c r="T312" s="141" t="n"/>
      <c r="U312" s="129" t="n"/>
      <c r="V312" s="129" t="n"/>
      <c r="W312" s="145" t="n"/>
      <c r="X312" s="145" t="n"/>
      <c r="Y312" s="145" t="n"/>
      <c r="Z312" s="145" t="n"/>
    </row>
    <row r="313" ht="45.75" customHeight="1" s="222">
      <c r="A313" s="145" t="n"/>
      <c r="B313" s="145" t="n"/>
      <c r="C313" s="145" t="n"/>
      <c r="D313" s="145" t="n"/>
      <c r="E313" s="145" t="n"/>
      <c r="F313" s="145" t="n"/>
      <c r="G313" s="145" t="n"/>
      <c r="H313" s="145" t="n"/>
      <c r="I313" s="145" t="n"/>
      <c r="J313" s="145" t="n"/>
      <c r="K313" s="145" t="n"/>
      <c r="L313" s="145" t="n"/>
      <c r="M313" s="145" t="n"/>
      <c r="N313" s="145" t="n"/>
      <c r="O313" s="140" t="n"/>
      <c r="P313" s="140" t="n"/>
      <c r="Q313" s="140" t="n"/>
      <c r="R313" s="140" t="n"/>
      <c r="S313" s="140" t="n"/>
      <c r="T313" s="141" t="n"/>
      <c r="U313" s="129" t="n"/>
      <c r="V313" s="129" t="n"/>
      <c r="W313" s="145" t="n"/>
      <c r="X313" s="145" t="n"/>
      <c r="Y313" s="145" t="n"/>
      <c r="Z313" s="145" t="n"/>
    </row>
    <row r="314" ht="45.75" customHeight="1" s="222">
      <c r="A314" s="145" t="n"/>
      <c r="B314" s="145" t="n"/>
      <c r="C314" s="145" t="n"/>
      <c r="D314" s="145" t="n"/>
      <c r="E314" s="145" t="n"/>
      <c r="F314" s="145" t="n"/>
      <c r="G314" s="145" t="n"/>
      <c r="H314" s="145" t="n"/>
      <c r="I314" s="145" t="n"/>
      <c r="J314" s="145" t="n"/>
      <c r="K314" s="145" t="n"/>
      <c r="L314" s="145" t="n"/>
      <c r="M314" s="145" t="n"/>
      <c r="N314" s="145" t="n"/>
      <c r="O314" s="140" t="n"/>
      <c r="P314" s="140" t="n"/>
      <c r="Q314" s="140" t="n"/>
      <c r="R314" s="140" t="n"/>
      <c r="S314" s="140" t="n"/>
      <c r="T314" s="141" t="n"/>
      <c r="U314" s="129" t="n"/>
      <c r="V314" s="129" t="n"/>
      <c r="W314" s="145" t="n"/>
      <c r="X314" s="145" t="n"/>
      <c r="Y314" s="145" t="n"/>
      <c r="Z314" s="145" t="n"/>
    </row>
    <row r="315" ht="45.75" customHeight="1" s="222">
      <c r="A315" s="145" t="n"/>
      <c r="B315" s="145" t="n"/>
      <c r="C315" s="145" t="n"/>
      <c r="D315" s="145" t="n"/>
      <c r="E315" s="145" t="n"/>
      <c r="F315" s="145" t="n"/>
      <c r="G315" s="145" t="n"/>
      <c r="H315" s="145" t="n"/>
      <c r="I315" s="145" t="n"/>
      <c r="J315" s="145" t="n"/>
      <c r="K315" s="145" t="n"/>
      <c r="L315" s="145" t="n"/>
      <c r="M315" s="145" t="n"/>
      <c r="N315" s="145" t="n"/>
      <c r="O315" s="140" t="n"/>
      <c r="P315" s="140" t="n"/>
      <c r="Q315" s="140" t="n"/>
      <c r="R315" s="140" t="n"/>
      <c r="S315" s="140" t="n"/>
      <c r="T315" s="141" t="n"/>
      <c r="U315" s="129" t="n"/>
      <c r="V315" s="129" t="n"/>
      <c r="W315" s="145" t="n"/>
      <c r="X315" s="145" t="n"/>
      <c r="Y315" s="145" t="n"/>
      <c r="Z315" s="145" t="n"/>
    </row>
    <row r="316" ht="45.75" customHeight="1" s="222">
      <c r="A316" s="145" t="n"/>
      <c r="B316" s="145" t="n"/>
      <c r="C316" s="145" t="n"/>
      <c r="D316" s="145" t="n"/>
      <c r="E316" s="145" t="n"/>
      <c r="F316" s="145" t="n"/>
      <c r="G316" s="145" t="n"/>
      <c r="H316" s="145" t="n"/>
      <c r="I316" s="145" t="n"/>
      <c r="J316" s="145" t="n"/>
      <c r="K316" s="145" t="n"/>
      <c r="L316" s="145" t="n"/>
      <c r="M316" s="145" t="n"/>
      <c r="N316" s="145" t="n"/>
      <c r="O316" s="140" t="n"/>
      <c r="P316" s="140" t="n"/>
      <c r="Q316" s="140" t="n"/>
      <c r="R316" s="140" t="n"/>
      <c r="S316" s="140" t="n"/>
      <c r="T316" s="141" t="n"/>
      <c r="U316" s="129" t="n"/>
      <c r="V316" s="129" t="n"/>
      <c r="W316" s="145" t="n"/>
      <c r="X316" s="145" t="n"/>
      <c r="Y316" s="145" t="n"/>
      <c r="Z316" s="145" t="n"/>
    </row>
    <row r="317" ht="45.75" customHeight="1" s="222">
      <c r="A317" s="145" t="n"/>
      <c r="B317" s="145" t="n"/>
      <c r="C317" s="145" t="n"/>
      <c r="D317" s="145" t="n"/>
      <c r="E317" s="145" t="n"/>
      <c r="F317" s="145" t="n"/>
      <c r="G317" s="145" t="n"/>
      <c r="H317" s="145" t="n"/>
      <c r="I317" s="145" t="n"/>
      <c r="J317" s="145" t="n"/>
      <c r="K317" s="145" t="n"/>
      <c r="L317" s="145" t="n"/>
      <c r="M317" s="145" t="n"/>
      <c r="N317" s="145" t="n"/>
      <c r="O317" s="140" t="n"/>
      <c r="P317" s="140" t="n"/>
      <c r="Q317" s="140" t="n"/>
      <c r="R317" s="140" t="n"/>
      <c r="S317" s="140" t="n"/>
      <c r="T317" s="141" t="n"/>
      <c r="U317" s="129" t="n"/>
      <c r="V317" s="129" t="n"/>
      <c r="W317" s="145" t="n"/>
      <c r="X317" s="145" t="n"/>
      <c r="Y317" s="145" t="n"/>
      <c r="Z317" s="145" t="n"/>
    </row>
    <row r="318" ht="45.75" customHeight="1" s="222">
      <c r="A318" s="145" t="n"/>
      <c r="B318" s="145" t="n"/>
      <c r="C318" s="145" t="n"/>
      <c r="D318" s="145" t="n"/>
      <c r="E318" s="145" t="n"/>
      <c r="F318" s="145" t="n"/>
      <c r="G318" s="145" t="n"/>
      <c r="H318" s="145" t="n"/>
      <c r="I318" s="145" t="n"/>
      <c r="J318" s="145" t="n"/>
      <c r="K318" s="145" t="n"/>
      <c r="L318" s="145" t="n"/>
      <c r="M318" s="145" t="n"/>
      <c r="N318" s="145" t="n"/>
      <c r="O318" s="140" t="n"/>
      <c r="P318" s="140" t="n"/>
      <c r="Q318" s="140" t="n"/>
      <c r="R318" s="140" t="n"/>
      <c r="S318" s="140" t="n"/>
      <c r="T318" s="141" t="n"/>
      <c r="U318" s="129" t="n"/>
      <c r="V318" s="129" t="n"/>
      <c r="W318" s="145" t="n"/>
      <c r="X318" s="145" t="n"/>
      <c r="Y318" s="145" t="n"/>
      <c r="Z318" s="145" t="n"/>
    </row>
    <row r="319" ht="45.75" customHeight="1" s="222">
      <c r="A319" s="145" t="n"/>
      <c r="B319" s="145" t="n"/>
      <c r="C319" s="145" t="n"/>
      <c r="D319" s="145" t="n"/>
      <c r="E319" s="145" t="n"/>
      <c r="F319" s="145" t="n"/>
      <c r="G319" s="145" t="n"/>
      <c r="H319" s="145" t="n"/>
      <c r="I319" s="145" t="n"/>
      <c r="J319" s="145" t="n"/>
      <c r="K319" s="145" t="n"/>
      <c r="L319" s="145" t="n"/>
      <c r="M319" s="145" t="n"/>
      <c r="N319" s="145" t="n"/>
      <c r="O319" s="140" t="n"/>
      <c r="P319" s="140" t="n"/>
      <c r="Q319" s="140" t="n"/>
      <c r="R319" s="140" t="n"/>
      <c r="S319" s="140" t="n"/>
      <c r="T319" s="141" t="n"/>
      <c r="U319" s="129" t="n"/>
      <c r="V319" s="129" t="n"/>
      <c r="W319" s="145" t="n"/>
      <c r="X319" s="145" t="n"/>
      <c r="Y319" s="145" t="n"/>
      <c r="Z319" s="145" t="n"/>
    </row>
    <row r="320" ht="45.75" customHeight="1" s="222">
      <c r="A320" s="145" t="n"/>
      <c r="B320" s="145" t="n"/>
      <c r="C320" s="145" t="n"/>
      <c r="D320" s="145" t="n"/>
      <c r="E320" s="145" t="n"/>
      <c r="F320" s="145" t="n"/>
      <c r="G320" s="145" t="n"/>
      <c r="H320" s="145" t="n"/>
      <c r="I320" s="145" t="n"/>
      <c r="J320" s="145" t="n"/>
      <c r="K320" s="145" t="n"/>
      <c r="L320" s="145" t="n"/>
      <c r="M320" s="145" t="n"/>
      <c r="N320" s="145" t="n"/>
      <c r="O320" s="140" t="n"/>
      <c r="P320" s="140" t="n"/>
      <c r="Q320" s="140" t="n"/>
      <c r="R320" s="140" t="n"/>
      <c r="S320" s="140" t="n"/>
      <c r="T320" s="141" t="n"/>
      <c r="U320" s="129" t="n"/>
      <c r="V320" s="129" t="n"/>
      <c r="W320" s="145" t="n"/>
      <c r="X320" s="145" t="n"/>
      <c r="Y320" s="145" t="n"/>
      <c r="Z320" s="145" t="n"/>
    </row>
    <row r="321" ht="45.75" customHeight="1" s="222">
      <c r="A321" s="145" t="n"/>
      <c r="B321" s="145" t="n"/>
      <c r="C321" s="145" t="n"/>
      <c r="D321" s="145" t="n"/>
      <c r="E321" s="145" t="n"/>
      <c r="F321" s="145" t="n"/>
      <c r="G321" s="145" t="n"/>
      <c r="H321" s="145" t="n"/>
      <c r="I321" s="145" t="n"/>
      <c r="J321" s="145" t="n"/>
      <c r="K321" s="145" t="n"/>
      <c r="L321" s="145" t="n"/>
      <c r="M321" s="145" t="n"/>
      <c r="N321" s="145" t="n"/>
      <c r="O321" s="140" t="n"/>
      <c r="P321" s="140" t="n"/>
      <c r="Q321" s="140" t="n"/>
      <c r="R321" s="140" t="n"/>
      <c r="S321" s="140" t="n"/>
      <c r="T321" s="141" t="n"/>
      <c r="U321" s="129" t="n"/>
      <c r="V321" s="129" t="n"/>
      <c r="W321" s="145" t="n"/>
      <c r="X321" s="145" t="n"/>
      <c r="Y321" s="145" t="n"/>
      <c r="Z321" s="145" t="n"/>
    </row>
    <row r="322" ht="45.75" customHeight="1" s="222">
      <c r="A322" s="145" t="n"/>
      <c r="B322" s="145" t="n"/>
      <c r="C322" s="145" t="n"/>
      <c r="D322" s="145" t="n"/>
      <c r="E322" s="145" t="n"/>
      <c r="F322" s="145" t="n"/>
      <c r="G322" s="145" t="n"/>
      <c r="H322" s="145" t="n"/>
      <c r="I322" s="145" t="n"/>
      <c r="J322" s="145" t="n"/>
      <c r="K322" s="145" t="n"/>
      <c r="L322" s="145" t="n"/>
      <c r="M322" s="145" t="n"/>
      <c r="N322" s="145" t="n"/>
      <c r="O322" s="140" t="n"/>
      <c r="P322" s="140" t="n"/>
      <c r="Q322" s="140" t="n"/>
      <c r="R322" s="140" t="n"/>
      <c r="S322" s="140" t="n"/>
      <c r="T322" s="141" t="n"/>
      <c r="U322" s="129" t="n"/>
      <c r="V322" s="129" t="n"/>
      <c r="W322" s="145" t="n"/>
      <c r="X322" s="145" t="n"/>
      <c r="Y322" s="145" t="n"/>
      <c r="Z322" s="145" t="n"/>
    </row>
    <row r="323" ht="45.75" customHeight="1" s="222">
      <c r="A323" s="145" t="n"/>
      <c r="B323" s="145" t="n"/>
      <c r="C323" s="145" t="n"/>
      <c r="D323" s="145" t="n"/>
      <c r="E323" s="145" t="n"/>
      <c r="F323" s="145" t="n"/>
      <c r="G323" s="145" t="n"/>
      <c r="H323" s="145" t="n"/>
      <c r="I323" s="145" t="n"/>
      <c r="J323" s="145" t="n"/>
      <c r="K323" s="145" t="n"/>
      <c r="L323" s="145" t="n"/>
      <c r="M323" s="145" t="n"/>
      <c r="N323" s="145" t="n"/>
      <c r="O323" s="140" t="n"/>
      <c r="P323" s="140" t="n"/>
      <c r="Q323" s="140" t="n"/>
      <c r="R323" s="140" t="n"/>
      <c r="S323" s="140" t="n"/>
      <c r="T323" s="141" t="n"/>
      <c r="U323" s="129" t="n"/>
      <c r="V323" s="129" t="n"/>
      <c r="W323" s="145" t="n"/>
      <c r="X323" s="145" t="n"/>
      <c r="Y323" s="145" t="n"/>
      <c r="Z323" s="145" t="n"/>
    </row>
    <row r="324" ht="45.75" customHeight="1" s="222">
      <c r="A324" s="145" t="n"/>
      <c r="B324" s="145" t="n"/>
      <c r="C324" s="145" t="n"/>
      <c r="D324" s="145" t="n"/>
      <c r="E324" s="145" t="n"/>
      <c r="F324" s="145" t="n"/>
      <c r="G324" s="145" t="n"/>
      <c r="H324" s="145" t="n"/>
      <c r="I324" s="145" t="n"/>
      <c r="J324" s="145" t="n"/>
      <c r="K324" s="145" t="n"/>
      <c r="L324" s="145" t="n"/>
      <c r="M324" s="145" t="n"/>
      <c r="N324" s="145" t="n"/>
      <c r="O324" s="140" t="n"/>
      <c r="P324" s="140" t="n"/>
      <c r="Q324" s="140" t="n"/>
      <c r="R324" s="140" t="n"/>
      <c r="S324" s="140" t="n"/>
      <c r="T324" s="141" t="n"/>
      <c r="U324" s="129" t="n"/>
      <c r="V324" s="129" t="n"/>
      <c r="W324" s="145" t="n"/>
      <c r="X324" s="145" t="n"/>
      <c r="Y324" s="145" t="n"/>
      <c r="Z324" s="145" t="n"/>
    </row>
    <row r="325" ht="45.75" customHeight="1" s="222">
      <c r="A325" s="145" t="n"/>
      <c r="B325" s="145" t="n"/>
      <c r="C325" s="145" t="n"/>
      <c r="D325" s="145" t="n"/>
      <c r="E325" s="145" t="n"/>
      <c r="F325" s="145" t="n"/>
      <c r="G325" s="145" t="n"/>
      <c r="H325" s="145" t="n"/>
      <c r="I325" s="145" t="n"/>
      <c r="J325" s="145" t="n"/>
      <c r="K325" s="145" t="n"/>
      <c r="L325" s="145" t="n"/>
      <c r="M325" s="145" t="n"/>
      <c r="N325" s="145" t="n"/>
      <c r="O325" s="140" t="n"/>
      <c r="P325" s="140" t="n"/>
      <c r="Q325" s="140" t="n"/>
      <c r="R325" s="140" t="n"/>
      <c r="S325" s="140" t="n"/>
      <c r="T325" s="141" t="n"/>
      <c r="U325" s="129" t="n"/>
      <c r="V325" s="129" t="n"/>
      <c r="W325" s="145" t="n"/>
      <c r="X325" s="145" t="n"/>
      <c r="Y325" s="145" t="n"/>
      <c r="Z325" s="145" t="n"/>
    </row>
    <row r="326" ht="45.75" customHeight="1" s="222">
      <c r="A326" s="145" t="n"/>
      <c r="B326" s="145" t="n"/>
      <c r="C326" s="145" t="n"/>
      <c r="D326" s="145" t="n"/>
      <c r="E326" s="145" t="n"/>
      <c r="F326" s="145" t="n"/>
      <c r="G326" s="145" t="n"/>
      <c r="H326" s="145" t="n"/>
      <c r="I326" s="145" t="n"/>
      <c r="J326" s="145" t="n"/>
      <c r="K326" s="145" t="n"/>
      <c r="L326" s="145" t="n"/>
      <c r="M326" s="145" t="n"/>
      <c r="N326" s="145" t="n"/>
      <c r="O326" s="140" t="n"/>
      <c r="P326" s="140" t="n"/>
      <c r="Q326" s="140" t="n"/>
      <c r="R326" s="140" t="n"/>
      <c r="S326" s="140" t="n"/>
      <c r="T326" s="141" t="n"/>
      <c r="U326" s="129" t="n"/>
      <c r="V326" s="129" t="n"/>
      <c r="W326" s="145" t="n"/>
      <c r="X326" s="145" t="n"/>
      <c r="Y326" s="145" t="n"/>
      <c r="Z326" s="145" t="n"/>
    </row>
    <row r="327" ht="45.75" customHeight="1" s="222">
      <c r="A327" s="145" t="n"/>
      <c r="B327" s="145" t="n"/>
      <c r="C327" s="145" t="n"/>
      <c r="D327" s="145" t="n"/>
      <c r="E327" s="145" t="n"/>
      <c r="F327" s="145" t="n"/>
      <c r="G327" s="145" t="n"/>
      <c r="H327" s="145" t="n"/>
      <c r="I327" s="145" t="n"/>
      <c r="J327" s="145" t="n"/>
      <c r="K327" s="145" t="n"/>
      <c r="L327" s="145" t="n"/>
      <c r="M327" s="145" t="n"/>
      <c r="N327" s="145" t="n"/>
      <c r="O327" s="140" t="n"/>
      <c r="P327" s="140" t="n"/>
      <c r="Q327" s="140" t="n"/>
      <c r="R327" s="140" t="n"/>
      <c r="S327" s="140" t="n"/>
      <c r="T327" s="141" t="n"/>
      <c r="U327" s="129" t="n"/>
      <c r="V327" s="129" t="n"/>
      <c r="W327" s="145" t="n"/>
      <c r="X327" s="145" t="n"/>
      <c r="Y327" s="145" t="n"/>
      <c r="Z327" s="145" t="n"/>
    </row>
    <row r="328" ht="45.75" customHeight="1" s="222">
      <c r="A328" s="145" t="n"/>
      <c r="B328" s="145" t="n"/>
      <c r="C328" s="145" t="n"/>
      <c r="D328" s="145" t="n"/>
      <c r="E328" s="145" t="n"/>
      <c r="F328" s="145" t="n"/>
      <c r="G328" s="145" t="n"/>
      <c r="H328" s="145" t="n"/>
      <c r="I328" s="145" t="n"/>
      <c r="J328" s="145" t="n"/>
      <c r="K328" s="145" t="n"/>
      <c r="L328" s="145" t="n"/>
      <c r="M328" s="145" t="n"/>
      <c r="N328" s="145" t="n"/>
      <c r="O328" s="140" t="n"/>
      <c r="P328" s="140" t="n"/>
      <c r="Q328" s="140" t="n"/>
      <c r="R328" s="140" t="n"/>
      <c r="S328" s="140" t="n"/>
      <c r="T328" s="141" t="n"/>
      <c r="U328" s="129" t="n"/>
      <c r="V328" s="129" t="n"/>
      <c r="W328" s="145" t="n"/>
      <c r="X328" s="145" t="n"/>
      <c r="Y328" s="145" t="n"/>
      <c r="Z328" s="145" t="n"/>
    </row>
    <row r="329" ht="45.75" customHeight="1" s="222">
      <c r="A329" s="145" t="n"/>
      <c r="B329" s="145" t="n"/>
      <c r="C329" s="145" t="n"/>
      <c r="D329" s="145" t="n"/>
      <c r="E329" s="145" t="n"/>
      <c r="F329" s="145" t="n"/>
      <c r="G329" s="145" t="n"/>
      <c r="H329" s="145" t="n"/>
      <c r="I329" s="145" t="n"/>
      <c r="J329" s="145" t="n"/>
      <c r="K329" s="145" t="n"/>
      <c r="L329" s="145" t="n"/>
      <c r="M329" s="145" t="n"/>
      <c r="N329" s="145" t="n"/>
      <c r="O329" s="140" t="n"/>
      <c r="P329" s="140" t="n"/>
      <c r="Q329" s="140" t="n"/>
      <c r="R329" s="140" t="n"/>
      <c r="S329" s="140" t="n"/>
      <c r="T329" s="141" t="n"/>
      <c r="U329" s="129" t="n"/>
      <c r="V329" s="129" t="n"/>
      <c r="W329" s="145" t="n"/>
      <c r="X329" s="145" t="n"/>
      <c r="Y329" s="145" t="n"/>
      <c r="Z329" s="145" t="n"/>
    </row>
    <row r="330" ht="45.75" customHeight="1" s="222">
      <c r="A330" s="145" t="n"/>
      <c r="B330" s="145" t="n"/>
      <c r="C330" s="145" t="n"/>
      <c r="D330" s="145" t="n"/>
      <c r="E330" s="145" t="n"/>
      <c r="F330" s="145" t="n"/>
      <c r="G330" s="145" t="n"/>
      <c r="H330" s="145" t="n"/>
      <c r="I330" s="145" t="n"/>
      <c r="J330" s="145" t="n"/>
      <c r="K330" s="145" t="n"/>
      <c r="L330" s="145" t="n"/>
      <c r="M330" s="145" t="n"/>
      <c r="N330" s="145" t="n"/>
      <c r="O330" s="140" t="n"/>
      <c r="P330" s="140" t="n"/>
      <c r="Q330" s="140" t="n"/>
      <c r="R330" s="140" t="n"/>
      <c r="S330" s="140" t="n"/>
      <c r="T330" s="141" t="n"/>
      <c r="U330" s="129" t="n"/>
      <c r="V330" s="129" t="n"/>
      <c r="W330" s="145" t="n"/>
      <c r="X330" s="145" t="n"/>
      <c r="Y330" s="145" t="n"/>
      <c r="Z330" s="145" t="n"/>
    </row>
    <row r="331" ht="45.75" customHeight="1" s="222">
      <c r="A331" s="145" t="n"/>
      <c r="B331" s="145" t="n"/>
      <c r="C331" s="145" t="n"/>
      <c r="D331" s="145" t="n"/>
      <c r="E331" s="145" t="n"/>
      <c r="F331" s="145" t="n"/>
      <c r="G331" s="145" t="n"/>
      <c r="H331" s="145" t="n"/>
      <c r="I331" s="145" t="n"/>
      <c r="J331" s="145" t="n"/>
      <c r="K331" s="145" t="n"/>
      <c r="L331" s="145" t="n"/>
      <c r="M331" s="145" t="n"/>
      <c r="N331" s="145" t="n"/>
      <c r="O331" s="140" t="n"/>
      <c r="P331" s="140" t="n"/>
      <c r="Q331" s="140" t="n"/>
      <c r="R331" s="140" t="n"/>
      <c r="S331" s="140" t="n"/>
      <c r="T331" s="141" t="n"/>
      <c r="U331" s="129" t="n"/>
      <c r="V331" s="129" t="n"/>
      <c r="W331" s="145" t="n"/>
      <c r="X331" s="145" t="n"/>
      <c r="Y331" s="145" t="n"/>
      <c r="Z331" s="145" t="n"/>
    </row>
    <row r="332" ht="45.75" customHeight="1" s="222">
      <c r="A332" s="145" t="n"/>
      <c r="B332" s="145" t="n"/>
      <c r="C332" s="145" t="n"/>
      <c r="D332" s="145" t="n"/>
      <c r="E332" s="145" t="n"/>
      <c r="F332" s="145" t="n"/>
      <c r="G332" s="145" t="n"/>
      <c r="H332" s="145" t="n"/>
      <c r="I332" s="145" t="n"/>
      <c r="J332" s="145" t="n"/>
      <c r="K332" s="145" t="n"/>
      <c r="L332" s="145" t="n"/>
      <c r="M332" s="145" t="n"/>
      <c r="N332" s="145" t="n"/>
      <c r="O332" s="140" t="n"/>
      <c r="P332" s="140" t="n"/>
      <c r="Q332" s="140" t="n"/>
      <c r="R332" s="140" t="n"/>
      <c r="S332" s="140" t="n"/>
      <c r="T332" s="141" t="n"/>
      <c r="U332" s="129" t="n"/>
      <c r="V332" s="129" t="n"/>
      <c r="W332" s="145" t="n"/>
      <c r="X332" s="145" t="n"/>
      <c r="Y332" s="145" t="n"/>
      <c r="Z332" s="145" t="n"/>
    </row>
    <row r="333" ht="45.75" customHeight="1" s="222">
      <c r="A333" s="145" t="n"/>
      <c r="B333" s="145" t="n"/>
      <c r="C333" s="145" t="n"/>
      <c r="D333" s="145" t="n"/>
      <c r="E333" s="145" t="n"/>
      <c r="F333" s="145" t="n"/>
      <c r="G333" s="145" t="n"/>
      <c r="H333" s="145" t="n"/>
      <c r="I333" s="145" t="n"/>
      <c r="J333" s="145" t="n"/>
      <c r="K333" s="145" t="n"/>
      <c r="L333" s="145" t="n"/>
      <c r="M333" s="145" t="n"/>
      <c r="N333" s="145" t="n"/>
      <c r="O333" s="140" t="n"/>
      <c r="P333" s="140" t="n"/>
      <c r="Q333" s="140" t="n"/>
      <c r="R333" s="140" t="n"/>
      <c r="S333" s="140" t="n"/>
      <c r="T333" s="141" t="n"/>
      <c r="U333" s="129" t="n"/>
      <c r="V333" s="129" t="n"/>
      <c r="W333" s="145" t="n"/>
      <c r="X333" s="145" t="n"/>
      <c r="Y333" s="145" t="n"/>
      <c r="Z333" s="145" t="n"/>
    </row>
    <row r="334" ht="45.75" customHeight="1" s="222">
      <c r="A334" s="145" t="n"/>
      <c r="B334" s="145" t="n"/>
      <c r="C334" s="145" t="n"/>
      <c r="D334" s="145" t="n"/>
      <c r="E334" s="145" t="n"/>
      <c r="F334" s="145" t="n"/>
      <c r="G334" s="145" t="n"/>
      <c r="H334" s="145" t="n"/>
      <c r="I334" s="145" t="n"/>
      <c r="J334" s="145" t="n"/>
      <c r="K334" s="145" t="n"/>
      <c r="L334" s="145" t="n"/>
      <c r="M334" s="145" t="n"/>
      <c r="N334" s="145" t="n"/>
      <c r="O334" s="140" t="n"/>
      <c r="P334" s="140" t="n"/>
      <c r="Q334" s="140" t="n"/>
      <c r="R334" s="140" t="n"/>
      <c r="S334" s="140" t="n"/>
      <c r="T334" s="141" t="n"/>
      <c r="U334" s="129" t="n"/>
      <c r="V334" s="129" t="n"/>
      <c r="W334" s="145" t="n"/>
      <c r="X334" s="145" t="n"/>
      <c r="Y334" s="145" t="n"/>
      <c r="Z334" s="145" t="n"/>
    </row>
    <row r="335" ht="45.75" customHeight="1" s="222">
      <c r="A335" s="145" t="n"/>
      <c r="B335" s="145" t="n"/>
      <c r="C335" s="145" t="n"/>
      <c r="D335" s="145" t="n"/>
      <c r="E335" s="145" t="n"/>
      <c r="F335" s="145" t="n"/>
      <c r="G335" s="145" t="n"/>
      <c r="H335" s="145" t="n"/>
      <c r="I335" s="145" t="n"/>
      <c r="J335" s="145" t="n"/>
      <c r="K335" s="145" t="n"/>
      <c r="L335" s="145" t="n"/>
      <c r="M335" s="145" t="n"/>
      <c r="N335" s="145" t="n"/>
      <c r="O335" s="140" t="n"/>
      <c r="P335" s="140" t="n"/>
      <c r="Q335" s="140" t="n"/>
      <c r="R335" s="140" t="n"/>
      <c r="S335" s="140" t="n"/>
      <c r="T335" s="141" t="n"/>
      <c r="U335" s="129" t="n"/>
      <c r="V335" s="129" t="n"/>
      <c r="W335" s="145" t="n"/>
      <c r="X335" s="145" t="n"/>
      <c r="Y335" s="145" t="n"/>
      <c r="Z335" s="145" t="n"/>
    </row>
    <row r="336" ht="45.75" customHeight="1" s="222">
      <c r="A336" s="145" t="n"/>
      <c r="B336" s="145" t="n"/>
      <c r="C336" s="145" t="n"/>
      <c r="D336" s="145" t="n"/>
      <c r="E336" s="145" t="n"/>
      <c r="F336" s="145" t="n"/>
      <c r="G336" s="145" t="n"/>
      <c r="H336" s="145" t="n"/>
      <c r="I336" s="145" t="n"/>
      <c r="J336" s="145" t="n"/>
      <c r="K336" s="145" t="n"/>
      <c r="L336" s="145" t="n"/>
      <c r="M336" s="145" t="n"/>
      <c r="N336" s="145" t="n"/>
      <c r="O336" s="140" t="n"/>
      <c r="P336" s="140" t="n"/>
      <c r="Q336" s="140" t="n"/>
      <c r="R336" s="140" t="n"/>
      <c r="S336" s="140" t="n"/>
      <c r="T336" s="141" t="n"/>
      <c r="U336" s="129" t="n"/>
      <c r="V336" s="129" t="n"/>
      <c r="W336" s="145" t="n"/>
      <c r="X336" s="145" t="n"/>
      <c r="Y336" s="145" t="n"/>
      <c r="Z336" s="145" t="n"/>
    </row>
    <row r="337" ht="45.75" customHeight="1" s="222">
      <c r="A337" s="145" t="n"/>
      <c r="B337" s="145" t="n"/>
      <c r="C337" s="145" t="n"/>
      <c r="D337" s="145" t="n"/>
      <c r="E337" s="145" t="n"/>
      <c r="F337" s="145" t="n"/>
      <c r="G337" s="145" t="n"/>
      <c r="H337" s="145" t="n"/>
      <c r="I337" s="145" t="n"/>
      <c r="J337" s="145" t="n"/>
      <c r="K337" s="145" t="n"/>
      <c r="L337" s="145" t="n"/>
      <c r="M337" s="145" t="n"/>
      <c r="N337" s="145" t="n"/>
      <c r="O337" s="140" t="n"/>
      <c r="P337" s="140" t="n"/>
      <c r="Q337" s="140" t="n"/>
      <c r="R337" s="140" t="n"/>
      <c r="S337" s="140" t="n"/>
      <c r="T337" s="141" t="n"/>
      <c r="U337" s="129" t="n"/>
      <c r="V337" s="129" t="n"/>
      <c r="W337" s="145" t="n"/>
      <c r="X337" s="145" t="n"/>
      <c r="Y337" s="145" t="n"/>
      <c r="Z337" s="145" t="n"/>
    </row>
    <row r="338" ht="45.75" customHeight="1" s="222">
      <c r="A338" s="145" t="n"/>
      <c r="B338" s="145" t="n"/>
      <c r="C338" s="145" t="n"/>
      <c r="D338" s="145" t="n"/>
      <c r="E338" s="145" t="n"/>
      <c r="F338" s="145" t="n"/>
      <c r="G338" s="145" t="n"/>
      <c r="H338" s="145" t="n"/>
      <c r="I338" s="145" t="n"/>
      <c r="J338" s="145" t="n"/>
      <c r="K338" s="145" t="n"/>
      <c r="L338" s="145" t="n"/>
      <c r="M338" s="145" t="n"/>
      <c r="N338" s="145" t="n"/>
      <c r="O338" s="140" t="n"/>
      <c r="P338" s="140" t="n"/>
      <c r="Q338" s="140" t="n"/>
      <c r="R338" s="140" t="n"/>
      <c r="S338" s="140" t="n"/>
      <c r="T338" s="141" t="n"/>
      <c r="U338" s="129" t="n"/>
      <c r="V338" s="129" t="n"/>
      <c r="W338" s="145" t="n"/>
      <c r="X338" s="145" t="n"/>
      <c r="Y338" s="145" t="n"/>
      <c r="Z338" s="145" t="n"/>
    </row>
    <row r="339" ht="45.75" customHeight="1" s="222">
      <c r="A339" s="145" t="n"/>
      <c r="B339" s="145" t="n"/>
      <c r="C339" s="145" t="n"/>
      <c r="D339" s="145" t="n"/>
      <c r="E339" s="145" t="n"/>
      <c r="F339" s="145" t="n"/>
      <c r="G339" s="145" t="n"/>
      <c r="H339" s="145" t="n"/>
      <c r="I339" s="145" t="n"/>
      <c r="J339" s="145" t="n"/>
      <c r="K339" s="145" t="n"/>
      <c r="L339" s="145" t="n"/>
      <c r="M339" s="145" t="n"/>
      <c r="N339" s="145" t="n"/>
      <c r="O339" s="140" t="n"/>
      <c r="P339" s="140" t="n"/>
      <c r="Q339" s="140" t="n"/>
      <c r="R339" s="140" t="n"/>
      <c r="S339" s="140" t="n"/>
      <c r="T339" s="141" t="n"/>
      <c r="U339" s="129" t="n"/>
      <c r="V339" s="129" t="n"/>
      <c r="W339" s="145" t="n"/>
      <c r="X339" s="145" t="n"/>
      <c r="Y339" s="145" t="n"/>
      <c r="Z339" s="145" t="n"/>
    </row>
    <row r="340" ht="45.75" customHeight="1" s="222">
      <c r="A340" s="145" t="n"/>
      <c r="B340" s="145" t="n"/>
      <c r="C340" s="145" t="n"/>
      <c r="D340" s="145" t="n"/>
      <c r="E340" s="145" t="n"/>
      <c r="F340" s="145" t="n"/>
      <c r="G340" s="145" t="n"/>
      <c r="H340" s="145" t="n"/>
      <c r="I340" s="145" t="n"/>
      <c r="J340" s="145" t="n"/>
      <c r="K340" s="145" t="n"/>
      <c r="L340" s="145" t="n"/>
      <c r="M340" s="145" t="n"/>
      <c r="N340" s="145" t="n"/>
      <c r="O340" s="140" t="n"/>
      <c r="P340" s="140" t="n"/>
      <c r="Q340" s="140" t="n"/>
      <c r="R340" s="140" t="n"/>
      <c r="S340" s="140" t="n"/>
      <c r="T340" s="141" t="n"/>
      <c r="U340" s="129" t="n"/>
      <c r="V340" s="129" t="n"/>
      <c r="W340" s="145" t="n"/>
      <c r="X340" s="145" t="n"/>
      <c r="Y340" s="145" t="n"/>
      <c r="Z340" s="145" t="n"/>
    </row>
    <row r="341" ht="45.75" customHeight="1" s="222">
      <c r="A341" s="145" t="n"/>
      <c r="B341" s="145" t="n"/>
      <c r="C341" s="145" t="n"/>
      <c r="D341" s="145" t="n"/>
      <c r="E341" s="145" t="n"/>
      <c r="F341" s="145" t="n"/>
      <c r="G341" s="145" t="n"/>
      <c r="H341" s="145" t="n"/>
      <c r="I341" s="145" t="n"/>
      <c r="J341" s="145" t="n"/>
      <c r="K341" s="145" t="n"/>
      <c r="L341" s="145" t="n"/>
      <c r="M341" s="145" t="n"/>
      <c r="N341" s="145" t="n"/>
      <c r="O341" s="140" t="n"/>
      <c r="P341" s="140" t="n"/>
      <c r="Q341" s="140" t="n"/>
      <c r="R341" s="140" t="n"/>
      <c r="S341" s="140" t="n"/>
      <c r="T341" s="141" t="n"/>
      <c r="U341" s="129" t="n"/>
      <c r="V341" s="129" t="n"/>
      <c r="W341" s="145" t="n"/>
      <c r="X341" s="145" t="n"/>
      <c r="Y341" s="145" t="n"/>
      <c r="Z341" s="145" t="n"/>
    </row>
    <row r="342" ht="45.75" customHeight="1" s="222">
      <c r="A342" s="145" t="n"/>
      <c r="B342" s="145" t="n"/>
      <c r="C342" s="145" t="n"/>
      <c r="D342" s="145" t="n"/>
      <c r="E342" s="145" t="n"/>
      <c r="F342" s="145" t="n"/>
      <c r="G342" s="145" t="n"/>
      <c r="H342" s="145" t="n"/>
      <c r="I342" s="145" t="n"/>
      <c r="J342" s="145" t="n"/>
      <c r="K342" s="145" t="n"/>
      <c r="L342" s="145" t="n"/>
      <c r="M342" s="145" t="n"/>
      <c r="N342" s="145" t="n"/>
      <c r="O342" s="140" t="n"/>
      <c r="P342" s="140" t="n"/>
      <c r="Q342" s="140" t="n"/>
      <c r="R342" s="140" t="n"/>
      <c r="S342" s="140" t="n"/>
      <c r="T342" s="141" t="n"/>
      <c r="U342" s="129" t="n"/>
      <c r="V342" s="129" t="n"/>
      <c r="W342" s="145" t="n"/>
      <c r="X342" s="145" t="n"/>
      <c r="Y342" s="145" t="n"/>
      <c r="Z342" s="145" t="n"/>
    </row>
    <row r="343" ht="45.75" customHeight="1" s="222">
      <c r="A343" s="145" t="n"/>
      <c r="B343" s="145" t="n"/>
      <c r="C343" s="145" t="n"/>
      <c r="D343" s="145" t="n"/>
      <c r="E343" s="145" t="n"/>
      <c r="F343" s="145" t="n"/>
      <c r="G343" s="145" t="n"/>
      <c r="H343" s="145" t="n"/>
      <c r="I343" s="145" t="n"/>
      <c r="J343" s="145" t="n"/>
      <c r="K343" s="145" t="n"/>
      <c r="L343" s="145" t="n"/>
      <c r="M343" s="145" t="n"/>
      <c r="N343" s="145" t="n"/>
      <c r="O343" s="140" t="n"/>
      <c r="P343" s="140" t="n"/>
      <c r="Q343" s="140" t="n"/>
      <c r="R343" s="140" t="n"/>
      <c r="S343" s="140" t="n"/>
      <c r="T343" s="141" t="n"/>
      <c r="U343" s="129" t="n"/>
      <c r="V343" s="129" t="n"/>
      <c r="W343" s="145" t="n"/>
      <c r="X343" s="145" t="n"/>
      <c r="Y343" s="145" t="n"/>
      <c r="Z343" s="145" t="n"/>
    </row>
    <row r="344" ht="45.75" customHeight="1" s="222">
      <c r="A344" s="145" t="n"/>
      <c r="B344" s="145" t="n"/>
      <c r="C344" s="145" t="n"/>
      <c r="D344" s="145" t="n"/>
      <c r="E344" s="145" t="n"/>
      <c r="F344" s="145" t="n"/>
      <c r="G344" s="145" t="n"/>
      <c r="H344" s="145" t="n"/>
      <c r="I344" s="145" t="n"/>
      <c r="J344" s="145" t="n"/>
      <c r="K344" s="145" t="n"/>
      <c r="L344" s="145" t="n"/>
      <c r="M344" s="145" t="n"/>
      <c r="N344" s="145" t="n"/>
      <c r="O344" s="140" t="n"/>
      <c r="P344" s="140" t="n"/>
      <c r="Q344" s="140" t="n"/>
      <c r="R344" s="140" t="n"/>
      <c r="S344" s="140" t="n"/>
      <c r="T344" s="141" t="n"/>
      <c r="U344" s="129" t="n"/>
      <c r="V344" s="129" t="n"/>
      <c r="W344" s="145" t="n"/>
      <c r="X344" s="145" t="n"/>
      <c r="Y344" s="145" t="n"/>
      <c r="Z344" s="145" t="n"/>
    </row>
    <row r="345" ht="45.75" customHeight="1" s="222">
      <c r="A345" s="145" t="n"/>
      <c r="B345" s="145" t="n"/>
      <c r="C345" s="145" t="n"/>
      <c r="D345" s="145" t="n"/>
      <c r="E345" s="145" t="n"/>
      <c r="F345" s="145" t="n"/>
      <c r="G345" s="145" t="n"/>
      <c r="H345" s="145" t="n"/>
      <c r="I345" s="145" t="n"/>
      <c r="J345" s="145" t="n"/>
      <c r="K345" s="145" t="n"/>
      <c r="L345" s="145" t="n"/>
      <c r="M345" s="145" t="n"/>
      <c r="N345" s="145" t="n"/>
      <c r="O345" s="140" t="n"/>
      <c r="P345" s="140" t="n"/>
      <c r="Q345" s="140" t="n"/>
      <c r="R345" s="140" t="n"/>
      <c r="S345" s="140" t="n"/>
      <c r="T345" s="141" t="n"/>
      <c r="U345" s="129" t="n"/>
      <c r="V345" s="129" t="n"/>
      <c r="W345" s="145" t="n"/>
      <c r="X345" s="145" t="n"/>
      <c r="Y345" s="145" t="n"/>
      <c r="Z345" s="145" t="n"/>
    </row>
    <row r="346" ht="45.75" customHeight="1" s="222">
      <c r="A346" s="145" t="n"/>
      <c r="B346" s="145" t="n"/>
      <c r="C346" s="145" t="n"/>
      <c r="D346" s="145" t="n"/>
      <c r="E346" s="145" t="n"/>
      <c r="F346" s="145" t="n"/>
      <c r="G346" s="145" t="n"/>
      <c r="H346" s="145" t="n"/>
      <c r="I346" s="145" t="n"/>
      <c r="J346" s="145" t="n"/>
      <c r="K346" s="145" t="n"/>
      <c r="L346" s="145" t="n"/>
      <c r="M346" s="145" t="n"/>
      <c r="N346" s="145" t="n"/>
      <c r="O346" s="140" t="n"/>
      <c r="P346" s="140" t="n"/>
      <c r="Q346" s="140" t="n"/>
      <c r="R346" s="140" t="n"/>
      <c r="S346" s="140" t="n"/>
      <c r="T346" s="141" t="n"/>
      <c r="U346" s="129" t="n"/>
      <c r="V346" s="129" t="n"/>
      <c r="W346" s="145" t="n"/>
      <c r="X346" s="145" t="n"/>
      <c r="Y346" s="145" t="n"/>
      <c r="Z346" s="145" t="n"/>
    </row>
    <row r="347" ht="45.75" customHeight="1" s="222">
      <c r="A347" s="145" t="n"/>
      <c r="B347" s="145" t="n"/>
      <c r="C347" s="145" t="n"/>
      <c r="D347" s="145" t="n"/>
      <c r="E347" s="145" t="n"/>
      <c r="F347" s="145" t="n"/>
      <c r="G347" s="145" t="n"/>
      <c r="H347" s="145" t="n"/>
      <c r="I347" s="145" t="n"/>
      <c r="J347" s="145" t="n"/>
      <c r="K347" s="145" t="n"/>
      <c r="L347" s="145" t="n"/>
      <c r="M347" s="145" t="n"/>
      <c r="N347" s="145" t="n"/>
      <c r="O347" s="140" t="n"/>
      <c r="P347" s="140" t="n"/>
      <c r="Q347" s="140" t="n"/>
      <c r="R347" s="140" t="n"/>
      <c r="S347" s="140" t="n"/>
      <c r="T347" s="141" t="n"/>
      <c r="U347" s="129" t="n"/>
      <c r="V347" s="129" t="n"/>
      <c r="W347" s="145" t="n"/>
      <c r="X347" s="145" t="n"/>
      <c r="Y347" s="145" t="n"/>
      <c r="Z347" s="145" t="n"/>
    </row>
    <row r="348" ht="45.75" customHeight="1" s="222">
      <c r="A348" s="145" t="n"/>
      <c r="B348" s="145" t="n"/>
      <c r="C348" s="145" t="n"/>
      <c r="D348" s="145" t="n"/>
      <c r="E348" s="145" t="n"/>
      <c r="F348" s="145" t="n"/>
      <c r="G348" s="145" t="n"/>
      <c r="H348" s="145" t="n"/>
      <c r="I348" s="145" t="n"/>
      <c r="J348" s="145" t="n"/>
      <c r="K348" s="145" t="n"/>
      <c r="L348" s="145" t="n"/>
      <c r="M348" s="145" t="n"/>
      <c r="N348" s="145" t="n"/>
      <c r="O348" s="140" t="n"/>
      <c r="P348" s="140" t="n"/>
      <c r="Q348" s="140" t="n"/>
      <c r="R348" s="140" t="n"/>
      <c r="S348" s="140" t="n"/>
      <c r="T348" s="141" t="n"/>
      <c r="U348" s="129" t="n"/>
      <c r="V348" s="129" t="n"/>
      <c r="W348" s="145" t="n"/>
      <c r="X348" s="145" t="n"/>
      <c r="Y348" s="145" t="n"/>
      <c r="Z348" s="145" t="n"/>
    </row>
    <row r="349" ht="45.75" customHeight="1" s="222">
      <c r="A349" s="145" t="n"/>
      <c r="B349" s="145" t="n"/>
      <c r="C349" s="145" t="n"/>
      <c r="D349" s="145" t="n"/>
      <c r="E349" s="145" t="n"/>
      <c r="F349" s="145" t="n"/>
      <c r="G349" s="145" t="n"/>
      <c r="H349" s="145" t="n"/>
      <c r="I349" s="145" t="n"/>
      <c r="J349" s="145" t="n"/>
      <c r="K349" s="145" t="n"/>
      <c r="L349" s="145" t="n"/>
      <c r="M349" s="145" t="n"/>
      <c r="N349" s="145" t="n"/>
      <c r="O349" s="140" t="n"/>
      <c r="P349" s="140" t="n"/>
      <c r="Q349" s="140" t="n"/>
      <c r="R349" s="140" t="n"/>
      <c r="S349" s="140" t="n"/>
      <c r="T349" s="141" t="n"/>
      <c r="U349" s="129" t="n"/>
      <c r="V349" s="129" t="n"/>
      <c r="W349" s="145" t="n"/>
      <c r="X349" s="145" t="n"/>
      <c r="Y349" s="145" t="n"/>
      <c r="Z349" s="145" t="n"/>
    </row>
    <row r="350" ht="45.75" customHeight="1" s="222">
      <c r="A350" s="145" t="n"/>
      <c r="B350" s="145" t="n"/>
      <c r="C350" s="145" t="n"/>
      <c r="D350" s="145" t="n"/>
      <c r="E350" s="145" t="n"/>
      <c r="F350" s="145" t="n"/>
      <c r="G350" s="145" t="n"/>
      <c r="H350" s="145" t="n"/>
      <c r="I350" s="145" t="n"/>
      <c r="J350" s="145" t="n"/>
      <c r="K350" s="145" t="n"/>
      <c r="L350" s="145" t="n"/>
      <c r="M350" s="145" t="n"/>
      <c r="N350" s="145" t="n"/>
      <c r="O350" s="140" t="n"/>
      <c r="P350" s="140" t="n"/>
      <c r="Q350" s="140" t="n"/>
      <c r="R350" s="140" t="n"/>
      <c r="S350" s="140" t="n"/>
      <c r="T350" s="141" t="n"/>
      <c r="U350" s="129" t="n"/>
      <c r="V350" s="129" t="n"/>
      <c r="W350" s="145" t="n"/>
      <c r="X350" s="145" t="n"/>
      <c r="Y350" s="145" t="n"/>
      <c r="Z350" s="145" t="n"/>
    </row>
    <row r="351" ht="45.75" customHeight="1" s="222">
      <c r="A351" s="145" t="n"/>
      <c r="B351" s="145" t="n"/>
      <c r="C351" s="145" t="n"/>
      <c r="D351" s="145" t="n"/>
      <c r="E351" s="145" t="n"/>
      <c r="F351" s="145" t="n"/>
      <c r="G351" s="145" t="n"/>
      <c r="H351" s="145" t="n"/>
      <c r="I351" s="145" t="n"/>
      <c r="J351" s="145" t="n"/>
      <c r="K351" s="145" t="n"/>
      <c r="L351" s="145" t="n"/>
      <c r="M351" s="145" t="n"/>
      <c r="N351" s="145" t="n"/>
      <c r="O351" s="140" t="n"/>
      <c r="P351" s="140" t="n"/>
      <c r="Q351" s="140" t="n"/>
      <c r="R351" s="140" t="n"/>
      <c r="S351" s="140" t="n"/>
      <c r="T351" s="141" t="n"/>
      <c r="U351" s="129" t="n"/>
      <c r="V351" s="129" t="n"/>
      <c r="W351" s="145" t="n"/>
      <c r="X351" s="145" t="n"/>
      <c r="Y351" s="145" t="n"/>
      <c r="Z351" s="145" t="n"/>
    </row>
    <row r="352" ht="45.75" customHeight="1" s="222">
      <c r="A352" s="145" t="n"/>
      <c r="B352" s="145" t="n"/>
      <c r="C352" s="145" t="n"/>
      <c r="D352" s="145" t="n"/>
      <c r="E352" s="145" t="n"/>
      <c r="F352" s="145" t="n"/>
      <c r="G352" s="145" t="n"/>
      <c r="H352" s="145" t="n"/>
      <c r="I352" s="145" t="n"/>
      <c r="J352" s="145" t="n"/>
      <c r="K352" s="145" t="n"/>
      <c r="L352" s="145" t="n"/>
      <c r="M352" s="145" t="n"/>
      <c r="N352" s="145" t="n"/>
      <c r="O352" s="140" t="n"/>
      <c r="P352" s="140" t="n"/>
      <c r="Q352" s="140" t="n"/>
      <c r="R352" s="140" t="n"/>
      <c r="S352" s="140" t="n"/>
      <c r="T352" s="141" t="n"/>
      <c r="U352" s="129" t="n"/>
      <c r="V352" s="129" t="n"/>
      <c r="W352" s="145" t="n"/>
      <c r="X352" s="145" t="n"/>
      <c r="Y352" s="145" t="n"/>
      <c r="Z352" s="145" t="n"/>
    </row>
    <row r="353" ht="45.75" customHeight="1" s="222">
      <c r="A353" s="145" t="n"/>
      <c r="B353" s="145" t="n"/>
      <c r="C353" s="145" t="n"/>
      <c r="D353" s="145" t="n"/>
      <c r="E353" s="145" t="n"/>
      <c r="F353" s="145" t="n"/>
      <c r="G353" s="145" t="n"/>
      <c r="H353" s="145" t="n"/>
      <c r="I353" s="145" t="n"/>
      <c r="J353" s="145" t="n"/>
      <c r="K353" s="145" t="n"/>
      <c r="L353" s="145" t="n"/>
      <c r="M353" s="145" t="n"/>
      <c r="N353" s="145" t="n"/>
      <c r="O353" s="140" t="n"/>
      <c r="P353" s="140" t="n"/>
      <c r="Q353" s="140" t="n"/>
      <c r="R353" s="140" t="n"/>
      <c r="S353" s="140" t="n"/>
      <c r="T353" s="141" t="n"/>
      <c r="U353" s="129" t="n"/>
      <c r="V353" s="129" t="n"/>
      <c r="W353" s="145" t="n"/>
      <c r="X353" s="145" t="n"/>
      <c r="Y353" s="145" t="n"/>
      <c r="Z353" s="145" t="n"/>
    </row>
    <row r="354" ht="45.75" customHeight="1" s="222">
      <c r="A354" s="145" t="n"/>
      <c r="B354" s="145" t="n"/>
      <c r="C354" s="145" t="n"/>
      <c r="D354" s="145" t="n"/>
      <c r="E354" s="145" t="n"/>
      <c r="F354" s="145" t="n"/>
      <c r="G354" s="145" t="n"/>
      <c r="H354" s="145" t="n"/>
      <c r="I354" s="145" t="n"/>
      <c r="J354" s="145" t="n"/>
      <c r="K354" s="145" t="n"/>
      <c r="L354" s="145" t="n"/>
      <c r="M354" s="145" t="n"/>
      <c r="N354" s="145" t="n"/>
      <c r="O354" s="140" t="n"/>
      <c r="P354" s="140" t="n"/>
      <c r="Q354" s="140" t="n"/>
      <c r="R354" s="140" t="n"/>
      <c r="S354" s="140" t="n"/>
      <c r="T354" s="141" t="n"/>
      <c r="U354" s="129" t="n"/>
      <c r="V354" s="129" t="n"/>
      <c r="W354" s="145" t="n"/>
      <c r="X354" s="145" t="n"/>
      <c r="Y354" s="145" t="n"/>
      <c r="Z354" s="145" t="n"/>
    </row>
    <row r="355" ht="45.75" customHeight="1" s="222">
      <c r="A355" s="145" t="n"/>
      <c r="B355" s="145" t="n"/>
      <c r="C355" s="145" t="n"/>
      <c r="D355" s="145" t="n"/>
      <c r="E355" s="145" t="n"/>
      <c r="F355" s="145" t="n"/>
      <c r="G355" s="145" t="n"/>
      <c r="H355" s="145" t="n"/>
      <c r="I355" s="145" t="n"/>
      <c r="J355" s="145" t="n"/>
      <c r="K355" s="145" t="n"/>
      <c r="L355" s="145" t="n"/>
      <c r="M355" s="145" t="n"/>
      <c r="N355" s="145" t="n"/>
      <c r="O355" s="140" t="n"/>
      <c r="P355" s="140" t="n"/>
      <c r="Q355" s="140" t="n"/>
      <c r="R355" s="140" t="n"/>
      <c r="S355" s="140" t="n"/>
      <c r="T355" s="141" t="n"/>
      <c r="U355" s="129" t="n"/>
      <c r="V355" s="129" t="n"/>
      <c r="W355" s="145" t="n"/>
      <c r="X355" s="145" t="n"/>
      <c r="Y355" s="145" t="n"/>
      <c r="Z355" s="145" t="n"/>
    </row>
    <row r="356" ht="45.75" customHeight="1" s="222">
      <c r="A356" s="145" t="n"/>
      <c r="B356" s="145" t="n"/>
      <c r="C356" s="145" t="n"/>
      <c r="D356" s="145" t="n"/>
      <c r="E356" s="145" t="n"/>
      <c r="F356" s="145" t="n"/>
      <c r="G356" s="145" t="n"/>
      <c r="H356" s="145" t="n"/>
      <c r="I356" s="145" t="n"/>
      <c r="J356" s="145" t="n"/>
      <c r="K356" s="145" t="n"/>
      <c r="L356" s="145" t="n"/>
      <c r="M356" s="145" t="n"/>
      <c r="N356" s="145" t="n"/>
      <c r="O356" s="140" t="n"/>
      <c r="P356" s="140" t="n"/>
      <c r="Q356" s="140" t="n"/>
      <c r="R356" s="140" t="n"/>
      <c r="S356" s="140" t="n"/>
      <c r="T356" s="141" t="n"/>
      <c r="U356" s="129" t="n"/>
      <c r="V356" s="129" t="n"/>
      <c r="W356" s="145" t="n"/>
      <c r="X356" s="145" t="n"/>
      <c r="Y356" s="145" t="n"/>
      <c r="Z356" s="145" t="n"/>
    </row>
    <row r="357" ht="45.75" customHeight="1" s="222">
      <c r="A357" s="145" t="n"/>
      <c r="B357" s="145" t="n"/>
      <c r="C357" s="145" t="n"/>
      <c r="D357" s="145" t="n"/>
      <c r="E357" s="145" t="n"/>
      <c r="F357" s="145" t="n"/>
      <c r="G357" s="145" t="n"/>
      <c r="H357" s="145" t="n"/>
      <c r="I357" s="145" t="n"/>
      <c r="J357" s="145" t="n"/>
      <c r="K357" s="145" t="n"/>
      <c r="L357" s="145" t="n"/>
      <c r="M357" s="145" t="n"/>
      <c r="N357" s="145" t="n"/>
      <c r="O357" s="140" t="n"/>
      <c r="P357" s="140" t="n"/>
      <c r="Q357" s="140" t="n"/>
      <c r="R357" s="140" t="n"/>
      <c r="S357" s="140" t="n"/>
      <c r="T357" s="141" t="n"/>
      <c r="U357" s="129" t="n"/>
      <c r="V357" s="129" t="n"/>
      <c r="W357" s="145" t="n"/>
      <c r="X357" s="145" t="n"/>
      <c r="Y357" s="145" t="n"/>
      <c r="Z357" s="145" t="n"/>
    </row>
    <row r="358" ht="45.75" customHeight="1" s="222">
      <c r="A358" s="145" t="n"/>
      <c r="B358" s="145" t="n"/>
      <c r="C358" s="145" t="n"/>
      <c r="D358" s="145" t="n"/>
      <c r="E358" s="145" t="n"/>
      <c r="F358" s="145" t="n"/>
      <c r="G358" s="145" t="n"/>
      <c r="H358" s="145" t="n"/>
      <c r="I358" s="145" t="n"/>
      <c r="J358" s="145" t="n"/>
      <c r="K358" s="145" t="n"/>
      <c r="L358" s="145" t="n"/>
      <c r="M358" s="145" t="n"/>
      <c r="N358" s="145" t="n"/>
      <c r="O358" s="140" t="n"/>
      <c r="P358" s="140" t="n"/>
      <c r="Q358" s="140" t="n"/>
      <c r="R358" s="140" t="n"/>
      <c r="S358" s="140" t="n"/>
      <c r="T358" s="141" t="n"/>
      <c r="U358" s="129" t="n"/>
      <c r="V358" s="129" t="n"/>
      <c r="W358" s="145" t="n"/>
      <c r="X358" s="145" t="n"/>
      <c r="Y358" s="145" t="n"/>
      <c r="Z358" s="145" t="n"/>
    </row>
    <row r="359" ht="45.75" customHeight="1" s="222">
      <c r="A359" s="145" t="n"/>
      <c r="B359" s="145" t="n"/>
      <c r="C359" s="145" t="n"/>
      <c r="D359" s="145" t="n"/>
      <c r="E359" s="145" t="n"/>
      <c r="F359" s="145" t="n"/>
      <c r="G359" s="145" t="n"/>
      <c r="H359" s="145" t="n"/>
      <c r="I359" s="145" t="n"/>
      <c r="J359" s="145" t="n"/>
      <c r="K359" s="145" t="n"/>
      <c r="L359" s="145" t="n"/>
      <c r="M359" s="145" t="n"/>
      <c r="N359" s="145" t="n"/>
      <c r="O359" s="140" t="n"/>
      <c r="P359" s="140" t="n"/>
      <c r="Q359" s="140" t="n"/>
      <c r="R359" s="140" t="n"/>
      <c r="S359" s="140" t="n"/>
      <c r="T359" s="141" t="n"/>
      <c r="U359" s="129" t="n"/>
      <c r="V359" s="129" t="n"/>
      <c r="W359" s="145" t="n"/>
      <c r="X359" s="145" t="n"/>
      <c r="Y359" s="145" t="n"/>
      <c r="Z359" s="145" t="n"/>
    </row>
    <row r="360" ht="45.75" customHeight="1" s="222">
      <c r="A360" s="145" t="n"/>
      <c r="B360" s="145" t="n"/>
      <c r="C360" s="145" t="n"/>
      <c r="D360" s="145" t="n"/>
      <c r="E360" s="145" t="n"/>
      <c r="F360" s="145" t="n"/>
      <c r="G360" s="145" t="n"/>
      <c r="H360" s="145" t="n"/>
      <c r="I360" s="145" t="n"/>
      <c r="J360" s="145" t="n"/>
      <c r="K360" s="145" t="n"/>
      <c r="L360" s="145" t="n"/>
      <c r="M360" s="145" t="n"/>
      <c r="N360" s="145" t="n"/>
      <c r="O360" s="140" t="n"/>
      <c r="P360" s="140" t="n"/>
      <c r="Q360" s="140" t="n"/>
      <c r="R360" s="140" t="n"/>
      <c r="S360" s="140" t="n"/>
      <c r="T360" s="141" t="n"/>
      <c r="U360" s="129" t="n"/>
      <c r="V360" s="129" t="n"/>
      <c r="W360" s="145" t="n"/>
      <c r="X360" s="145" t="n"/>
      <c r="Y360" s="145" t="n"/>
      <c r="Z360" s="145" t="n"/>
    </row>
    <row r="361" ht="45.75" customHeight="1" s="222">
      <c r="A361" s="145" t="n"/>
      <c r="B361" s="145" t="n"/>
      <c r="C361" s="145" t="n"/>
      <c r="D361" s="145" t="n"/>
      <c r="E361" s="145" t="n"/>
      <c r="F361" s="145" t="n"/>
      <c r="G361" s="145" t="n"/>
      <c r="H361" s="145" t="n"/>
      <c r="I361" s="145" t="n"/>
      <c r="J361" s="145" t="n"/>
      <c r="K361" s="145" t="n"/>
      <c r="L361" s="145" t="n"/>
      <c r="M361" s="145" t="n"/>
      <c r="N361" s="145" t="n"/>
      <c r="O361" s="140" t="n"/>
      <c r="P361" s="140" t="n"/>
      <c r="Q361" s="140" t="n"/>
      <c r="R361" s="140" t="n"/>
      <c r="S361" s="140" t="n"/>
      <c r="T361" s="141" t="n"/>
      <c r="U361" s="129" t="n"/>
      <c r="V361" s="129" t="n"/>
      <c r="W361" s="145" t="n"/>
      <c r="X361" s="145" t="n"/>
      <c r="Y361" s="145" t="n"/>
      <c r="Z361" s="145" t="n"/>
    </row>
    <row r="362" ht="45.75" customHeight="1" s="222">
      <c r="A362" s="145" t="n"/>
      <c r="B362" s="145" t="n"/>
      <c r="C362" s="145" t="n"/>
      <c r="D362" s="145" t="n"/>
      <c r="E362" s="145" t="n"/>
      <c r="F362" s="145" t="n"/>
      <c r="G362" s="145" t="n"/>
      <c r="H362" s="145" t="n"/>
      <c r="I362" s="145" t="n"/>
      <c r="J362" s="145" t="n"/>
      <c r="K362" s="145" t="n"/>
      <c r="L362" s="145" t="n"/>
      <c r="M362" s="145" t="n"/>
      <c r="N362" s="145" t="n"/>
      <c r="O362" s="140" t="n"/>
      <c r="P362" s="140" t="n"/>
      <c r="Q362" s="140" t="n"/>
      <c r="R362" s="140" t="n"/>
      <c r="S362" s="140" t="n"/>
      <c r="T362" s="141" t="n"/>
      <c r="U362" s="129" t="n"/>
      <c r="V362" s="129" t="n"/>
      <c r="W362" s="145" t="n"/>
      <c r="X362" s="145" t="n"/>
      <c r="Y362" s="145" t="n"/>
      <c r="Z362" s="145" t="n"/>
    </row>
    <row r="363" ht="45.75" customHeight="1" s="222">
      <c r="A363" s="145" t="n"/>
      <c r="B363" s="145" t="n"/>
      <c r="C363" s="145" t="n"/>
      <c r="D363" s="145" t="n"/>
      <c r="E363" s="145" t="n"/>
      <c r="F363" s="145" t="n"/>
      <c r="G363" s="145" t="n"/>
      <c r="H363" s="145" t="n"/>
      <c r="I363" s="145" t="n"/>
      <c r="J363" s="145" t="n"/>
      <c r="K363" s="145" t="n"/>
      <c r="L363" s="145" t="n"/>
      <c r="M363" s="145" t="n"/>
      <c r="N363" s="145" t="n"/>
      <c r="O363" s="140" t="n"/>
      <c r="P363" s="140" t="n"/>
      <c r="Q363" s="140" t="n"/>
      <c r="R363" s="140" t="n"/>
      <c r="S363" s="140" t="n"/>
      <c r="T363" s="141" t="n"/>
      <c r="U363" s="129" t="n"/>
      <c r="V363" s="129" t="n"/>
      <c r="W363" s="145" t="n"/>
      <c r="X363" s="145" t="n"/>
      <c r="Y363" s="145" t="n"/>
      <c r="Z363" s="145" t="n"/>
    </row>
    <row r="364" ht="45.75" customHeight="1" s="222">
      <c r="A364" s="145" t="n"/>
      <c r="B364" s="145" t="n"/>
      <c r="C364" s="145" t="n"/>
      <c r="D364" s="145" t="n"/>
      <c r="E364" s="145" t="n"/>
      <c r="F364" s="145" t="n"/>
      <c r="G364" s="145" t="n"/>
      <c r="H364" s="145" t="n"/>
      <c r="I364" s="145" t="n"/>
      <c r="J364" s="145" t="n"/>
      <c r="K364" s="145" t="n"/>
      <c r="L364" s="145" t="n"/>
      <c r="M364" s="145" t="n"/>
      <c r="N364" s="145" t="n"/>
      <c r="O364" s="140" t="n"/>
      <c r="P364" s="140" t="n"/>
      <c r="Q364" s="140" t="n"/>
      <c r="R364" s="140" t="n"/>
      <c r="S364" s="140" t="n"/>
      <c r="T364" s="141" t="n"/>
      <c r="U364" s="129" t="n"/>
      <c r="V364" s="129" t="n"/>
      <c r="W364" s="145" t="n"/>
      <c r="X364" s="145" t="n"/>
      <c r="Y364" s="145" t="n"/>
      <c r="Z364" s="145" t="n"/>
    </row>
    <row r="365" ht="45.75" customHeight="1" s="222">
      <c r="A365" s="145" t="n"/>
      <c r="B365" s="145" t="n"/>
      <c r="C365" s="145" t="n"/>
      <c r="D365" s="145" t="n"/>
      <c r="E365" s="145" t="n"/>
      <c r="F365" s="145" t="n"/>
      <c r="G365" s="145" t="n"/>
      <c r="H365" s="145" t="n"/>
      <c r="I365" s="145" t="n"/>
      <c r="J365" s="145" t="n"/>
      <c r="K365" s="145" t="n"/>
      <c r="L365" s="145" t="n"/>
      <c r="M365" s="145" t="n"/>
      <c r="N365" s="145" t="n"/>
      <c r="O365" s="140" t="n"/>
      <c r="P365" s="140" t="n"/>
      <c r="Q365" s="140" t="n"/>
      <c r="R365" s="140" t="n"/>
      <c r="S365" s="140" t="n"/>
      <c r="T365" s="141" t="n"/>
      <c r="U365" s="129" t="n"/>
      <c r="V365" s="129" t="n"/>
      <c r="W365" s="145" t="n"/>
      <c r="X365" s="145" t="n"/>
      <c r="Y365" s="145" t="n"/>
      <c r="Z365" s="145" t="n"/>
    </row>
    <row r="366" ht="45.75" customHeight="1" s="222">
      <c r="A366" s="145" t="n"/>
      <c r="B366" s="145" t="n"/>
      <c r="C366" s="145" t="n"/>
      <c r="D366" s="145" t="n"/>
      <c r="E366" s="145" t="n"/>
      <c r="F366" s="145" t="n"/>
      <c r="G366" s="145" t="n"/>
      <c r="H366" s="145" t="n"/>
      <c r="I366" s="145" t="n"/>
      <c r="J366" s="145" t="n"/>
      <c r="K366" s="145" t="n"/>
      <c r="L366" s="145" t="n"/>
      <c r="M366" s="145" t="n"/>
      <c r="N366" s="145" t="n"/>
      <c r="O366" s="140" t="n"/>
      <c r="P366" s="140" t="n"/>
      <c r="Q366" s="140" t="n"/>
      <c r="R366" s="140" t="n"/>
      <c r="S366" s="140" t="n"/>
      <c r="T366" s="141" t="n"/>
      <c r="U366" s="129" t="n"/>
      <c r="V366" s="129" t="n"/>
      <c r="W366" s="145" t="n"/>
      <c r="X366" s="145" t="n"/>
      <c r="Y366" s="145" t="n"/>
      <c r="Z366" s="145" t="n"/>
    </row>
    <row r="367" ht="45.75" customHeight="1" s="222">
      <c r="A367" s="145" t="n"/>
      <c r="B367" s="145" t="n"/>
      <c r="C367" s="145" t="n"/>
      <c r="D367" s="145" t="n"/>
      <c r="E367" s="145" t="n"/>
      <c r="F367" s="145" t="n"/>
      <c r="G367" s="145" t="n"/>
      <c r="H367" s="145" t="n"/>
      <c r="I367" s="145" t="n"/>
      <c r="J367" s="145" t="n"/>
      <c r="K367" s="145" t="n"/>
      <c r="L367" s="145" t="n"/>
      <c r="M367" s="145" t="n"/>
      <c r="N367" s="145" t="n"/>
      <c r="O367" s="140" t="n"/>
      <c r="P367" s="140" t="n"/>
      <c r="Q367" s="140" t="n"/>
      <c r="R367" s="140" t="n"/>
      <c r="S367" s="140" t="n"/>
      <c r="T367" s="141" t="n"/>
      <c r="U367" s="129" t="n"/>
      <c r="V367" s="129" t="n"/>
      <c r="W367" s="145" t="n"/>
      <c r="X367" s="145" t="n"/>
      <c r="Y367" s="145" t="n"/>
      <c r="Z367" s="145" t="n"/>
    </row>
    <row r="368" ht="45.75" customHeight="1" s="222">
      <c r="A368" s="145" t="n"/>
      <c r="B368" s="145" t="n"/>
      <c r="C368" s="145" t="n"/>
      <c r="D368" s="145" t="n"/>
      <c r="E368" s="145" t="n"/>
      <c r="F368" s="145" t="n"/>
      <c r="G368" s="145" t="n"/>
      <c r="H368" s="145" t="n"/>
      <c r="I368" s="145" t="n"/>
      <c r="J368" s="145" t="n"/>
      <c r="K368" s="145" t="n"/>
      <c r="L368" s="145" t="n"/>
      <c r="M368" s="145" t="n"/>
      <c r="N368" s="145" t="n"/>
      <c r="O368" s="140" t="n"/>
      <c r="P368" s="140" t="n"/>
      <c r="Q368" s="140" t="n"/>
      <c r="R368" s="140" t="n"/>
      <c r="S368" s="140" t="n"/>
      <c r="T368" s="141" t="n"/>
      <c r="U368" s="129" t="n"/>
      <c r="V368" s="129" t="n"/>
      <c r="W368" s="145" t="n"/>
      <c r="X368" s="145" t="n"/>
      <c r="Y368" s="145" t="n"/>
      <c r="Z368" s="145" t="n"/>
    </row>
    <row r="369" ht="45.75" customHeight="1" s="222">
      <c r="A369" s="145" t="n"/>
      <c r="B369" s="145" t="n"/>
      <c r="C369" s="145" t="n"/>
      <c r="D369" s="145" t="n"/>
      <c r="E369" s="145" t="n"/>
      <c r="F369" s="145" t="n"/>
      <c r="G369" s="145" t="n"/>
      <c r="H369" s="145" t="n"/>
      <c r="I369" s="145" t="n"/>
      <c r="J369" s="145" t="n"/>
      <c r="K369" s="145" t="n"/>
      <c r="L369" s="145" t="n"/>
      <c r="M369" s="145" t="n"/>
      <c r="N369" s="145" t="n"/>
      <c r="O369" s="140" t="n"/>
      <c r="P369" s="140" t="n"/>
      <c r="Q369" s="140" t="n"/>
      <c r="R369" s="140" t="n"/>
      <c r="S369" s="140" t="n"/>
      <c r="T369" s="141" t="n"/>
      <c r="U369" s="129" t="n"/>
      <c r="V369" s="129" t="n"/>
      <c r="W369" s="145" t="n"/>
      <c r="X369" s="145" t="n"/>
      <c r="Y369" s="145" t="n"/>
      <c r="Z369" s="145" t="n"/>
    </row>
    <row r="370" ht="45.75" customHeight="1" s="222">
      <c r="A370" s="145" t="n"/>
      <c r="B370" s="145" t="n"/>
      <c r="C370" s="145" t="n"/>
      <c r="D370" s="145" t="n"/>
      <c r="E370" s="145" t="n"/>
      <c r="F370" s="145" t="n"/>
      <c r="G370" s="145" t="n"/>
      <c r="H370" s="145" t="n"/>
      <c r="I370" s="145" t="n"/>
      <c r="J370" s="145" t="n"/>
      <c r="K370" s="145" t="n"/>
      <c r="L370" s="145" t="n"/>
      <c r="M370" s="145" t="n"/>
      <c r="N370" s="145" t="n"/>
      <c r="O370" s="140" t="n"/>
      <c r="P370" s="140" t="n"/>
      <c r="Q370" s="140" t="n"/>
      <c r="R370" s="140" t="n"/>
      <c r="S370" s="140" t="n"/>
      <c r="T370" s="141" t="n"/>
      <c r="U370" s="129" t="n"/>
      <c r="V370" s="129" t="n"/>
      <c r="W370" s="145" t="n"/>
      <c r="X370" s="145" t="n"/>
      <c r="Y370" s="145" t="n"/>
      <c r="Z370" s="145" t="n"/>
    </row>
    <row r="371" ht="45.75" customHeight="1" s="222">
      <c r="A371" s="145" t="n"/>
      <c r="B371" s="145" t="n"/>
      <c r="C371" s="145" t="n"/>
      <c r="D371" s="145" t="n"/>
      <c r="E371" s="145" t="n"/>
      <c r="F371" s="145" t="n"/>
      <c r="G371" s="145" t="n"/>
      <c r="H371" s="145" t="n"/>
      <c r="I371" s="145" t="n"/>
      <c r="J371" s="145" t="n"/>
      <c r="K371" s="145" t="n"/>
      <c r="L371" s="145" t="n"/>
      <c r="M371" s="145" t="n"/>
      <c r="N371" s="145" t="n"/>
      <c r="O371" s="140" t="n"/>
      <c r="P371" s="140" t="n"/>
      <c r="Q371" s="140" t="n"/>
      <c r="R371" s="140" t="n"/>
      <c r="S371" s="140" t="n"/>
      <c r="T371" s="141" t="n"/>
      <c r="U371" s="129" t="n"/>
      <c r="V371" s="129" t="n"/>
      <c r="W371" s="145" t="n"/>
      <c r="X371" s="145" t="n"/>
      <c r="Y371" s="145" t="n"/>
      <c r="Z371" s="145" t="n"/>
    </row>
    <row r="372" ht="45.75" customHeight="1" s="222">
      <c r="A372" s="145" t="n"/>
      <c r="B372" s="145" t="n"/>
      <c r="C372" s="145" t="n"/>
      <c r="D372" s="145" t="n"/>
      <c r="E372" s="145" t="n"/>
      <c r="F372" s="145" t="n"/>
      <c r="G372" s="145" t="n"/>
      <c r="H372" s="145" t="n"/>
      <c r="I372" s="145" t="n"/>
      <c r="J372" s="145" t="n"/>
      <c r="K372" s="145" t="n"/>
      <c r="L372" s="145" t="n"/>
      <c r="M372" s="145" t="n"/>
      <c r="N372" s="145" t="n"/>
      <c r="O372" s="140" t="n"/>
      <c r="P372" s="140" t="n"/>
      <c r="Q372" s="140" t="n"/>
      <c r="R372" s="140" t="n"/>
      <c r="S372" s="140" t="n"/>
      <c r="T372" s="141" t="n"/>
      <c r="U372" s="129" t="n"/>
      <c r="V372" s="129" t="n"/>
      <c r="W372" s="145" t="n"/>
      <c r="X372" s="145" t="n"/>
      <c r="Y372" s="145" t="n"/>
      <c r="Z372" s="145" t="n"/>
    </row>
    <row r="373" ht="45.75" customHeight="1" s="222">
      <c r="A373" s="145" t="n"/>
      <c r="B373" s="145" t="n"/>
      <c r="C373" s="145" t="n"/>
      <c r="D373" s="145" t="n"/>
      <c r="E373" s="145" t="n"/>
      <c r="F373" s="145" t="n"/>
      <c r="G373" s="145" t="n"/>
      <c r="H373" s="145" t="n"/>
      <c r="I373" s="145" t="n"/>
      <c r="J373" s="145" t="n"/>
      <c r="K373" s="145" t="n"/>
      <c r="L373" s="145" t="n"/>
      <c r="M373" s="145" t="n"/>
      <c r="N373" s="145" t="n"/>
      <c r="O373" s="140" t="n"/>
      <c r="P373" s="140" t="n"/>
      <c r="Q373" s="140" t="n"/>
      <c r="R373" s="140" t="n"/>
      <c r="S373" s="140" t="n"/>
      <c r="T373" s="141" t="n"/>
      <c r="U373" s="129" t="n"/>
      <c r="V373" s="129" t="n"/>
      <c r="W373" s="145" t="n"/>
      <c r="X373" s="145" t="n"/>
      <c r="Y373" s="145" t="n"/>
      <c r="Z373" s="145" t="n"/>
    </row>
    <row r="374" ht="45.75" customHeight="1" s="222">
      <c r="A374" s="145" t="n"/>
      <c r="B374" s="145" t="n"/>
      <c r="C374" s="145" t="n"/>
      <c r="D374" s="145" t="n"/>
      <c r="E374" s="145" t="n"/>
      <c r="F374" s="145" t="n"/>
      <c r="G374" s="145" t="n"/>
      <c r="H374" s="145" t="n"/>
      <c r="I374" s="145" t="n"/>
      <c r="J374" s="145" t="n"/>
      <c r="K374" s="145" t="n"/>
      <c r="L374" s="145" t="n"/>
      <c r="M374" s="145" t="n"/>
      <c r="N374" s="145" t="n"/>
      <c r="O374" s="140" t="n"/>
      <c r="P374" s="140" t="n"/>
      <c r="Q374" s="140" t="n"/>
      <c r="R374" s="140" t="n"/>
      <c r="S374" s="140" t="n"/>
      <c r="T374" s="141" t="n"/>
      <c r="U374" s="129" t="n"/>
      <c r="V374" s="129" t="n"/>
      <c r="W374" s="145" t="n"/>
      <c r="X374" s="145" t="n"/>
      <c r="Y374" s="145" t="n"/>
      <c r="Z374" s="145" t="n"/>
    </row>
    <row r="375" ht="45.75" customHeight="1" s="222">
      <c r="A375" s="145" t="n"/>
      <c r="B375" s="145" t="n"/>
      <c r="C375" s="145" t="n"/>
      <c r="D375" s="145" t="n"/>
      <c r="E375" s="145" t="n"/>
      <c r="F375" s="145" t="n"/>
      <c r="G375" s="145" t="n"/>
      <c r="H375" s="145" t="n"/>
      <c r="I375" s="145" t="n"/>
      <c r="J375" s="145" t="n"/>
      <c r="K375" s="145" t="n"/>
      <c r="L375" s="145" t="n"/>
      <c r="M375" s="145" t="n"/>
      <c r="N375" s="145" t="n"/>
      <c r="O375" s="140" t="n"/>
      <c r="P375" s="140" t="n"/>
      <c r="Q375" s="140" t="n"/>
      <c r="R375" s="140" t="n"/>
      <c r="S375" s="140" t="n"/>
      <c r="T375" s="141" t="n"/>
      <c r="U375" s="129" t="n"/>
      <c r="V375" s="129" t="n"/>
      <c r="W375" s="145" t="n"/>
      <c r="X375" s="145" t="n"/>
      <c r="Y375" s="145" t="n"/>
      <c r="Z375" s="145" t="n"/>
    </row>
    <row r="376" ht="45.75" customHeight="1" s="222">
      <c r="A376" s="145" t="n"/>
      <c r="B376" s="145" t="n"/>
      <c r="C376" s="145" t="n"/>
      <c r="D376" s="145" t="n"/>
      <c r="E376" s="145" t="n"/>
      <c r="F376" s="145" t="n"/>
      <c r="G376" s="145" t="n"/>
      <c r="H376" s="145" t="n"/>
      <c r="I376" s="145" t="n"/>
      <c r="J376" s="145" t="n"/>
      <c r="K376" s="145" t="n"/>
      <c r="L376" s="145" t="n"/>
      <c r="M376" s="145" t="n"/>
      <c r="N376" s="145" t="n"/>
      <c r="O376" s="140" t="n"/>
      <c r="P376" s="140" t="n"/>
      <c r="Q376" s="140" t="n"/>
      <c r="R376" s="140" t="n"/>
      <c r="S376" s="140" t="n"/>
      <c r="T376" s="141" t="n"/>
      <c r="U376" s="129" t="n"/>
      <c r="V376" s="129" t="n"/>
      <c r="W376" s="145" t="n"/>
      <c r="X376" s="145" t="n"/>
      <c r="Y376" s="145" t="n"/>
      <c r="Z376" s="145" t="n"/>
    </row>
    <row r="377" ht="45.75" customHeight="1" s="222">
      <c r="A377" s="145" t="n"/>
      <c r="B377" s="145" t="n"/>
      <c r="C377" s="145" t="n"/>
      <c r="D377" s="145" t="n"/>
      <c r="E377" s="145" t="n"/>
      <c r="F377" s="145" t="n"/>
      <c r="G377" s="145" t="n"/>
      <c r="H377" s="145" t="n"/>
      <c r="I377" s="145" t="n"/>
      <c r="J377" s="145" t="n"/>
      <c r="K377" s="145" t="n"/>
      <c r="L377" s="145" t="n"/>
      <c r="M377" s="145" t="n"/>
      <c r="N377" s="145" t="n"/>
      <c r="O377" s="140" t="n"/>
      <c r="P377" s="140" t="n"/>
      <c r="Q377" s="140" t="n"/>
      <c r="R377" s="140" t="n"/>
      <c r="S377" s="140" t="n"/>
      <c r="T377" s="141" t="n"/>
      <c r="U377" s="129" t="n"/>
      <c r="V377" s="129" t="n"/>
      <c r="W377" s="145" t="n"/>
      <c r="X377" s="145" t="n"/>
      <c r="Y377" s="145" t="n"/>
      <c r="Z377" s="145" t="n"/>
    </row>
    <row r="378" ht="45.75" customHeight="1" s="222">
      <c r="A378" s="145" t="n"/>
      <c r="B378" s="145" t="n"/>
      <c r="C378" s="145" t="n"/>
      <c r="D378" s="145" t="n"/>
      <c r="E378" s="145" t="n"/>
      <c r="F378" s="145" t="n"/>
      <c r="G378" s="145" t="n"/>
      <c r="H378" s="145" t="n"/>
      <c r="I378" s="145" t="n"/>
      <c r="J378" s="145" t="n"/>
      <c r="K378" s="145" t="n"/>
      <c r="L378" s="145" t="n"/>
      <c r="M378" s="145" t="n"/>
      <c r="N378" s="145" t="n"/>
      <c r="O378" s="140" t="n"/>
      <c r="P378" s="140" t="n"/>
      <c r="Q378" s="140" t="n"/>
      <c r="R378" s="140" t="n"/>
      <c r="S378" s="140" t="n"/>
      <c r="T378" s="141" t="n"/>
      <c r="U378" s="129" t="n"/>
      <c r="V378" s="129" t="n"/>
      <c r="W378" s="145" t="n"/>
      <c r="X378" s="145" t="n"/>
      <c r="Y378" s="145" t="n"/>
      <c r="Z378" s="145" t="n"/>
    </row>
    <row r="379" ht="45.75" customHeight="1" s="222">
      <c r="A379" s="145" t="n"/>
      <c r="B379" s="145" t="n"/>
      <c r="C379" s="145" t="n"/>
      <c r="D379" s="145" t="n"/>
      <c r="E379" s="145" t="n"/>
      <c r="F379" s="145" t="n"/>
      <c r="G379" s="145" t="n"/>
      <c r="H379" s="145" t="n"/>
      <c r="I379" s="145" t="n"/>
      <c r="J379" s="145" t="n"/>
      <c r="K379" s="145" t="n"/>
      <c r="L379" s="145" t="n"/>
      <c r="M379" s="145" t="n"/>
      <c r="N379" s="145" t="n"/>
      <c r="O379" s="140" t="n"/>
      <c r="P379" s="140" t="n"/>
      <c r="Q379" s="140" t="n"/>
      <c r="R379" s="140" t="n"/>
      <c r="S379" s="140" t="n"/>
      <c r="T379" s="141" t="n"/>
      <c r="U379" s="129" t="n"/>
      <c r="V379" s="129" t="n"/>
      <c r="W379" s="145" t="n"/>
      <c r="X379" s="145" t="n"/>
      <c r="Y379" s="145" t="n"/>
      <c r="Z379" s="145" t="n"/>
    </row>
    <row r="380" ht="45.75" customHeight="1" s="222">
      <c r="A380" s="145" t="n"/>
      <c r="B380" s="145" t="n"/>
      <c r="C380" s="145" t="n"/>
      <c r="D380" s="145" t="n"/>
      <c r="E380" s="145" t="n"/>
      <c r="F380" s="145" t="n"/>
      <c r="G380" s="145" t="n"/>
      <c r="H380" s="145" t="n"/>
      <c r="I380" s="145" t="n"/>
      <c r="J380" s="145" t="n"/>
      <c r="K380" s="145" t="n"/>
      <c r="L380" s="145" t="n"/>
      <c r="M380" s="145" t="n"/>
      <c r="N380" s="145" t="n"/>
      <c r="O380" s="140" t="n"/>
      <c r="P380" s="140" t="n"/>
      <c r="Q380" s="140" t="n"/>
      <c r="R380" s="140" t="n"/>
      <c r="S380" s="140" t="n"/>
      <c r="T380" s="141" t="n"/>
      <c r="U380" s="129" t="n"/>
      <c r="V380" s="129" t="n"/>
      <c r="W380" s="145" t="n"/>
      <c r="X380" s="145" t="n"/>
      <c r="Y380" s="145" t="n"/>
      <c r="Z380" s="145" t="n"/>
    </row>
    <row r="381" ht="45.75" customHeight="1" s="222">
      <c r="A381" s="145" t="n"/>
      <c r="B381" s="145" t="n"/>
      <c r="C381" s="145" t="n"/>
      <c r="D381" s="145" t="n"/>
      <c r="E381" s="145" t="n"/>
      <c r="F381" s="145" t="n"/>
      <c r="G381" s="145" t="n"/>
      <c r="H381" s="145" t="n"/>
      <c r="I381" s="145" t="n"/>
      <c r="J381" s="145" t="n"/>
      <c r="K381" s="145" t="n"/>
      <c r="L381" s="145" t="n"/>
      <c r="M381" s="145" t="n"/>
      <c r="N381" s="145" t="n"/>
      <c r="O381" s="140" t="n"/>
      <c r="P381" s="140" t="n"/>
      <c r="Q381" s="140" t="n"/>
      <c r="R381" s="140" t="n"/>
      <c r="S381" s="140" t="n"/>
      <c r="T381" s="141" t="n"/>
      <c r="U381" s="129" t="n"/>
      <c r="V381" s="129" t="n"/>
      <c r="W381" s="145" t="n"/>
      <c r="X381" s="145" t="n"/>
      <c r="Y381" s="145" t="n"/>
      <c r="Z381" s="145" t="n"/>
    </row>
    <row r="382" ht="45.75" customHeight="1" s="222">
      <c r="A382" s="145" t="n"/>
      <c r="B382" s="145" t="n"/>
      <c r="C382" s="145" t="n"/>
      <c r="D382" s="145" t="n"/>
      <c r="E382" s="145" t="n"/>
      <c r="F382" s="145" t="n"/>
      <c r="G382" s="145" t="n"/>
      <c r="H382" s="145" t="n"/>
      <c r="I382" s="145" t="n"/>
      <c r="J382" s="145" t="n"/>
      <c r="K382" s="145" t="n"/>
      <c r="L382" s="145" t="n"/>
      <c r="M382" s="145" t="n"/>
      <c r="N382" s="145" t="n"/>
      <c r="O382" s="140" t="n"/>
      <c r="P382" s="140" t="n"/>
      <c r="Q382" s="140" t="n"/>
      <c r="R382" s="140" t="n"/>
      <c r="S382" s="140" t="n"/>
      <c r="T382" s="141" t="n"/>
      <c r="U382" s="129" t="n"/>
      <c r="V382" s="129" t="n"/>
      <c r="W382" s="145" t="n"/>
      <c r="X382" s="145" t="n"/>
      <c r="Y382" s="145" t="n"/>
      <c r="Z382" s="145" t="n"/>
    </row>
    <row r="383" ht="45.75" customHeight="1" s="222">
      <c r="A383" s="145" t="n"/>
      <c r="B383" s="145" t="n"/>
      <c r="C383" s="145" t="n"/>
      <c r="D383" s="145" t="n"/>
      <c r="E383" s="145" t="n"/>
      <c r="F383" s="145" t="n"/>
      <c r="G383" s="145" t="n"/>
      <c r="H383" s="145" t="n"/>
      <c r="I383" s="145" t="n"/>
      <c r="J383" s="145" t="n"/>
      <c r="K383" s="145" t="n"/>
      <c r="L383" s="145" t="n"/>
      <c r="M383" s="145" t="n"/>
      <c r="N383" s="145" t="n"/>
      <c r="O383" s="140" t="n"/>
      <c r="P383" s="140" t="n"/>
      <c r="Q383" s="140" t="n"/>
      <c r="R383" s="140" t="n"/>
      <c r="S383" s="140" t="n"/>
      <c r="T383" s="141" t="n"/>
      <c r="U383" s="129" t="n"/>
      <c r="V383" s="129" t="n"/>
      <c r="W383" s="145" t="n"/>
      <c r="X383" s="145" t="n"/>
      <c r="Y383" s="145" t="n"/>
      <c r="Z383" s="145" t="n"/>
    </row>
    <row r="384" ht="45.75" customHeight="1" s="222">
      <c r="A384" s="145" t="n"/>
      <c r="B384" s="145" t="n"/>
      <c r="C384" s="145" t="n"/>
      <c r="D384" s="145" t="n"/>
      <c r="E384" s="145" t="n"/>
      <c r="F384" s="145" t="n"/>
      <c r="G384" s="145" t="n"/>
      <c r="H384" s="145" t="n"/>
      <c r="I384" s="145" t="n"/>
      <c r="J384" s="145" t="n"/>
      <c r="K384" s="145" t="n"/>
      <c r="L384" s="145" t="n"/>
      <c r="M384" s="145" t="n"/>
      <c r="N384" s="145" t="n"/>
      <c r="O384" s="140" t="n"/>
      <c r="P384" s="140" t="n"/>
      <c r="Q384" s="140" t="n"/>
      <c r="R384" s="140" t="n"/>
      <c r="S384" s="140" t="n"/>
      <c r="T384" s="141" t="n"/>
      <c r="U384" s="129" t="n"/>
      <c r="V384" s="129" t="n"/>
      <c r="W384" s="145" t="n"/>
      <c r="X384" s="145" t="n"/>
      <c r="Y384" s="145" t="n"/>
      <c r="Z384" s="145" t="n"/>
    </row>
    <row r="385" ht="45.75" customHeight="1" s="222">
      <c r="A385" s="145" t="n"/>
      <c r="B385" s="145" t="n"/>
      <c r="C385" s="145" t="n"/>
      <c r="D385" s="145" t="n"/>
      <c r="E385" s="145" t="n"/>
      <c r="F385" s="145" t="n"/>
      <c r="G385" s="145" t="n"/>
      <c r="H385" s="145" t="n"/>
      <c r="I385" s="145" t="n"/>
      <c r="J385" s="145" t="n"/>
      <c r="K385" s="145" t="n"/>
      <c r="L385" s="145" t="n"/>
      <c r="M385" s="145" t="n"/>
      <c r="N385" s="145" t="n"/>
      <c r="O385" s="140" t="n"/>
      <c r="P385" s="140" t="n"/>
      <c r="Q385" s="140" t="n"/>
      <c r="R385" s="140" t="n"/>
      <c r="S385" s="140" t="n"/>
      <c r="T385" s="141" t="n"/>
      <c r="U385" s="129" t="n"/>
      <c r="V385" s="129" t="n"/>
      <c r="W385" s="145" t="n"/>
      <c r="X385" s="145" t="n"/>
      <c r="Y385" s="145" t="n"/>
      <c r="Z385" s="145" t="n"/>
    </row>
    <row r="386" ht="45.75" customHeight="1" s="222">
      <c r="A386" s="145" t="n"/>
      <c r="B386" s="145" t="n"/>
      <c r="C386" s="145" t="n"/>
      <c r="D386" s="145" t="n"/>
      <c r="E386" s="145" t="n"/>
      <c r="F386" s="145" t="n"/>
      <c r="G386" s="145" t="n"/>
      <c r="H386" s="145" t="n"/>
      <c r="I386" s="145" t="n"/>
      <c r="J386" s="145" t="n"/>
      <c r="K386" s="145" t="n"/>
      <c r="L386" s="145" t="n"/>
      <c r="M386" s="145" t="n"/>
      <c r="N386" s="145" t="n"/>
      <c r="O386" s="140" t="n"/>
      <c r="P386" s="140" t="n"/>
      <c r="Q386" s="140" t="n"/>
      <c r="R386" s="140" t="n"/>
      <c r="S386" s="140" t="n"/>
      <c r="T386" s="141" t="n"/>
      <c r="U386" s="129" t="n"/>
      <c r="V386" s="129" t="n"/>
      <c r="W386" s="145" t="n"/>
      <c r="X386" s="145" t="n"/>
      <c r="Y386" s="145" t="n"/>
      <c r="Z386" s="145" t="n"/>
    </row>
    <row r="387" ht="45.75" customHeight="1" s="222">
      <c r="A387" s="145" t="n"/>
      <c r="B387" s="145" t="n"/>
      <c r="C387" s="145" t="n"/>
      <c r="D387" s="145" t="n"/>
      <c r="E387" s="145" t="n"/>
      <c r="F387" s="145" t="n"/>
      <c r="G387" s="145" t="n"/>
      <c r="H387" s="145" t="n"/>
      <c r="I387" s="145" t="n"/>
      <c r="J387" s="145" t="n"/>
      <c r="K387" s="145" t="n"/>
      <c r="L387" s="145" t="n"/>
      <c r="M387" s="145" t="n"/>
      <c r="N387" s="145" t="n"/>
      <c r="O387" s="140" t="n"/>
      <c r="P387" s="140" t="n"/>
      <c r="Q387" s="140" t="n"/>
      <c r="R387" s="140" t="n"/>
      <c r="S387" s="140" t="n"/>
      <c r="T387" s="141" t="n"/>
      <c r="U387" s="129" t="n"/>
      <c r="V387" s="129" t="n"/>
      <c r="W387" s="145" t="n"/>
      <c r="X387" s="145" t="n"/>
      <c r="Y387" s="145" t="n"/>
      <c r="Z387" s="145" t="n"/>
    </row>
    <row r="388" ht="45.75" customHeight="1" s="222">
      <c r="A388" s="145" t="n"/>
      <c r="B388" s="145" t="n"/>
      <c r="C388" s="145" t="n"/>
      <c r="D388" s="145" t="n"/>
      <c r="E388" s="145" t="n"/>
      <c r="F388" s="145" t="n"/>
      <c r="G388" s="145" t="n"/>
      <c r="H388" s="145" t="n"/>
      <c r="I388" s="145" t="n"/>
      <c r="J388" s="145" t="n"/>
      <c r="K388" s="145" t="n"/>
      <c r="L388" s="145" t="n"/>
      <c r="M388" s="145" t="n"/>
      <c r="N388" s="145" t="n"/>
      <c r="O388" s="140" t="n"/>
      <c r="P388" s="140" t="n"/>
      <c r="Q388" s="140" t="n"/>
      <c r="R388" s="140" t="n"/>
      <c r="S388" s="140" t="n"/>
      <c r="T388" s="141" t="n"/>
      <c r="U388" s="129" t="n"/>
      <c r="V388" s="129" t="n"/>
      <c r="W388" s="145" t="n"/>
      <c r="X388" s="145" t="n"/>
      <c r="Y388" s="145" t="n"/>
      <c r="Z388" s="145" t="n"/>
    </row>
    <row r="389" ht="45.75" customHeight="1" s="222">
      <c r="A389" s="145" t="n"/>
      <c r="B389" s="145" t="n"/>
      <c r="C389" s="145" t="n"/>
      <c r="D389" s="145" t="n"/>
      <c r="E389" s="145" t="n"/>
      <c r="F389" s="145" t="n"/>
      <c r="G389" s="145" t="n"/>
      <c r="H389" s="145" t="n"/>
      <c r="I389" s="145" t="n"/>
      <c r="J389" s="145" t="n"/>
      <c r="K389" s="145" t="n"/>
      <c r="L389" s="145" t="n"/>
      <c r="M389" s="145" t="n"/>
      <c r="N389" s="145" t="n"/>
      <c r="O389" s="140" t="n"/>
      <c r="P389" s="140" t="n"/>
      <c r="Q389" s="140" t="n"/>
      <c r="R389" s="140" t="n"/>
      <c r="S389" s="140" t="n"/>
      <c r="T389" s="141" t="n"/>
      <c r="U389" s="129" t="n"/>
      <c r="V389" s="129" t="n"/>
      <c r="W389" s="145" t="n"/>
      <c r="X389" s="145" t="n"/>
      <c r="Y389" s="145" t="n"/>
      <c r="Z389" s="145" t="n"/>
    </row>
    <row r="390" ht="45.75" customHeight="1" s="222">
      <c r="A390" s="145" t="n"/>
      <c r="B390" s="145" t="n"/>
      <c r="C390" s="145" t="n"/>
      <c r="D390" s="145" t="n"/>
      <c r="E390" s="145" t="n"/>
      <c r="F390" s="145" t="n"/>
      <c r="G390" s="145" t="n"/>
      <c r="H390" s="145" t="n"/>
      <c r="I390" s="145" t="n"/>
      <c r="J390" s="145" t="n"/>
      <c r="K390" s="145" t="n"/>
      <c r="L390" s="145" t="n"/>
      <c r="M390" s="145" t="n"/>
      <c r="N390" s="145" t="n"/>
      <c r="O390" s="140" t="n"/>
      <c r="P390" s="140" t="n"/>
      <c r="Q390" s="140" t="n"/>
      <c r="R390" s="140" t="n"/>
      <c r="S390" s="140" t="n"/>
      <c r="T390" s="141" t="n"/>
      <c r="U390" s="129" t="n"/>
      <c r="V390" s="129" t="n"/>
      <c r="W390" s="145" t="n"/>
      <c r="X390" s="145" t="n"/>
      <c r="Y390" s="145" t="n"/>
      <c r="Z390" s="145" t="n"/>
    </row>
    <row r="391" ht="45.75" customHeight="1" s="222">
      <c r="A391" s="145" t="n"/>
      <c r="B391" s="145" t="n"/>
      <c r="C391" s="145" t="n"/>
      <c r="D391" s="145" t="n"/>
      <c r="E391" s="145" t="n"/>
      <c r="F391" s="145" t="n"/>
      <c r="G391" s="145" t="n"/>
      <c r="H391" s="145" t="n"/>
      <c r="I391" s="145" t="n"/>
      <c r="J391" s="145" t="n"/>
      <c r="K391" s="145" t="n"/>
      <c r="L391" s="145" t="n"/>
      <c r="M391" s="145" t="n"/>
      <c r="N391" s="145" t="n"/>
      <c r="O391" s="140" t="n"/>
      <c r="P391" s="140" t="n"/>
      <c r="Q391" s="140" t="n"/>
      <c r="R391" s="140" t="n"/>
      <c r="S391" s="140" t="n"/>
      <c r="T391" s="141" t="n"/>
      <c r="U391" s="129" t="n"/>
      <c r="V391" s="129" t="n"/>
      <c r="W391" s="145" t="n"/>
      <c r="X391" s="145" t="n"/>
      <c r="Y391" s="145" t="n"/>
      <c r="Z391" s="145" t="n"/>
    </row>
    <row r="392" ht="45.75" customHeight="1" s="222">
      <c r="A392" s="145" t="n"/>
      <c r="B392" s="145" t="n"/>
      <c r="C392" s="145" t="n"/>
      <c r="D392" s="145" t="n"/>
      <c r="E392" s="145" t="n"/>
      <c r="F392" s="145" t="n"/>
      <c r="G392" s="145" t="n"/>
      <c r="H392" s="145" t="n"/>
      <c r="I392" s="145" t="n"/>
      <c r="J392" s="145" t="n"/>
      <c r="K392" s="145" t="n"/>
      <c r="L392" s="145" t="n"/>
      <c r="M392" s="145" t="n"/>
      <c r="N392" s="145" t="n"/>
      <c r="O392" s="140" t="n"/>
      <c r="P392" s="140" t="n"/>
      <c r="Q392" s="140" t="n"/>
      <c r="R392" s="140" t="n"/>
      <c r="S392" s="140" t="n"/>
      <c r="T392" s="141" t="n"/>
      <c r="U392" s="129" t="n"/>
      <c r="V392" s="129" t="n"/>
      <c r="W392" s="145" t="n"/>
      <c r="X392" s="145" t="n"/>
      <c r="Y392" s="145" t="n"/>
      <c r="Z392" s="145" t="n"/>
    </row>
    <row r="393" ht="45.75" customHeight="1" s="222">
      <c r="A393" s="145" t="n"/>
      <c r="B393" s="145" t="n"/>
      <c r="C393" s="145" t="n"/>
      <c r="D393" s="145" t="n"/>
      <c r="E393" s="145" t="n"/>
      <c r="F393" s="145" t="n"/>
      <c r="G393" s="145" t="n"/>
      <c r="H393" s="145" t="n"/>
      <c r="I393" s="145" t="n"/>
      <c r="J393" s="145" t="n"/>
      <c r="K393" s="145" t="n"/>
      <c r="L393" s="145" t="n"/>
      <c r="M393" s="145" t="n"/>
      <c r="N393" s="145" t="n"/>
      <c r="O393" s="140" t="n"/>
      <c r="P393" s="140" t="n"/>
      <c r="Q393" s="140" t="n"/>
      <c r="R393" s="140" t="n"/>
      <c r="S393" s="140" t="n"/>
      <c r="T393" s="141" t="n"/>
      <c r="U393" s="129" t="n"/>
      <c r="V393" s="129" t="n"/>
      <c r="W393" s="145" t="n"/>
      <c r="X393" s="145" t="n"/>
      <c r="Y393" s="145" t="n"/>
      <c r="Z393" s="145" t="n"/>
    </row>
    <row r="394" ht="45.75" customHeight="1" s="222">
      <c r="A394" s="145" t="n"/>
      <c r="B394" s="145" t="n"/>
      <c r="C394" s="145" t="n"/>
      <c r="D394" s="145" t="n"/>
      <c r="E394" s="145" t="n"/>
      <c r="F394" s="145" t="n"/>
      <c r="G394" s="145" t="n"/>
      <c r="H394" s="145" t="n"/>
      <c r="I394" s="145" t="n"/>
      <c r="J394" s="145" t="n"/>
      <c r="K394" s="145" t="n"/>
      <c r="L394" s="145" t="n"/>
      <c r="M394" s="145" t="n"/>
      <c r="N394" s="145" t="n"/>
      <c r="O394" s="140" t="n"/>
      <c r="P394" s="140" t="n"/>
      <c r="Q394" s="140" t="n"/>
      <c r="R394" s="140" t="n"/>
      <c r="S394" s="140" t="n"/>
      <c r="T394" s="141" t="n"/>
      <c r="U394" s="129" t="n"/>
      <c r="V394" s="129" t="n"/>
      <c r="W394" s="145" t="n"/>
      <c r="X394" s="145" t="n"/>
      <c r="Y394" s="145" t="n"/>
      <c r="Z394" s="145" t="n"/>
    </row>
    <row r="395" ht="45.75" customHeight="1" s="222">
      <c r="A395" s="145" t="n"/>
      <c r="B395" s="145" t="n"/>
      <c r="C395" s="145" t="n"/>
      <c r="D395" s="145" t="n"/>
      <c r="E395" s="145" t="n"/>
      <c r="F395" s="145" t="n"/>
      <c r="G395" s="145" t="n"/>
      <c r="H395" s="145" t="n"/>
      <c r="I395" s="145" t="n"/>
      <c r="J395" s="145" t="n"/>
      <c r="K395" s="145" t="n"/>
      <c r="L395" s="145" t="n"/>
      <c r="M395" s="145" t="n"/>
      <c r="N395" s="145" t="n"/>
      <c r="O395" s="140" t="n"/>
      <c r="P395" s="140" t="n"/>
      <c r="Q395" s="140" t="n"/>
      <c r="R395" s="140" t="n"/>
      <c r="S395" s="140" t="n"/>
      <c r="T395" s="141" t="n"/>
      <c r="U395" s="129" t="n"/>
      <c r="V395" s="129" t="n"/>
      <c r="W395" s="145" t="n"/>
      <c r="X395" s="145" t="n"/>
      <c r="Y395" s="145" t="n"/>
      <c r="Z395" s="145" t="n"/>
    </row>
    <row r="396" ht="45.75" customHeight="1" s="222">
      <c r="A396" s="145" t="n"/>
      <c r="B396" s="145" t="n"/>
      <c r="C396" s="145" t="n"/>
      <c r="D396" s="145" t="n"/>
      <c r="E396" s="145" t="n"/>
      <c r="F396" s="145" t="n"/>
      <c r="G396" s="145" t="n"/>
      <c r="H396" s="145" t="n"/>
      <c r="I396" s="145" t="n"/>
      <c r="J396" s="145" t="n"/>
      <c r="K396" s="145" t="n"/>
      <c r="L396" s="145" t="n"/>
      <c r="M396" s="145" t="n"/>
      <c r="N396" s="145" t="n"/>
      <c r="O396" s="140" t="n"/>
      <c r="P396" s="140" t="n"/>
      <c r="Q396" s="140" t="n"/>
      <c r="R396" s="140" t="n"/>
      <c r="S396" s="140" t="n"/>
      <c r="T396" s="141" t="n"/>
      <c r="U396" s="129" t="n"/>
      <c r="V396" s="129" t="n"/>
      <c r="W396" s="145" t="n"/>
      <c r="X396" s="145" t="n"/>
      <c r="Y396" s="145" t="n"/>
      <c r="Z396" s="145" t="n"/>
    </row>
    <row r="397" ht="45.75" customHeight="1" s="222">
      <c r="A397" s="145" t="n"/>
      <c r="B397" s="145" t="n"/>
      <c r="C397" s="145" t="n"/>
      <c r="D397" s="145" t="n"/>
      <c r="E397" s="145" t="n"/>
      <c r="F397" s="145" t="n"/>
      <c r="G397" s="145" t="n"/>
      <c r="H397" s="145" t="n"/>
      <c r="I397" s="145" t="n"/>
      <c r="J397" s="145" t="n"/>
      <c r="K397" s="145" t="n"/>
      <c r="L397" s="145" t="n"/>
      <c r="M397" s="145" t="n"/>
      <c r="N397" s="145" t="n"/>
      <c r="O397" s="140" t="n"/>
      <c r="P397" s="140" t="n"/>
      <c r="Q397" s="140" t="n"/>
      <c r="R397" s="140" t="n"/>
      <c r="S397" s="140" t="n"/>
      <c r="T397" s="141" t="n"/>
      <c r="U397" s="129" t="n"/>
      <c r="V397" s="129" t="n"/>
      <c r="W397" s="145" t="n"/>
      <c r="X397" s="145" t="n"/>
      <c r="Y397" s="145" t="n"/>
      <c r="Z397" s="145" t="n"/>
    </row>
    <row r="398" ht="45.75" customHeight="1" s="222">
      <c r="A398" s="145" t="n"/>
      <c r="B398" s="145" t="n"/>
      <c r="C398" s="145" t="n"/>
      <c r="D398" s="145" t="n"/>
      <c r="E398" s="145" t="n"/>
      <c r="F398" s="145" t="n"/>
      <c r="G398" s="145" t="n"/>
      <c r="H398" s="145" t="n"/>
      <c r="I398" s="145" t="n"/>
      <c r="J398" s="145" t="n"/>
      <c r="K398" s="145" t="n"/>
      <c r="L398" s="145" t="n"/>
      <c r="M398" s="145" t="n"/>
      <c r="N398" s="145" t="n"/>
      <c r="O398" s="140" t="n"/>
      <c r="P398" s="140" t="n"/>
      <c r="Q398" s="140" t="n"/>
      <c r="R398" s="140" t="n"/>
      <c r="S398" s="140" t="n"/>
      <c r="T398" s="141" t="n"/>
      <c r="U398" s="129" t="n"/>
      <c r="V398" s="129" t="n"/>
      <c r="W398" s="145" t="n"/>
      <c r="X398" s="145" t="n"/>
      <c r="Y398" s="145" t="n"/>
      <c r="Z398" s="145" t="n"/>
    </row>
    <row r="399" ht="45.75" customHeight="1" s="222">
      <c r="A399" s="145" t="n"/>
      <c r="B399" s="145" t="n"/>
      <c r="C399" s="145" t="n"/>
      <c r="D399" s="145" t="n"/>
      <c r="E399" s="145" t="n"/>
      <c r="F399" s="145" t="n"/>
      <c r="G399" s="145" t="n"/>
      <c r="H399" s="145" t="n"/>
      <c r="I399" s="145" t="n"/>
      <c r="J399" s="145" t="n"/>
      <c r="K399" s="145" t="n"/>
      <c r="L399" s="145" t="n"/>
      <c r="M399" s="145" t="n"/>
      <c r="N399" s="145" t="n"/>
      <c r="O399" s="140" t="n"/>
      <c r="P399" s="140" t="n"/>
      <c r="Q399" s="140" t="n"/>
      <c r="R399" s="140" t="n"/>
      <c r="S399" s="140" t="n"/>
      <c r="T399" s="141" t="n"/>
      <c r="U399" s="129" t="n"/>
      <c r="V399" s="129" t="n"/>
      <c r="W399" s="145" t="n"/>
      <c r="X399" s="145" t="n"/>
      <c r="Y399" s="145" t="n"/>
      <c r="Z399" s="145" t="n"/>
    </row>
    <row r="400" ht="45.75" customHeight="1" s="222">
      <c r="A400" s="145" t="n"/>
      <c r="B400" s="145" t="n"/>
      <c r="C400" s="145" t="n"/>
      <c r="D400" s="145" t="n"/>
      <c r="E400" s="145" t="n"/>
      <c r="F400" s="145" t="n"/>
      <c r="G400" s="145" t="n"/>
      <c r="H400" s="145" t="n"/>
      <c r="I400" s="145" t="n"/>
      <c r="J400" s="145" t="n"/>
      <c r="K400" s="145" t="n"/>
      <c r="L400" s="145" t="n"/>
      <c r="M400" s="145" t="n"/>
      <c r="N400" s="145" t="n"/>
      <c r="O400" s="140" t="n"/>
      <c r="P400" s="140" t="n"/>
      <c r="Q400" s="140" t="n"/>
      <c r="R400" s="140" t="n"/>
      <c r="S400" s="140" t="n"/>
      <c r="T400" s="141" t="n"/>
      <c r="U400" s="129" t="n"/>
      <c r="V400" s="129" t="n"/>
      <c r="W400" s="145" t="n"/>
      <c r="X400" s="145" t="n"/>
      <c r="Y400" s="145" t="n"/>
      <c r="Z400" s="145" t="n"/>
    </row>
    <row r="401" ht="45.75" customHeight="1" s="222">
      <c r="A401" s="145" t="n"/>
      <c r="B401" s="145" t="n"/>
      <c r="C401" s="145" t="n"/>
      <c r="D401" s="145" t="n"/>
      <c r="E401" s="145" t="n"/>
      <c r="F401" s="145" t="n"/>
      <c r="G401" s="145" t="n"/>
      <c r="H401" s="145" t="n"/>
      <c r="I401" s="145" t="n"/>
      <c r="J401" s="145" t="n"/>
      <c r="K401" s="145" t="n"/>
      <c r="L401" s="145" t="n"/>
      <c r="M401" s="145" t="n"/>
      <c r="N401" s="145" t="n"/>
      <c r="O401" s="140" t="n"/>
      <c r="P401" s="140" t="n"/>
      <c r="Q401" s="140" t="n"/>
      <c r="R401" s="140" t="n"/>
      <c r="S401" s="140" t="n"/>
      <c r="T401" s="141" t="n"/>
      <c r="U401" s="129" t="n"/>
      <c r="V401" s="129" t="n"/>
      <c r="W401" s="145" t="n"/>
      <c r="X401" s="145" t="n"/>
      <c r="Y401" s="145" t="n"/>
      <c r="Z401" s="145" t="n"/>
    </row>
    <row r="402" ht="45.75" customHeight="1" s="222">
      <c r="A402" s="145" t="n"/>
      <c r="B402" s="145" t="n"/>
      <c r="C402" s="145" t="n"/>
      <c r="D402" s="145" t="n"/>
      <c r="E402" s="145" t="n"/>
      <c r="F402" s="145" t="n"/>
      <c r="G402" s="145" t="n"/>
      <c r="H402" s="145" t="n"/>
      <c r="I402" s="145" t="n"/>
      <c r="J402" s="145" t="n"/>
      <c r="K402" s="145" t="n"/>
      <c r="L402" s="145" t="n"/>
      <c r="M402" s="145" t="n"/>
      <c r="N402" s="145" t="n"/>
      <c r="O402" s="140" t="n"/>
      <c r="P402" s="140" t="n"/>
      <c r="Q402" s="140" t="n"/>
      <c r="R402" s="140" t="n"/>
      <c r="S402" s="140" t="n"/>
      <c r="T402" s="141" t="n"/>
      <c r="U402" s="129" t="n"/>
      <c r="V402" s="129" t="n"/>
      <c r="W402" s="145" t="n"/>
      <c r="X402" s="145" t="n"/>
      <c r="Y402" s="145" t="n"/>
      <c r="Z402" s="145" t="n"/>
    </row>
    <row r="403" ht="45.75" customHeight="1" s="222">
      <c r="A403" s="145" t="n"/>
      <c r="B403" s="145" t="n"/>
      <c r="C403" s="145" t="n"/>
      <c r="D403" s="145" t="n"/>
      <c r="E403" s="145" t="n"/>
      <c r="F403" s="145" t="n"/>
      <c r="G403" s="145" t="n"/>
      <c r="H403" s="145" t="n"/>
      <c r="I403" s="145" t="n"/>
      <c r="J403" s="145" t="n"/>
      <c r="K403" s="145" t="n"/>
      <c r="L403" s="145" t="n"/>
      <c r="M403" s="145" t="n"/>
      <c r="N403" s="145" t="n"/>
      <c r="O403" s="140" t="n"/>
      <c r="P403" s="140" t="n"/>
      <c r="Q403" s="140" t="n"/>
      <c r="R403" s="140" t="n"/>
      <c r="S403" s="140" t="n"/>
      <c r="T403" s="141" t="n"/>
      <c r="U403" s="129" t="n"/>
      <c r="V403" s="129" t="n"/>
      <c r="W403" s="145" t="n"/>
      <c r="X403" s="145" t="n"/>
      <c r="Y403" s="145" t="n"/>
      <c r="Z403" s="145" t="n"/>
    </row>
    <row r="404" ht="45.75" customHeight="1" s="222">
      <c r="A404" s="145" t="n"/>
      <c r="B404" s="145" t="n"/>
      <c r="C404" s="145" t="n"/>
      <c r="D404" s="145" t="n"/>
      <c r="E404" s="145" t="n"/>
      <c r="F404" s="145" t="n"/>
      <c r="G404" s="145" t="n"/>
      <c r="H404" s="145" t="n"/>
      <c r="I404" s="145" t="n"/>
      <c r="J404" s="145" t="n"/>
      <c r="K404" s="145" t="n"/>
      <c r="L404" s="145" t="n"/>
      <c r="M404" s="145" t="n"/>
      <c r="N404" s="145" t="n"/>
      <c r="O404" s="140" t="n"/>
      <c r="P404" s="140" t="n"/>
      <c r="Q404" s="140" t="n"/>
      <c r="R404" s="140" t="n"/>
      <c r="S404" s="140" t="n"/>
      <c r="T404" s="141" t="n"/>
      <c r="U404" s="129" t="n"/>
      <c r="V404" s="129" t="n"/>
      <c r="W404" s="145" t="n"/>
      <c r="X404" s="145" t="n"/>
      <c r="Y404" s="145" t="n"/>
      <c r="Z404" s="145" t="n"/>
    </row>
    <row r="405" ht="45.75" customHeight="1" s="222">
      <c r="A405" s="145" t="n"/>
      <c r="B405" s="145" t="n"/>
      <c r="C405" s="145" t="n"/>
      <c r="D405" s="145" t="n"/>
      <c r="E405" s="145" t="n"/>
      <c r="F405" s="145" t="n"/>
      <c r="G405" s="145" t="n"/>
      <c r="H405" s="145" t="n"/>
      <c r="I405" s="145" t="n"/>
      <c r="J405" s="145" t="n"/>
      <c r="K405" s="145" t="n"/>
      <c r="L405" s="145" t="n"/>
      <c r="M405" s="145" t="n"/>
      <c r="N405" s="145" t="n"/>
      <c r="O405" s="140" t="n"/>
      <c r="P405" s="140" t="n"/>
      <c r="Q405" s="140" t="n"/>
      <c r="R405" s="140" t="n"/>
      <c r="S405" s="140" t="n"/>
      <c r="T405" s="141" t="n"/>
      <c r="U405" s="129" t="n"/>
      <c r="V405" s="129" t="n"/>
      <c r="W405" s="145" t="n"/>
      <c r="X405" s="145" t="n"/>
      <c r="Y405" s="145" t="n"/>
      <c r="Z405" s="145" t="n"/>
    </row>
    <row r="406" ht="45.75" customHeight="1" s="222">
      <c r="A406" s="145" t="n"/>
      <c r="B406" s="145" t="n"/>
      <c r="C406" s="145" t="n"/>
      <c r="D406" s="145" t="n"/>
      <c r="E406" s="145" t="n"/>
      <c r="F406" s="145" t="n"/>
      <c r="G406" s="145" t="n"/>
      <c r="H406" s="145" t="n"/>
      <c r="I406" s="145" t="n"/>
      <c r="J406" s="145" t="n"/>
      <c r="K406" s="145" t="n"/>
      <c r="L406" s="145" t="n"/>
      <c r="M406" s="145" t="n"/>
      <c r="N406" s="145" t="n"/>
      <c r="O406" s="140" t="n"/>
      <c r="P406" s="140" t="n"/>
      <c r="Q406" s="140" t="n"/>
      <c r="R406" s="140" t="n"/>
      <c r="S406" s="140" t="n"/>
      <c r="T406" s="141" t="n"/>
      <c r="U406" s="129" t="n"/>
      <c r="V406" s="129" t="n"/>
      <c r="W406" s="145" t="n"/>
      <c r="X406" s="145" t="n"/>
      <c r="Y406" s="145" t="n"/>
      <c r="Z406" s="145" t="n"/>
    </row>
    <row r="407" ht="45.75" customHeight="1" s="222">
      <c r="A407" s="145" t="n"/>
      <c r="B407" s="145" t="n"/>
      <c r="C407" s="145" t="n"/>
      <c r="D407" s="145" t="n"/>
      <c r="E407" s="145" t="n"/>
      <c r="F407" s="145" t="n"/>
      <c r="G407" s="145" t="n"/>
      <c r="H407" s="145" t="n"/>
      <c r="I407" s="145" t="n"/>
      <c r="J407" s="145" t="n"/>
      <c r="K407" s="145" t="n"/>
      <c r="L407" s="145" t="n"/>
      <c r="M407" s="145" t="n"/>
      <c r="N407" s="145" t="n"/>
      <c r="O407" s="140" t="n"/>
      <c r="P407" s="140" t="n"/>
      <c r="Q407" s="140" t="n"/>
      <c r="R407" s="140" t="n"/>
      <c r="S407" s="140" t="n"/>
      <c r="T407" s="141" t="n"/>
      <c r="U407" s="129" t="n"/>
      <c r="V407" s="129" t="n"/>
      <c r="W407" s="145" t="n"/>
      <c r="X407" s="145" t="n"/>
      <c r="Y407" s="145" t="n"/>
      <c r="Z407" s="145" t="n"/>
    </row>
    <row r="408" ht="45.75" customHeight="1" s="222">
      <c r="A408" s="145" t="n"/>
      <c r="B408" s="145" t="n"/>
      <c r="C408" s="145" t="n"/>
      <c r="D408" s="145" t="n"/>
      <c r="E408" s="145" t="n"/>
      <c r="F408" s="145" t="n"/>
      <c r="G408" s="145" t="n"/>
      <c r="H408" s="145" t="n"/>
      <c r="I408" s="145" t="n"/>
      <c r="J408" s="145" t="n"/>
      <c r="K408" s="145" t="n"/>
      <c r="L408" s="145" t="n"/>
      <c r="M408" s="145" t="n"/>
      <c r="N408" s="145" t="n"/>
      <c r="O408" s="140" t="n"/>
      <c r="P408" s="140" t="n"/>
      <c r="Q408" s="140" t="n"/>
      <c r="R408" s="140" t="n"/>
      <c r="S408" s="140" t="n"/>
      <c r="T408" s="141" t="n"/>
      <c r="U408" s="129" t="n"/>
      <c r="V408" s="129" t="n"/>
      <c r="W408" s="145" t="n"/>
      <c r="X408" s="145" t="n"/>
      <c r="Y408" s="145" t="n"/>
      <c r="Z408" s="145" t="n"/>
    </row>
    <row r="409" ht="45.75" customHeight="1" s="222">
      <c r="A409" s="145" t="n"/>
      <c r="B409" s="145" t="n"/>
      <c r="C409" s="145" t="n"/>
      <c r="D409" s="145" t="n"/>
      <c r="E409" s="145" t="n"/>
      <c r="F409" s="145" t="n"/>
      <c r="G409" s="145" t="n"/>
      <c r="H409" s="145" t="n"/>
      <c r="I409" s="145" t="n"/>
      <c r="J409" s="145" t="n"/>
      <c r="K409" s="145" t="n"/>
      <c r="L409" s="145" t="n"/>
      <c r="M409" s="145" t="n"/>
      <c r="N409" s="145" t="n"/>
      <c r="O409" s="140" t="n"/>
      <c r="P409" s="140" t="n"/>
      <c r="Q409" s="140" t="n"/>
      <c r="R409" s="140" t="n"/>
      <c r="S409" s="140" t="n"/>
      <c r="T409" s="141" t="n"/>
      <c r="U409" s="129" t="n"/>
      <c r="V409" s="129" t="n"/>
      <c r="W409" s="145" t="n"/>
      <c r="X409" s="145" t="n"/>
      <c r="Y409" s="145" t="n"/>
      <c r="Z409" s="145" t="n"/>
    </row>
    <row r="410" ht="45.75" customHeight="1" s="222">
      <c r="A410" s="145" t="n"/>
      <c r="B410" s="145" t="n"/>
      <c r="C410" s="145" t="n"/>
      <c r="D410" s="145" t="n"/>
      <c r="E410" s="145" t="n"/>
      <c r="F410" s="145" t="n"/>
      <c r="G410" s="145" t="n"/>
      <c r="H410" s="145" t="n"/>
      <c r="I410" s="145" t="n"/>
      <c r="J410" s="145" t="n"/>
      <c r="K410" s="145" t="n"/>
      <c r="L410" s="145" t="n"/>
      <c r="M410" s="145" t="n"/>
      <c r="N410" s="145" t="n"/>
      <c r="O410" s="140" t="n"/>
      <c r="P410" s="140" t="n"/>
      <c r="Q410" s="140" t="n"/>
      <c r="R410" s="140" t="n"/>
      <c r="S410" s="140" t="n"/>
      <c r="T410" s="141" t="n"/>
      <c r="U410" s="129" t="n"/>
      <c r="V410" s="129" t="n"/>
      <c r="W410" s="145" t="n"/>
      <c r="X410" s="145" t="n"/>
      <c r="Y410" s="145" t="n"/>
      <c r="Z410" s="145" t="n"/>
    </row>
    <row r="411" ht="45.75" customHeight="1" s="222">
      <c r="A411" s="145" t="n"/>
      <c r="B411" s="145" t="n"/>
      <c r="C411" s="145" t="n"/>
      <c r="D411" s="145" t="n"/>
      <c r="E411" s="145" t="n"/>
      <c r="F411" s="145" t="n"/>
      <c r="G411" s="145" t="n"/>
      <c r="H411" s="145" t="n"/>
      <c r="I411" s="145" t="n"/>
      <c r="J411" s="145" t="n"/>
      <c r="K411" s="145" t="n"/>
      <c r="L411" s="145" t="n"/>
      <c r="M411" s="145" t="n"/>
      <c r="N411" s="145" t="n"/>
      <c r="O411" s="140" t="n"/>
      <c r="P411" s="140" t="n"/>
      <c r="Q411" s="140" t="n"/>
      <c r="R411" s="140" t="n"/>
      <c r="S411" s="140" t="n"/>
      <c r="T411" s="141" t="n"/>
      <c r="U411" s="129" t="n"/>
      <c r="V411" s="129" t="n"/>
      <c r="W411" s="145" t="n"/>
      <c r="X411" s="145" t="n"/>
      <c r="Y411" s="145" t="n"/>
      <c r="Z411" s="145" t="n"/>
    </row>
    <row r="412" ht="45.75" customHeight="1" s="222">
      <c r="A412" s="145" t="n"/>
      <c r="B412" s="145" t="n"/>
      <c r="C412" s="145" t="n"/>
      <c r="D412" s="145" t="n"/>
      <c r="E412" s="145" t="n"/>
      <c r="F412" s="145" t="n"/>
      <c r="G412" s="145" t="n"/>
      <c r="H412" s="145" t="n"/>
      <c r="I412" s="145" t="n"/>
      <c r="J412" s="145" t="n"/>
      <c r="K412" s="145" t="n"/>
      <c r="L412" s="145" t="n"/>
      <c r="M412" s="145" t="n"/>
      <c r="N412" s="145" t="n"/>
      <c r="O412" s="140" t="n"/>
      <c r="P412" s="140" t="n"/>
      <c r="Q412" s="140" t="n"/>
      <c r="R412" s="140" t="n"/>
      <c r="S412" s="140" t="n"/>
      <c r="T412" s="141" t="n"/>
      <c r="U412" s="129" t="n"/>
      <c r="V412" s="129" t="n"/>
      <c r="W412" s="145" t="n"/>
      <c r="X412" s="145" t="n"/>
      <c r="Y412" s="145" t="n"/>
      <c r="Z412" s="145" t="n"/>
    </row>
    <row r="413" ht="45.75" customHeight="1" s="222">
      <c r="A413" s="145" t="n"/>
      <c r="B413" s="145" t="n"/>
      <c r="C413" s="145" t="n"/>
      <c r="D413" s="145" t="n"/>
      <c r="E413" s="145" t="n"/>
      <c r="F413" s="145" t="n"/>
      <c r="G413" s="145" t="n"/>
      <c r="H413" s="145" t="n"/>
      <c r="I413" s="145" t="n"/>
      <c r="J413" s="145" t="n"/>
      <c r="K413" s="145" t="n"/>
      <c r="L413" s="145" t="n"/>
      <c r="M413" s="145" t="n"/>
      <c r="N413" s="145" t="n"/>
      <c r="O413" s="140" t="n"/>
      <c r="P413" s="140" t="n"/>
      <c r="Q413" s="140" t="n"/>
      <c r="R413" s="140" t="n"/>
      <c r="S413" s="140" t="n"/>
      <c r="T413" s="141" t="n"/>
      <c r="U413" s="129" t="n"/>
      <c r="V413" s="129" t="n"/>
      <c r="W413" s="145" t="n"/>
      <c r="X413" s="145" t="n"/>
      <c r="Y413" s="145" t="n"/>
      <c r="Z413" s="145" t="n"/>
    </row>
    <row r="414" ht="45.75" customHeight="1" s="222">
      <c r="A414" s="145" t="n"/>
      <c r="B414" s="145" t="n"/>
      <c r="C414" s="145" t="n"/>
      <c r="D414" s="145" t="n"/>
      <c r="E414" s="145" t="n"/>
      <c r="F414" s="145" t="n"/>
      <c r="G414" s="145" t="n"/>
      <c r="H414" s="145" t="n"/>
      <c r="I414" s="145" t="n"/>
      <c r="J414" s="145" t="n"/>
      <c r="K414" s="145" t="n"/>
      <c r="L414" s="145" t="n"/>
      <c r="M414" s="145" t="n"/>
      <c r="N414" s="145" t="n"/>
      <c r="O414" s="140" t="n"/>
      <c r="P414" s="140" t="n"/>
      <c r="Q414" s="140" t="n"/>
      <c r="R414" s="140" t="n"/>
      <c r="S414" s="140" t="n"/>
      <c r="T414" s="141" t="n"/>
      <c r="U414" s="129" t="n"/>
      <c r="V414" s="129" t="n"/>
      <c r="W414" s="145" t="n"/>
      <c r="X414" s="145" t="n"/>
      <c r="Y414" s="145" t="n"/>
      <c r="Z414" s="145" t="n"/>
    </row>
    <row r="415" ht="45.75" customHeight="1" s="222">
      <c r="A415" s="145" t="n"/>
      <c r="B415" s="145" t="n"/>
      <c r="C415" s="145" t="n"/>
      <c r="D415" s="145" t="n"/>
      <c r="E415" s="145" t="n"/>
      <c r="F415" s="145" t="n"/>
      <c r="G415" s="145" t="n"/>
      <c r="H415" s="145" t="n"/>
      <c r="I415" s="145" t="n"/>
      <c r="J415" s="145" t="n"/>
      <c r="K415" s="145" t="n"/>
      <c r="L415" s="145" t="n"/>
      <c r="M415" s="145" t="n"/>
      <c r="N415" s="145" t="n"/>
      <c r="O415" s="140" t="n"/>
      <c r="P415" s="140" t="n"/>
      <c r="Q415" s="140" t="n"/>
      <c r="R415" s="140" t="n"/>
      <c r="S415" s="140" t="n"/>
      <c r="T415" s="141" t="n"/>
      <c r="U415" s="129" t="n"/>
      <c r="V415" s="129" t="n"/>
      <c r="W415" s="145" t="n"/>
      <c r="X415" s="145" t="n"/>
      <c r="Y415" s="145" t="n"/>
      <c r="Z415" s="145" t="n"/>
    </row>
    <row r="416" ht="45.75" customHeight="1" s="222">
      <c r="A416" s="145" t="n"/>
      <c r="B416" s="145" t="n"/>
      <c r="C416" s="145" t="n"/>
      <c r="D416" s="145" t="n"/>
      <c r="E416" s="145" t="n"/>
      <c r="F416" s="145" t="n"/>
      <c r="G416" s="145" t="n"/>
      <c r="H416" s="145" t="n"/>
      <c r="I416" s="145" t="n"/>
      <c r="J416" s="145" t="n"/>
      <c r="K416" s="145" t="n"/>
      <c r="L416" s="145" t="n"/>
      <c r="M416" s="145" t="n"/>
      <c r="N416" s="145" t="n"/>
      <c r="O416" s="140" t="n"/>
      <c r="P416" s="140" t="n"/>
      <c r="Q416" s="140" t="n"/>
      <c r="R416" s="140" t="n"/>
      <c r="S416" s="140" t="n"/>
      <c r="T416" s="141" t="n"/>
      <c r="U416" s="129" t="n"/>
      <c r="V416" s="129" t="n"/>
      <c r="W416" s="145" t="n"/>
      <c r="X416" s="145" t="n"/>
      <c r="Y416" s="145" t="n"/>
      <c r="Z416" s="145" t="n"/>
    </row>
    <row r="417" ht="45.75" customHeight="1" s="222">
      <c r="A417" s="145" t="n"/>
      <c r="B417" s="145" t="n"/>
      <c r="C417" s="145" t="n"/>
      <c r="D417" s="145" t="n"/>
      <c r="E417" s="145" t="n"/>
      <c r="F417" s="145" t="n"/>
      <c r="G417" s="145" t="n"/>
      <c r="H417" s="145" t="n"/>
      <c r="I417" s="145" t="n"/>
      <c r="J417" s="145" t="n"/>
      <c r="K417" s="145" t="n"/>
      <c r="L417" s="145" t="n"/>
      <c r="M417" s="145" t="n"/>
      <c r="N417" s="145" t="n"/>
      <c r="O417" s="140" t="n"/>
      <c r="P417" s="140" t="n"/>
      <c r="Q417" s="140" t="n"/>
      <c r="R417" s="140" t="n"/>
      <c r="S417" s="140" t="n"/>
      <c r="T417" s="141" t="n"/>
      <c r="U417" s="129" t="n"/>
      <c r="V417" s="129" t="n"/>
      <c r="W417" s="145" t="n"/>
      <c r="X417" s="145" t="n"/>
      <c r="Y417" s="145" t="n"/>
      <c r="Z417" s="145" t="n"/>
    </row>
    <row r="418" ht="45.75" customHeight="1" s="222">
      <c r="A418" s="145" t="n"/>
      <c r="B418" s="145" t="n"/>
      <c r="C418" s="145" t="n"/>
      <c r="D418" s="145" t="n"/>
      <c r="E418" s="145" t="n"/>
      <c r="F418" s="145" t="n"/>
      <c r="G418" s="145" t="n"/>
      <c r="H418" s="145" t="n"/>
      <c r="I418" s="145" t="n"/>
      <c r="J418" s="145" t="n"/>
      <c r="K418" s="145" t="n"/>
      <c r="L418" s="145" t="n"/>
      <c r="M418" s="145" t="n"/>
      <c r="N418" s="145" t="n"/>
      <c r="O418" s="140" t="n"/>
      <c r="P418" s="140" t="n"/>
      <c r="Q418" s="140" t="n"/>
      <c r="R418" s="140" t="n"/>
      <c r="S418" s="140" t="n"/>
      <c r="T418" s="141" t="n"/>
      <c r="U418" s="129" t="n"/>
      <c r="V418" s="129" t="n"/>
      <c r="W418" s="145" t="n"/>
      <c r="X418" s="145" t="n"/>
      <c r="Y418" s="145" t="n"/>
      <c r="Z418" s="145" t="n"/>
    </row>
    <row r="419" ht="45.75" customHeight="1" s="222">
      <c r="A419" s="145" t="n"/>
      <c r="B419" s="145" t="n"/>
      <c r="C419" s="145" t="n"/>
      <c r="D419" s="145" t="n"/>
      <c r="E419" s="145" t="n"/>
      <c r="F419" s="145" t="n"/>
      <c r="G419" s="145" t="n"/>
      <c r="H419" s="145" t="n"/>
      <c r="I419" s="145" t="n"/>
      <c r="J419" s="145" t="n"/>
      <c r="K419" s="145" t="n"/>
      <c r="L419" s="145" t="n"/>
      <c r="M419" s="145" t="n"/>
      <c r="N419" s="145" t="n"/>
      <c r="O419" s="140" t="n"/>
      <c r="P419" s="140" t="n"/>
      <c r="Q419" s="140" t="n"/>
      <c r="R419" s="140" t="n"/>
      <c r="S419" s="140" t="n"/>
      <c r="T419" s="141" t="n"/>
      <c r="U419" s="129" t="n"/>
      <c r="V419" s="129" t="n"/>
      <c r="W419" s="145" t="n"/>
      <c r="X419" s="145" t="n"/>
      <c r="Y419" s="145" t="n"/>
      <c r="Z419" s="145" t="n"/>
    </row>
    <row r="420" ht="45.75" customHeight="1" s="222">
      <c r="A420" s="145" t="n"/>
      <c r="B420" s="145" t="n"/>
      <c r="C420" s="145" t="n"/>
      <c r="D420" s="145" t="n"/>
      <c r="E420" s="145" t="n"/>
      <c r="F420" s="145" t="n"/>
      <c r="G420" s="145" t="n"/>
      <c r="H420" s="145" t="n"/>
      <c r="I420" s="145" t="n"/>
      <c r="J420" s="145" t="n"/>
      <c r="K420" s="145" t="n"/>
      <c r="L420" s="145" t="n"/>
      <c r="M420" s="145" t="n"/>
      <c r="N420" s="145" t="n"/>
      <c r="O420" s="140" t="n"/>
      <c r="P420" s="140" t="n"/>
      <c r="Q420" s="140" t="n"/>
      <c r="R420" s="140" t="n"/>
      <c r="S420" s="140" t="n"/>
      <c r="T420" s="141" t="n"/>
      <c r="U420" s="129" t="n"/>
      <c r="V420" s="129" t="n"/>
      <c r="W420" s="145" t="n"/>
      <c r="X420" s="145" t="n"/>
      <c r="Y420" s="145" t="n"/>
      <c r="Z420" s="145" t="n"/>
    </row>
    <row r="421" ht="45.75" customHeight="1" s="222">
      <c r="A421" s="145" t="n"/>
      <c r="B421" s="145" t="n"/>
      <c r="C421" s="145" t="n"/>
      <c r="D421" s="145" t="n"/>
      <c r="E421" s="145" t="n"/>
      <c r="F421" s="145" t="n"/>
      <c r="G421" s="145" t="n"/>
      <c r="H421" s="145" t="n"/>
      <c r="I421" s="145" t="n"/>
      <c r="J421" s="145" t="n"/>
      <c r="K421" s="145" t="n"/>
      <c r="L421" s="145" t="n"/>
      <c r="M421" s="145" t="n"/>
      <c r="N421" s="145" t="n"/>
      <c r="O421" s="140" t="n"/>
      <c r="P421" s="140" t="n"/>
      <c r="Q421" s="140" t="n"/>
      <c r="R421" s="140" t="n"/>
      <c r="S421" s="140" t="n"/>
      <c r="T421" s="141" t="n"/>
      <c r="U421" s="129" t="n"/>
      <c r="V421" s="129" t="n"/>
      <c r="W421" s="145" t="n"/>
      <c r="X421" s="145" t="n"/>
      <c r="Y421" s="145" t="n"/>
      <c r="Z421" s="145" t="n"/>
    </row>
    <row r="422" ht="45.75" customHeight="1" s="222">
      <c r="A422" s="145" t="n"/>
      <c r="B422" s="145" t="n"/>
      <c r="C422" s="145" t="n"/>
      <c r="D422" s="145" t="n"/>
      <c r="E422" s="145" t="n"/>
      <c r="F422" s="145" t="n"/>
      <c r="G422" s="145" t="n"/>
      <c r="H422" s="145" t="n"/>
      <c r="I422" s="145" t="n"/>
      <c r="J422" s="145" t="n"/>
      <c r="K422" s="145" t="n"/>
      <c r="L422" s="145" t="n"/>
      <c r="M422" s="145" t="n"/>
      <c r="N422" s="145" t="n"/>
      <c r="O422" s="140" t="n"/>
      <c r="P422" s="140" t="n"/>
      <c r="Q422" s="140" t="n"/>
      <c r="R422" s="140" t="n"/>
      <c r="S422" s="140" t="n"/>
      <c r="T422" s="141" t="n"/>
      <c r="U422" s="129" t="n"/>
      <c r="V422" s="129" t="n"/>
      <c r="W422" s="145" t="n"/>
      <c r="X422" s="145" t="n"/>
      <c r="Y422" s="145" t="n"/>
      <c r="Z422" s="145" t="n"/>
    </row>
    <row r="423" ht="45.75" customHeight="1" s="222">
      <c r="A423" s="145" t="n"/>
      <c r="B423" s="145" t="n"/>
      <c r="C423" s="145" t="n"/>
      <c r="D423" s="145" t="n"/>
      <c r="E423" s="145" t="n"/>
      <c r="F423" s="145" t="n"/>
      <c r="G423" s="145" t="n"/>
      <c r="H423" s="145" t="n"/>
      <c r="I423" s="145" t="n"/>
      <c r="J423" s="145" t="n"/>
      <c r="K423" s="145" t="n"/>
      <c r="L423" s="145" t="n"/>
      <c r="M423" s="145" t="n"/>
      <c r="N423" s="145" t="n"/>
      <c r="O423" s="140" t="n"/>
      <c r="P423" s="140" t="n"/>
      <c r="Q423" s="140" t="n"/>
      <c r="R423" s="140" t="n"/>
      <c r="S423" s="140" t="n"/>
      <c r="T423" s="141" t="n"/>
      <c r="U423" s="129" t="n"/>
      <c r="V423" s="129" t="n"/>
      <c r="W423" s="145" t="n"/>
      <c r="X423" s="145" t="n"/>
      <c r="Y423" s="145" t="n"/>
      <c r="Z423" s="145" t="n"/>
    </row>
    <row r="424" ht="45.75" customHeight="1" s="222">
      <c r="A424" s="145" t="n"/>
      <c r="B424" s="145" t="n"/>
      <c r="C424" s="145" t="n"/>
      <c r="D424" s="145" t="n"/>
      <c r="E424" s="145" t="n"/>
      <c r="F424" s="145" t="n"/>
      <c r="G424" s="145" t="n"/>
      <c r="H424" s="145" t="n"/>
      <c r="I424" s="145" t="n"/>
      <c r="J424" s="145" t="n"/>
      <c r="K424" s="145" t="n"/>
      <c r="L424" s="145" t="n"/>
      <c r="M424" s="145" t="n"/>
      <c r="N424" s="145" t="n"/>
      <c r="O424" s="140" t="n"/>
      <c r="P424" s="140" t="n"/>
      <c r="Q424" s="140" t="n"/>
      <c r="R424" s="140" t="n"/>
      <c r="S424" s="140" t="n"/>
      <c r="T424" s="141" t="n"/>
      <c r="U424" s="129" t="n"/>
      <c r="V424" s="129" t="n"/>
      <c r="W424" s="145" t="n"/>
      <c r="X424" s="145" t="n"/>
      <c r="Y424" s="145" t="n"/>
      <c r="Z424" s="145" t="n"/>
    </row>
    <row r="425" ht="45.75" customHeight="1" s="222">
      <c r="A425" s="145" t="n"/>
      <c r="B425" s="145" t="n"/>
      <c r="C425" s="145" t="n"/>
      <c r="D425" s="145" t="n"/>
      <c r="E425" s="145" t="n"/>
      <c r="F425" s="145" t="n"/>
      <c r="G425" s="145" t="n"/>
      <c r="H425" s="145" t="n"/>
      <c r="I425" s="145" t="n"/>
      <c r="J425" s="145" t="n"/>
      <c r="K425" s="145" t="n"/>
      <c r="L425" s="145" t="n"/>
      <c r="M425" s="145" t="n"/>
      <c r="N425" s="145" t="n"/>
      <c r="O425" s="140" t="n"/>
      <c r="P425" s="140" t="n"/>
      <c r="Q425" s="140" t="n"/>
      <c r="R425" s="140" t="n"/>
      <c r="S425" s="140" t="n"/>
      <c r="T425" s="141" t="n"/>
      <c r="U425" s="129" t="n"/>
      <c r="V425" s="129" t="n"/>
      <c r="W425" s="145" t="n"/>
      <c r="X425" s="145" t="n"/>
      <c r="Y425" s="145" t="n"/>
      <c r="Z425" s="145" t="n"/>
    </row>
    <row r="426" ht="45.75" customHeight="1" s="222">
      <c r="A426" s="145" t="n"/>
      <c r="B426" s="145" t="n"/>
      <c r="C426" s="145" t="n"/>
      <c r="D426" s="145" t="n"/>
      <c r="E426" s="145" t="n"/>
      <c r="F426" s="145" t="n"/>
      <c r="G426" s="145" t="n"/>
      <c r="H426" s="145" t="n"/>
      <c r="I426" s="145" t="n"/>
      <c r="J426" s="145" t="n"/>
      <c r="K426" s="145" t="n"/>
      <c r="L426" s="145" t="n"/>
      <c r="M426" s="145" t="n"/>
      <c r="N426" s="145" t="n"/>
      <c r="O426" s="140" t="n"/>
      <c r="P426" s="140" t="n"/>
      <c r="Q426" s="140" t="n"/>
      <c r="R426" s="140" t="n"/>
      <c r="S426" s="140" t="n"/>
      <c r="T426" s="141" t="n"/>
      <c r="U426" s="129" t="n"/>
      <c r="V426" s="129" t="n"/>
      <c r="W426" s="145" t="n"/>
      <c r="X426" s="145" t="n"/>
      <c r="Y426" s="145" t="n"/>
      <c r="Z426" s="145" t="n"/>
    </row>
    <row r="427" ht="45.75" customHeight="1" s="222">
      <c r="A427" s="145" t="n"/>
      <c r="B427" s="145" t="n"/>
      <c r="C427" s="145" t="n"/>
      <c r="D427" s="145" t="n"/>
      <c r="E427" s="145" t="n"/>
      <c r="F427" s="145" t="n"/>
      <c r="G427" s="145" t="n"/>
      <c r="H427" s="145" t="n"/>
      <c r="I427" s="145" t="n"/>
      <c r="J427" s="145" t="n"/>
      <c r="K427" s="145" t="n"/>
      <c r="L427" s="145" t="n"/>
      <c r="M427" s="145" t="n"/>
      <c r="N427" s="145" t="n"/>
      <c r="O427" s="140" t="n"/>
      <c r="P427" s="140" t="n"/>
      <c r="Q427" s="140" t="n"/>
      <c r="R427" s="140" t="n"/>
      <c r="S427" s="140" t="n"/>
      <c r="T427" s="141" t="n"/>
      <c r="U427" s="129" t="n"/>
      <c r="V427" s="129" t="n"/>
      <c r="W427" s="145" t="n"/>
      <c r="X427" s="145" t="n"/>
      <c r="Y427" s="145" t="n"/>
      <c r="Z427" s="145" t="n"/>
    </row>
    <row r="428" ht="45.75" customHeight="1" s="222">
      <c r="A428" s="145" t="n"/>
      <c r="B428" s="145" t="n"/>
      <c r="C428" s="145" t="n"/>
      <c r="D428" s="145" t="n"/>
      <c r="E428" s="145" t="n"/>
      <c r="F428" s="145" t="n"/>
      <c r="G428" s="145" t="n"/>
      <c r="H428" s="145" t="n"/>
      <c r="I428" s="145" t="n"/>
      <c r="J428" s="145" t="n"/>
      <c r="K428" s="145" t="n"/>
      <c r="L428" s="145" t="n"/>
      <c r="M428" s="145" t="n"/>
      <c r="N428" s="145" t="n"/>
      <c r="O428" s="140" t="n"/>
      <c r="P428" s="140" t="n"/>
      <c r="Q428" s="140" t="n"/>
      <c r="R428" s="140" t="n"/>
      <c r="S428" s="140" t="n"/>
      <c r="T428" s="141" t="n"/>
      <c r="U428" s="129" t="n"/>
      <c r="V428" s="129" t="n"/>
      <c r="W428" s="145" t="n"/>
      <c r="X428" s="145" t="n"/>
      <c r="Y428" s="145" t="n"/>
      <c r="Z428" s="145" t="n"/>
    </row>
    <row r="429" ht="45.75" customHeight="1" s="222">
      <c r="A429" s="145" t="n"/>
      <c r="B429" s="145" t="n"/>
      <c r="C429" s="145" t="n"/>
      <c r="D429" s="145" t="n"/>
      <c r="E429" s="145" t="n"/>
      <c r="F429" s="145" t="n"/>
      <c r="G429" s="145" t="n"/>
      <c r="H429" s="145" t="n"/>
      <c r="I429" s="145" t="n"/>
      <c r="J429" s="145" t="n"/>
      <c r="K429" s="145" t="n"/>
      <c r="L429" s="145" t="n"/>
      <c r="M429" s="145" t="n"/>
      <c r="N429" s="145" t="n"/>
      <c r="O429" s="140" t="n"/>
      <c r="P429" s="140" t="n"/>
      <c r="Q429" s="140" t="n"/>
      <c r="R429" s="140" t="n"/>
      <c r="S429" s="140" t="n"/>
      <c r="T429" s="141" t="n"/>
      <c r="U429" s="129" t="n"/>
      <c r="V429" s="129" t="n"/>
      <c r="W429" s="145" t="n"/>
      <c r="X429" s="145" t="n"/>
      <c r="Y429" s="145" t="n"/>
      <c r="Z429" s="145" t="n"/>
    </row>
    <row r="430" ht="45.75" customHeight="1" s="222">
      <c r="A430" s="145" t="n"/>
      <c r="B430" s="145" t="n"/>
      <c r="C430" s="145" t="n"/>
      <c r="D430" s="145" t="n"/>
      <c r="E430" s="145" t="n"/>
      <c r="F430" s="145" t="n"/>
      <c r="G430" s="145" t="n"/>
      <c r="H430" s="145" t="n"/>
      <c r="I430" s="145" t="n"/>
      <c r="J430" s="145" t="n"/>
      <c r="K430" s="145" t="n"/>
      <c r="L430" s="145" t="n"/>
      <c r="M430" s="145" t="n"/>
      <c r="N430" s="145" t="n"/>
      <c r="O430" s="140" t="n"/>
      <c r="P430" s="140" t="n"/>
      <c r="Q430" s="140" t="n"/>
      <c r="R430" s="140" t="n"/>
      <c r="S430" s="140" t="n"/>
      <c r="T430" s="141" t="n"/>
      <c r="U430" s="129" t="n"/>
      <c r="V430" s="129" t="n"/>
      <c r="W430" s="145" t="n"/>
      <c r="X430" s="145" t="n"/>
      <c r="Y430" s="145" t="n"/>
      <c r="Z430" s="145" t="n"/>
    </row>
    <row r="431" ht="45.75" customHeight="1" s="222">
      <c r="A431" s="145" t="n"/>
      <c r="B431" s="145" t="n"/>
      <c r="C431" s="145" t="n"/>
      <c r="D431" s="145" t="n"/>
      <c r="E431" s="145" t="n"/>
      <c r="F431" s="145" t="n"/>
      <c r="G431" s="145" t="n"/>
      <c r="H431" s="145" t="n"/>
      <c r="I431" s="145" t="n"/>
      <c r="J431" s="145" t="n"/>
      <c r="K431" s="145" t="n"/>
      <c r="L431" s="145" t="n"/>
      <c r="M431" s="145" t="n"/>
      <c r="N431" s="145" t="n"/>
      <c r="O431" s="140" t="n"/>
      <c r="P431" s="140" t="n"/>
      <c r="Q431" s="140" t="n"/>
      <c r="R431" s="140" t="n"/>
      <c r="S431" s="140" t="n"/>
      <c r="T431" s="141" t="n"/>
      <c r="U431" s="129" t="n"/>
      <c r="V431" s="129" t="n"/>
      <c r="W431" s="145" t="n"/>
      <c r="X431" s="145" t="n"/>
      <c r="Y431" s="145" t="n"/>
      <c r="Z431" s="145" t="n"/>
    </row>
    <row r="432" ht="45.75" customHeight="1" s="222">
      <c r="A432" s="145" t="n"/>
      <c r="B432" s="145" t="n"/>
      <c r="C432" s="145" t="n"/>
      <c r="D432" s="145" t="n"/>
      <c r="E432" s="145" t="n"/>
      <c r="F432" s="145" t="n"/>
      <c r="G432" s="145" t="n"/>
      <c r="H432" s="145" t="n"/>
      <c r="I432" s="145" t="n"/>
      <c r="J432" s="145" t="n"/>
      <c r="K432" s="145" t="n"/>
      <c r="L432" s="145" t="n"/>
      <c r="M432" s="145" t="n"/>
      <c r="N432" s="145" t="n"/>
      <c r="O432" s="140" t="n"/>
      <c r="P432" s="140" t="n"/>
      <c r="Q432" s="140" t="n"/>
      <c r="R432" s="140" t="n"/>
      <c r="S432" s="140" t="n"/>
      <c r="T432" s="141" t="n"/>
      <c r="U432" s="129" t="n"/>
      <c r="V432" s="129" t="n"/>
      <c r="W432" s="145" t="n"/>
      <c r="X432" s="145" t="n"/>
      <c r="Y432" s="145" t="n"/>
      <c r="Z432" s="145" t="n"/>
    </row>
    <row r="433" ht="45.75" customHeight="1" s="222">
      <c r="A433" s="145" t="n"/>
      <c r="B433" s="145" t="n"/>
      <c r="C433" s="145" t="n"/>
      <c r="D433" s="145" t="n"/>
      <c r="E433" s="145" t="n"/>
      <c r="F433" s="145" t="n"/>
      <c r="G433" s="145" t="n"/>
      <c r="H433" s="145" t="n"/>
      <c r="I433" s="145" t="n"/>
      <c r="J433" s="145" t="n"/>
      <c r="K433" s="145" t="n"/>
      <c r="L433" s="145" t="n"/>
      <c r="M433" s="145" t="n"/>
      <c r="N433" s="145" t="n"/>
      <c r="O433" s="140" t="n"/>
      <c r="P433" s="140" t="n"/>
      <c r="Q433" s="140" t="n"/>
      <c r="R433" s="140" t="n"/>
      <c r="S433" s="140" t="n"/>
      <c r="T433" s="141" t="n"/>
      <c r="U433" s="129" t="n"/>
      <c r="V433" s="129" t="n"/>
      <c r="W433" s="145" t="n"/>
      <c r="X433" s="145" t="n"/>
      <c r="Y433" s="145" t="n"/>
      <c r="Z433" s="145" t="n"/>
    </row>
    <row r="434" ht="45.75" customHeight="1" s="222">
      <c r="A434" s="145" t="n"/>
      <c r="B434" s="145" t="n"/>
      <c r="C434" s="145" t="n"/>
      <c r="D434" s="145" t="n"/>
      <c r="E434" s="145" t="n"/>
      <c r="F434" s="145" t="n"/>
      <c r="G434" s="145" t="n"/>
      <c r="H434" s="145" t="n"/>
      <c r="I434" s="145" t="n"/>
      <c r="J434" s="145" t="n"/>
      <c r="K434" s="145" t="n"/>
      <c r="L434" s="145" t="n"/>
      <c r="M434" s="145" t="n"/>
      <c r="N434" s="145" t="n"/>
      <c r="O434" s="140" t="n"/>
      <c r="P434" s="140" t="n"/>
      <c r="Q434" s="140" t="n"/>
      <c r="R434" s="140" t="n"/>
      <c r="S434" s="140" t="n"/>
      <c r="T434" s="141" t="n"/>
      <c r="U434" s="129" t="n"/>
      <c r="V434" s="129" t="n"/>
      <c r="W434" s="145" t="n"/>
      <c r="X434" s="145" t="n"/>
      <c r="Y434" s="145" t="n"/>
      <c r="Z434" s="145" t="n"/>
    </row>
    <row r="435" ht="45.75" customHeight="1" s="222">
      <c r="A435" s="145" t="n"/>
      <c r="B435" s="145" t="n"/>
      <c r="C435" s="145" t="n"/>
      <c r="D435" s="145" t="n"/>
      <c r="E435" s="145" t="n"/>
      <c r="F435" s="145" t="n"/>
      <c r="G435" s="145" t="n"/>
      <c r="H435" s="145" t="n"/>
      <c r="I435" s="145" t="n"/>
      <c r="J435" s="145" t="n"/>
      <c r="K435" s="145" t="n"/>
      <c r="L435" s="145" t="n"/>
      <c r="M435" s="145" t="n"/>
      <c r="N435" s="145" t="n"/>
      <c r="O435" s="140" t="n"/>
      <c r="P435" s="140" t="n"/>
      <c r="Q435" s="140" t="n"/>
      <c r="R435" s="140" t="n"/>
      <c r="S435" s="140" t="n"/>
      <c r="T435" s="141" t="n"/>
      <c r="U435" s="129" t="n"/>
      <c r="V435" s="129" t="n"/>
      <c r="W435" s="145" t="n"/>
      <c r="X435" s="145" t="n"/>
      <c r="Y435" s="145" t="n"/>
      <c r="Z435" s="145" t="n"/>
    </row>
    <row r="436" ht="45.75" customHeight="1" s="222">
      <c r="A436" s="145" t="n"/>
      <c r="B436" s="145" t="n"/>
      <c r="C436" s="145" t="n"/>
      <c r="D436" s="145" t="n"/>
      <c r="E436" s="145" t="n"/>
      <c r="F436" s="145" t="n"/>
      <c r="G436" s="145" t="n"/>
      <c r="H436" s="145" t="n"/>
      <c r="I436" s="145" t="n"/>
      <c r="J436" s="145" t="n"/>
      <c r="K436" s="145" t="n"/>
      <c r="L436" s="145" t="n"/>
      <c r="M436" s="145" t="n"/>
      <c r="N436" s="145" t="n"/>
      <c r="O436" s="140" t="n"/>
      <c r="P436" s="140" t="n"/>
      <c r="Q436" s="140" t="n"/>
      <c r="R436" s="140" t="n"/>
      <c r="S436" s="140" t="n"/>
      <c r="T436" s="141" t="n"/>
      <c r="U436" s="129" t="n"/>
      <c r="V436" s="129" t="n"/>
      <c r="W436" s="145" t="n"/>
      <c r="X436" s="145" t="n"/>
      <c r="Y436" s="145" t="n"/>
      <c r="Z436" s="145" t="n"/>
    </row>
    <row r="437" ht="45.75" customHeight="1" s="222">
      <c r="A437" s="145" t="n"/>
      <c r="B437" s="145" t="n"/>
      <c r="C437" s="145" t="n"/>
      <c r="D437" s="145" t="n"/>
      <c r="E437" s="145" t="n"/>
      <c r="F437" s="145" t="n"/>
      <c r="G437" s="145" t="n"/>
      <c r="H437" s="145" t="n"/>
      <c r="I437" s="145" t="n"/>
      <c r="J437" s="145" t="n"/>
      <c r="K437" s="145" t="n"/>
      <c r="L437" s="145" t="n"/>
      <c r="M437" s="145" t="n"/>
      <c r="N437" s="145" t="n"/>
      <c r="O437" s="140" t="n"/>
      <c r="P437" s="140" t="n"/>
      <c r="Q437" s="140" t="n"/>
      <c r="R437" s="140" t="n"/>
      <c r="S437" s="140" t="n"/>
      <c r="T437" s="141" t="n"/>
      <c r="U437" s="129" t="n"/>
      <c r="V437" s="129" t="n"/>
      <c r="W437" s="145" t="n"/>
      <c r="X437" s="145" t="n"/>
      <c r="Y437" s="145" t="n"/>
      <c r="Z437" s="145" t="n"/>
    </row>
    <row r="438" ht="45.75" customHeight="1" s="222">
      <c r="A438" s="145" t="n"/>
      <c r="B438" s="145" t="n"/>
      <c r="C438" s="145" t="n"/>
      <c r="D438" s="145" t="n"/>
      <c r="E438" s="145" t="n"/>
      <c r="F438" s="145" t="n"/>
      <c r="G438" s="145" t="n"/>
      <c r="H438" s="145" t="n"/>
      <c r="I438" s="145" t="n"/>
      <c r="J438" s="145" t="n"/>
      <c r="K438" s="145" t="n"/>
      <c r="L438" s="145" t="n"/>
      <c r="M438" s="145" t="n"/>
      <c r="N438" s="145" t="n"/>
      <c r="O438" s="140" t="n"/>
      <c r="P438" s="140" t="n"/>
      <c r="Q438" s="140" t="n"/>
      <c r="R438" s="140" t="n"/>
      <c r="S438" s="140" t="n"/>
      <c r="T438" s="141" t="n"/>
      <c r="U438" s="129" t="n"/>
      <c r="V438" s="129" t="n"/>
      <c r="W438" s="145" t="n"/>
      <c r="X438" s="145" t="n"/>
      <c r="Y438" s="145" t="n"/>
      <c r="Z438" s="145" t="n"/>
    </row>
    <row r="439" ht="45.75" customHeight="1" s="222">
      <c r="A439" s="145" t="n"/>
      <c r="B439" s="145" t="n"/>
      <c r="C439" s="145" t="n"/>
      <c r="D439" s="145" t="n"/>
      <c r="E439" s="145" t="n"/>
      <c r="F439" s="145" t="n"/>
      <c r="G439" s="145" t="n"/>
      <c r="H439" s="145" t="n"/>
      <c r="I439" s="145" t="n"/>
      <c r="J439" s="145" t="n"/>
      <c r="K439" s="145" t="n"/>
      <c r="L439" s="145" t="n"/>
      <c r="M439" s="145" t="n"/>
      <c r="N439" s="145" t="n"/>
      <c r="O439" s="140" t="n"/>
      <c r="P439" s="140" t="n"/>
      <c r="Q439" s="140" t="n"/>
      <c r="R439" s="140" t="n"/>
      <c r="S439" s="140" t="n"/>
      <c r="T439" s="141" t="n"/>
      <c r="U439" s="129" t="n"/>
      <c r="V439" s="129" t="n"/>
      <c r="W439" s="145" t="n"/>
      <c r="X439" s="145" t="n"/>
      <c r="Y439" s="145" t="n"/>
      <c r="Z439" s="145" t="n"/>
    </row>
    <row r="440" ht="45.75" customHeight="1" s="222">
      <c r="A440" s="145" t="n"/>
      <c r="B440" s="145" t="n"/>
      <c r="C440" s="145" t="n"/>
      <c r="D440" s="145" t="n"/>
      <c r="E440" s="145" t="n"/>
      <c r="F440" s="145" t="n"/>
      <c r="G440" s="145" t="n"/>
      <c r="H440" s="145" t="n"/>
      <c r="I440" s="145" t="n"/>
      <c r="J440" s="145" t="n"/>
      <c r="K440" s="145" t="n"/>
      <c r="L440" s="145" t="n"/>
      <c r="M440" s="145" t="n"/>
      <c r="N440" s="145" t="n"/>
      <c r="O440" s="140" t="n"/>
      <c r="P440" s="140" t="n"/>
      <c r="Q440" s="140" t="n"/>
      <c r="R440" s="140" t="n"/>
      <c r="S440" s="140" t="n"/>
      <c r="T440" s="141" t="n"/>
      <c r="U440" s="129" t="n"/>
      <c r="V440" s="129" t="n"/>
      <c r="W440" s="145" t="n"/>
      <c r="X440" s="145" t="n"/>
      <c r="Y440" s="145" t="n"/>
      <c r="Z440" s="145" t="n"/>
    </row>
    <row r="441" ht="45.75" customHeight="1" s="222">
      <c r="A441" s="145" t="n"/>
      <c r="B441" s="145" t="n"/>
      <c r="C441" s="145" t="n"/>
      <c r="D441" s="145" t="n"/>
      <c r="E441" s="145" t="n"/>
      <c r="F441" s="145" t="n"/>
      <c r="G441" s="145" t="n"/>
      <c r="H441" s="145" t="n"/>
      <c r="I441" s="145" t="n"/>
      <c r="J441" s="145" t="n"/>
      <c r="K441" s="145" t="n"/>
      <c r="L441" s="145" t="n"/>
      <c r="M441" s="145" t="n"/>
      <c r="N441" s="145" t="n"/>
      <c r="O441" s="140" t="n"/>
      <c r="P441" s="140" t="n"/>
      <c r="Q441" s="140" t="n"/>
      <c r="R441" s="140" t="n"/>
      <c r="S441" s="140" t="n"/>
      <c r="T441" s="141" t="n"/>
      <c r="U441" s="129" t="n"/>
      <c r="V441" s="129" t="n"/>
      <c r="W441" s="145" t="n"/>
      <c r="X441" s="145" t="n"/>
      <c r="Y441" s="145" t="n"/>
      <c r="Z441" s="145" t="n"/>
    </row>
    <row r="442" ht="45.75" customHeight="1" s="222">
      <c r="A442" s="145" t="n"/>
      <c r="B442" s="145" t="n"/>
      <c r="C442" s="145" t="n"/>
      <c r="D442" s="145" t="n"/>
      <c r="E442" s="145" t="n"/>
      <c r="F442" s="145" t="n"/>
      <c r="G442" s="145" t="n"/>
      <c r="H442" s="145" t="n"/>
      <c r="I442" s="145" t="n"/>
      <c r="J442" s="145" t="n"/>
      <c r="K442" s="145" t="n"/>
      <c r="L442" s="145" t="n"/>
      <c r="M442" s="145" t="n"/>
      <c r="N442" s="145" t="n"/>
      <c r="O442" s="140" t="n"/>
      <c r="P442" s="140" t="n"/>
      <c r="Q442" s="140" t="n"/>
      <c r="R442" s="140" t="n"/>
      <c r="S442" s="140" t="n"/>
      <c r="T442" s="141" t="n"/>
      <c r="U442" s="129" t="n"/>
      <c r="V442" s="129" t="n"/>
      <c r="W442" s="145" t="n"/>
      <c r="X442" s="145" t="n"/>
      <c r="Y442" s="145" t="n"/>
      <c r="Z442" s="145" t="n"/>
    </row>
    <row r="443" ht="45.75" customHeight="1" s="222">
      <c r="A443" s="145" t="n"/>
      <c r="B443" s="145" t="n"/>
      <c r="C443" s="145" t="n"/>
      <c r="D443" s="145" t="n"/>
      <c r="E443" s="145" t="n"/>
      <c r="F443" s="145" t="n"/>
      <c r="G443" s="145" t="n"/>
      <c r="H443" s="145" t="n"/>
      <c r="I443" s="145" t="n"/>
      <c r="J443" s="145" t="n"/>
      <c r="K443" s="145" t="n"/>
      <c r="L443" s="145" t="n"/>
      <c r="M443" s="145" t="n"/>
      <c r="N443" s="145" t="n"/>
      <c r="O443" s="140" t="n"/>
      <c r="P443" s="140" t="n"/>
      <c r="Q443" s="140" t="n"/>
      <c r="R443" s="140" t="n"/>
      <c r="S443" s="140" t="n"/>
      <c r="T443" s="141" t="n"/>
      <c r="U443" s="129" t="n"/>
      <c r="V443" s="129" t="n"/>
      <c r="W443" s="145" t="n"/>
      <c r="X443" s="145" t="n"/>
      <c r="Y443" s="145" t="n"/>
      <c r="Z443" s="145" t="n"/>
    </row>
    <row r="444" ht="45.75" customHeight="1" s="222">
      <c r="A444" s="145" t="n"/>
      <c r="B444" s="145" t="n"/>
      <c r="C444" s="145" t="n"/>
      <c r="D444" s="145" t="n"/>
      <c r="E444" s="145" t="n"/>
      <c r="F444" s="145" t="n"/>
      <c r="G444" s="145" t="n"/>
      <c r="H444" s="145" t="n"/>
      <c r="I444" s="145" t="n"/>
      <c r="J444" s="145" t="n"/>
      <c r="K444" s="145" t="n"/>
      <c r="L444" s="145" t="n"/>
      <c r="M444" s="145" t="n"/>
      <c r="N444" s="145" t="n"/>
      <c r="O444" s="140" t="n"/>
      <c r="P444" s="140" t="n"/>
      <c r="Q444" s="140" t="n"/>
      <c r="R444" s="140" t="n"/>
      <c r="S444" s="140" t="n"/>
      <c r="T444" s="141" t="n"/>
      <c r="U444" s="129" t="n"/>
      <c r="V444" s="129" t="n"/>
      <c r="W444" s="145" t="n"/>
      <c r="X444" s="145" t="n"/>
      <c r="Y444" s="145" t="n"/>
      <c r="Z444" s="145" t="n"/>
    </row>
    <row r="445" ht="45.75" customHeight="1" s="222">
      <c r="A445" s="145" t="n"/>
      <c r="B445" s="145" t="n"/>
      <c r="C445" s="145" t="n"/>
      <c r="D445" s="145" t="n"/>
      <c r="E445" s="145" t="n"/>
      <c r="F445" s="145" t="n"/>
      <c r="G445" s="145" t="n"/>
      <c r="H445" s="145" t="n"/>
      <c r="I445" s="145" t="n"/>
      <c r="J445" s="145" t="n"/>
      <c r="K445" s="145" t="n"/>
      <c r="L445" s="145" t="n"/>
      <c r="M445" s="145" t="n"/>
      <c r="N445" s="145" t="n"/>
      <c r="O445" s="140" t="n"/>
      <c r="P445" s="140" t="n"/>
      <c r="Q445" s="140" t="n"/>
      <c r="R445" s="140" t="n"/>
      <c r="S445" s="140" t="n"/>
      <c r="T445" s="141" t="n"/>
      <c r="U445" s="129" t="n"/>
      <c r="V445" s="129" t="n"/>
      <c r="W445" s="145" t="n"/>
      <c r="X445" s="145" t="n"/>
      <c r="Y445" s="145" t="n"/>
      <c r="Z445" s="145" t="n"/>
    </row>
    <row r="446" ht="45.75" customHeight="1" s="222">
      <c r="A446" s="145" t="n"/>
      <c r="B446" s="145" t="n"/>
      <c r="C446" s="145" t="n"/>
      <c r="D446" s="145" t="n"/>
      <c r="E446" s="145" t="n"/>
      <c r="F446" s="145" t="n"/>
      <c r="G446" s="145" t="n"/>
      <c r="H446" s="145" t="n"/>
      <c r="I446" s="145" t="n"/>
      <c r="J446" s="145" t="n"/>
      <c r="K446" s="145" t="n"/>
      <c r="L446" s="145" t="n"/>
      <c r="M446" s="145" t="n"/>
      <c r="N446" s="145" t="n"/>
      <c r="O446" s="140" t="n"/>
      <c r="P446" s="140" t="n"/>
      <c r="Q446" s="140" t="n"/>
      <c r="R446" s="140" t="n"/>
      <c r="S446" s="140" t="n"/>
      <c r="T446" s="141" t="n"/>
      <c r="U446" s="129" t="n"/>
      <c r="V446" s="129" t="n"/>
      <c r="W446" s="145" t="n"/>
      <c r="X446" s="145" t="n"/>
      <c r="Y446" s="145" t="n"/>
      <c r="Z446" s="145" t="n"/>
    </row>
    <row r="447" ht="45.75" customHeight="1" s="222">
      <c r="A447" s="145" t="n"/>
      <c r="B447" s="145" t="n"/>
      <c r="C447" s="145" t="n"/>
      <c r="D447" s="145" t="n"/>
      <c r="E447" s="145" t="n"/>
      <c r="F447" s="145" t="n"/>
      <c r="G447" s="145" t="n"/>
      <c r="H447" s="145" t="n"/>
      <c r="I447" s="145" t="n"/>
      <c r="J447" s="145" t="n"/>
      <c r="K447" s="145" t="n"/>
      <c r="L447" s="145" t="n"/>
      <c r="M447" s="145" t="n"/>
      <c r="N447" s="145" t="n"/>
      <c r="O447" s="140" t="n"/>
      <c r="P447" s="140" t="n"/>
      <c r="Q447" s="140" t="n"/>
      <c r="R447" s="140" t="n"/>
      <c r="S447" s="140" t="n"/>
      <c r="T447" s="141" t="n"/>
      <c r="U447" s="129" t="n"/>
      <c r="V447" s="129" t="n"/>
      <c r="W447" s="145" t="n"/>
      <c r="X447" s="145" t="n"/>
      <c r="Y447" s="145" t="n"/>
      <c r="Z447" s="145" t="n"/>
    </row>
    <row r="448" ht="45.75" customHeight="1" s="222">
      <c r="A448" s="145" t="n"/>
      <c r="B448" s="145" t="n"/>
      <c r="C448" s="145" t="n"/>
      <c r="D448" s="145" t="n"/>
      <c r="E448" s="145" t="n"/>
      <c r="F448" s="145" t="n"/>
      <c r="G448" s="145" t="n"/>
      <c r="H448" s="145" t="n"/>
      <c r="I448" s="145" t="n"/>
      <c r="J448" s="145" t="n"/>
      <c r="K448" s="145" t="n"/>
      <c r="L448" s="145" t="n"/>
      <c r="M448" s="145" t="n"/>
      <c r="N448" s="145" t="n"/>
      <c r="O448" s="140" t="n"/>
      <c r="P448" s="140" t="n"/>
      <c r="Q448" s="140" t="n"/>
      <c r="R448" s="140" t="n"/>
      <c r="S448" s="140" t="n"/>
      <c r="T448" s="141" t="n"/>
      <c r="U448" s="129" t="n"/>
      <c r="V448" s="129" t="n"/>
      <c r="W448" s="145" t="n"/>
      <c r="X448" s="145" t="n"/>
      <c r="Y448" s="145" t="n"/>
      <c r="Z448" s="145" t="n"/>
    </row>
    <row r="449" ht="45.75" customHeight="1" s="222">
      <c r="A449" s="145" t="n"/>
      <c r="B449" s="145" t="n"/>
      <c r="C449" s="145" t="n"/>
      <c r="D449" s="145" t="n"/>
      <c r="E449" s="145" t="n"/>
      <c r="F449" s="145" t="n"/>
      <c r="G449" s="145" t="n"/>
      <c r="H449" s="145" t="n"/>
      <c r="I449" s="145" t="n"/>
      <c r="J449" s="145" t="n"/>
      <c r="K449" s="145" t="n"/>
      <c r="L449" s="145" t="n"/>
      <c r="M449" s="145" t="n"/>
      <c r="N449" s="145" t="n"/>
      <c r="O449" s="140" t="n"/>
      <c r="P449" s="140" t="n"/>
      <c r="Q449" s="140" t="n"/>
      <c r="R449" s="140" t="n"/>
      <c r="S449" s="140" t="n"/>
      <c r="T449" s="141" t="n"/>
      <c r="U449" s="129" t="n"/>
      <c r="V449" s="129" t="n"/>
      <c r="W449" s="145" t="n"/>
      <c r="X449" s="145" t="n"/>
      <c r="Y449" s="145" t="n"/>
      <c r="Z449" s="145" t="n"/>
    </row>
    <row r="450" ht="45.75" customHeight="1" s="222">
      <c r="A450" s="145" t="n"/>
      <c r="B450" s="145" t="n"/>
      <c r="C450" s="145" t="n"/>
      <c r="D450" s="145" t="n"/>
      <c r="E450" s="145" t="n"/>
      <c r="F450" s="145" t="n"/>
      <c r="G450" s="145" t="n"/>
      <c r="H450" s="145" t="n"/>
      <c r="I450" s="145" t="n"/>
      <c r="J450" s="145" t="n"/>
      <c r="K450" s="145" t="n"/>
      <c r="L450" s="145" t="n"/>
      <c r="M450" s="145" t="n"/>
      <c r="N450" s="145" t="n"/>
      <c r="O450" s="140" t="n"/>
      <c r="P450" s="140" t="n"/>
      <c r="Q450" s="140" t="n"/>
      <c r="R450" s="140" t="n"/>
      <c r="S450" s="140" t="n"/>
      <c r="T450" s="141" t="n"/>
      <c r="U450" s="129" t="n"/>
      <c r="V450" s="129" t="n"/>
      <c r="W450" s="145" t="n"/>
      <c r="X450" s="145" t="n"/>
      <c r="Y450" s="145" t="n"/>
      <c r="Z450" s="145" t="n"/>
    </row>
    <row r="451" ht="45.75" customHeight="1" s="222">
      <c r="A451" s="145" t="n"/>
      <c r="B451" s="145" t="n"/>
      <c r="C451" s="145" t="n"/>
      <c r="D451" s="145" t="n"/>
      <c r="E451" s="145" t="n"/>
      <c r="F451" s="145" t="n"/>
      <c r="G451" s="145" t="n"/>
      <c r="H451" s="145" t="n"/>
      <c r="I451" s="145" t="n"/>
      <c r="J451" s="145" t="n"/>
      <c r="K451" s="145" t="n"/>
      <c r="L451" s="145" t="n"/>
      <c r="M451" s="145" t="n"/>
      <c r="N451" s="145" t="n"/>
      <c r="O451" s="140" t="n"/>
      <c r="P451" s="140" t="n"/>
      <c r="Q451" s="140" t="n"/>
      <c r="R451" s="140" t="n"/>
      <c r="S451" s="140" t="n"/>
      <c r="T451" s="141" t="n"/>
      <c r="U451" s="129" t="n"/>
      <c r="V451" s="129" t="n"/>
      <c r="W451" s="145" t="n"/>
      <c r="X451" s="145" t="n"/>
      <c r="Y451" s="145" t="n"/>
      <c r="Z451" s="145" t="n"/>
    </row>
    <row r="452" ht="45.75" customHeight="1" s="222">
      <c r="A452" s="145" t="n"/>
      <c r="B452" s="145" t="n"/>
      <c r="C452" s="145" t="n"/>
      <c r="D452" s="145" t="n"/>
      <c r="E452" s="145" t="n"/>
      <c r="F452" s="145" t="n"/>
      <c r="G452" s="145" t="n"/>
      <c r="H452" s="145" t="n"/>
      <c r="I452" s="145" t="n"/>
      <c r="J452" s="145" t="n"/>
      <c r="K452" s="145" t="n"/>
      <c r="L452" s="145" t="n"/>
      <c r="M452" s="145" t="n"/>
      <c r="N452" s="145" t="n"/>
      <c r="O452" s="140" t="n"/>
      <c r="P452" s="140" t="n"/>
      <c r="Q452" s="140" t="n"/>
      <c r="R452" s="140" t="n"/>
      <c r="S452" s="140" t="n"/>
      <c r="T452" s="141" t="n"/>
      <c r="U452" s="129" t="n"/>
      <c r="V452" s="129" t="n"/>
      <c r="W452" s="145" t="n"/>
      <c r="X452" s="145" t="n"/>
      <c r="Y452" s="145" t="n"/>
      <c r="Z452" s="145" t="n"/>
    </row>
    <row r="453" ht="45.75" customHeight="1" s="222">
      <c r="A453" s="145" t="n"/>
      <c r="B453" s="145" t="n"/>
      <c r="C453" s="145" t="n"/>
      <c r="D453" s="145" t="n"/>
      <c r="E453" s="145" t="n"/>
      <c r="F453" s="145" t="n"/>
      <c r="G453" s="145" t="n"/>
      <c r="H453" s="145" t="n"/>
      <c r="I453" s="145" t="n"/>
      <c r="J453" s="145" t="n"/>
      <c r="K453" s="145" t="n"/>
      <c r="L453" s="145" t="n"/>
      <c r="M453" s="145" t="n"/>
      <c r="N453" s="145" t="n"/>
      <c r="O453" s="140" t="n"/>
      <c r="P453" s="140" t="n"/>
      <c r="Q453" s="140" t="n"/>
      <c r="R453" s="140" t="n"/>
      <c r="S453" s="140" t="n"/>
      <c r="T453" s="141" t="n"/>
      <c r="U453" s="129" t="n"/>
      <c r="V453" s="129" t="n"/>
      <c r="W453" s="145" t="n"/>
      <c r="X453" s="145" t="n"/>
      <c r="Y453" s="145" t="n"/>
      <c r="Z453" s="145" t="n"/>
    </row>
    <row r="454" ht="45.75" customHeight="1" s="222">
      <c r="A454" s="145" t="n"/>
      <c r="B454" s="145" t="n"/>
      <c r="C454" s="145" t="n"/>
      <c r="D454" s="145" t="n"/>
      <c r="E454" s="145" t="n"/>
      <c r="F454" s="145" t="n"/>
      <c r="G454" s="145" t="n"/>
      <c r="H454" s="145" t="n"/>
      <c r="I454" s="145" t="n"/>
      <c r="J454" s="145" t="n"/>
      <c r="K454" s="145" t="n"/>
      <c r="L454" s="145" t="n"/>
      <c r="M454" s="145" t="n"/>
      <c r="N454" s="145" t="n"/>
      <c r="O454" s="140" t="n"/>
      <c r="P454" s="140" t="n"/>
      <c r="Q454" s="140" t="n"/>
      <c r="R454" s="140" t="n"/>
      <c r="S454" s="140" t="n"/>
      <c r="T454" s="141" t="n"/>
      <c r="U454" s="129" t="n"/>
      <c r="V454" s="129" t="n"/>
      <c r="W454" s="145" t="n"/>
      <c r="X454" s="145" t="n"/>
      <c r="Y454" s="145" t="n"/>
      <c r="Z454" s="145" t="n"/>
    </row>
    <row r="455" ht="45.75" customHeight="1" s="222">
      <c r="A455" s="145" t="n"/>
      <c r="B455" s="145" t="n"/>
      <c r="C455" s="145" t="n"/>
      <c r="D455" s="145" t="n"/>
      <c r="E455" s="145" t="n"/>
      <c r="F455" s="145" t="n"/>
      <c r="G455" s="145" t="n"/>
      <c r="H455" s="145" t="n"/>
      <c r="I455" s="145" t="n"/>
      <c r="J455" s="145" t="n"/>
      <c r="K455" s="145" t="n"/>
      <c r="L455" s="145" t="n"/>
      <c r="M455" s="145" t="n"/>
      <c r="N455" s="145" t="n"/>
      <c r="O455" s="140" t="n"/>
      <c r="P455" s="140" t="n"/>
      <c r="Q455" s="140" t="n"/>
      <c r="R455" s="140" t="n"/>
      <c r="S455" s="140" t="n"/>
      <c r="T455" s="141" t="n"/>
      <c r="U455" s="129" t="n"/>
      <c r="V455" s="129" t="n"/>
      <c r="W455" s="145" t="n"/>
      <c r="X455" s="145" t="n"/>
      <c r="Y455" s="145" t="n"/>
      <c r="Z455" s="145" t="n"/>
    </row>
    <row r="456" ht="45.75" customHeight="1" s="222">
      <c r="A456" s="145" t="n"/>
      <c r="B456" s="145" t="n"/>
      <c r="C456" s="145" t="n"/>
      <c r="D456" s="145" t="n"/>
      <c r="E456" s="145" t="n"/>
      <c r="F456" s="145" t="n"/>
      <c r="G456" s="145" t="n"/>
      <c r="H456" s="145" t="n"/>
      <c r="I456" s="145" t="n"/>
      <c r="J456" s="145" t="n"/>
      <c r="K456" s="145" t="n"/>
      <c r="L456" s="145" t="n"/>
      <c r="M456" s="145" t="n"/>
      <c r="N456" s="145" t="n"/>
      <c r="O456" s="140" t="n"/>
      <c r="P456" s="140" t="n"/>
      <c r="Q456" s="140" t="n"/>
      <c r="R456" s="140" t="n"/>
      <c r="S456" s="140" t="n"/>
      <c r="T456" s="141" t="n"/>
      <c r="U456" s="129" t="n"/>
      <c r="V456" s="129" t="n"/>
      <c r="W456" s="145" t="n"/>
      <c r="X456" s="145" t="n"/>
      <c r="Y456" s="145" t="n"/>
      <c r="Z456" s="145" t="n"/>
    </row>
    <row r="457" ht="45.75" customHeight="1" s="222">
      <c r="A457" s="145" t="n"/>
      <c r="B457" s="145" t="n"/>
      <c r="C457" s="145" t="n"/>
      <c r="D457" s="145" t="n"/>
      <c r="E457" s="145" t="n"/>
      <c r="F457" s="145" t="n"/>
      <c r="G457" s="145" t="n"/>
      <c r="H457" s="145" t="n"/>
      <c r="I457" s="145" t="n"/>
      <c r="J457" s="145" t="n"/>
      <c r="K457" s="145" t="n"/>
      <c r="L457" s="145" t="n"/>
      <c r="M457" s="145" t="n"/>
      <c r="N457" s="145" t="n"/>
      <c r="O457" s="140" t="n"/>
      <c r="P457" s="140" t="n"/>
      <c r="Q457" s="140" t="n"/>
      <c r="R457" s="140" t="n"/>
      <c r="S457" s="140" t="n"/>
      <c r="T457" s="141" t="n"/>
      <c r="U457" s="129" t="n"/>
      <c r="V457" s="129" t="n"/>
      <c r="W457" s="145" t="n"/>
      <c r="X457" s="145" t="n"/>
      <c r="Y457" s="145" t="n"/>
      <c r="Z457" s="145" t="n"/>
    </row>
    <row r="458" ht="45.75" customHeight="1" s="222">
      <c r="A458" s="145" t="n"/>
      <c r="B458" s="145" t="n"/>
      <c r="C458" s="145" t="n"/>
      <c r="D458" s="145" t="n"/>
      <c r="E458" s="145" t="n"/>
      <c r="F458" s="145" t="n"/>
      <c r="G458" s="145" t="n"/>
      <c r="H458" s="145" t="n"/>
      <c r="I458" s="145" t="n"/>
      <c r="J458" s="145" t="n"/>
      <c r="K458" s="145" t="n"/>
      <c r="L458" s="145" t="n"/>
      <c r="M458" s="145" t="n"/>
      <c r="N458" s="145" t="n"/>
      <c r="O458" s="140" t="n"/>
      <c r="P458" s="140" t="n"/>
      <c r="Q458" s="140" t="n"/>
      <c r="R458" s="140" t="n"/>
      <c r="S458" s="140" t="n"/>
      <c r="T458" s="141" t="n"/>
      <c r="U458" s="129" t="n"/>
      <c r="V458" s="129" t="n"/>
      <c r="W458" s="145" t="n"/>
      <c r="X458" s="145" t="n"/>
      <c r="Y458" s="145" t="n"/>
      <c r="Z458" s="145" t="n"/>
    </row>
    <row r="459" ht="45.75" customHeight="1" s="222">
      <c r="A459" s="145" t="n"/>
      <c r="B459" s="145" t="n"/>
      <c r="C459" s="145" t="n"/>
      <c r="D459" s="145" t="n"/>
      <c r="E459" s="145" t="n"/>
      <c r="F459" s="145" t="n"/>
      <c r="G459" s="145" t="n"/>
      <c r="H459" s="145" t="n"/>
      <c r="I459" s="145" t="n"/>
      <c r="J459" s="145" t="n"/>
      <c r="K459" s="145" t="n"/>
      <c r="L459" s="145" t="n"/>
      <c r="M459" s="145" t="n"/>
      <c r="N459" s="145" t="n"/>
      <c r="O459" s="140" t="n"/>
      <c r="P459" s="140" t="n"/>
      <c r="Q459" s="140" t="n"/>
      <c r="R459" s="140" t="n"/>
      <c r="S459" s="140" t="n"/>
      <c r="T459" s="141" t="n"/>
      <c r="U459" s="129" t="n"/>
      <c r="V459" s="129" t="n"/>
      <c r="W459" s="145" t="n"/>
      <c r="X459" s="145" t="n"/>
      <c r="Y459" s="145" t="n"/>
      <c r="Z459" s="145" t="n"/>
    </row>
    <row r="460" ht="45.75" customHeight="1" s="222">
      <c r="A460" s="145" t="n"/>
      <c r="B460" s="145" t="n"/>
      <c r="C460" s="145" t="n"/>
      <c r="D460" s="145" t="n"/>
      <c r="E460" s="145" t="n"/>
      <c r="F460" s="145" t="n"/>
      <c r="G460" s="145" t="n"/>
      <c r="H460" s="145" t="n"/>
      <c r="I460" s="145" t="n"/>
      <c r="J460" s="145" t="n"/>
      <c r="K460" s="145" t="n"/>
      <c r="L460" s="145" t="n"/>
      <c r="M460" s="145" t="n"/>
      <c r="N460" s="145" t="n"/>
      <c r="O460" s="140" t="n"/>
      <c r="P460" s="140" t="n"/>
      <c r="Q460" s="140" t="n"/>
      <c r="R460" s="140" t="n"/>
      <c r="S460" s="140" t="n"/>
      <c r="T460" s="141" t="n"/>
      <c r="U460" s="129" t="n"/>
      <c r="V460" s="129" t="n"/>
      <c r="W460" s="145" t="n"/>
      <c r="X460" s="145" t="n"/>
      <c r="Y460" s="145" t="n"/>
      <c r="Z460" s="145" t="n"/>
    </row>
    <row r="461" ht="45.75" customHeight="1" s="222">
      <c r="A461" s="145" t="n"/>
      <c r="B461" s="145" t="n"/>
      <c r="C461" s="145" t="n"/>
      <c r="D461" s="145" t="n"/>
      <c r="E461" s="145" t="n"/>
      <c r="F461" s="145" t="n"/>
      <c r="G461" s="145" t="n"/>
      <c r="H461" s="145" t="n"/>
      <c r="I461" s="145" t="n"/>
      <c r="J461" s="145" t="n"/>
      <c r="K461" s="145" t="n"/>
      <c r="L461" s="145" t="n"/>
      <c r="M461" s="145" t="n"/>
      <c r="N461" s="145" t="n"/>
      <c r="O461" s="140" t="n"/>
      <c r="P461" s="140" t="n"/>
      <c r="Q461" s="140" t="n"/>
      <c r="R461" s="140" t="n"/>
      <c r="S461" s="140" t="n"/>
      <c r="T461" s="141" t="n"/>
      <c r="U461" s="129" t="n"/>
      <c r="V461" s="129" t="n"/>
      <c r="W461" s="145" t="n"/>
      <c r="X461" s="145" t="n"/>
      <c r="Y461" s="145" t="n"/>
      <c r="Z461" s="145" t="n"/>
    </row>
    <row r="462" ht="45.75" customHeight="1" s="222">
      <c r="A462" s="145" t="n"/>
      <c r="B462" s="145" t="n"/>
      <c r="C462" s="145" t="n"/>
      <c r="D462" s="145" t="n"/>
      <c r="E462" s="145" t="n"/>
      <c r="F462" s="145" t="n"/>
      <c r="G462" s="145" t="n"/>
      <c r="H462" s="145" t="n"/>
      <c r="I462" s="145" t="n"/>
      <c r="J462" s="145" t="n"/>
      <c r="K462" s="145" t="n"/>
      <c r="L462" s="145" t="n"/>
      <c r="M462" s="145" t="n"/>
      <c r="N462" s="145" t="n"/>
      <c r="O462" s="140" t="n"/>
      <c r="P462" s="140" t="n"/>
      <c r="Q462" s="140" t="n"/>
      <c r="R462" s="140" t="n"/>
      <c r="S462" s="140" t="n"/>
      <c r="T462" s="141" t="n"/>
      <c r="U462" s="129" t="n"/>
      <c r="V462" s="129" t="n"/>
      <c r="W462" s="145" t="n"/>
      <c r="X462" s="145" t="n"/>
      <c r="Y462" s="145" t="n"/>
      <c r="Z462" s="145" t="n"/>
    </row>
    <row r="463" ht="45.75" customHeight="1" s="222">
      <c r="A463" s="145" t="n"/>
      <c r="B463" s="145" t="n"/>
      <c r="C463" s="145" t="n"/>
      <c r="D463" s="145" t="n"/>
      <c r="E463" s="145" t="n"/>
      <c r="F463" s="145" t="n"/>
      <c r="G463" s="145" t="n"/>
      <c r="H463" s="145" t="n"/>
      <c r="I463" s="145" t="n"/>
      <c r="J463" s="145" t="n"/>
      <c r="K463" s="145" t="n"/>
      <c r="L463" s="145" t="n"/>
      <c r="M463" s="145" t="n"/>
      <c r="N463" s="145" t="n"/>
      <c r="O463" s="140" t="n"/>
      <c r="P463" s="140" t="n"/>
      <c r="Q463" s="140" t="n"/>
      <c r="R463" s="140" t="n"/>
      <c r="S463" s="140" t="n"/>
      <c r="T463" s="141" t="n"/>
      <c r="U463" s="129" t="n"/>
      <c r="V463" s="129" t="n"/>
      <c r="W463" s="145" t="n"/>
      <c r="X463" s="145" t="n"/>
      <c r="Y463" s="145" t="n"/>
      <c r="Z463" s="145" t="n"/>
    </row>
    <row r="464" ht="45.75" customHeight="1" s="222">
      <c r="A464" s="145" t="n"/>
      <c r="B464" s="145" t="n"/>
      <c r="C464" s="145" t="n"/>
      <c r="D464" s="145" t="n"/>
      <c r="E464" s="145" t="n"/>
      <c r="F464" s="145" t="n"/>
      <c r="G464" s="145" t="n"/>
      <c r="H464" s="145" t="n"/>
      <c r="I464" s="145" t="n"/>
      <c r="J464" s="145" t="n"/>
      <c r="K464" s="145" t="n"/>
      <c r="L464" s="145" t="n"/>
      <c r="M464" s="145" t="n"/>
      <c r="N464" s="145" t="n"/>
      <c r="O464" s="140" t="n"/>
      <c r="P464" s="140" t="n"/>
      <c r="Q464" s="140" t="n"/>
      <c r="R464" s="140" t="n"/>
      <c r="S464" s="140" t="n"/>
      <c r="T464" s="141" t="n"/>
      <c r="U464" s="129" t="n"/>
      <c r="V464" s="129" t="n"/>
      <c r="W464" s="145" t="n"/>
      <c r="X464" s="145" t="n"/>
      <c r="Y464" s="145" t="n"/>
      <c r="Z464" s="145" t="n"/>
    </row>
    <row r="465" ht="45.75" customHeight="1" s="222">
      <c r="A465" s="145" t="n"/>
      <c r="B465" s="145" t="n"/>
      <c r="C465" s="145" t="n"/>
      <c r="D465" s="145" t="n"/>
      <c r="E465" s="145" t="n"/>
      <c r="F465" s="145" t="n"/>
      <c r="G465" s="145" t="n"/>
      <c r="H465" s="145" t="n"/>
      <c r="I465" s="145" t="n"/>
      <c r="J465" s="145" t="n"/>
      <c r="K465" s="145" t="n"/>
      <c r="L465" s="145" t="n"/>
      <c r="M465" s="145" t="n"/>
      <c r="N465" s="145" t="n"/>
      <c r="O465" s="140" t="n"/>
      <c r="P465" s="140" t="n"/>
      <c r="Q465" s="140" t="n"/>
      <c r="R465" s="140" t="n"/>
      <c r="S465" s="140" t="n"/>
      <c r="T465" s="141" t="n"/>
      <c r="U465" s="129" t="n"/>
      <c r="V465" s="129" t="n"/>
      <c r="W465" s="145" t="n"/>
      <c r="X465" s="145" t="n"/>
      <c r="Y465" s="145" t="n"/>
      <c r="Z465" s="145" t="n"/>
    </row>
    <row r="466" ht="45.75" customHeight="1" s="222">
      <c r="A466" s="145" t="n"/>
      <c r="B466" s="145" t="n"/>
      <c r="C466" s="145" t="n"/>
      <c r="D466" s="145" t="n"/>
      <c r="E466" s="145" t="n"/>
      <c r="F466" s="145" t="n"/>
      <c r="G466" s="145" t="n"/>
      <c r="H466" s="145" t="n"/>
      <c r="I466" s="145" t="n"/>
      <c r="J466" s="145" t="n"/>
      <c r="K466" s="145" t="n"/>
      <c r="L466" s="145" t="n"/>
      <c r="M466" s="145" t="n"/>
      <c r="N466" s="145" t="n"/>
      <c r="O466" s="140" t="n"/>
      <c r="P466" s="140" t="n"/>
      <c r="Q466" s="140" t="n"/>
      <c r="R466" s="140" t="n"/>
      <c r="S466" s="140" t="n"/>
      <c r="T466" s="141" t="n"/>
      <c r="U466" s="129" t="n"/>
      <c r="V466" s="129" t="n"/>
      <c r="W466" s="145" t="n"/>
      <c r="X466" s="145" t="n"/>
      <c r="Y466" s="145" t="n"/>
      <c r="Z466" s="145" t="n"/>
    </row>
    <row r="467" ht="45.75" customHeight="1" s="222">
      <c r="A467" s="145" t="n"/>
      <c r="B467" s="145" t="n"/>
      <c r="C467" s="145" t="n"/>
      <c r="D467" s="145" t="n"/>
      <c r="E467" s="145" t="n"/>
      <c r="F467" s="145" t="n"/>
      <c r="G467" s="145" t="n"/>
      <c r="H467" s="145" t="n"/>
      <c r="I467" s="145" t="n"/>
      <c r="J467" s="145" t="n"/>
      <c r="K467" s="145" t="n"/>
      <c r="L467" s="145" t="n"/>
      <c r="M467" s="145" t="n"/>
      <c r="N467" s="145" t="n"/>
      <c r="O467" s="140" t="n"/>
      <c r="P467" s="140" t="n"/>
      <c r="Q467" s="140" t="n"/>
      <c r="R467" s="140" t="n"/>
      <c r="S467" s="140" t="n"/>
      <c r="T467" s="141" t="n"/>
      <c r="U467" s="129" t="n"/>
      <c r="V467" s="129" t="n"/>
      <c r="W467" s="145" t="n"/>
      <c r="X467" s="145" t="n"/>
      <c r="Y467" s="145" t="n"/>
      <c r="Z467" s="145" t="n"/>
    </row>
    <row r="468" ht="45.75" customHeight="1" s="222">
      <c r="A468" s="145" t="n"/>
      <c r="B468" s="145" t="n"/>
      <c r="C468" s="145" t="n"/>
      <c r="D468" s="145" t="n"/>
      <c r="E468" s="145" t="n"/>
      <c r="F468" s="145" t="n"/>
      <c r="G468" s="145" t="n"/>
      <c r="H468" s="145" t="n"/>
      <c r="I468" s="145" t="n"/>
      <c r="J468" s="145" t="n"/>
      <c r="K468" s="145" t="n"/>
      <c r="L468" s="145" t="n"/>
      <c r="M468" s="145" t="n"/>
      <c r="N468" s="145" t="n"/>
      <c r="O468" s="140" t="n"/>
      <c r="P468" s="140" t="n"/>
      <c r="Q468" s="140" t="n"/>
      <c r="R468" s="140" t="n"/>
      <c r="S468" s="140" t="n"/>
      <c r="T468" s="141" t="n"/>
      <c r="U468" s="129" t="n"/>
      <c r="V468" s="129" t="n"/>
      <c r="W468" s="145" t="n"/>
      <c r="X468" s="145" t="n"/>
      <c r="Y468" s="145" t="n"/>
      <c r="Z468" s="145" t="n"/>
    </row>
    <row r="469" ht="45.75" customHeight="1" s="222">
      <c r="A469" s="145" t="n"/>
      <c r="B469" s="145" t="n"/>
      <c r="C469" s="145" t="n"/>
      <c r="D469" s="145" t="n"/>
      <c r="E469" s="145" t="n"/>
      <c r="F469" s="145" t="n"/>
      <c r="G469" s="145" t="n"/>
      <c r="H469" s="145" t="n"/>
      <c r="I469" s="145" t="n"/>
      <c r="J469" s="145" t="n"/>
      <c r="K469" s="145" t="n"/>
      <c r="L469" s="145" t="n"/>
      <c r="M469" s="145" t="n"/>
      <c r="N469" s="145" t="n"/>
      <c r="O469" s="140" t="n"/>
      <c r="P469" s="140" t="n"/>
      <c r="Q469" s="140" t="n"/>
      <c r="R469" s="140" t="n"/>
      <c r="S469" s="140" t="n"/>
      <c r="T469" s="141" t="n"/>
      <c r="U469" s="129" t="n"/>
      <c r="V469" s="129" t="n"/>
      <c r="W469" s="145" t="n"/>
      <c r="X469" s="145" t="n"/>
      <c r="Y469" s="145" t="n"/>
      <c r="Z469" s="145" t="n"/>
    </row>
    <row r="470" ht="45.75" customHeight="1" s="222">
      <c r="A470" s="145" t="n"/>
      <c r="B470" s="145" t="n"/>
      <c r="C470" s="145" t="n"/>
      <c r="D470" s="145" t="n"/>
      <c r="E470" s="145" t="n"/>
      <c r="F470" s="145" t="n"/>
      <c r="G470" s="145" t="n"/>
      <c r="H470" s="145" t="n"/>
      <c r="I470" s="145" t="n"/>
      <c r="J470" s="145" t="n"/>
      <c r="K470" s="145" t="n"/>
      <c r="L470" s="145" t="n"/>
      <c r="M470" s="145" t="n"/>
      <c r="N470" s="145" t="n"/>
      <c r="O470" s="140" t="n"/>
      <c r="P470" s="140" t="n"/>
      <c r="Q470" s="140" t="n"/>
      <c r="R470" s="140" t="n"/>
      <c r="S470" s="140" t="n"/>
      <c r="T470" s="141" t="n"/>
      <c r="U470" s="129" t="n"/>
      <c r="V470" s="129" t="n"/>
      <c r="W470" s="145" t="n"/>
      <c r="X470" s="145" t="n"/>
      <c r="Y470" s="145" t="n"/>
      <c r="Z470" s="145" t="n"/>
    </row>
    <row r="471" ht="45.75" customHeight="1" s="222">
      <c r="A471" s="145" t="n"/>
      <c r="B471" s="145" t="n"/>
      <c r="C471" s="145" t="n"/>
      <c r="D471" s="145" t="n"/>
      <c r="E471" s="145" t="n"/>
      <c r="F471" s="145" t="n"/>
      <c r="G471" s="145" t="n"/>
      <c r="H471" s="145" t="n"/>
      <c r="I471" s="145" t="n"/>
      <c r="J471" s="145" t="n"/>
      <c r="K471" s="145" t="n"/>
      <c r="L471" s="145" t="n"/>
      <c r="M471" s="145" t="n"/>
      <c r="N471" s="145" t="n"/>
      <c r="O471" s="140" t="n"/>
      <c r="P471" s="140" t="n"/>
      <c r="Q471" s="140" t="n"/>
      <c r="R471" s="140" t="n"/>
      <c r="S471" s="140" t="n"/>
      <c r="T471" s="141" t="n"/>
      <c r="U471" s="129" t="n"/>
      <c r="V471" s="129" t="n"/>
      <c r="W471" s="145" t="n"/>
      <c r="X471" s="145" t="n"/>
      <c r="Y471" s="145" t="n"/>
      <c r="Z471" s="145" t="n"/>
    </row>
    <row r="472" ht="45.75" customHeight="1" s="222">
      <c r="A472" s="145" t="n"/>
      <c r="B472" s="145" t="n"/>
      <c r="C472" s="145" t="n"/>
      <c r="D472" s="145" t="n"/>
      <c r="E472" s="145" t="n"/>
      <c r="F472" s="145" t="n"/>
      <c r="G472" s="145" t="n"/>
      <c r="H472" s="145" t="n"/>
      <c r="I472" s="145" t="n"/>
      <c r="J472" s="145" t="n"/>
      <c r="K472" s="145" t="n"/>
      <c r="L472" s="145" t="n"/>
      <c r="M472" s="145" t="n"/>
      <c r="N472" s="145" t="n"/>
      <c r="O472" s="140" t="n"/>
      <c r="P472" s="140" t="n"/>
      <c r="Q472" s="140" t="n"/>
      <c r="R472" s="140" t="n"/>
      <c r="S472" s="140" t="n"/>
      <c r="T472" s="141" t="n"/>
      <c r="U472" s="129" t="n"/>
      <c r="V472" s="129" t="n"/>
      <c r="W472" s="145" t="n"/>
      <c r="X472" s="145" t="n"/>
      <c r="Y472" s="145" t="n"/>
      <c r="Z472" s="145" t="n"/>
    </row>
    <row r="473" ht="45.75" customHeight="1" s="222">
      <c r="A473" s="145" t="n"/>
      <c r="B473" s="145" t="n"/>
      <c r="C473" s="145" t="n"/>
      <c r="D473" s="145" t="n"/>
      <c r="E473" s="145" t="n"/>
      <c r="F473" s="145" t="n"/>
      <c r="G473" s="145" t="n"/>
      <c r="H473" s="145" t="n"/>
      <c r="I473" s="145" t="n"/>
      <c r="J473" s="145" t="n"/>
      <c r="K473" s="145" t="n"/>
      <c r="L473" s="145" t="n"/>
      <c r="M473" s="145" t="n"/>
      <c r="N473" s="145" t="n"/>
      <c r="O473" s="140" t="n"/>
      <c r="P473" s="140" t="n"/>
      <c r="Q473" s="140" t="n"/>
      <c r="R473" s="140" t="n"/>
      <c r="S473" s="140" t="n"/>
      <c r="T473" s="141" t="n"/>
      <c r="U473" s="129" t="n"/>
      <c r="V473" s="129" t="n"/>
      <c r="W473" s="145" t="n"/>
      <c r="X473" s="145" t="n"/>
      <c r="Y473" s="145" t="n"/>
      <c r="Z473" s="145" t="n"/>
    </row>
    <row r="474" ht="45.75" customHeight="1" s="222">
      <c r="A474" s="145" t="n"/>
      <c r="B474" s="145" t="n"/>
      <c r="C474" s="145" t="n"/>
      <c r="D474" s="145" t="n"/>
      <c r="E474" s="145" t="n"/>
      <c r="F474" s="145" t="n"/>
      <c r="G474" s="145" t="n"/>
      <c r="H474" s="145" t="n"/>
      <c r="I474" s="145" t="n"/>
      <c r="J474" s="145" t="n"/>
      <c r="K474" s="145" t="n"/>
      <c r="L474" s="145" t="n"/>
      <c r="M474" s="145" t="n"/>
      <c r="N474" s="145" t="n"/>
      <c r="O474" s="140" t="n"/>
      <c r="P474" s="140" t="n"/>
      <c r="Q474" s="140" t="n"/>
      <c r="R474" s="140" t="n"/>
      <c r="S474" s="140" t="n"/>
      <c r="T474" s="141" t="n"/>
      <c r="U474" s="129" t="n"/>
      <c r="V474" s="129" t="n"/>
      <c r="W474" s="145" t="n"/>
      <c r="X474" s="145" t="n"/>
      <c r="Y474" s="145" t="n"/>
      <c r="Z474" s="145" t="n"/>
    </row>
    <row r="475" ht="45.75" customHeight="1" s="222">
      <c r="A475" s="145" t="n"/>
      <c r="B475" s="145" t="n"/>
      <c r="C475" s="145" t="n"/>
      <c r="D475" s="145" t="n"/>
      <c r="E475" s="145" t="n"/>
      <c r="F475" s="145" t="n"/>
      <c r="G475" s="145" t="n"/>
      <c r="H475" s="145" t="n"/>
      <c r="I475" s="145" t="n"/>
      <c r="J475" s="145" t="n"/>
      <c r="K475" s="145" t="n"/>
      <c r="L475" s="145" t="n"/>
      <c r="M475" s="145" t="n"/>
      <c r="N475" s="145" t="n"/>
      <c r="O475" s="140" t="n"/>
      <c r="P475" s="140" t="n"/>
      <c r="Q475" s="140" t="n"/>
      <c r="R475" s="140" t="n"/>
      <c r="S475" s="140" t="n"/>
      <c r="T475" s="141" t="n"/>
      <c r="U475" s="129" t="n"/>
      <c r="V475" s="129" t="n"/>
      <c r="W475" s="145" t="n"/>
      <c r="X475" s="145" t="n"/>
      <c r="Y475" s="145" t="n"/>
      <c r="Z475" s="145" t="n"/>
    </row>
    <row r="476" ht="45.75" customHeight="1" s="222">
      <c r="A476" s="145" t="n"/>
      <c r="B476" s="145" t="n"/>
      <c r="C476" s="145" t="n"/>
      <c r="D476" s="145" t="n"/>
      <c r="E476" s="145" t="n"/>
      <c r="F476" s="145" t="n"/>
      <c r="G476" s="145" t="n"/>
      <c r="H476" s="145" t="n"/>
      <c r="I476" s="145" t="n"/>
      <c r="J476" s="145" t="n"/>
      <c r="K476" s="145" t="n"/>
      <c r="L476" s="145" t="n"/>
      <c r="M476" s="145" t="n"/>
      <c r="N476" s="145" t="n"/>
      <c r="O476" s="140" t="n"/>
      <c r="P476" s="140" t="n"/>
      <c r="Q476" s="140" t="n"/>
      <c r="R476" s="140" t="n"/>
      <c r="S476" s="140" t="n"/>
      <c r="T476" s="141" t="n"/>
      <c r="U476" s="129" t="n"/>
      <c r="V476" s="129" t="n"/>
      <c r="W476" s="145" t="n"/>
      <c r="X476" s="145" t="n"/>
      <c r="Y476" s="145" t="n"/>
      <c r="Z476" s="145" t="n"/>
    </row>
    <row r="477" ht="45.75" customHeight="1" s="222">
      <c r="A477" s="145" t="n"/>
      <c r="B477" s="145" t="n"/>
      <c r="C477" s="145" t="n"/>
      <c r="D477" s="145" t="n"/>
      <c r="E477" s="145" t="n"/>
      <c r="F477" s="145" t="n"/>
      <c r="G477" s="145" t="n"/>
      <c r="H477" s="145" t="n"/>
      <c r="I477" s="145" t="n"/>
      <c r="J477" s="145" t="n"/>
      <c r="K477" s="145" t="n"/>
      <c r="L477" s="145" t="n"/>
      <c r="M477" s="145" t="n"/>
      <c r="N477" s="145" t="n"/>
      <c r="O477" s="140" t="n"/>
      <c r="P477" s="140" t="n"/>
      <c r="Q477" s="140" t="n"/>
      <c r="R477" s="140" t="n"/>
      <c r="S477" s="140" t="n"/>
      <c r="T477" s="141" t="n"/>
      <c r="U477" s="129" t="n"/>
      <c r="V477" s="129" t="n"/>
      <c r="W477" s="145" t="n"/>
      <c r="X477" s="145" t="n"/>
      <c r="Y477" s="145" t="n"/>
      <c r="Z477" s="145" t="n"/>
    </row>
    <row r="478" ht="45.75" customHeight="1" s="222">
      <c r="A478" s="145" t="n"/>
      <c r="B478" s="145" t="n"/>
      <c r="C478" s="145" t="n"/>
      <c r="D478" s="145" t="n"/>
      <c r="E478" s="145" t="n"/>
      <c r="F478" s="145" t="n"/>
      <c r="G478" s="145" t="n"/>
      <c r="H478" s="145" t="n"/>
      <c r="I478" s="145" t="n"/>
      <c r="J478" s="145" t="n"/>
      <c r="K478" s="145" t="n"/>
      <c r="L478" s="145" t="n"/>
      <c r="M478" s="145" t="n"/>
      <c r="N478" s="145" t="n"/>
      <c r="O478" s="140" t="n"/>
      <c r="P478" s="140" t="n"/>
      <c r="Q478" s="140" t="n"/>
      <c r="R478" s="140" t="n"/>
      <c r="S478" s="140" t="n"/>
      <c r="T478" s="141" t="n"/>
      <c r="U478" s="129" t="n"/>
      <c r="V478" s="129" t="n"/>
      <c r="W478" s="145" t="n"/>
      <c r="X478" s="145" t="n"/>
      <c r="Y478" s="145" t="n"/>
      <c r="Z478" s="145" t="n"/>
    </row>
    <row r="479" ht="45.75" customHeight="1" s="222">
      <c r="A479" s="145" t="n"/>
      <c r="B479" s="145" t="n"/>
      <c r="C479" s="145" t="n"/>
      <c r="D479" s="145" t="n"/>
      <c r="E479" s="145" t="n"/>
      <c r="F479" s="145" t="n"/>
      <c r="G479" s="145" t="n"/>
      <c r="H479" s="145" t="n"/>
      <c r="I479" s="145" t="n"/>
      <c r="J479" s="145" t="n"/>
      <c r="K479" s="145" t="n"/>
      <c r="L479" s="145" t="n"/>
      <c r="M479" s="145" t="n"/>
      <c r="N479" s="145" t="n"/>
      <c r="O479" s="140" t="n"/>
      <c r="P479" s="140" t="n"/>
      <c r="Q479" s="140" t="n"/>
      <c r="R479" s="140" t="n"/>
      <c r="S479" s="140" t="n"/>
      <c r="T479" s="141" t="n"/>
      <c r="U479" s="129" t="n"/>
      <c r="V479" s="129" t="n"/>
      <c r="W479" s="145" t="n"/>
      <c r="X479" s="145" t="n"/>
      <c r="Y479" s="145" t="n"/>
      <c r="Z479" s="145" t="n"/>
    </row>
    <row r="480" ht="45.75" customHeight="1" s="222">
      <c r="A480" s="145" t="n"/>
      <c r="B480" s="145" t="n"/>
      <c r="C480" s="145" t="n"/>
      <c r="D480" s="145" t="n"/>
      <c r="E480" s="145" t="n"/>
      <c r="F480" s="145" t="n"/>
      <c r="G480" s="145" t="n"/>
      <c r="H480" s="145" t="n"/>
      <c r="I480" s="145" t="n"/>
      <c r="J480" s="145" t="n"/>
      <c r="K480" s="145" t="n"/>
      <c r="L480" s="145" t="n"/>
      <c r="M480" s="145" t="n"/>
      <c r="N480" s="145" t="n"/>
      <c r="O480" s="140" t="n"/>
      <c r="P480" s="140" t="n"/>
      <c r="Q480" s="140" t="n"/>
      <c r="R480" s="140" t="n"/>
      <c r="S480" s="140" t="n"/>
      <c r="T480" s="141" t="n"/>
      <c r="U480" s="129" t="n"/>
      <c r="V480" s="129" t="n"/>
      <c r="W480" s="145" t="n"/>
      <c r="X480" s="145" t="n"/>
      <c r="Y480" s="145" t="n"/>
      <c r="Z480" s="145" t="n"/>
    </row>
    <row r="481" ht="45.75" customHeight="1" s="222">
      <c r="A481" s="145" t="n"/>
      <c r="B481" s="145" t="n"/>
      <c r="C481" s="145" t="n"/>
      <c r="D481" s="145" t="n"/>
      <c r="E481" s="145" t="n"/>
      <c r="F481" s="145" t="n"/>
      <c r="G481" s="145" t="n"/>
      <c r="H481" s="145" t="n"/>
      <c r="I481" s="145" t="n"/>
      <c r="J481" s="145" t="n"/>
      <c r="K481" s="145" t="n"/>
      <c r="L481" s="145" t="n"/>
      <c r="M481" s="145" t="n"/>
      <c r="N481" s="145" t="n"/>
      <c r="O481" s="140" t="n"/>
      <c r="P481" s="140" t="n"/>
      <c r="Q481" s="140" t="n"/>
      <c r="R481" s="140" t="n"/>
      <c r="S481" s="140" t="n"/>
      <c r="T481" s="141" t="n"/>
      <c r="U481" s="129" t="n"/>
      <c r="V481" s="129" t="n"/>
      <c r="W481" s="145" t="n"/>
      <c r="X481" s="145" t="n"/>
      <c r="Y481" s="145" t="n"/>
      <c r="Z481" s="145" t="n"/>
    </row>
    <row r="482" ht="45.75" customHeight="1" s="222">
      <c r="A482" s="145" t="n"/>
      <c r="B482" s="145" t="n"/>
      <c r="C482" s="145" t="n"/>
      <c r="D482" s="145" t="n"/>
      <c r="E482" s="145" t="n"/>
      <c r="F482" s="145" t="n"/>
      <c r="G482" s="145" t="n"/>
      <c r="H482" s="145" t="n"/>
      <c r="I482" s="145" t="n"/>
      <c r="J482" s="145" t="n"/>
      <c r="K482" s="145" t="n"/>
      <c r="L482" s="145" t="n"/>
      <c r="M482" s="145" t="n"/>
      <c r="N482" s="145" t="n"/>
      <c r="O482" s="140" t="n"/>
      <c r="P482" s="140" t="n"/>
      <c r="Q482" s="140" t="n"/>
      <c r="R482" s="140" t="n"/>
      <c r="S482" s="140" t="n"/>
      <c r="T482" s="141" t="n"/>
      <c r="U482" s="129" t="n"/>
      <c r="V482" s="129" t="n"/>
      <c r="W482" s="145" t="n"/>
      <c r="X482" s="145" t="n"/>
      <c r="Y482" s="145" t="n"/>
      <c r="Z482" s="145" t="n"/>
    </row>
    <row r="483" ht="45.75" customHeight="1" s="222">
      <c r="A483" s="145" t="n"/>
      <c r="B483" s="145" t="n"/>
      <c r="C483" s="145" t="n"/>
      <c r="D483" s="145" t="n"/>
      <c r="E483" s="145" t="n"/>
      <c r="F483" s="145" t="n"/>
      <c r="G483" s="145" t="n"/>
      <c r="H483" s="145" t="n"/>
      <c r="I483" s="145" t="n"/>
      <c r="J483" s="145" t="n"/>
      <c r="K483" s="145" t="n"/>
      <c r="L483" s="145" t="n"/>
      <c r="M483" s="145" t="n"/>
      <c r="N483" s="145" t="n"/>
      <c r="O483" s="140" t="n"/>
      <c r="P483" s="140" t="n"/>
      <c r="Q483" s="140" t="n"/>
      <c r="R483" s="140" t="n"/>
      <c r="S483" s="140" t="n"/>
      <c r="T483" s="141" t="n"/>
      <c r="U483" s="129" t="n"/>
      <c r="V483" s="129" t="n"/>
      <c r="W483" s="145" t="n"/>
      <c r="X483" s="145" t="n"/>
      <c r="Y483" s="145" t="n"/>
      <c r="Z483" s="145" t="n"/>
    </row>
    <row r="484" ht="45.75" customHeight="1" s="222">
      <c r="A484" s="145" t="n"/>
      <c r="B484" s="145" t="n"/>
      <c r="C484" s="145" t="n"/>
      <c r="D484" s="145" t="n"/>
      <c r="E484" s="145" t="n"/>
      <c r="F484" s="145" t="n"/>
      <c r="G484" s="145" t="n"/>
      <c r="H484" s="145" t="n"/>
      <c r="I484" s="145" t="n"/>
      <c r="J484" s="145" t="n"/>
      <c r="K484" s="145" t="n"/>
      <c r="L484" s="145" t="n"/>
      <c r="M484" s="145" t="n"/>
      <c r="N484" s="145" t="n"/>
      <c r="O484" s="140" t="n"/>
      <c r="P484" s="140" t="n"/>
      <c r="Q484" s="140" t="n"/>
      <c r="R484" s="140" t="n"/>
      <c r="S484" s="140" t="n"/>
      <c r="T484" s="141" t="n"/>
      <c r="U484" s="129" t="n"/>
      <c r="V484" s="129" t="n"/>
      <c r="W484" s="145" t="n"/>
      <c r="X484" s="145" t="n"/>
      <c r="Y484" s="145" t="n"/>
      <c r="Z484" s="145" t="n"/>
    </row>
    <row r="485" ht="45.75" customHeight="1" s="222">
      <c r="A485" s="145" t="n"/>
      <c r="B485" s="145" t="n"/>
      <c r="C485" s="145" t="n"/>
      <c r="D485" s="145" t="n"/>
      <c r="E485" s="145" t="n"/>
      <c r="F485" s="145" t="n"/>
      <c r="G485" s="145" t="n"/>
      <c r="H485" s="145" t="n"/>
      <c r="I485" s="145" t="n"/>
      <c r="J485" s="145" t="n"/>
      <c r="K485" s="145" t="n"/>
      <c r="L485" s="145" t="n"/>
      <c r="M485" s="145" t="n"/>
      <c r="N485" s="145" t="n"/>
      <c r="O485" s="140" t="n"/>
      <c r="P485" s="140" t="n"/>
      <c r="Q485" s="140" t="n"/>
      <c r="R485" s="140" t="n"/>
      <c r="S485" s="140" t="n"/>
      <c r="T485" s="141" t="n"/>
      <c r="U485" s="129" t="n"/>
      <c r="V485" s="129" t="n"/>
      <c r="W485" s="145" t="n"/>
      <c r="X485" s="145" t="n"/>
      <c r="Y485" s="145" t="n"/>
      <c r="Z485" s="145" t="n"/>
    </row>
    <row r="486" ht="45.75" customHeight="1" s="222">
      <c r="A486" s="145" t="n"/>
      <c r="B486" s="145" t="n"/>
      <c r="C486" s="145" t="n"/>
      <c r="D486" s="145" t="n"/>
      <c r="E486" s="145" t="n"/>
      <c r="F486" s="145" t="n"/>
      <c r="G486" s="145" t="n"/>
      <c r="H486" s="145" t="n"/>
      <c r="I486" s="145" t="n"/>
      <c r="J486" s="145" t="n"/>
      <c r="K486" s="145" t="n"/>
      <c r="L486" s="145" t="n"/>
      <c r="M486" s="145" t="n"/>
      <c r="N486" s="145" t="n"/>
      <c r="O486" s="140" t="n"/>
      <c r="P486" s="140" t="n"/>
      <c r="Q486" s="140" t="n"/>
      <c r="R486" s="140" t="n"/>
      <c r="S486" s="140" t="n"/>
      <c r="T486" s="141" t="n"/>
      <c r="U486" s="129" t="n"/>
      <c r="V486" s="129" t="n"/>
      <c r="W486" s="145" t="n"/>
      <c r="X486" s="145" t="n"/>
      <c r="Y486" s="145" t="n"/>
      <c r="Z486" s="145" t="n"/>
    </row>
    <row r="487" ht="45.75" customHeight="1" s="222">
      <c r="A487" s="145" t="n"/>
      <c r="B487" s="145" t="n"/>
      <c r="C487" s="145" t="n"/>
      <c r="D487" s="145" t="n"/>
      <c r="E487" s="145" t="n"/>
      <c r="F487" s="145" t="n"/>
      <c r="G487" s="145" t="n"/>
      <c r="H487" s="145" t="n"/>
      <c r="I487" s="145" t="n"/>
      <c r="J487" s="145" t="n"/>
      <c r="K487" s="145" t="n"/>
      <c r="L487" s="145" t="n"/>
      <c r="M487" s="145" t="n"/>
      <c r="N487" s="145" t="n"/>
      <c r="O487" s="140" t="n"/>
      <c r="P487" s="140" t="n"/>
      <c r="Q487" s="140" t="n"/>
      <c r="R487" s="140" t="n"/>
      <c r="S487" s="140" t="n"/>
      <c r="T487" s="141" t="n"/>
      <c r="U487" s="129" t="n"/>
      <c r="V487" s="129" t="n"/>
      <c r="W487" s="145" t="n"/>
      <c r="X487" s="145" t="n"/>
      <c r="Y487" s="145" t="n"/>
      <c r="Z487" s="145" t="n"/>
    </row>
    <row r="488" ht="45.75" customHeight="1" s="222">
      <c r="A488" s="145" t="n"/>
      <c r="B488" s="145" t="n"/>
      <c r="C488" s="145" t="n"/>
      <c r="D488" s="145" t="n"/>
      <c r="E488" s="145" t="n"/>
      <c r="F488" s="145" t="n"/>
      <c r="G488" s="145" t="n"/>
      <c r="H488" s="145" t="n"/>
      <c r="I488" s="145" t="n"/>
      <c r="J488" s="145" t="n"/>
      <c r="K488" s="145" t="n"/>
      <c r="L488" s="145" t="n"/>
      <c r="M488" s="145" t="n"/>
      <c r="N488" s="145" t="n"/>
      <c r="O488" s="140" t="n"/>
      <c r="P488" s="140" t="n"/>
      <c r="Q488" s="140" t="n"/>
      <c r="R488" s="140" t="n"/>
      <c r="S488" s="140" t="n"/>
      <c r="T488" s="141" t="n"/>
      <c r="U488" s="129" t="n"/>
      <c r="V488" s="129" t="n"/>
      <c r="W488" s="145" t="n"/>
      <c r="X488" s="145" t="n"/>
      <c r="Y488" s="145" t="n"/>
      <c r="Z488" s="145" t="n"/>
    </row>
    <row r="489" ht="45.75" customHeight="1" s="222">
      <c r="A489" s="145" t="n"/>
      <c r="B489" s="145" t="n"/>
      <c r="C489" s="145" t="n"/>
      <c r="D489" s="145" t="n"/>
      <c r="E489" s="145" t="n"/>
      <c r="F489" s="145" t="n"/>
      <c r="G489" s="145" t="n"/>
      <c r="H489" s="145" t="n"/>
      <c r="I489" s="145" t="n"/>
      <c r="J489" s="145" t="n"/>
      <c r="K489" s="145" t="n"/>
      <c r="L489" s="145" t="n"/>
      <c r="M489" s="145" t="n"/>
      <c r="N489" s="145" t="n"/>
      <c r="O489" s="140" t="n"/>
      <c r="P489" s="140" t="n"/>
      <c r="Q489" s="140" t="n"/>
      <c r="R489" s="140" t="n"/>
      <c r="S489" s="140" t="n"/>
      <c r="T489" s="141" t="n"/>
      <c r="U489" s="129" t="n"/>
      <c r="V489" s="129" t="n"/>
      <c r="W489" s="145" t="n"/>
      <c r="X489" s="145" t="n"/>
      <c r="Y489" s="145" t="n"/>
      <c r="Z489" s="145" t="n"/>
    </row>
    <row r="490" ht="45.75" customHeight="1" s="222">
      <c r="A490" s="145" t="n"/>
      <c r="B490" s="145" t="n"/>
      <c r="C490" s="145" t="n"/>
      <c r="D490" s="145" t="n"/>
      <c r="E490" s="145" t="n"/>
      <c r="F490" s="145" t="n"/>
      <c r="G490" s="145" t="n"/>
      <c r="H490" s="145" t="n"/>
      <c r="I490" s="145" t="n"/>
      <c r="J490" s="145" t="n"/>
      <c r="K490" s="145" t="n"/>
      <c r="L490" s="145" t="n"/>
      <c r="M490" s="145" t="n"/>
      <c r="N490" s="145" t="n"/>
      <c r="O490" s="140" t="n"/>
      <c r="P490" s="140" t="n"/>
      <c r="Q490" s="140" t="n"/>
      <c r="R490" s="140" t="n"/>
      <c r="S490" s="140" t="n"/>
      <c r="T490" s="141" t="n"/>
      <c r="U490" s="129" t="n"/>
      <c r="V490" s="129" t="n"/>
      <c r="W490" s="145" t="n"/>
      <c r="X490" s="145" t="n"/>
      <c r="Y490" s="145" t="n"/>
      <c r="Z490" s="145" t="n"/>
    </row>
    <row r="491" ht="45.75" customHeight="1" s="222">
      <c r="A491" s="145" t="n"/>
      <c r="B491" s="145" t="n"/>
      <c r="C491" s="145" t="n"/>
      <c r="D491" s="145" t="n"/>
      <c r="E491" s="145" t="n"/>
      <c r="F491" s="145" t="n"/>
      <c r="G491" s="145" t="n"/>
      <c r="H491" s="145" t="n"/>
      <c r="I491" s="145" t="n"/>
      <c r="J491" s="145" t="n"/>
      <c r="K491" s="145" t="n"/>
      <c r="L491" s="145" t="n"/>
      <c r="M491" s="145" t="n"/>
      <c r="N491" s="145" t="n"/>
      <c r="O491" s="140" t="n"/>
      <c r="P491" s="140" t="n"/>
      <c r="Q491" s="140" t="n"/>
      <c r="R491" s="140" t="n"/>
      <c r="S491" s="140" t="n"/>
      <c r="T491" s="141" t="n"/>
      <c r="U491" s="129" t="n"/>
      <c r="V491" s="129" t="n"/>
      <c r="W491" s="145" t="n"/>
      <c r="X491" s="145" t="n"/>
      <c r="Y491" s="145" t="n"/>
      <c r="Z491" s="145" t="n"/>
    </row>
    <row r="492" ht="45.75" customHeight="1" s="222">
      <c r="A492" s="145" t="n"/>
      <c r="B492" s="145" t="n"/>
      <c r="C492" s="145" t="n"/>
      <c r="D492" s="145" t="n"/>
      <c r="E492" s="145" t="n"/>
      <c r="F492" s="145" t="n"/>
      <c r="G492" s="145" t="n"/>
      <c r="H492" s="145" t="n"/>
      <c r="I492" s="145" t="n"/>
      <c r="J492" s="145" t="n"/>
      <c r="K492" s="145" t="n"/>
      <c r="L492" s="145" t="n"/>
      <c r="M492" s="145" t="n"/>
      <c r="N492" s="145" t="n"/>
      <c r="O492" s="140" t="n"/>
      <c r="P492" s="140" t="n"/>
      <c r="Q492" s="140" t="n"/>
      <c r="R492" s="140" t="n"/>
      <c r="S492" s="140" t="n"/>
      <c r="T492" s="141" t="n"/>
      <c r="U492" s="129" t="n"/>
      <c r="V492" s="129" t="n"/>
      <c r="W492" s="145" t="n"/>
      <c r="X492" s="145" t="n"/>
      <c r="Y492" s="145" t="n"/>
      <c r="Z492" s="145" t="n"/>
    </row>
    <row r="493" ht="45.75" customHeight="1" s="222">
      <c r="A493" s="145" t="n"/>
      <c r="B493" s="145" t="n"/>
      <c r="C493" s="145" t="n"/>
      <c r="D493" s="145" t="n"/>
      <c r="E493" s="145" t="n"/>
      <c r="F493" s="145" t="n"/>
      <c r="G493" s="145" t="n"/>
      <c r="H493" s="145" t="n"/>
      <c r="I493" s="145" t="n"/>
      <c r="J493" s="145" t="n"/>
      <c r="K493" s="145" t="n"/>
      <c r="L493" s="145" t="n"/>
      <c r="M493" s="145" t="n"/>
      <c r="N493" s="145" t="n"/>
      <c r="O493" s="140" t="n"/>
      <c r="P493" s="140" t="n"/>
      <c r="Q493" s="140" t="n"/>
      <c r="R493" s="140" t="n"/>
      <c r="S493" s="140" t="n"/>
      <c r="T493" s="141" t="n"/>
      <c r="U493" s="129" t="n"/>
      <c r="V493" s="129" t="n"/>
      <c r="W493" s="145" t="n"/>
      <c r="X493" s="145" t="n"/>
      <c r="Y493" s="145" t="n"/>
      <c r="Z493" s="145" t="n"/>
    </row>
    <row r="494" ht="45.75" customHeight="1" s="222">
      <c r="A494" s="145" t="n"/>
      <c r="B494" s="145" t="n"/>
      <c r="C494" s="145" t="n"/>
      <c r="D494" s="145" t="n"/>
      <c r="E494" s="145" t="n"/>
      <c r="F494" s="145" t="n"/>
      <c r="G494" s="145" t="n"/>
      <c r="H494" s="145" t="n"/>
      <c r="I494" s="145" t="n"/>
      <c r="J494" s="145" t="n"/>
      <c r="K494" s="145" t="n"/>
      <c r="L494" s="145" t="n"/>
      <c r="M494" s="145" t="n"/>
      <c r="N494" s="145" t="n"/>
      <c r="O494" s="140" t="n"/>
      <c r="P494" s="140" t="n"/>
      <c r="Q494" s="140" t="n"/>
      <c r="R494" s="140" t="n"/>
      <c r="S494" s="140" t="n"/>
      <c r="T494" s="141" t="n"/>
      <c r="U494" s="129" t="n"/>
      <c r="V494" s="129" t="n"/>
      <c r="W494" s="145" t="n"/>
      <c r="X494" s="145" t="n"/>
      <c r="Y494" s="145" t="n"/>
      <c r="Z494" s="145" t="n"/>
    </row>
    <row r="495" ht="45.75" customHeight="1" s="222">
      <c r="A495" s="145" t="n"/>
      <c r="B495" s="145" t="n"/>
      <c r="C495" s="145" t="n"/>
      <c r="D495" s="145" t="n"/>
      <c r="E495" s="145" t="n"/>
      <c r="F495" s="145" t="n"/>
      <c r="G495" s="145" t="n"/>
      <c r="H495" s="145" t="n"/>
      <c r="I495" s="145" t="n"/>
      <c r="J495" s="145" t="n"/>
      <c r="K495" s="145" t="n"/>
      <c r="L495" s="145" t="n"/>
      <c r="M495" s="145" t="n"/>
      <c r="N495" s="145" t="n"/>
      <c r="O495" s="140" t="n"/>
      <c r="P495" s="140" t="n"/>
      <c r="Q495" s="140" t="n"/>
      <c r="R495" s="140" t="n"/>
      <c r="S495" s="140" t="n"/>
      <c r="T495" s="141" t="n"/>
      <c r="U495" s="129" t="n"/>
      <c r="V495" s="129" t="n"/>
      <c r="W495" s="145" t="n"/>
      <c r="X495" s="145" t="n"/>
      <c r="Y495" s="145" t="n"/>
      <c r="Z495" s="145" t="n"/>
    </row>
    <row r="496" ht="45.75" customHeight="1" s="222">
      <c r="A496" s="145" t="n"/>
      <c r="B496" s="145" t="n"/>
      <c r="C496" s="145" t="n"/>
      <c r="D496" s="145" t="n"/>
      <c r="E496" s="145" t="n"/>
      <c r="F496" s="145" t="n"/>
      <c r="G496" s="145" t="n"/>
      <c r="H496" s="145" t="n"/>
      <c r="I496" s="145" t="n"/>
      <c r="J496" s="145" t="n"/>
      <c r="K496" s="145" t="n"/>
      <c r="L496" s="145" t="n"/>
      <c r="M496" s="145" t="n"/>
      <c r="N496" s="145" t="n"/>
      <c r="O496" s="140" t="n"/>
      <c r="P496" s="140" t="n"/>
      <c r="Q496" s="140" t="n"/>
      <c r="R496" s="140" t="n"/>
      <c r="S496" s="140" t="n"/>
      <c r="T496" s="141" t="n"/>
      <c r="U496" s="129" t="n"/>
      <c r="V496" s="129" t="n"/>
      <c r="W496" s="145" t="n"/>
      <c r="X496" s="145" t="n"/>
      <c r="Y496" s="145" t="n"/>
      <c r="Z496" s="145" t="n"/>
    </row>
    <row r="497" ht="45.75" customHeight="1" s="222">
      <c r="A497" s="145" t="n"/>
      <c r="B497" s="145" t="n"/>
      <c r="C497" s="145" t="n"/>
      <c r="D497" s="145" t="n"/>
      <c r="E497" s="145" t="n"/>
      <c r="F497" s="145" t="n"/>
      <c r="G497" s="145" t="n"/>
      <c r="H497" s="145" t="n"/>
      <c r="I497" s="145" t="n"/>
      <c r="J497" s="145" t="n"/>
      <c r="K497" s="145" t="n"/>
      <c r="L497" s="145" t="n"/>
      <c r="M497" s="145" t="n"/>
      <c r="N497" s="145" t="n"/>
      <c r="O497" s="140" t="n"/>
      <c r="P497" s="140" t="n"/>
      <c r="Q497" s="140" t="n"/>
      <c r="R497" s="140" t="n"/>
      <c r="S497" s="140" t="n"/>
      <c r="T497" s="141" t="n"/>
      <c r="U497" s="129" t="n"/>
      <c r="V497" s="129" t="n"/>
      <c r="W497" s="145" t="n"/>
      <c r="X497" s="145" t="n"/>
      <c r="Y497" s="145" t="n"/>
      <c r="Z497" s="145" t="n"/>
    </row>
    <row r="498" ht="45.75" customHeight="1" s="222">
      <c r="A498" s="145" t="n"/>
      <c r="B498" s="145" t="n"/>
      <c r="C498" s="145" t="n"/>
      <c r="D498" s="145" t="n"/>
      <c r="E498" s="145" t="n"/>
      <c r="F498" s="145" t="n"/>
      <c r="G498" s="145" t="n"/>
      <c r="H498" s="145" t="n"/>
      <c r="I498" s="145" t="n"/>
      <c r="J498" s="145" t="n"/>
      <c r="K498" s="145" t="n"/>
      <c r="L498" s="145" t="n"/>
      <c r="M498" s="145" t="n"/>
      <c r="N498" s="145" t="n"/>
      <c r="O498" s="140" t="n"/>
      <c r="P498" s="140" t="n"/>
      <c r="Q498" s="140" t="n"/>
      <c r="R498" s="140" t="n"/>
      <c r="S498" s="140" t="n"/>
      <c r="T498" s="141" t="n"/>
      <c r="U498" s="129" t="n"/>
      <c r="V498" s="129" t="n"/>
      <c r="W498" s="145" t="n"/>
      <c r="X498" s="145" t="n"/>
      <c r="Y498" s="145" t="n"/>
      <c r="Z498" s="145" t="n"/>
    </row>
    <row r="499" ht="45.75" customHeight="1" s="222">
      <c r="A499" s="145" t="n"/>
      <c r="B499" s="145" t="n"/>
      <c r="C499" s="145" t="n"/>
      <c r="D499" s="145" t="n"/>
      <c r="E499" s="145" t="n"/>
      <c r="F499" s="145" t="n"/>
      <c r="G499" s="145" t="n"/>
      <c r="H499" s="145" t="n"/>
      <c r="I499" s="145" t="n"/>
      <c r="J499" s="145" t="n"/>
      <c r="K499" s="145" t="n"/>
      <c r="L499" s="145" t="n"/>
      <c r="M499" s="145" t="n"/>
      <c r="N499" s="145" t="n"/>
      <c r="O499" s="140" t="n"/>
      <c r="P499" s="140" t="n"/>
      <c r="Q499" s="140" t="n"/>
      <c r="R499" s="140" t="n"/>
      <c r="S499" s="140" t="n"/>
      <c r="T499" s="141" t="n"/>
      <c r="U499" s="129" t="n"/>
      <c r="V499" s="129" t="n"/>
      <c r="W499" s="145" t="n"/>
      <c r="X499" s="145" t="n"/>
      <c r="Y499" s="145" t="n"/>
      <c r="Z499" s="145" t="n"/>
    </row>
    <row r="500" ht="45.75" customHeight="1" s="222">
      <c r="A500" s="145" t="n"/>
      <c r="B500" s="145" t="n"/>
      <c r="C500" s="145" t="n"/>
      <c r="D500" s="145" t="n"/>
      <c r="E500" s="145" t="n"/>
      <c r="F500" s="145" t="n"/>
      <c r="G500" s="145" t="n"/>
      <c r="H500" s="145" t="n"/>
      <c r="I500" s="145" t="n"/>
      <c r="J500" s="145" t="n"/>
      <c r="K500" s="145" t="n"/>
      <c r="L500" s="145" t="n"/>
      <c r="M500" s="145" t="n"/>
      <c r="N500" s="145" t="n"/>
      <c r="O500" s="140" t="n"/>
      <c r="P500" s="140" t="n"/>
      <c r="Q500" s="140" t="n"/>
      <c r="R500" s="140" t="n"/>
      <c r="S500" s="140" t="n"/>
      <c r="T500" s="141" t="n"/>
      <c r="U500" s="129" t="n"/>
      <c r="V500" s="129" t="n"/>
      <c r="W500" s="145" t="n"/>
      <c r="X500" s="145" t="n"/>
      <c r="Y500" s="145" t="n"/>
      <c r="Z500" s="145" t="n"/>
    </row>
    <row r="501" ht="45.75" customHeight="1" s="222">
      <c r="A501" s="145" t="n"/>
      <c r="B501" s="145" t="n"/>
      <c r="C501" s="145" t="n"/>
      <c r="D501" s="145" t="n"/>
      <c r="E501" s="145" t="n"/>
      <c r="F501" s="145" t="n"/>
      <c r="G501" s="145" t="n"/>
      <c r="H501" s="145" t="n"/>
      <c r="I501" s="145" t="n"/>
      <c r="J501" s="145" t="n"/>
      <c r="K501" s="145" t="n"/>
      <c r="L501" s="145" t="n"/>
      <c r="M501" s="145" t="n"/>
      <c r="N501" s="145" t="n"/>
      <c r="O501" s="140" t="n"/>
      <c r="P501" s="140" t="n"/>
      <c r="Q501" s="140" t="n"/>
      <c r="R501" s="140" t="n"/>
      <c r="S501" s="140" t="n"/>
      <c r="T501" s="141" t="n"/>
      <c r="U501" s="129" t="n"/>
      <c r="V501" s="129" t="n"/>
      <c r="W501" s="145" t="n"/>
      <c r="X501" s="145" t="n"/>
      <c r="Y501" s="145" t="n"/>
      <c r="Z501" s="145" t="n"/>
    </row>
    <row r="502" ht="45.75" customHeight="1" s="222">
      <c r="A502" s="145" t="n"/>
      <c r="B502" s="145" t="n"/>
      <c r="C502" s="145" t="n"/>
      <c r="D502" s="145" t="n"/>
      <c r="E502" s="145" t="n"/>
      <c r="F502" s="145" t="n"/>
      <c r="G502" s="145" t="n"/>
      <c r="H502" s="145" t="n"/>
      <c r="I502" s="145" t="n"/>
      <c r="J502" s="145" t="n"/>
      <c r="K502" s="145" t="n"/>
      <c r="L502" s="145" t="n"/>
      <c r="M502" s="145" t="n"/>
      <c r="N502" s="145" t="n"/>
      <c r="O502" s="140" t="n"/>
      <c r="P502" s="140" t="n"/>
      <c r="Q502" s="140" t="n"/>
      <c r="R502" s="140" t="n"/>
      <c r="S502" s="140" t="n"/>
      <c r="T502" s="141" t="n"/>
      <c r="U502" s="129" t="n"/>
      <c r="V502" s="129" t="n"/>
      <c r="W502" s="145" t="n"/>
      <c r="X502" s="145" t="n"/>
      <c r="Y502" s="145" t="n"/>
      <c r="Z502" s="145" t="n"/>
    </row>
    <row r="503" ht="45.75" customHeight="1" s="222">
      <c r="A503" s="145" t="n"/>
      <c r="B503" s="145" t="n"/>
      <c r="C503" s="145" t="n"/>
      <c r="D503" s="145" t="n"/>
      <c r="E503" s="145" t="n"/>
      <c r="F503" s="145" t="n"/>
      <c r="G503" s="145" t="n"/>
      <c r="H503" s="145" t="n"/>
      <c r="I503" s="145" t="n"/>
      <c r="J503" s="145" t="n"/>
      <c r="K503" s="145" t="n"/>
      <c r="L503" s="145" t="n"/>
      <c r="M503" s="145" t="n"/>
      <c r="N503" s="145" t="n"/>
      <c r="O503" s="140" t="n"/>
      <c r="P503" s="140" t="n"/>
      <c r="Q503" s="140" t="n"/>
      <c r="R503" s="140" t="n"/>
      <c r="S503" s="140" t="n"/>
      <c r="T503" s="141" t="n"/>
      <c r="U503" s="129" t="n"/>
      <c r="V503" s="129" t="n"/>
      <c r="W503" s="145" t="n"/>
      <c r="X503" s="145" t="n"/>
      <c r="Y503" s="145" t="n"/>
      <c r="Z503" s="145" t="n"/>
    </row>
    <row r="504" ht="45.75" customHeight="1" s="222">
      <c r="A504" s="145" t="n"/>
      <c r="B504" s="145" t="n"/>
      <c r="C504" s="145" t="n"/>
      <c r="D504" s="145" t="n"/>
      <c r="E504" s="145" t="n"/>
      <c r="F504" s="145" t="n"/>
      <c r="G504" s="145" t="n"/>
      <c r="H504" s="145" t="n"/>
      <c r="I504" s="145" t="n"/>
      <c r="J504" s="145" t="n"/>
      <c r="K504" s="145" t="n"/>
      <c r="L504" s="145" t="n"/>
      <c r="M504" s="145" t="n"/>
      <c r="N504" s="145" t="n"/>
      <c r="O504" s="140" t="n"/>
      <c r="P504" s="140" t="n"/>
      <c r="Q504" s="140" t="n"/>
      <c r="R504" s="140" t="n"/>
      <c r="S504" s="140" t="n"/>
      <c r="T504" s="141" t="n"/>
      <c r="U504" s="129" t="n"/>
      <c r="V504" s="129" t="n"/>
      <c r="W504" s="145" t="n"/>
      <c r="X504" s="145" t="n"/>
      <c r="Y504" s="145" t="n"/>
      <c r="Z504" s="145" t="n"/>
    </row>
    <row r="505" ht="45.75" customHeight="1" s="222">
      <c r="A505" s="145" t="n"/>
      <c r="B505" s="145" t="n"/>
      <c r="C505" s="145" t="n"/>
      <c r="D505" s="145" t="n"/>
      <c r="E505" s="145" t="n"/>
      <c r="F505" s="145" t="n"/>
      <c r="G505" s="145" t="n"/>
      <c r="H505" s="145" t="n"/>
      <c r="I505" s="145" t="n"/>
      <c r="J505" s="145" t="n"/>
      <c r="K505" s="145" t="n"/>
      <c r="L505" s="145" t="n"/>
      <c r="M505" s="145" t="n"/>
      <c r="N505" s="145" t="n"/>
      <c r="O505" s="140" t="n"/>
      <c r="P505" s="140" t="n"/>
      <c r="Q505" s="140" t="n"/>
      <c r="R505" s="140" t="n"/>
      <c r="S505" s="140" t="n"/>
      <c r="T505" s="141" t="n"/>
      <c r="U505" s="129" t="n"/>
      <c r="V505" s="129" t="n"/>
      <c r="W505" s="145" t="n"/>
      <c r="X505" s="145" t="n"/>
      <c r="Y505" s="145" t="n"/>
      <c r="Z505" s="145" t="n"/>
    </row>
    <row r="506" ht="45.75" customHeight="1" s="222">
      <c r="A506" s="145" t="n"/>
      <c r="B506" s="145" t="n"/>
      <c r="C506" s="145" t="n"/>
      <c r="D506" s="145" t="n"/>
      <c r="E506" s="145" t="n"/>
      <c r="F506" s="145" t="n"/>
      <c r="G506" s="145" t="n"/>
      <c r="H506" s="145" t="n"/>
      <c r="I506" s="145" t="n"/>
      <c r="J506" s="145" t="n"/>
      <c r="K506" s="145" t="n"/>
      <c r="L506" s="145" t="n"/>
      <c r="M506" s="145" t="n"/>
      <c r="N506" s="145" t="n"/>
      <c r="O506" s="140" t="n"/>
      <c r="P506" s="140" t="n"/>
      <c r="Q506" s="140" t="n"/>
      <c r="R506" s="140" t="n"/>
      <c r="S506" s="140" t="n"/>
      <c r="T506" s="141" t="n"/>
      <c r="U506" s="129" t="n"/>
      <c r="V506" s="129" t="n"/>
      <c r="W506" s="145" t="n"/>
      <c r="X506" s="145" t="n"/>
      <c r="Y506" s="145" t="n"/>
      <c r="Z506" s="145" t="n"/>
    </row>
    <row r="507" ht="45.75" customHeight="1" s="222">
      <c r="A507" s="145" t="n"/>
      <c r="B507" s="145" t="n"/>
      <c r="C507" s="145" t="n"/>
      <c r="D507" s="145" t="n"/>
      <c r="E507" s="145" t="n"/>
      <c r="F507" s="145" t="n"/>
      <c r="G507" s="145" t="n"/>
      <c r="H507" s="145" t="n"/>
      <c r="I507" s="145" t="n"/>
      <c r="J507" s="145" t="n"/>
      <c r="K507" s="145" t="n"/>
      <c r="L507" s="145" t="n"/>
      <c r="M507" s="145" t="n"/>
      <c r="N507" s="145" t="n"/>
      <c r="O507" s="140" t="n"/>
      <c r="P507" s="140" t="n"/>
      <c r="Q507" s="140" t="n"/>
      <c r="R507" s="140" t="n"/>
      <c r="S507" s="140" t="n"/>
      <c r="T507" s="141" t="n"/>
      <c r="U507" s="129" t="n"/>
      <c r="V507" s="129" t="n"/>
      <c r="W507" s="145" t="n"/>
      <c r="X507" s="145" t="n"/>
      <c r="Y507" s="145" t="n"/>
      <c r="Z507" s="145" t="n"/>
    </row>
    <row r="508" ht="45.75" customHeight="1" s="222">
      <c r="A508" s="145" t="n"/>
      <c r="B508" s="145" t="n"/>
      <c r="C508" s="145" t="n"/>
      <c r="D508" s="145" t="n"/>
      <c r="E508" s="145" t="n"/>
      <c r="F508" s="145" t="n"/>
      <c r="G508" s="145" t="n"/>
      <c r="H508" s="145" t="n"/>
      <c r="I508" s="145" t="n"/>
      <c r="J508" s="145" t="n"/>
      <c r="K508" s="145" t="n"/>
      <c r="L508" s="145" t="n"/>
      <c r="M508" s="145" t="n"/>
      <c r="N508" s="145" t="n"/>
      <c r="O508" s="140" t="n"/>
      <c r="P508" s="140" t="n"/>
      <c r="Q508" s="140" t="n"/>
      <c r="R508" s="140" t="n"/>
      <c r="S508" s="140" t="n"/>
      <c r="T508" s="141" t="n"/>
      <c r="U508" s="129" t="n"/>
      <c r="V508" s="129" t="n"/>
      <c r="W508" s="145" t="n"/>
      <c r="X508" s="145" t="n"/>
      <c r="Y508" s="145" t="n"/>
      <c r="Z508" s="145" t="n"/>
    </row>
    <row r="509" ht="45.75" customHeight="1" s="222">
      <c r="A509" s="145" t="n"/>
      <c r="B509" s="145" t="n"/>
      <c r="C509" s="145" t="n"/>
      <c r="D509" s="145" t="n"/>
      <c r="E509" s="145" t="n"/>
      <c r="F509" s="145" t="n"/>
      <c r="G509" s="145" t="n"/>
      <c r="H509" s="145" t="n"/>
      <c r="I509" s="145" t="n"/>
      <c r="J509" s="145" t="n"/>
      <c r="K509" s="145" t="n"/>
      <c r="L509" s="145" t="n"/>
      <c r="M509" s="145" t="n"/>
      <c r="N509" s="145" t="n"/>
      <c r="O509" s="140" t="n"/>
      <c r="P509" s="140" t="n"/>
      <c r="Q509" s="140" t="n"/>
      <c r="R509" s="140" t="n"/>
      <c r="S509" s="140" t="n"/>
      <c r="T509" s="141" t="n"/>
      <c r="U509" s="129" t="n"/>
      <c r="V509" s="129" t="n"/>
      <c r="W509" s="145" t="n"/>
      <c r="X509" s="145" t="n"/>
      <c r="Y509" s="145" t="n"/>
      <c r="Z509" s="145" t="n"/>
    </row>
    <row r="510" ht="45.75" customHeight="1" s="222">
      <c r="A510" s="145" t="n"/>
      <c r="B510" s="145" t="n"/>
      <c r="C510" s="145" t="n"/>
      <c r="D510" s="145" t="n"/>
      <c r="E510" s="145" t="n"/>
      <c r="F510" s="145" t="n"/>
      <c r="G510" s="145" t="n"/>
      <c r="H510" s="145" t="n"/>
      <c r="I510" s="145" t="n"/>
      <c r="J510" s="145" t="n"/>
      <c r="K510" s="145" t="n"/>
      <c r="L510" s="145" t="n"/>
      <c r="M510" s="145" t="n"/>
      <c r="N510" s="145" t="n"/>
      <c r="O510" s="140" t="n"/>
      <c r="P510" s="140" t="n"/>
      <c r="Q510" s="140" t="n"/>
      <c r="R510" s="140" t="n"/>
      <c r="S510" s="140" t="n"/>
      <c r="T510" s="141" t="n"/>
      <c r="U510" s="129" t="n"/>
      <c r="V510" s="129" t="n"/>
      <c r="W510" s="145" t="n"/>
      <c r="X510" s="145" t="n"/>
      <c r="Y510" s="145" t="n"/>
      <c r="Z510" s="145" t="n"/>
    </row>
    <row r="511" ht="45.75" customHeight="1" s="222">
      <c r="A511" s="145" t="n"/>
      <c r="B511" s="145" t="n"/>
      <c r="C511" s="145" t="n"/>
      <c r="D511" s="145" t="n"/>
      <c r="E511" s="145" t="n"/>
      <c r="F511" s="145" t="n"/>
      <c r="G511" s="145" t="n"/>
      <c r="H511" s="145" t="n"/>
      <c r="I511" s="145" t="n"/>
      <c r="J511" s="145" t="n"/>
      <c r="K511" s="145" t="n"/>
      <c r="L511" s="145" t="n"/>
      <c r="M511" s="145" t="n"/>
      <c r="N511" s="145" t="n"/>
      <c r="O511" s="140" t="n"/>
      <c r="P511" s="140" t="n"/>
      <c r="Q511" s="140" t="n"/>
      <c r="R511" s="140" t="n"/>
      <c r="S511" s="140" t="n"/>
      <c r="T511" s="141" t="n"/>
      <c r="U511" s="129" t="n"/>
      <c r="V511" s="129" t="n"/>
      <c r="W511" s="145" t="n"/>
      <c r="X511" s="145" t="n"/>
      <c r="Y511" s="145" t="n"/>
      <c r="Z511" s="145" t="n"/>
    </row>
    <row r="512" ht="45.75" customHeight="1" s="222">
      <c r="A512" s="145" t="n"/>
      <c r="B512" s="145" t="n"/>
      <c r="C512" s="145" t="n"/>
      <c r="D512" s="145" t="n"/>
      <c r="E512" s="145" t="n"/>
      <c r="F512" s="145" t="n"/>
      <c r="G512" s="145" t="n"/>
      <c r="H512" s="145" t="n"/>
      <c r="I512" s="145" t="n"/>
      <c r="J512" s="145" t="n"/>
      <c r="K512" s="145" t="n"/>
      <c r="L512" s="145" t="n"/>
      <c r="M512" s="145" t="n"/>
      <c r="N512" s="145" t="n"/>
      <c r="O512" s="140" t="n"/>
      <c r="P512" s="140" t="n"/>
      <c r="Q512" s="140" t="n"/>
      <c r="R512" s="140" t="n"/>
      <c r="S512" s="140" t="n"/>
      <c r="T512" s="141" t="n"/>
      <c r="U512" s="129" t="n"/>
      <c r="V512" s="129" t="n"/>
      <c r="W512" s="145" t="n"/>
      <c r="X512" s="145" t="n"/>
      <c r="Y512" s="145" t="n"/>
      <c r="Z512" s="145" t="n"/>
    </row>
    <row r="513" ht="45.75" customHeight="1" s="222">
      <c r="A513" s="145" t="n"/>
      <c r="B513" s="145" t="n"/>
      <c r="C513" s="145" t="n"/>
      <c r="D513" s="145" t="n"/>
      <c r="E513" s="145" t="n"/>
      <c r="F513" s="145" t="n"/>
      <c r="G513" s="145" t="n"/>
      <c r="H513" s="145" t="n"/>
      <c r="I513" s="145" t="n"/>
      <c r="J513" s="145" t="n"/>
      <c r="K513" s="145" t="n"/>
      <c r="L513" s="145" t="n"/>
      <c r="M513" s="145" t="n"/>
      <c r="N513" s="145" t="n"/>
      <c r="O513" s="140" t="n"/>
      <c r="P513" s="140" t="n"/>
      <c r="Q513" s="140" t="n"/>
      <c r="R513" s="140" t="n"/>
      <c r="S513" s="140" t="n"/>
      <c r="T513" s="141" t="n"/>
      <c r="U513" s="129" t="n"/>
      <c r="V513" s="129" t="n"/>
      <c r="W513" s="145" t="n"/>
      <c r="X513" s="145" t="n"/>
      <c r="Y513" s="145" t="n"/>
      <c r="Z513" s="145" t="n"/>
    </row>
    <row r="514" ht="45.75" customHeight="1" s="222">
      <c r="A514" s="145" t="n"/>
      <c r="B514" s="145" t="n"/>
      <c r="C514" s="145" t="n"/>
      <c r="D514" s="145" t="n"/>
      <c r="E514" s="145" t="n"/>
      <c r="F514" s="145" t="n"/>
      <c r="G514" s="145" t="n"/>
      <c r="H514" s="145" t="n"/>
      <c r="I514" s="145" t="n"/>
      <c r="J514" s="145" t="n"/>
      <c r="K514" s="145" t="n"/>
      <c r="L514" s="145" t="n"/>
      <c r="M514" s="145" t="n"/>
      <c r="N514" s="145" t="n"/>
      <c r="O514" s="140" t="n"/>
      <c r="P514" s="140" t="n"/>
      <c r="Q514" s="140" t="n"/>
      <c r="R514" s="140" t="n"/>
      <c r="S514" s="140" t="n"/>
      <c r="T514" s="141" t="n"/>
      <c r="U514" s="129" t="n"/>
      <c r="V514" s="129" t="n"/>
      <c r="W514" s="145" t="n"/>
      <c r="X514" s="145" t="n"/>
      <c r="Y514" s="145" t="n"/>
      <c r="Z514" s="145" t="n"/>
    </row>
    <row r="515" ht="45.75" customHeight="1" s="222">
      <c r="A515" s="145" t="n"/>
      <c r="B515" s="145" t="n"/>
      <c r="C515" s="145" t="n"/>
      <c r="D515" s="145" t="n"/>
      <c r="E515" s="145" t="n"/>
      <c r="F515" s="145" t="n"/>
      <c r="G515" s="145" t="n"/>
      <c r="H515" s="145" t="n"/>
      <c r="I515" s="145" t="n"/>
      <c r="J515" s="145" t="n"/>
      <c r="K515" s="145" t="n"/>
      <c r="L515" s="145" t="n"/>
      <c r="M515" s="145" t="n"/>
      <c r="N515" s="145" t="n"/>
      <c r="O515" s="140" t="n"/>
      <c r="P515" s="140" t="n"/>
      <c r="Q515" s="140" t="n"/>
      <c r="R515" s="140" t="n"/>
      <c r="S515" s="140" t="n"/>
      <c r="T515" s="141" t="n"/>
      <c r="U515" s="129" t="n"/>
      <c r="V515" s="129" t="n"/>
      <c r="W515" s="145" t="n"/>
      <c r="X515" s="145" t="n"/>
      <c r="Y515" s="145" t="n"/>
      <c r="Z515" s="145" t="n"/>
    </row>
    <row r="516" ht="45.75" customHeight="1" s="222">
      <c r="A516" s="145" t="n"/>
      <c r="B516" s="145" t="n"/>
      <c r="C516" s="145" t="n"/>
      <c r="D516" s="145" t="n"/>
      <c r="E516" s="145" t="n"/>
      <c r="F516" s="145" t="n"/>
      <c r="G516" s="145" t="n"/>
      <c r="H516" s="145" t="n"/>
      <c r="I516" s="145" t="n"/>
      <c r="J516" s="145" t="n"/>
      <c r="K516" s="145" t="n"/>
      <c r="L516" s="145" t="n"/>
      <c r="M516" s="145" t="n"/>
      <c r="N516" s="145" t="n"/>
      <c r="O516" s="140" t="n"/>
      <c r="P516" s="140" t="n"/>
      <c r="Q516" s="140" t="n"/>
      <c r="R516" s="140" t="n"/>
      <c r="S516" s="140" t="n"/>
      <c r="T516" s="141" t="n"/>
      <c r="U516" s="129" t="n"/>
      <c r="V516" s="129" t="n"/>
      <c r="W516" s="145" t="n"/>
      <c r="X516" s="145" t="n"/>
      <c r="Y516" s="145" t="n"/>
      <c r="Z516" s="145" t="n"/>
    </row>
    <row r="517" ht="45.75" customHeight="1" s="222">
      <c r="A517" s="145" t="n"/>
      <c r="B517" s="145" t="n"/>
      <c r="C517" s="145" t="n"/>
      <c r="D517" s="145" t="n"/>
      <c r="E517" s="145" t="n"/>
      <c r="F517" s="145" t="n"/>
      <c r="G517" s="145" t="n"/>
      <c r="H517" s="145" t="n"/>
      <c r="I517" s="145" t="n"/>
      <c r="J517" s="145" t="n"/>
      <c r="K517" s="145" t="n"/>
      <c r="L517" s="145" t="n"/>
      <c r="M517" s="145" t="n"/>
      <c r="N517" s="145" t="n"/>
      <c r="O517" s="140" t="n"/>
      <c r="P517" s="140" t="n"/>
      <c r="Q517" s="140" t="n"/>
      <c r="R517" s="140" t="n"/>
      <c r="S517" s="140" t="n"/>
      <c r="T517" s="141" t="n"/>
      <c r="U517" s="129" t="n"/>
      <c r="V517" s="129" t="n"/>
      <c r="W517" s="145" t="n"/>
      <c r="X517" s="145" t="n"/>
      <c r="Y517" s="145" t="n"/>
      <c r="Z517" s="145" t="n"/>
    </row>
    <row r="518" ht="45.75" customHeight="1" s="222">
      <c r="A518" s="145" t="n"/>
      <c r="B518" s="145" t="n"/>
      <c r="C518" s="145" t="n"/>
      <c r="D518" s="145" t="n"/>
      <c r="E518" s="145" t="n"/>
      <c r="F518" s="145" t="n"/>
      <c r="G518" s="145" t="n"/>
      <c r="H518" s="145" t="n"/>
      <c r="I518" s="145" t="n"/>
      <c r="J518" s="145" t="n"/>
      <c r="K518" s="145" t="n"/>
      <c r="L518" s="145" t="n"/>
      <c r="M518" s="145" t="n"/>
      <c r="N518" s="145" t="n"/>
      <c r="O518" s="140" t="n"/>
      <c r="P518" s="140" t="n"/>
      <c r="Q518" s="140" t="n"/>
      <c r="R518" s="140" t="n"/>
      <c r="S518" s="140" t="n"/>
      <c r="T518" s="141" t="n"/>
      <c r="U518" s="129" t="n"/>
      <c r="V518" s="129" t="n"/>
      <c r="W518" s="145" t="n"/>
      <c r="X518" s="145" t="n"/>
      <c r="Y518" s="145" t="n"/>
      <c r="Z518" s="145" t="n"/>
    </row>
    <row r="519" ht="45.75" customHeight="1" s="222">
      <c r="A519" s="145" t="n"/>
      <c r="B519" s="145" t="n"/>
      <c r="C519" s="145" t="n"/>
      <c r="D519" s="145" t="n"/>
      <c r="E519" s="145" t="n"/>
      <c r="F519" s="145" t="n"/>
      <c r="G519" s="145" t="n"/>
      <c r="H519" s="145" t="n"/>
      <c r="I519" s="145" t="n"/>
      <c r="J519" s="145" t="n"/>
      <c r="K519" s="145" t="n"/>
      <c r="L519" s="145" t="n"/>
      <c r="M519" s="145" t="n"/>
      <c r="N519" s="145" t="n"/>
      <c r="O519" s="140" t="n"/>
      <c r="P519" s="140" t="n"/>
      <c r="Q519" s="140" t="n"/>
      <c r="R519" s="140" t="n"/>
      <c r="S519" s="140" t="n"/>
      <c r="T519" s="141" t="n"/>
      <c r="U519" s="129" t="n"/>
      <c r="V519" s="129" t="n"/>
      <c r="W519" s="145" t="n"/>
      <c r="X519" s="145" t="n"/>
      <c r="Y519" s="145" t="n"/>
      <c r="Z519" s="145" t="n"/>
    </row>
    <row r="520" ht="45.75" customHeight="1" s="222">
      <c r="A520" s="145" t="n"/>
      <c r="B520" s="145" t="n"/>
      <c r="C520" s="145" t="n"/>
      <c r="D520" s="145" t="n"/>
      <c r="E520" s="145" t="n"/>
      <c r="F520" s="145" t="n"/>
      <c r="G520" s="145" t="n"/>
      <c r="H520" s="145" t="n"/>
      <c r="I520" s="145" t="n"/>
      <c r="J520" s="145" t="n"/>
      <c r="K520" s="145" t="n"/>
      <c r="L520" s="145" t="n"/>
      <c r="M520" s="145" t="n"/>
      <c r="N520" s="145" t="n"/>
      <c r="O520" s="140" t="n"/>
      <c r="P520" s="140" t="n"/>
      <c r="Q520" s="140" t="n"/>
      <c r="R520" s="140" t="n"/>
      <c r="S520" s="140" t="n"/>
      <c r="T520" s="141" t="n"/>
      <c r="U520" s="129" t="n"/>
      <c r="V520" s="129" t="n"/>
      <c r="W520" s="145" t="n"/>
      <c r="X520" s="145" t="n"/>
      <c r="Y520" s="145" t="n"/>
      <c r="Z520" s="145" t="n"/>
    </row>
    <row r="521" ht="45.75" customHeight="1" s="222">
      <c r="A521" s="145" t="n"/>
      <c r="B521" s="145" t="n"/>
      <c r="C521" s="145" t="n"/>
      <c r="D521" s="145" t="n"/>
      <c r="E521" s="145" t="n"/>
      <c r="F521" s="145" t="n"/>
      <c r="G521" s="145" t="n"/>
      <c r="H521" s="145" t="n"/>
      <c r="I521" s="145" t="n"/>
      <c r="J521" s="145" t="n"/>
      <c r="K521" s="145" t="n"/>
      <c r="L521" s="145" t="n"/>
      <c r="M521" s="145" t="n"/>
      <c r="N521" s="145" t="n"/>
      <c r="O521" s="140" t="n"/>
      <c r="P521" s="140" t="n"/>
      <c r="Q521" s="140" t="n"/>
      <c r="R521" s="140" t="n"/>
      <c r="S521" s="140" t="n"/>
      <c r="T521" s="141" t="n"/>
      <c r="U521" s="129" t="n"/>
      <c r="V521" s="129" t="n"/>
      <c r="W521" s="145" t="n"/>
      <c r="X521" s="145" t="n"/>
      <c r="Y521" s="145" t="n"/>
      <c r="Z521" s="145" t="n"/>
    </row>
    <row r="522" ht="45.75" customHeight="1" s="222">
      <c r="A522" s="145" t="n"/>
      <c r="B522" s="145" t="n"/>
      <c r="C522" s="145" t="n"/>
      <c r="D522" s="145" t="n"/>
      <c r="E522" s="145" t="n"/>
      <c r="F522" s="145" t="n"/>
      <c r="G522" s="145" t="n"/>
      <c r="H522" s="145" t="n"/>
      <c r="I522" s="145" t="n"/>
      <c r="J522" s="145" t="n"/>
      <c r="K522" s="145" t="n"/>
      <c r="L522" s="145" t="n"/>
      <c r="M522" s="145" t="n"/>
      <c r="N522" s="145" t="n"/>
      <c r="O522" s="140" t="n"/>
      <c r="P522" s="140" t="n"/>
      <c r="Q522" s="140" t="n"/>
      <c r="R522" s="140" t="n"/>
      <c r="S522" s="140" t="n"/>
      <c r="T522" s="141" t="n"/>
      <c r="U522" s="129" t="n"/>
      <c r="V522" s="129" t="n"/>
      <c r="W522" s="145" t="n"/>
      <c r="X522" s="145" t="n"/>
      <c r="Y522" s="145" t="n"/>
      <c r="Z522" s="145" t="n"/>
    </row>
    <row r="523" ht="45.75" customHeight="1" s="222">
      <c r="A523" s="145" t="n"/>
      <c r="B523" s="145" t="n"/>
      <c r="C523" s="145" t="n"/>
      <c r="D523" s="145" t="n"/>
      <c r="E523" s="145" t="n"/>
      <c r="F523" s="145" t="n"/>
      <c r="G523" s="145" t="n"/>
      <c r="H523" s="145" t="n"/>
      <c r="I523" s="145" t="n"/>
      <c r="J523" s="145" t="n"/>
      <c r="K523" s="145" t="n"/>
      <c r="L523" s="145" t="n"/>
      <c r="M523" s="145" t="n"/>
      <c r="N523" s="145" t="n"/>
      <c r="O523" s="140" t="n"/>
      <c r="P523" s="140" t="n"/>
      <c r="Q523" s="140" t="n"/>
      <c r="R523" s="140" t="n"/>
      <c r="S523" s="140" t="n"/>
      <c r="T523" s="141" t="n"/>
      <c r="U523" s="129" t="n"/>
      <c r="V523" s="129" t="n"/>
      <c r="W523" s="145" t="n"/>
      <c r="X523" s="145" t="n"/>
      <c r="Y523" s="145" t="n"/>
      <c r="Z523" s="145" t="n"/>
    </row>
    <row r="524" ht="45.75" customHeight="1" s="222">
      <c r="A524" s="145" t="n"/>
      <c r="B524" s="145" t="n"/>
      <c r="C524" s="145" t="n"/>
      <c r="D524" s="145" t="n"/>
      <c r="E524" s="145" t="n"/>
      <c r="F524" s="145" t="n"/>
      <c r="G524" s="145" t="n"/>
      <c r="H524" s="145" t="n"/>
      <c r="I524" s="145" t="n"/>
      <c r="J524" s="145" t="n"/>
      <c r="K524" s="145" t="n"/>
      <c r="L524" s="145" t="n"/>
      <c r="M524" s="145" t="n"/>
      <c r="N524" s="145" t="n"/>
      <c r="O524" s="140" t="n"/>
      <c r="P524" s="140" t="n"/>
      <c r="Q524" s="140" t="n"/>
      <c r="R524" s="140" t="n"/>
      <c r="S524" s="140" t="n"/>
      <c r="T524" s="141" t="n"/>
      <c r="U524" s="129" t="n"/>
      <c r="V524" s="129" t="n"/>
      <c r="W524" s="145" t="n"/>
      <c r="X524" s="145" t="n"/>
      <c r="Y524" s="145" t="n"/>
      <c r="Z524" s="145" t="n"/>
    </row>
    <row r="525" ht="45.75" customHeight="1" s="222">
      <c r="A525" s="145" t="n"/>
      <c r="B525" s="145" t="n"/>
      <c r="C525" s="145" t="n"/>
      <c r="D525" s="145" t="n"/>
      <c r="E525" s="145" t="n"/>
      <c r="F525" s="145" t="n"/>
      <c r="G525" s="145" t="n"/>
      <c r="H525" s="145" t="n"/>
      <c r="I525" s="145" t="n"/>
      <c r="J525" s="145" t="n"/>
      <c r="K525" s="145" t="n"/>
      <c r="L525" s="145" t="n"/>
      <c r="M525" s="145" t="n"/>
      <c r="N525" s="145" t="n"/>
      <c r="O525" s="140" t="n"/>
      <c r="P525" s="140" t="n"/>
      <c r="Q525" s="140" t="n"/>
      <c r="R525" s="140" t="n"/>
      <c r="S525" s="140" t="n"/>
      <c r="T525" s="141" t="n"/>
      <c r="U525" s="129" t="n"/>
      <c r="V525" s="129" t="n"/>
      <c r="W525" s="145" t="n"/>
      <c r="X525" s="145" t="n"/>
      <c r="Y525" s="145" t="n"/>
      <c r="Z525" s="145" t="n"/>
    </row>
    <row r="526" ht="45.75" customHeight="1" s="222">
      <c r="A526" s="145" t="n"/>
      <c r="B526" s="145" t="n"/>
      <c r="C526" s="145" t="n"/>
      <c r="D526" s="145" t="n"/>
      <c r="E526" s="145" t="n"/>
      <c r="F526" s="145" t="n"/>
      <c r="G526" s="145" t="n"/>
      <c r="H526" s="145" t="n"/>
      <c r="I526" s="145" t="n"/>
      <c r="J526" s="145" t="n"/>
      <c r="K526" s="145" t="n"/>
      <c r="L526" s="145" t="n"/>
      <c r="M526" s="145" t="n"/>
      <c r="N526" s="145" t="n"/>
      <c r="O526" s="140" t="n"/>
      <c r="P526" s="140" t="n"/>
      <c r="Q526" s="140" t="n"/>
      <c r="R526" s="140" t="n"/>
      <c r="S526" s="140" t="n"/>
      <c r="T526" s="141" t="n"/>
      <c r="U526" s="129" t="n"/>
      <c r="V526" s="129" t="n"/>
      <c r="W526" s="145" t="n"/>
      <c r="X526" s="145" t="n"/>
      <c r="Y526" s="145" t="n"/>
      <c r="Z526" s="145" t="n"/>
    </row>
    <row r="527" ht="45.75" customHeight="1" s="222">
      <c r="A527" s="145" t="n"/>
      <c r="B527" s="145" t="n"/>
      <c r="C527" s="145" t="n"/>
      <c r="D527" s="145" t="n"/>
      <c r="E527" s="145" t="n"/>
      <c r="F527" s="145" t="n"/>
      <c r="G527" s="145" t="n"/>
      <c r="H527" s="145" t="n"/>
      <c r="I527" s="145" t="n"/>
      <c r="J527" s="145" t="n"/>
      <c r="K527" s="145" t="n"/>
      <c r="L527" s="145" t="n"/>
      <c r="M527" s="145" t="n"/>
      <c r="N527" s="145" t="n"/>
      <c r="O527" s="140" t="n"/>
      <c r="P527" s="140" t="n"/>
      <c r="Q527" s="140" t="n"/>
      <c r="R527" s="140" t="n"/>
      <c r="S527" s="140" t="n"/>
      <c r="T527" s="141" t="n"/>
      <c r="U527" s="129" t="n"/>
      <c r="V527" s="129" t="n"/>
      <c r="W527" s="145" t="n"/>
      <c r="X527" s="145" t="n"/>
      <c r="Y527" s="145" t="n"/>
      <c r="Z527" s="145" t="n"/>
    </row>
    <row r="528" ht="45.75" customHeight="1" s="222">
      <c r="A528" s="145" t="n"/>
      <c r="B528" s="145" t="n"/>
      <c r="C528" s="145" t="n"/>
      <c r="D528" s="145" t="n"/>
      <c r="E528" s="145" t="n"/>
      <c r="F528" s="145" t="n"/>
      <c r="G528" s="145" t="n"/>
      <c r="H528" s="145" t="n"/>
      <c r="I528" s="145" t="n"/>
      <c r="J528" s="145" t="n"/>
      <c r="K528" s="145" t="n"/>
      <c r="L528" s="145" t="n"/>
      <c r="M528" s="145" t="n"/>
      <c r="N528" s="145" t="n"/>
      <c r="O528" s="140" t="n"/>
      <c r="P528" s="140" t="n"/>
      <c r="Q528" s="140" t="n"/>
      <c r="R528" s="140" t="n"/>
      <c r="S528" s="140" t="n"/>
      <c r="T528" s="141" t="n"/>
      <c r="U528" s="129" t="n"/>
      <c r="V528" s="129" t="n"/>
      <c r="W528" s="145" t="n"/>
      <c r="X528" s="145" t="n"/>
      <c r="Y528" s="145" t="n"/>
      <c r="Z528" s="145" t="n"/>
    </row>
    <row r="529" ht="45.75" customHeight="1" s="222">
      <c r="A529" s="145" t="n"/>
      <c r="B529" s="145" t="n"/>
      <c r="C529" s="145" t="n"/>
      <c r="D529" s="145" t="n"/>
      <c r="E529" s="145" t="n"/>
      <c r="F529" s="145" t="n"/>
      <c r="G529" s="145" t="n"/>
      <c r="H529" s="145" t="n"/>
      <c r="I529" s="145" t="n"/>
      <c r="J529" s="145" t="n"/>
      <c r="K529" s="145" t="n"/>
      <c r="L529" s="145" t="n"/>
      <c r="M529" s="145" t="n"/>
      <c r="N529" s="145" t="n"/>
      <c r="O529" s="140" t="n"/>
      <c r="P529" s="140" t="n"/>
      <c r="Q529" s="140" t="n"/>
      <c r="R529" s="140" t="n"/>
      <c r="S529" s="140" t="n"/>
      <c r="T529" s="141" t="n"/>
      <c r="U529" s="129" t="n"/>
      <c r="V529" s="129" t="n"/>
      <c r="W529" s="145" t="n"/>
      <c r="X529" s="145" t="n"/>
      <c r="Y529" s="145" t="n"/>
      <c r="Z529" s="145" t="n"/>
    </row>
    <row r="530" ht="45.75" customHeight="1" s="222">
      <c r="A530" s="145" t="n"/>
      <c r="B530" s="145" t="n"/>
      <c r="C530" s="145" t="n"/>
      <c r="D530" s="145" t="n"/>
      <c r="E530" s="145" t="n"/>
      <c r="F530" s="145" t="n"/>
      <c r="G530" s="145" t="n"/>
      <c r="H530" s="145" t="n"/>
      <c r="I530" s="145" t="n"/>
      <c r="J530" s="145" t="n"/>
      <c r="K530" s="145" t="n"/>
      <c r="L530" s="145" t="n"/>
      <c r="M530" s="145" t="n"/>
      <c r="N530" s="145" t="n"/>
      <c r="O530" s="140" t="n"/>
      <c r="P530" s="140" t="n"/>
      <c r="Q530" s="140" t="n"/>
      <c r="R530" s="140" t="n"/>
      <c r="S530" s="140" t="n"/>
      <c r="T530" s="141" t="n"/>
      <c r="U530" s="129" t="n"/>
      <c r="V530" s="129" t="n"/>
      <c r="W530" s="145" t="n"/>
      <c r="X530" s="145" t="n"/>
      <c r="Y530" s="145" t="n"/>
      <c r="Z530" s="145" t="n"/>
    </row>
    <row r="531" ht="45.75" customHeight="1" s="222">
      <c r="A531" s="145" t="n"/>
      <c r="B531" s="145" t="n"/>
      <c r="C531" s="145" t="n"/>
      <c r="D531" s="145" t="n"/>
      <c r="E531" s="145" t="n"/>
      <c r="F531" s="145" t="n"/>
      <c r="G531" s="145" t="n"/>
      <c r="H531" s="145" t="n"/>
      <c r="I531" s="145" t="n"/>
      <c r="J531" s="145" t="n"/>
      <c r="K531" s="145" t="n"/>
      <c r="L531" s="145" t="n"/>
      <c r="M531" s="145" t="n"/>
      <c r="N531" s="145" t="n"/>
      <c r="O531" s="140" t="n"/>
      <c r="P531" s="140" t="n"/>
      <c r="Q531" s="140" t="n"/>
      <c r="R531" s="140" t="n"/>
      <c r="S531" s="140" t="n"/>
      <c r="T531" s="141" t="n"/>
      <c r="U531" s="129" t="n"/>
      <c r="V531" s="129" t="n"/>
      <c r="W531" s="145" t="n"/>
      <c r="X531" s="145" t="n"/>
      <c r="Y531" s="145" t="n"/>
      <c r="Z531" s="145" t="n"/>
    </row>
    <row r="532" ht="45.75" customHeight="1" s="222">
      <c r="A532" s="145" t="n"/>
      <c r="B532" s="145" t="n"/>
      <c r="C532" s="145" t="n"/>
      <c r="D532" s="145" t="n"/>
      <c r="E532" s="145" t="n"/>
      <c r="F532" s="145" t="n"/>
      <c r="G532" s="145" t="n"/>
      <c r="H532" s="145" t="n"/>
      <c r="I532" s="145" t="n"/>
      <c r="J532" s="145" t="n"/>
      <c r="K532" s="145" t="n"/>
      <c r="L532" s="145" t="n"/>
      <c r="M532" s="145" t="n"/>
      <c r="N532" s="145" t="n"/>
      <c r="O532" s="140" t="n"/>
      <c r="P532" s="140" t="n"/>
      <c r="Q532" s="140" t="n"/>
      <c r="R532" s="140" t="n"/>
      <c r="S532" s="140" t="n"/>
      <c r="T532" s="141" t="n"/>
      <c r="U532" s="129" t="n"/>
      <c r="V532" s="129" t="n"/>
      <c r="W532" s="145" t="n"/>
      <c r="X532" s="145" t="n"/>
      <c r="Y532" s="145" t="n"/>
      <c r="Z532" s="145" t="n"/>
    </row>
    <row r="533" ht="45.75" customHeight="1" s="222">
      <c r="A533" s="145" t="n"/>
      <c r="B533" s="145" t="n"/>
      <c r="C533" s="145" t="n"/>
      <c r="D533" s="145" t="n"/>
      <c r="E533" s="145" t="n"/>
      <c r="F533" s="145" t="n"/>
      <c r="G533" s="145" t="n"/>
      <c r="H533" s="145" t="n"/>
      <c r="I533" s="145" t="n"/>
      <c r="J533" s="145" t="n"/>
      <c r="K533" s="145" t="n"/>
      <c r="L533" s="145" t="n"/>
      <c r="M533" s="145" t="n"/>
      <c r="N533" s="145" t="n"/>
      <c r="O533" s="140" t="n"/>
      <c r="P533" s="140" t="n"/>
      <c r="Q533" s="140" t="n"/>
      <c r="R533" s="140" t="n"/>
      <c r="S533" s="140" t="n"/>
      <c r="T533" s="141" t="n"/>
      <c r="U533" s="129" t="n"/>
      <c r="V533" s="129" t="n"/>
      <c r="W533" s="145" t="n"/>
      <c r="X533" s="145" t="n"/>
      <c r="Y533" s="145" t="n"/>
      <c r="Z533" s="145" t="n"/>
    </row>
    <row r="534" ht="45.75" customHeight="1" s="222">
      <c r="A534" s="145" t="n"/>
      <c r="B534" s="145" t="n"/>
      <c r="C534" s="145" t="n"/>
      <c r="D534" s="145" t="n"/>
      <c r="E534" s="145" t="n"/>
      <c r="F534" s="145" t="n"/>
      <c r="G534" s="145" t="n"/>
      <c r="H534" s="145" t="n"/>
      <c r="I534" s="145" t="n"/>
      <c r="J534" s="145" t="n"/>
      <c r="K534" s="145" t="n"/>
      <c r="L534" s="145" t="n"/>
      <c r="M534" s="145" t="n"/>
      <c r="N534" s="145" t="n"/>
      <c r="O534" s="140" t="n"/>
      <c r="P534" s="140" t="n"/>
      <c r="Q534" s="140" t="n"/>
      <c r="R534" s="140" t="n"/>
      <c r="S534" s="140" t="n"/>
      <c r="T534" s="141" t="n"/>
      <c r="U534" s="129" t="n"/>
      <c r="V534" s="129" t="n"/>
      <c r="W534" s="145" t="n"/>
      <c r="X534" s="145" t="n"/>
      <c r="Y534" s="145" t="n"/>
      <c r="Z534" s="145" t="n"/>
    </row>
    <row r="535" ht="45.75" customHeight="1" s="222">
      <c r="A535" s="145" t="n"/>
      <c r="B535" s="145" t="n"/>
      <c r="C535" s="145" t="n"/>
      <c r="D535" s="145" t="n"/>
      <c r="E535" s="145" t="n"/>
      <c r="F535" s="145" t="n"/>
      <c r="G535" s="145" t="n"/>
      <c r="H535" s="145" t="n"/>
      <c r="I535" s="145" t="n"/>
      <c r="J535" s="145" t="n"/>
      <c r="K535" s="145" t="n"/>
      <c r="L535" s="145" t="n"/>
      <c r="M535" s="145" t="n"/>
      <c r="N535" s="145" t="n"/>
      <c r="O535" s="140" t="n"/>
      <c r="P535" s="140" t="n"/>
      <c r="Q535" s="140" t="n"/>
      <c r="R535" s="140" t="n"/>
      <c r="S535" s="140" t="n"/>
      <c r="T535" s="141" t="n"/>
      <c r="U535" s="129" t="n"/>
      <c r="V535" s="129" t="n"/>
      <c r="W535" s="145" t="n"/>
      <c r="X535" s="145" t="n"/>
      <c r="Y535" s="145" t="n"/>
      <c r="Z535" s="145" t="n"/>
    </row>
    <row r="536" ht="45.75" customHeight="1" s="222">
      <c r="A536" s="145" t="n"/>
      <c r="B536" s="145" t="n"/>
      <c r="C536" s="145" t="n"/>
      <c r="D536" s="145" t="n"/>
      <c r="E536" s="145" t="n"/>
      <c r="F536" s="145" t="n"/>
      <c r="G536" s="145" t="n"/>
      <c r="H536" s="145" t="n"/>
      <c r="I536" s="145" t="n"/>
      <c r="J536" s="145" t="n"/>
      <c r="K536" s="145" t="n"/>
      <c r="L536" s="145" t="n"/>
      <c r="M536" s="145" t="n"/>
      <c r="N536" s="145" t="n"/>
      <c r="O536" s="140" t="n"/>
      <c r="P536" s="140" t="n"/>
      <c r="Q536" s="140" t="n"/>
      <c r="R536" s="140" t="n"/>
      <c r="S536" s="140" t="n"/>
      <c r="T536" s="141" t="n"/>
      <c r="U536" s="129" t="n"/>
      <c r="V536" s="129" t="n"/>
      <c r="W536" s="145" t="n"/>
      <c r="X536" s="145" t="n"/>
      <c r="Y536" s="145" t="n"/>
      <c r="Z536" s="145" t="n"/>
    </row>
    <row r="537" ht="45.75" customHeight="1" s="222">
      <c r="A537" s="145" t="n"/>
      <c r="B537" s="145" t="n"/>
      <c r="C537" s="145" t="n"/>
      <c r="D537" s="145" t="n"/>
      <c r="E537" s="145" t="n"/>
      <c r="F537" s="145" t="n"/>
      <c r="G537" s="145" t="n"/>
      <c r="H537" s="145" t="n"/>
      <c r="I537" s="145" t="n"/>
      <c r="J537" s="145" t="n"/>
      <c r="K537" s="145" t="n"/>
      <c r="L537" s="145" t="n"/>
      <c r="M537" s="145" t="n"/>
      <c r="N537" s="145" t="n"/>
      <c r="O537" s="140" t="n"/>
      <c r="P537" s="140" t="n"/>
      <c r="Q537" s="140" t="n"/>
      <c r="R537" s="140" t="n"/>
      <c r="S537" s="140" t="n"/>
      <c r="T537" s="141" t="n"/>
      <c r="U537" s="129" t="n"/>
      <c r="V537" s="129" t="n"/>
      <c r="W537" s="145" t="n"/>
      <c r="X537" s="145" t="n"/>
      <c r="Y537" s="145" t="n"/>
      <c r="Z537" s="145" t="n"/>
    </row>
    <row r="538" ht="45.75" customHeight="1" s="222">
      <c r="A538" s="145" t="n"/>
      <c r="B538" s="145" t="n"/>
      <c r="C538" s="145" t="n"/>
      <c r="D538" s="145" t="n"/>
      <c r="E538" s="145" t="n"/>
      <c r="F538" s="145" t="n"/>
      <c r="G538" s="145" t="n"/>
      <c r="H538" s="145" t="n"/>
      <c r="I538" s="145" t="n"/>
      <c r="J538" s="145" t="n"/>
      <c r="K538" s="145" t="n"/>
      <c r="L538" s="145" t="n"/>
      <c r="M538" s="145" t="n"/>
      <c r="N538" s="145" t="n"/>
      <c r="O538" s="140" t="n"/>
      <c r="P538" s="140" t="n"/>
      <c r="Q538" s="140" t="n"/>
      <c r="R538" s="140" t="n"/>
      <c r="S538" s="140" t="n"/>
      <c r="T538" s="141" t="n"/>
      <c r="U538" s="129" t="n"/>
      <c r="V538" s="129" t="n"/>
      <c r="W538" s="145" t="n"/>
      <c r="X538" s="145" t="n"/>
      <c r="Y538" s="145" t="n"/>
      <c r="Z538" s="145" t="n"/>
    </row>
    <row r="539" ht="45.75" customHeight="1" s="222">
      <c r="A539" s="145" t="n"/>
      <c r="B539" s="145" t="n"/>
      <c r="C539" s="145" t="n"/>
      <c r="D539" s="145" t="n"/>
      <c r="E539" s="145" t="n"/>
      <c r="F539" s="145" t="n"/>
      <c r="G539" s="145" t="n"/>
      <c r="H539" s="145" t="n"/>
      <c r="I539" s="145" t="n"/>
      <c r="J539" s="145" t="n"/>
      <c r="K539" s="145" t="n"/>
      <c r="L539" s="145" t="n"/>
      <c r="M539" s="145" t="n"/>
      <c r="N539" s="145" t="n"/>
      <c r="O539" s="140" t="n"/>
      <c r="P539" s="140" t="n"/>
      <c r="Q539" s="140" t="n"/>
      <c r="R539" s="140" t="n"/>
      <c r="S539" s="140" t="n"/>
      <c r="T539" s="141" t="n"/>
      <c r="U539" s="129" t="n"/>
      <c r="V539" s="129" t="n"/>
      <c r="W539" s="145" t="n"/>
      <c r="X539" s="145" t="n"/>
      <c r="Y539" s="145" t="n"/>
      <c r="Z539" s="145" t="n"/>
    </row>
    <row r="540" ht="45.75" customHeight="1" s="222">
      <c r="A540" s="145" t="n"/>
      <c r="B540" s="145" t="n"/>
      <c r="C540" s="145" t="n"/>
      <c r="D540" s="145" t="n"/>
      <c r="E540" s="145" t="n"/>
      <c r="F540" s="145" t="n"/>
      <c r="G540" s="145" t="n"/>
      <c r="H540" s="145" t="n"/>
      <c r="I540" s="145" t="n"/>
      <c r="J540" s="145" t="n"/>
      <c r="K540" s="145" t="n"/>
      <c r="L540" s="145" t="n"/>
      <c r="M540" s="145" t="n"/>
      <c r="N540" s="145" t="n"/>
      <c r="O540" s="140" t="n"/>
      <c r="P540" s="140" t="n"/>
      <c r="Q540" s="140" t="n"/>
      <c r="R540" s="140" t="n"/>
      <c r="S540" s="140" t="n"/>
      <c r="T540" s="141" t="n"/>
      <c r="U540" s="129" t="n"/>
      <c r="V540" s="129" t="n"/>
      <c r="W540" s="145" t="n"/>
      <c r="X540" s="145" t="n"/>
      <c r="Y540" s="145" t="n"/>
      <c r="Z540" s="145" t="n"/>
    </row>
    <row r="541" ht="45.75" customHeight="1" s="222">
      <c r="A541" s="145" t="n"/>
      <c r="B541" s="145" t="n"/>
      <c r="C541" s="145" t="n"/>
      <c r="D541" s="145" t="n"/>
      <c r="E541" s="145" t="n"/>
      <c r="F541" s="145" t="n"/>
      <c r="G541" s="145" t="n"/>
      <c r="H541" s="145" t="n"/>
      <c r="I541" s="145" t="n"/>
      <c r="J541" s="145" t="n"/>
      <c r="K541" s="145" t="n"/>
      <c r="L541" s="145" t="n"/>
      <c r="M541" s="145" t="n"/>
      <c r="N541" s="145" t="n"/>
      <c r="O541" s="140" t="n"/>
      <c r="P541" s="140" t="n"/>
      <c r="Q541" s="140" t="n"/>
      <c r="R541" s="140" t="n"/>
      <c r="S541" s="140" t="n"/>
      <c r="T541" s="141" t="n"/>
      <c r="U541" s="129" t="n"/>
      <c r="V541" s="129" t="n"/>
      <c r="W541" s="145" t="n"/>
      <c r="X541" s="145" t="n"/>
      <c r="Y541" s="145" t="n"/>
      <c r="Z541" s="145" t="n"/>
    </row>
    <row r="542" ht="45.75" customHeight="1" s="222">
      <c r="A542" s="145" t="n"/>
      <c r="B542" s="145" t="n"/>
      <c r="C542" s="145" t="n"/>
      <c r="D542" s="145" t="n"/>
      <c r="E542" s="145" t="n"/>
      <c r="F542" s="145" t="n"/>
      <c r="G542" s="145" t="n"/>
      <c r="H542" s="145" t="n"/>
      <c r="I542" s="145" t="n"/>
      <c r="J542" s="145" t="n"/>
      <c r="K542" s="145" t="n"/>
      <c r="L542" s="145" t="n"/>
      <c r="M542" s="145" t="n"/>
      <c r="N542" s="145" t="n"/>
      <c r="O542" s="140" t="n"/>
      <c r="P542" s="140" t="n"/>
      <c r="Q542" s="140" t="n"/>
      <c r="R542" s="140" t="n"/>
      <c r="S542" s="140" t="n"/>
      <c r="T542" s="141" t="n"/>
      <c r="U542" s="129" t="n"/>
      <c r="V542" s="129" t="n"/>
      <c r="W542" s="145" t="n"/>
      <c r="X542" s="145" t="n"/>
      <c r="Y542" s="145" t="n"/>
      <c r="Z542" s="145" t="n"/>
    </row>
    <row r="543" ht="45.75" customHeight="1" s="222">
      <c r="A543" s="145" t="n"/>
      <c r="B543" s="145" t="n"/>
      <c r="C543" s="145" t="n"/>
      <c r="D543" s="145" t="n"/>
      <c r="E543" s="145" t="n"/>
      <c r="F543" s="145" t="n"/>
      <c r="G543" s="145" t="n"/>
      <c r="H543" s="145" t="n"/>
      <c r="I543" s="145" t="n"/>
      <c r="J543" s="145" t="n"/>
      <c r="K543" s="145" t="n"/>
      <c r="L543" s="145" t="n"/>
      <c r="M543" s="145" t="n"/>
      <c r="N543" s="145" t="n"/>
      <c r="O543" s="140" t="n"/>
      <c r="P543" s="140" t="n"/>
      <c r="Q543" s="140" t="n"/>
      <c r="R543" s="140" t="n"/>
      <c r="S543" s="140" t="n"/>
      <c r="T543" s="141" t="n"/>
      <c r="U543" s="129" t="n"/>
      <c r="V543" s="129" t="n"/>
      <c r="W543" s="145" t="n"/>
      <c r="X543" s="145" t="n"/>
      <c r="Y543" s="145" t="n"/>
      <c r="Z543" s="145" t="n"/>
    </row>
    <row r="544" ht="45.75" customHeight="1" s="222">
      <c r="A544" s="145" t="n"/>
      <c r="B544" s="145" t="n"/>
      <c r="C544" s="145" t="n"/>
      <c r="D544" s="145" t="n"/>
      <c r="E544" s="145" t="n"/>
      <c r="F544" s="145" t="n"/>
      <c r="G544" s="145" t="n"/>
      <c r="H544" s="145" t="n"/>
      <c r="I544" s="145" t="n"/>
      <c r="J544" s="145" t="n"/>
      <c r="K544" s="145" t="n"/>
      <c r="L544" s="145" t="n"/>
      <c r="M544" s="145" t="n"/>
      <c r="N544" s="145" t="n"/>
      <c r="O544" s="140" t="n"/>
      <c r="P544" s="140" t="n"/>
      <c r="Q544" s="140" t="n"/>
      <c r="R544" s="140" t="n"/>
      <c r="S544" s="140" t="n"/>
      <c r="T544" s="141" t="n"/>
      <c r="U544" s="129" t="n"/>
      <c r="V544" s="129" t="n"/>
      <c r="W544" s="145" t="n"/>
      <c r="X544" s="145" t="n"/>
      <c r="Y544" s="145" t="n"/>
      <c r="Z544" s="145" t="n"/>
    </row>
    <row r="545" ht="45.75" customHeight="1" s="222">
      <c r="A545" s="145" t="n"/>
      <c r="B545" s="145" t="n"/>
      <c r="C545" s="145" t="n"/>
      <c r="D545" s="145" t="n"/>
      <c r="E545" s="145" t="n"/>
      <c r="F545" s="145" t="n"/>
      <c r="G545" s="145" t="n"/>
      <c r="H545" s="145" t="n"/>
      <c r="I545" s="145" t="n"/>
      <c r="J545" s="145" t="n"/>
      <c r="K545" s="145" t="n"/>
      <c r="L545" s="145" t="n"/>
      <c r="M545" s="145" t="n"/>
      <c r="N545" s="145" t="n"/>
      <c r="O545" s="140" t="n"/>
      <c r="P545" s="140" t="n"/>
      <c r="Q545" s="140" t="n"/>
      <c r="R545" s="140" t="n"/>
      <c r="S545" s="140" t="n"/>
      <c r="T545" s="141" t="n"/>
      <c r="U545" s="129" t="n"/>
      <c r="V545" s="129" t="n"/>
      <c r="W545" s="145" t="n"/>
      <c r="X545" s="145" t="n"/>
      <c r="Y545" s="145" t="n"/>
      <c r="Z545" s="145" t="n"/>
    </row>
    <row r="546" ht="45.75" customHeight="1" s="222">
      <c r="A546" s="145" t="n"/>
      <c r="B546" s="145" t="n"/>
      <c r="C546" s="145" t="n"/>
      <c r="D546" s="145" t="n"/>
      <c r="E546" s="145" t="n"/>
      <c r="F546" s="145" t="n"/>
      <c r="G546" s="145" t="n"/>
      <c r="H546" s="145" t="n"/>
      <c r="I546" s="145" t="n"/>
      <c r="J546" s="145" t="n"/>
      <c r="K546" s="145" t="n"/>
      <c r="L546" s="145" t="n"/>
      <c r="M546" s="145" t="n"/>
      <c r="N546" s="145" t="n"/>
      <c r="O546" s="140" t="n"/>
      <c r="P546" s="140" t="n"/>
      <c r="Q546" s="140" t="n"/>
      <c r="R546" s="140" t="n"/>
      <c r="S546" s="140" t="n"/>
      <c r="T546" s="141" t="n"/>
      <c r="U546" s="129" t="n"/>
      <c r="V546" s="129" t="n"/>
      <c r="W546" s="145" t="n"/>
      <c r="X546" s="145" t="n"/>
      <c r="Y546" s="145" t="n"/>
      <c r="Z546" s="145" t="n"/>
    </row>
    <row r="547" ht="45.75" customHeight="1" s="222">
      <c r="A547" s="145" t="n"/>
      <c r="B547" s="145" t="n"/>
      <c r="C547" s="145" t="n"/>
      <c r="D547" s="145" t="n"/>
      <c r="E547" s="145" t="n"/>
      <c r="F547" s="145" t="n"/>
      <c r="G547" s="145" t="n"/>
      <c r="H547" s="145" t="n"/>
      <c r="I547" s="145" t="n"/>
      <c r="J547" s="145" t="n"/>
      <c r="K547" s="145" t="n"/>
      <c r="L547" s="145" t="n"/>
      <c r="M547" s="145" t="n"/>
      <c r="N547" s="145" t="n"/>
      <c r="O547" s="140" t="n"/>
      <c r="P547" s="140" t="n"/>
      <c r="Q547" s="140" t="n"/>
      <c r="R547" s="140" t="n"/>
      <c r="S547" s="140" t="n"/>
      <c r="T547" s="141" t="n"/>
      <c r="U547" s="129" t="n"/>
      <c r="V547" s="129" t="n"/>
      <c r="W547" s="145" t="n"/>
      <c r="X547" s="145" t="n"/>
      <c r="Y547" s="145" t="n"/>
      <c r="Z547" s="145" t="n"/>
    </row>
    <row r="548" ht="45.75" customHeight="1" s="222">
      <c r="A548" s="145" t="n"/>
      <c r="B548" s="145" t="n"/>
      <c r="C548" s="145" t="n"/>
      <c r="D548" s="145" t="n"/>
      <c r="E548" s="145" t="n"/>
      <c r="F548" s="145" t="n"/>
      <c r="G548" s="145" t="n"/>
      <c r="H548" s="145" t="n"/>
      <c r="I548" s="145" t="n"/>
      <c r="J548" s="145" t="n"/>
      <c r="K548" s="145" t="n"/>
      <c r="L548" s="145" t="n"/>
      <c r="M548" s="145" t="n"/>
      <c r="N548" s="145" t="n"/>
      <c r="O548" s="140" t="n"/>
      <c r="P548" s="140" t="n"/>
      <c r="Q548" s="140" t="n"/>
      <c r="R548" s="140" t="n"/>
      <c r="S548" s="140" t="n"/>
      <c r="T548" s="141" t="n"/>
      <c r="U548" s="129" t="n"/>
      <c r="V548" s="129" t="n"/>
      <c r="W548" s="145" t="n"/>
      <c r="X548" s="145" t="n"/>
      <c r="Y548" s="145" t="n"/>
      <c r="Z548" s="145" t="n"/>
    </row>
    <row r="549" ht="45.75" customHeight="1" s="222">
      <c r="A549" s="145" t="n"/>
      <c r="B549" s="145" t="n"/>
      <c r="C549" s="145" t="n"/>
      <c r="D549" s="145" t="n"/>
      <c r="E549" s="145" t="n"/>
      <c r="F549" s="145" t="n"/>
      <c r="G549" s="145" t="n"/>
      <c r="H549" s="145" t="n"/>
      <c r="I549" s="145" t="n"/>
      <c r="J549" s="145" t="n"/>
      <c r="K549" s="145" t="n"/>
      <c r="L549" s="145" t="n"/>
      <c r="M549" s="145" t="n"/>
      <c r="N549" s="145" t="n"/>
      <c r="O549" s="140" t="n"/>
      <c r="P549" s="140" t="n"/>
      <c r="Q549" s="140" t="n"/>
      <c r="R549" s="140" t="n"/>
      <c r="S549" s="140" t="n"/>
      <c r="T549" s="141" t="n"/>
      <c r="U549" s="129" t="n"/>
      <c r="V549" s="129" t="n"/>
      <c r="W549" s="145" t="n"/>
      <c r="X549" s="145" t="n"/>
      <c r="Y549" s="145" t="n"/>
      <c r="Z549" s="145" t="n"/>
    </row>
    <row r="550" ht="45.75" customHeight="1" s="222">
      <c r="A550" s="145" t="n"/>
      <c r="B550" s="145" t="n"/>
      <c r="C550" s="145" t="n"/>
      <c r="D550" s="145" t="n"/>
      <c r="E550" s="145" t="n"/>
      <c r="F550" s="145" t="n"/>
      <c r="G550" s="145" t="n"/>
      <c r="H550" s="145" t="n"/>
      <c r="I550" s="145" t="n"/>
      <c r="J550" s="145" t="n"/>
      <c r="K550" s="145" t="n"/>
      <c r="L550" s="145" t="n"/>
      <c r="M550" s="145" t="n"/>
      <c r="N550" s="145" t="n"/>
      <c r="O550" s="140" t="n"/>
      <c r="P550" s="140" t="n"/>
      <c r="Q550" s="140" t="n"/>
      <c r="R550" s="140" t="n"/>
      <c r="S550" s="140" t="n"/>
      <c r="T550" s="141" t="n"/>
      <c r="U550" s="129" t="n"/>
      <c r="V550" s="129" t="n"/>
      <c r="W550" s="145" t="n"/>
      <c r="X550" s="145" t="n"/>
      <c r="Y550" s="145" t="n"/>
      <c r="Z550" s="145" t="n"/>
    </row>
    <row r="551" ht="45.75" customHeight="1" s="222">
      <c r="A551" s="145" t="n"/>
      <c r="B551" s="145" t="n"/>
      <c r="C551" s="145" t="n"/>
      <c r="D551" s="145" t="n"/>
      <c r="E551" s="145" t="n"/>
      <c r="F551" s="145" t="n"/>
      <c r="G551" s="145" t="n"/>
      <c r="H551" s="145" t="n"/>
      <c r="I551" s="145" t="n"/>
      <c r="J551" s="145" t="n"/>
      <c r="K551" s="145" t="n"/>
      <c r="L551" s="145" t="n"/>
      <c r="M551" s="145" t="n"/>
      <c r="N551" s="145" t="n"/>
      <c r="O551" s="140" t="n"/>
      <c r="P551" s="140" t="n"/>
      <c r="Q551" s="140" t="n"/>
      <c r="R551" s="140" t="n"/>
      <c r="S551" s="140" t="n"/>
      <c r="T551" s="141" t="n"/>
      <c r="U551" s="129" t="n"/>
      <c r="V551" s="129" t="n"/>
      <c r="W551" s="145" t="n"/>
      <c r="X551" s="145" t="n"/>
      <c r="Y551" s="145" t="n"/>
      <c r="Z551" s="145" t="n"/>
    </row>
    <row r="552" ht="45.75" customHeight="1" s="222">
      <c r="A552" s="145" t="n"/>
      <c r="B552" s="145" t="n"/>
      <c r="C552" s="145" t="n"/>
      <c r="D552" s="145" t="n"/>
      <c r="E552" s="145" t="n"/>
      <c r="F552" s="145" t="n"/>
      <c r="G552" s="145" t="n"/>
      <c r="H552" s="145" t="n"/>
      <c r="I552" s="145" t="n"/>
      <c r="J552" s="145" t="n"/>
      <c r="K552" s="145" t="n"/>
      <c r="L552" s="145" t="n"/>
      <c r="M552" s="145" t="n"/>
      <c r="N552" s="145" t="n"/>
      <c r="O552" s="140" t="n"/>
      <c r="P552" s="140" t="n"/>
      <c r="Q552" s="140" t="n"/>
      <c r="R552" s="140" t="n"/>
      <c r="S552" s="140" t="n"/>
      <c r="T552" s="141" t="n"/>
      <c r="U552" s="129" t="n"/>
      <c r="V552" s="129" t="n"/>
      <c r="W552" s="145" t="n"/>
      <c r="X552" s="145" t="n"/>
      <c r="Y552" s="145" t="n"/>
      <c r="Z552" s="145" t="n"/>
    </row>
    <row r="553" ht="45.75" customHeight="1" s="222">
      <c r="A553" s="145" t="n"/>
      <c r="B553" s="145" t="n"/>
      <c r="C553" s="145" t="n"/>
      <c r="D553" s="145" t="n"/>
      <c r="E553" s="145" t="n"/>
      <c r="F553" s="145" t="n"/>
      <c r="G553" s="145" t="n"/>
      <c r="H553" s="145" t="n"/>
      <c r="I553" s="145" t="n"/>
      <c r="J553" s="145" t="n"/>
      <c r="K553" s="145" t="n"/>
      <c r="L553" s="145" t="n"/>
      <c r="M553" s="145" t="n"/>
      <c r="N553" s="145" t="n"/>
      <c r="O553" s="140" t="n"/>
      <c r="P553" s="140" t="n"/>
      <c r="Q553" s="140" t="n"/>
      <c r="R553" s="140" t="n"/>
      <c r="S553" s="140" t="n"/>
      <c r="T553" s="141" t="n"/>
      <c r="U553" s="129" t="n"/>
      <c r="V553" s="129" t="n"/>
      <c r="W553" s="145" t="n"/>
      <c r="X553" s="145" t="n"/>
      <c r="Y553" s="145" t="n"/>
      <c r="Z553" s="145" t="n"/>
    </row>
    <row r="554" ht="45.75" customHeight="1" s="222">
      <c r="A554" s="145" t="n"/>
      <c r="B554" s="145" t="n"/>
      <c r="C554" s="145" t="n"/>
      <c r="D554" s="145" t="n"/>
      <c r="E554" s="145" t="n"/>
      <c r="F554" s="145" t="n"/>
      <c r="G554" s="145" t="n"/>
      <c r="H554" s="145" t="n"/>
      <c r="I554" s="145" t="n"/>
      <c r="J554" s="145" t="n"/>
      <c r="K554" s="145" t="n"/>
      <c r="L554" s="145" t="n"/>
      <c r="M554" s="145" t="n"/>
      <c r="N554" s="145" t="n"/>
      <c r="O554" s="140" t="n"/>
      <c r="P554" s="140" t="n"/>
      <c r="Q554" s="140" t="n"/>
      <c r="R554" s="140" t="n"/>
      <c r="S554" s="140" t="n"/>
      <c r="T554" s="141" t="n"/>
      <c r="U554" s="129" t="n"/>
      <c r="V554" s="129" t="n"/>
      <c r="W554" s="145" t="n"/>
      <c r="X554" s="145" t="n"/>
      <c r="Y554" s="145" t="n"/>
      <c r="Z554" s="145" t="n"/>
    </row>
    <row r="555" ht="45.75" customHeight="1" s="222">
      <c r="A555" s="145" t="n"/>
      <c r="B555" s="145" t="n"/>
      <c r="C555" s="145" t="n"/>
      <c r="D555" s="145" t="n"/>
      <c r="E555" s="145" t="n"/>
      <c r="F555" s="145" t="n"/>
      <c r="G555" s="145" t="n"/>
      <c r="H555" s="145" t="n"/>
      <c r="I555" s="145" t="n"/>
      <c r="J555" s="145" t="n"/>
      <c r="K555" s="145" t="n"/>
      <c r="L555" s="145" t="n"/>
      <c r="M555" s="145" t="n"/>
      <c r="N555" s="145" t="n"/>
      <c r="O555" s="140" t="n"/>
      <c r="P555" s="140" t="n"/>
      <c r="Q555" s="140" t="n"/>
      <c r="R555" s="140" t="n"/>
      <c r="S555" s="140" t="n"/>
      <c r="T555" s="141" t="n"/>
      <c r="U555" s="129" t="n"/>
      <c r="V555" s="129" t="n"/>
      <c r="W555" s="145" t="n"/>
      <c r="X555" s="145" t="n"/>
      <c r="Y555" s="145" t="n"/>
      <c r="Z555" s="145" t="n"/>
    </row>
    <row r="556" ht="45.75" customHeight="1" s="222">
      <c r="A556" s="145" t="n"/>
      <c r="B556" s="145" t="n"/>
      <c r="C556" s="145" t="n"/>
      <c r="D556" s="145" t="n"/>
      <c r="E556" s="145" t="n"/>
      <c r="F556" s="145" t="n"/>
      <c r="G556" s="145" t="n"/>
      <c r="H556" s="145" t="n"/>
      <c r="I556" s="145" t="n"/>
      <c r="J556" s="145" t="n"/>
      <c r="K556" s="145" t="n"/>
      <c r="L556" s="145" t="n"/>
      <c r="M556" s="145" t="n"/>
      <c r="N556" s="145" t="n"/>
      <c r="O556" s="140" t="n"/>
      <c r="P556" s="140" t="n"/>
      <c r="Q556" s="140" t="n"/>
      <c r="R556" s="140" t="n"/>
      <c r="S556" s="140" t="n"/>
      <c r="T556" s="141" t="n"/>
      <c r="U556" s="129" t="n"/>
      <c r="V556" s="129" t="n"/>
      <c r="W556" s="145" t="n"/>
      <c r="X556" s="145" t="n"/>
      <c r="Y556" s="145" t="n"/>
      <c r="Z556" s="145" t="n"/>
    </row>
    <row r="557" ht="45.75" customHeight="1" s="222">
      <c r="A557" s="145" t="n"/>
      <c r="B557" s="145" t="n"/>
      <c r="C557" s="145" t="n"/>
      <c r="D557" s="145" t="n"/>
      <c r="E557" s="145" t="n"/>
      <c r="F557" s="145" t="n"/>
      <c r="G557" s="145" t="n"/>
      <c r="H557" s="145" t="n"/>
      <c r="I557" s="145" t="n"/>
      <c r="J557" s="145" t="n"/>
      <c r="K557" s="145" t="n"/>
      <c r="L557" s="145" t="n"/>
      <c r="M557" s="145" t="n"/>
      <c r="N557" s="145" t="n"/>
      <c r="O557" s="140" t="n"/>
      <c r="P557" s="140" t="n"/>
      <c r="Q557" s="140" t="n"/>
      <c r="R557" s="140" t="n"/>
      <c r="S557" s="140" t="n"/>
      <c r="T557" s="141" t="n"/>
      <c r="U557" s="129" t="n"/>
      <c r="V557" s="129" t="n"/>
      <c r="W557" s="145" t="n"/>
      <c r="X557" s="145" t="n"/>
      <c r="Y557" s="145" t="n"/>
      <c r="Z557" s="145" t="n"/>
    </row>
    <row r="558" ht="45.75" customHeight="1" s="222">
      <c r="A558" s="145" t="n"/>
      <c r="B558" s="145" t="n"/>
      <c r="C558" s="145" t="n"/>
      <c r="D558" s="145" t="n"/>
      <c r="E558" s="145" t="n"/>
      <c r="F558" s="145" t="n"/>
      <c r="G558" s="145" t="n"/>
      <c r="H558" s="145" t="n"/>
      <c r="I558" s="145" t="n"/>
      <c r="J558" s="145" t="n"/>
      <c r="K558" s="145" t="n"/>
      <c r="L558" s="145" t="n"/>
      <c r="M558" s="145" t="n"/>
      <c r="N558" s="145" t="n"/>
      <c r="O558" s="140" t="n"/>
      <c r="P558" s="140" t="n"/>
      <c r="Q558" s="140" t="n"/>
      <c r="R558" s="140" t="n"/>
      <c r="S558" s="140" t="n"/>
      <c r="T558" s="141" t="n"/>
      <c r="U558" s="129" t="n"/>
      <c r="V558" s="129" t="n"/>
      <c r="W558" s="145" t="n"/>
      <c r="X558" s="145" t="n"/>
      <c r="Y558" s="145" t="n"/>
      <c r="Z558" s="145" t="n"/>
    </row>
    <row r="559" ht="45.75" customHeight="1" s="222">
      <c r="A559" s="145" t="n"/>
      <c r="B559" s="145" t="n"/>
      <c r="C559" s="145" t="n"/>
      <c r="D559" s="145" t="n"/>
      <c r="E559" s="145" t="n"/>
      <c r="F559" s="145" t="n"/>
      <c r="G559" s="145" t="n"/>
      <c r="H559" s="145" t="n"/>
      <c r="I559" s="145" t="n"/>
      <c r="J559" s="145" t="n"/>
      <c r="K559" s="145" t="n"/>
      <c r="L559" s="145" t="n"/>
      <c r="M559" s="145" t="n"/>
      <c r="N559" s="145" t="n"/>
      <c r="O559" s="140" t="n"/>
      <c r="P559" s="140" t="n"/>
      <c r="Q559" s="140" t="n"/>
      <c r="R559" s="140" t="n"/>
      <c r="S559" s="140" t="n"/>
      <c r="T559" s="141" t="n"/>
      <c r="U559" s="129" t="n"/>
      <c r="V559" s="129" t="n"/>
      <c r="W559" s="145" t="n"/>
      <c r="X559" s="145" t="n"/>
      <c r="Y559" s="145" t="n"/>
      <c r="Z559" s="145" t="n"/>
    </row>
    <row r="560" ht="45.75" customHeight="1" s="222">
      <c r="A560" s="145" t="n"/>
      <c r="B560" s="145" t="n"/>
      <c r="C560" s="145" t="n"/>
      <c r="D560" s="145" t="n"/>
      <c r="E560" s="145" t="n"/>
      <c r="F560" s="145" t="n"/>
      <c r="G560" s="145" t="n"/>
      <c r="H560" s="145" t="n"/>
      <c r="I560" s="145" t="n"/>
      <c r="J560" s="145" t="n"/>
      <c r="K560" s="145" t="n"/>
      <c r="L560" s="145" t="n"/>
      <c r="M560" s="145" t="n"/>
      <c r="N560" s="145" t="n"/>
      <c r="O560" s="140" t="n"/>
      <c r="P560" s="140" t="n"/>
      <c r="Q560" s="140" t="n"/>
      <c r="R560" s="140" t="n"/>
      <c r="S560" s="140" t="n"/>
      <c r="T560" s="141" t="n"/>
      <c r="U560" s="129" t="n"/>
      <c r="V560" s="129" t="n"/>
      <c r="W560" s="145" t="n"/>
      <c r="X560" s="145" t="n"/>
      <c r="Y560" s="145" t="n"/>
      <c r="Z560" s="145" t="n"/>
    </row>
    <row r="561" ht="45.75" customHeight="1" s="222">
      <c r="A561" s="145" t="n"/>
      <c r="B561" s="145" t="n"/>
      <c r="C561" s="145" t="n"/>
      <c r="D561" s="145" t="n"/>
      <c r="E561" s="145" t="n"/>
      <c r="F561" s="145" t="n"/>
      <c r="G561" s="145" t="n"/>
      <c r="H561" s="145" t="n"/>
      <c r="I561" s="145" t="n"/>
      <c r="J561" s="145" t="n"/>
      <c r="K561" s="145" t="n"/>
      <c r="L561" s="145" t="n"/>
      <c r="M561" s="145" t="n"/>
      <c r="N561" s="145" t="n"/>
      <c r="O561" s="140" t="n"/>
      <c r="P561" s="140" t="n"/>
      <c r="Q561" s="140" t="n"/>
      <c r="R561" s="140" t="n"/>
      <c r="S561" s="140" t="n"/>
      <c r="T561" s="141" t="n"/>
      <c r="U561" s="129" t="n"/>
      <c r="V561" s="129" t="n"/>
      <c r="W561" s="145" t="n"/>
      <c r="X561" s="145" t="n"/>
      <c r="Y561" s="145" t="n"/>
      <c r="Z561" s="145" t="n"/>
    </row>
    <row r="562" ht="45.75" customHeight="1" s="222">
      <c r="A562" s="145" t="n"/>
      <c r="B562" s="145" t="n"/>
      <c r="C562" s="145" t="n"/>
      <c r="D562" s="145" t="n"/>
      <c r="E562" s="145" t="n"/>
      <c r="F562" s="145" t="n"/>
      <c r="G562" s="145" t="n"/>
      <c r="H562" s="145" t="n"/>
      <c r="I562" s="145" t="n"/>
      <c r="J562" s="145" t="n"/>
      <c r="K562" s="145" t="n"/>
      <c r="L562" s="145" t="n"/>
      <c r="M562" s="145" t="n"/>
      <c r="N562" s="145" t="n"/>
      <c r="O562" s="140" t="n"/>
      <c r="P562" s="140" t="n"/>
      <c r="Q562" s="140" t="n"/>
      <c r="R562" s="140" t="n"/>
      <c r="S562" s="140" t="n"/>
      <c r="T562" s="141" t="n"/>
      <c r="U562" s="129" t="n"/>
      <c r="V562" s="129" t="n"/>
      <c r="W562" s="145" t="n"/>
      <c r="X562" s="145" t="n"/>
      <c r="Y562" s="145" t="n"/>
      <c r="Z562" s="145" t="n"/>
    </row>
    <row r="563" ht="45.75" customHeight="1" s="222">
      <c r="A563" s="145" t="n"/>
      <c r="B563" s="145" t="n"/>
      <c r="C563" s="145" t="n"/>
      <c r="D563" s="145" t="n"/>
      <c r="E563" s="145" t="n"/>
      <c r="F563" s="145" t="n"/>
      <c r="G563" s="145" t="n"/>
      <c r="H563" s="145" t="n"/>
      <c r="I563" s="145" t="n"/>
      <c r="J563" s="145" t="n"/>
      <c r="K563" s="145" t="n"/>
      <c r="L563" s="145" t="n"/>
      <c r="M563" s="145" t="n"/>
      <c r="N563" s="145" t="n"/>
      <c r="O563" s="140" t="n"/>
      <c r="P563" s="140" t="n"/>
      <c r="Q563" s="140" t="n"/>
      <c r="R563" s="140" t="n"/>
      <c r="S563" s="140" t="n"/>
      <c r="T563" s="141" t="n"/>
      <c r="U563" s="129" t="n"/>
      <c r="V563" s="129" t="n"/>
      <c r="W563" s="145" t="n"/>
      <c r="X563" s="145" t="n"/>
      <c r="Y563" s="145" t="n"/>
      <c r="Z563" s="145" t="n"/>
    </row>
    <row r="564" ht="45.75" customHeight="1" s="222">
      <c r="A564" s="145" t="n"/>
      <c r="B564" s="145" t="n"/>
      <c r="C564" s="145" t="n"/>
      <c r="D564" s="145" t="n"/>
      <c r="E564" s="145" t="n"/>
      <c r="F564" s="145" t="n"/>
      <c r="G564" s="145" t="n"/>
      <c r="H564" s="145" t="n"/>
      <c r="I564" s="145" t="n"/>
      <c r="J564" s="145" t="n"/>
      <c r="K564" s="145" t="n"/>
      <c r="L564" s="145" t="n"/>
      <c r="M564" s="145" t="n"/>
      <c r="N564" s="145" t="n"/>
      <c r="O564" s="140" t="n"/>
      <c r="P564" s="140" t="n"/>
      <c r="Q564" s="140" t="n"/>
      <c r="R564" s="140" t="n"/>
      <c r="S564" s="140" t="n"/>
      <c r="T564" s="141" t="n"/>
      <c r="U564" s="129" t="n"/>
      <c r="V564" s="129" t="n"/>
      <c r="W564" s="145" t="n"/>
      <c r="X564" s="145" t="n"/>
      <c r="Y564" s="145" t="n"/>
      <c r="Z564" s="145" t="n"/>
    </row>
    <row r="565" ht="45.75" customHeight="1" s="222">
      <c r="A565" s="145" t="n"/>
      <c r="B565" s="145" t="n"/>
      <c r="C565" s="145" t="n"/>
      <c r="D565" s="145" t="n"/>
      <c r="E565" s="145" t="n"/>
      <c r="F565" s="145" t="n"/>
      <c r="G565" s="145" t="n"/>
      <c r="H565" s="145" t="n"/>
      <c r="I565" s="145" t="n"/>
      <c r="J565" s="145" t="n"/>
      <c r="K565" s="145" t="n"/>
      <c r="L565" s="145" t="n"/>
      <c r="M565" s="145" t="n"/>
      <c r="N565" s="145" t="n"/>
      <c r="O565" s="140" t="n"/>
      <c r="P565" s="140" t="n"/>
      <c r="Q565" s="140" t="n"/>
      <c r="R565" s="140" t="n"/>
      <c r="S565" s="140" t="n"/>
      <c r="T565" s="141" t="n"/>
      <c r="U565" s="129" t="n"/>
      <c r="V565" s="129" t="n"/>
      <c r="W565" s="145" t="n"/>
      <c r="X565" s="145" t="n"/>
      <c r="Y565" s="145" t="n"/>
      <c r="Z565" s="145" t="n"/>
    </row>
    <row r="566" ht="45.75" customHeight="1" s="222">
      <c r="A566" s="145" t="n"/>
      <c r="B566" s="145" t="n"/>
      <c r="C566" s="145" t="n"/>
      <c r="D566" s="145" t="n"/>
      <c r="E566" s="145" t="n"/>
      <c r="F566" s="145" t="n"/>
      <c r="G566" s="145" t="n"/>
      <c r="H566" s="145" t="n"/>
      <c r="I566" s="145" t="n"/>
      <c r="J566" s="145" t="n"/>
      <c r="K566" s="145" t="n"/>
      <c r="L566" s="145" t="n"/>
      <c r="M566" s="145" t="n"/>
      <c r="N566" s="145" t="n"/>
      <c r="O566" s="140" t="n"/>
      <c r="P566" s="140" t="n"/>
      <c r="Q566" s="140" t="n"/>
      <c r="R566" s="140" t="n"/>
      <c r="S566" s="140" t="n"/>
      <c r="T566" s="141" t="n"/>
      <c r="U566" s="129" t="n"/>
      <c r="V566" s="129" t="n"/>
      <c r="W566" s="145" t="n"/>
      <c r="X566" s="145" t="n"/>
      <c r="Y566" s="145" t="n"/>
      <c r="Z566" s="145" t="n"/>
    </row>
    <row r="567" ht="45.75" customHeight="1" s="222">
      <c r="A567" s="145" t="n"/>
      <c r="B567" s="145" t="n"/>
      <c r="C567" s="145" t="n"/>
      <c r="D567" s="145" t="n"/>
      <c r="E567" s="145" t="n"/>
      <c r="F567" s="145" t="n"/>
      <c r="G567" s="145" t="n"/>
      <c r="H567" s="145" t="n"/>
      <c r="I567" s="145" t="n"/>
      <c r="J567" s="145" t="n"/>
      <c r="K567" s="145" t="n"/>
      <c r="L567" s="145" t="n"/>
      <c r="M567" s="145" t="n"/>
      <c r="N567" s="145" t="n"/>
      <c r="O567" s="140" t="n"/>
      <c r="P567" s="140" t="n"/>
      <c r="Q567" s="140" t="n"/>
      <c r="R567" s="140" t="n"/>
      <c r="S567" s="140" t="n"/>
      <c r="T567" s="141" t="n"/>
      <c r="U567" s="129" t="n"/>
      <c r="V567" s="129" t="n"/>
      <c r="W567" s="145" t="n"/>
      <c r="X567" s="145" t="n"/>
      <c r="Y567" s="145" t="n"/>
      <c r="Z567" s="145" t="n"/>
    </row>
    <row r="568" ht="45.75" customHeight="1" s="222">
      <c r="A568" s="145" t="n"/>
      <c r="B568" s="145" t="n"/>
      <c r="C568" s="145" t="n"/>
      <c r="D568" s="145" t="n"/>
      <c r="E568" s="145" t="n"/>
      <c r="F568" s="145" t="n"/>
      <c r="G568" s="145" t="n"/>
      <c r="H568" s="145" t="n"/>
      <c r="I568" s="145" t="n"/>
      <c r="J568" s="145" t="n"/>
      <c r="K568" s="145" t="n"/>
      <c r="L568" s="145" t="n"/>
      <c r="M568" s="145" t="n"/>
      <c r="N568" s="145" t="n"/>
      <c r="O568" s="140" t="n"/>
      <c r="P568" s="140" t="n"/>
      <c r="Q568" s="140" t="n"/>
      <c r="R568" s="140" t="n"/>
      <c r="S568" s="140" t="n"/>
      <c r="T568" s="141" t="n"/>
      <c r="U568" s="129" t="n"/>
      <c r="V568" s="129" t="n"/>
      <c r="W568" s="145" t="n"/>
      <c r="X568" s="145" t="n"/>
      <c r="Y568" s="145" t="n"/>
      <c r="Z568" s="145" t="n"/>
    </row>
    <row r="569" ht="45.75" customHeight="1" s="222">
      <c r="A569" s="145" t="n"/>
      <c r="B569" s="145" t="n"/>
      <c r="C569" s="145" t="n"/>
      <c r="D569" s="145" t="n"/>
      <c r="E569" s="145" t="n"/>
      <c r="F569" s="145" t="n"/>
      <c r="G569" s="145" t="n"/>
      <c r="H569" s="145" t="n"/>
      <c r="I569" s="145" t="n"/>
      <c r="J569" s="145" t="n"/>
      <c r="K569" s="145" t="n"/>
      <c r="L569" s="145" t="n"/>
      <c r="M569" s="145" t="n"/>
      <c r="N569" s="145" t="n"/>
      <c r="O569" s="140" t="n"/>
      <c r="P569" s="140" t="n"/>
      <c r="Q569" s="140" t="n"/>
      <c r="R569" s="140" t="n"/>
      <c r="S569" s="140" t="n"/>
      <c r="T569" s="141" t="n"/>
      <c r="U569" s="129" t="n"/>
      <c r="V569" s="129" t="n"/>
      <c r="W569" s="145" t="n"/>
      <c r="X569" s="145" t="n"/>
      <c r="Y569" s="145" t="n"/>
      <c r="Z569" s="145" t="n"/>
    </row>
    <row r="570" ht="45.75" customHeight="1" s="222">
      <c r="A570" s="145" t="n"/>
      <c r="B570" s="145" t="n"/>
      <c r="C570" s="145" t="n"/>
      <c r="D570" s="145" t="n"/>
      <c r="E570" s="145" t="n"/>
      <c r="F570" s="145" t="n"/>
      <c r="G570" s="145" t="n"/>
      <c r="H570" s="145" t="n"/>
      <c r="I570" s="145" t="n"/>
      <c r="J570" s="145" t="n"/>
      <c r="K570" s="145" t="n"/>
      <c r="L570" s="145" t="n"/>
      <c r="M570" s="145" t="n"/>
      <c r="N570" s="145" t="n"/>
      <c r="O570" s="140" t="n"/>
      <c r="P570" s="140" t="n"/>
      <c r="Q570" s="140" t="n"/>
      <c r="R570" s="140" t="n"/>
      <c r="S570" s="140" t="n"/>
      <c r="T570" s="141" t="n"/>
      <c r="U570" s="129" t="n"/>
      <c r="V570" s="129" t="n"/>
      <c r="W570" s="145" t="n"/>
      <c r="X570" s="145" t="n"/>
      <c r="Y570" s="145" t="n"/>
      <c r="Z570" s="145" t="n"/>
    </row>
    <row r="571" ht="45.75" customHeight="1" s="222">
      <c r="A571" s="145" t="n"/>
      <c r="B571" s="145" t="n"/>
      <c r="C571" s="145" t="n"/>
      <c r="D571" s="145" t="n"/>
      <c r="E571" s="145" t="n"/>
      <c r="F571" s="145" t="n"/>
      <c r="G571" s="145" t="n"/>
      <c r="H571" s="145" t="n"/>
      <c r="I571" s="145" t="n"/>
      <c r="J571" s="145" t="n"/>
      <c r="K571" s="145" t="n"/>
      <c r="L571" s="145" t="n"/>
      <c r="M571" s="145" t="n"/>
      <c r="N571" s="145" t="n"/>
      <c r="O571" s="140" t="n"/>
      <c r="P571" s="140" t="n"/>
      <c r="Q571" s="140" t="n"/>
      <c r="R571" s="140" t="n"/>
      <c r="S571" s="140" t="n"/>
      <c r="T571" s="141" t="n"/>
      <c r="U571" s="129" t="n"/>
      <c r="V571" s="129" t="n"/>
      <c r="W571" s="145" t="n"/>
      <c r="X571" s="145" t="n"/>
      <c r="Y571" s="145" t="n"/>
      <c r="Z571" s="145" t="n"/>
    </row>
    <row r="572" ht="45.75" customHeight="1" s="222">
      <c r="A572" s="145" t="n"/>
      <c r="B572" s="145" t="n"/>
      <c r="C572" s="145" t="n"/>
      <c r="D572" s="145" t="n"/>
      <c r="E572" s="145" t="n"/>
      <c r="F572" s="145" t="n"/>
      <c r="G572" s="145" t="n"/>
      <c r="H572" s="145" t="n"/>
      <c r="I572" s="145" t="n"/>
      <c r="J572" s="145" t="n"/>
      <c r="K572" s="145" t="n"/>
      <c r="L572" s="145" t="n"/>
      <c r="M572" s="145" t="n"/>
      <c r="N572" s="145" t="n"/>
      <c r="O572" s="140" t="n"/>
      <c r="P572" s="140" t="n"/>
      <c r="Q572" s="140" t="n"/>
      <c r="R572" s="140" t="n"/>
      <c r="S572" s="140" t="n"/>
      <c r="T572" s="141" t="n"/>
      <c r="U572" s="129" t="n"/>
      <c r="V572" s="129" t="n"/>
      <c r="W572" s="145" t="n"/>
      <c r="X572" s="145" t="n"/>
      <c r="Y572" s="145" t="n"/>
      <c r="Z572" s="145" t="n"/>
    </row>
    <row r="573" ht="45.75" customHeight="1" s="222">
      <c r="A573" s="145" t="n"/>
      <c r="B573" s="145" t="n"/>
      <c r="C573" s="145" t="n"/>
      <c r="D573" s="145" t="n"/>
      <c r="E573" s="145" t="n"/>
      <c r="F573" s="145" t="n"/>
      <c r="G573" s="145" t="n"/>
      <c r="H573" s="145" t="n"/>
      <c r="I573" s="145" t="n"/>
      <c r="J573" s="145" t="n"/>
      <c r="K573" s="145" t="n"/>
      <c r="L573" s="145" t="n"/>
      <c r="M573" s="145" t="n"/>
      <c r="N573" s="145" t="n"/>
      <c r="O573" s="140" t="n"/>
      <c r="P573" s="140" t="n"/>
      <c r="Q573" s="140" t="n"/>
      <c r="R573" s="140" t="n"/>
      <c r="S573" s="140" t="n"/>
      <c r="T573" s="141" t="n"/>
      <c r="U573" s="129" t="n"/>
      <c r="V573" s="129" t="n"/>
      <c r="W573" s="145" t="n"/>
      <c r="X573" s="145" t="n"/>
      <c r="Y573" s="145" t="n"/>
      <c r="Z573" s="145" t="n"/>
    </row>
    <row r="574" ht="45.75" customHeight="1" s="222">
      <c r="A574" s="145" t="n"/>
      <c r="B574" s="145" t="n"/>
      <c r="C574" s="145" t="n"/>
      <c r="D574" s="145" t="n"/>
      <c r="E574" s="145" t="n"/>
      <c r="F574" s="145" t="n"/>
      <c r="G574" s="145" t="n"/>
      <c r="H574" s="145" t="n"/>
      <c r="I574" s="145" t="n"/>
      <c r="J574" s="145" t="n"/>
      <c r="K574" s="145" t="n"/>
      <c r="L574" s="145" t="n"/>
      <c r="M574" s="145" t="n"/>
      <c r="N574" s="145" t="n"/>
      <c r="O574" s="140" t="n"/>
      <c r="P574" s="140" t="n"/>
      <c r="Q574" s="140" t="n"/>
      <c r="R574" s="140" t="n"/>
      <c r="S574" s="140" t="n"/>
      <c r="T574" s="141" t="n"/>
      <c r="U574" s="129" t="n"/>
      <c r="V574" s="129" t="n"/>
      <c r="W574" s="145" t="n"/>
      <c r="X574" s="145" t="n"/>
      <c r="Y574" s="145" t="n"/>
      <c r="Z574" s="145" t="n"/>
    </row>
    <row r="575" ht="45.75" customHeight="1" s="222">
      <c r="A575" s="145" t="n"/>
      <c r="B575" s="145" t="n"/>
      <c r="C575" s="145" t="n"/>
      <c r="D575" s="145" t="n"/>
      <c r="E575" s="145" t="n"/>
      <c r="F575" s="145" t="n"/>
      <c r="G575" s="145" t="n"/>
      <c r="H575" s="145" t="n"/>
      <c r="I575" s="145" t="n"/>
      <c r="J575" s="145" t="n"/>
      <c r="K575" s="145" t="n"/>
      <c r="L575" s="145" t="n"/>
      <c r="M575" s="145" t="n"/>
      <c r="N575" s="145" t="n"/>
      <c r="O575" s="140" t="n"/>
      <c r="P575" s="140" t="n"/>
      <c r="Q575" s="140" t="n"/>
      <c r="R575" s="140" t="n"/>
      <c r="S575" s="140" t="n"/>
      <c r="T575" s="141" t="n"/>
      <c r="U575" s="129" t="n"/>
      <c r="V575" s="129" t="n"/>
      <c r="W575" s="145" t="n"/>
      <c r="X575" s="145" t="n"/>
      <c r="Y575" s="145" t="n"/>
      <c r="Z575" s="145" t="n"/>
    </row>
    <row r="576" ht="45.75" customHeight="1" s="222">
      <c r="A576" s="145" t="n"/>
      <c r="B576" s="145" t="n"/>
      <c r="C576" s="145" t="n"/>
      <c r="D576" s="145" t="n"/>
      <c r="E576" s="145" t="n"/>
      <c r="F576" s="145" t="n"/>
      <c r="G576" s="145" t="n"/>
      <c r="H576" s="145" t="n"/>
      <c r="I576" s="145" t="n"/>
      <c r="J576" s="145" t="n"/>
      <c r="K576" s="145" t="n"/>
      <c r="L576" s="145" t="n"/>
      <c r="M576" s="145" t="n"/>
      <c r="N576" s="145" t="n"/>
      <c r="O576" s="140" t="n"/>
      <c r="P576" s="140" t="n"/>
      <c r="Q576" s="140" t="n"/>
      <c r="R576" s="140" t="n"/>
      <c r="S576" s="140" t="n"/>
      <c r="T576" s="141" t="n"/>
      <c r="U576" s="129" t="n"/>
      <c r="V576" s="129" t="n"/>
      <c r="W576" s="145" t="n"/>
      <c r="X576" s="145" t="n"/>
      <c r="Y576" s="145" t="n"/>
      <c r="Z576" s="145" t="n"/>
    </row>
    <row r="577" ht="45.75" customHeight="1" s="222">
      <c r="A577" s="145" t="n"/>
      <c r="B577" s="145" t="n"/>
      <c r="C577" s="145" t="n"/>
      <c r="D577" s="145" t="n"/>
      <c r="E577" s="145" t="n"/>
      <c r="F577" s="145" t="n"/>
      <c r="G577" s="145" t="n"/>
      <c r="H577" s="145" t="n"/>
      <c r="I577" s="145" t="n"/>
      <c r="J577" s="145" t="n"/>
      <c r="K577" s="145" t="n"/>
      <c r="L577" s="145" t="n"/>
      <c r="M577" s="145" t="n"/>
      <c r="N577" s="145" t="n"/>
      <c r="O577" s="140" t="n"/>
      <c r="P577" s="140" t="n"/>
      <c r="Q577" s="140" t="n"/>
      <c r="R577" s="140" t="n"/>
      <c r="S577" s="140" t="n"/>
      <c r="T577" s="141" t="n"/>
      <c r="U577" s="129" t="n"/>
      <c r="V577" s="129" t="n"/>
      <c r="W577" s="145" t="n"/>
      <c r="X577" s="145" t="n"/>
      <c r="Y577" s="145" t="n"/>
      <c r="Z577" s="145" t="n"/>
    </row>
    <row r="578" ht="45.75" customHeight="1" s="222">
      <c r="A578" s="145" t="n"/>
      <c r="B578" s="145" t="n"/>
      <c r="C578" s="145" t="n"/>
      <c r="D578" s="145" t="n"/>
      <c r="E578" s="145" t="n"/>
      <c r="F578" s="145" t="n"/>
      <c r="G578" s="145" t="n"/>
      <c r="H578" s="145" t="n"/>
      <c r="I578" s="145" t="n"/>
      <c r="J578" s="145" t="n"/>
      <c r="K578" s="145" t="n"/>
      <c r="L578" s="145" t="n"/>
      <c r="M578" s="145" t="n"/>
      <c r="N578" s="145" t="n"/>
      <c r="O578" s="140" t="n"/>
      <c r="P578" s="140" t="n"/>
      <c r="Q578" s="140" t="n"/>
      <c r="R578" s="140" t="n"/>
      <c r="S578" s="140" t="n"/>
      <c r="T578" s="141" t="n"/>
      <c r="U578" s="129" t="n"/>
      <c r="V578" s="129" t="n"/>
      <c r="W578" s="145" t="n"/>
      <c r="X578" s="145" t="n"/>
      <c r="Y578" s="145" t="n"/>
      <c r="Z578" s="145" t="n"/>
    </row>
    <row r="579" ht="45.75" customHeight="1" s="222">
      <c r="A579" s="145" t="n"/>
      <c r="B579" s="145" t="n"/>
      <c r="C579" s="145" t="n"/>
      <c r="D579" s="145" t="n"/>
      <c r="E579" s="145" t="n"/>
      <c r="F579" s="145" t="n"/>
      <c r="G579" s="145" t="n"/>
      <c r="H579" s="145" t="n"/>
      <c r="I579" s="145" t="n"/>
      <c r="J579" s="145" t="n"/>
      <c r="K579" s="145" t="n"/>
      <c r="L579" s="145" t="n"/>
      <c r="M579" s="145" t="n"/>
      <c r="N579" s="145" t="n"/>
      <c r="O579" s="140" t="n"/>
      <c r="P579" s="140" t="n"/>
      <c r="Q579" s="140" t="n"/>
      <c r="R579" s="140" t="n"/>
      <c r="S579" s="140" t="n"/>
      <c r="T579" s="141" t="n"/>
      <c r="U579" s="129" t="n"/>
      <c r="V579" s="129" t="n"/>
      <c r="W579" s="145" t="n"/>
      <c r="X579" s="145" t="n"/>
      <c r="Y579" s="145" t="n"/>
      <c r="Z579" s="145" t="n"/>
    </row>
    <row r="580" ht="45.75" customHeight="1" s="222">
      <c r="A580" s="145" t="n"/>
      <c r="B580" s="145" t="n"/>
      <c r="C580" s="145" t="n"/>
      <c r="D580" s="145" t="n"/>
      <c r="E580" s="145" t="n"/>
      <c r="F580" s="145" t="n"/>
      <c r="G580" s="145" t="n"/>
      <c r="H580" s="145" t="n"/>
      <c r="I580" s="145" t="n"/>
      <c r="J580" s="145" t="n"/>
      <c r="K580" s="145" t="n"/>
      <c r="L580" s="145" t="n"/>
      <c r="M580" s="145" t="n"/>
      <c r="N580" s="145" t="n"/>
      <c r="O580" s="140" t="n"/>
      <c r="P580" s="140" t="n"/>
      <c r="Q580" s="140" t="n"/>
      <c r="R580" s="140" t="n"/>
      <c r="S580" s="140" t="n"/>
      <c r="T580" s="141" t="n"/>
      <c r="U580" s="129" t="n"/>
      <c r="V580" s="129" t="n"/>
      <c r="W580" s="145" t="n"/>
      <c r="X580" s="145" t="n"/>
      <c r="Y580" s="145" t="n"/>
      <c r="Z580" s="145" t="n"/>
    </row>
    <row r="581" ht="45.75" customHeight="1" s="222">
      <c r="A581" s="145" t="n"/>
      <c r="B581" s="145" t="n"/>
      <c r="C581" s="145" t="n"/>
      <c r="D581" s="145" t="n"/>
      <c r="E581" s="145" t="n"/>
      <c r="F581" s="145" t="n"/>
      <c r="G581" s="145" t="n"/>
      <c r="H581" s="145" t="n"/>
      <c r="I581" s="145" t="n"/>
      <c r="J581" s="145" t="n"/>
      <c r="K581" s="145" t="n"/>
      <c r="L581" s="145" t="n"/>
      <c r="M581" s="145" t="n"/>
      <c r="N581" s="145" t="n"/>
      <c r="O581" s="140" t="n"/>
      <c r="P581" s="140" t="n"/>
      <c r="Q581" s="140" t="n"/>
      <c r="R581" s="140" t="n"/>
      <c r="S581" s="140" t="n"/>
      <c r="T581" s="141" t="n"/>
      <c r="U581" s="129" t="n"/>
      <c r="V581" s="129" t="n"/>
      <c r="W581" s="145" t="n"/>
      <c r="X581" s="145" t="n"/>
      <c r="Y581" s="145" t="n"/>
      <c r="Z581" s="145" t="n"/>
    </row>
    <row r="582" ht="45.75" customHeight="1" s="222">
      <c r="A582" s="145" t="n"/>
      <c r="B582" s="145" t="n"/>
      <c r="C582" s="145" t="n"/>
      <c r="D582" s="145" t="n"/>
      <c r="E582" s="145" t="n"/>
      <c r="F582" s="145" t="n"/>
      <c r="G582" s="145" t="n"/>
      <c r="H582" s="145" t="n"/>
      <c r="I582" s="145" t="n"/>
      <c r="J582" s="145" t="n"/>
      <c r="K582" s="145" t="n"/>
      <c r="L582" s="145" t="n"/>
      <c r="M582" s="145" t="n"/>
      <c r="N582" s="145" t="n"/>
      <c r="O582" s="140" t="n"/>
      <c r="P582" s="140" t="n"/>
      <c r="Q582" s="140" t="n"/>
      <c r="R582" s="140" t="n"/>
      <c r="S582" s="140" t="n"/>
      <c r="T582" s="141" t="n"/>
      <c r="U582" s="129" t="n"/>
      <c r="V582" s="129" t="n"/>
      <c r="W582" s="145" t="n"/>
      <c r="X582" s="145" t="n"/>
      <c r="Y582" s="145" t="n"/>
      <c r="Z582" s="145" t="n"/>
    </row>
    <row r="583" ht="45.75" customHeight="1" s="222">
      <c r="A583" s="145" t="n"/>
      <c r="B583" s="145" t="n"/>
      <c r="C583" s="145" t="n"/>
      <c r="D583" s="145" t="n"/>
      <c r="E583" s="145" t="n"/>
      <c r="F583" s="145" t="n"/>
      <c r="G583" s="145" t="n"/>
      <c r="H583" s="145" t="n"/>
      <c r="I583" s="145" t="n"/>
      <c r="J583" s="145" t="n"/>
      <c r="K583" s="145" t="n"/>
      <c r="L583" s="145" t="n"/>
      <c r="M583" s="145" t="n"/>
      <c r="N583" s="145" t="n"/>
      <c r="O583" s="140" t="n"/>
      <c r="P583" s="140" t="n"/>
      <c r="Q583" s="140" t="n"/>
      <c r="R583" s="140" t="n"/>
      <c r="S583" s="140" t="n"/>
      <c r="T583" s="141" t="n"/>
      <c r="U583" s="129" t="n"/>
      <c r="V583" s="129" t="n"/>
      <c r="W583" s="145" t="n"/>
      <c r="X583" s="145" t="n"/>
      <c r="Y583" s="145" t="n"/>
      <c r="Z583" s="145" t="n"/>
    </row>
    <row r="584" ht="45.75" customHeight="1" s="222">
      <c r="A584" s="145" t="n"/>
      <c r="B584" s="145" t="n"/>
      <c r="C584" s="145" t="n"/>
      <c r="D584" s="145" t="n"/>
      <c r="E584" s="145" t="n"/>
      <c r="F584" s="145" t="n"/>
      <c r="G584" s="145" t="n"/>
      <c r="H584" s="145" t="n"/>
      <c r="I584" s="145" t="n"/>
      <c r="J584" s="145" t="n"/>
      <c r="K584" s="145" t="n"/>
      <c r="L584" s="145" t="n"/>
      <c r="M584" s="145" t="n"/>
      <c r="N584" s="145" t="n"/>
      <c r="O584" s="140" t="n"/>
      <c r="P584" s="140" t="n"/>
      <c r="Q584" s="140" t="n"/>
      <c r="R584" s="140" t="n"/>
      <c r="S584" s="140" t="n"/>
      <c r="T584" s="141" t="n"/>
      <c r="U584" s="129" t="n"/>
      <c r="V584" s="129" t="n"/>
      <c r="W584" s="145" t="n"/>
      <c r="X584" s="145" t="n"/>
      <c r="Y584" s="145" t="n"/>
      <c r="Z584" s="145" t="n"/>
    </row>
    <row r="585" ht="45.75" customHeight="1" s="222">
      <c r="A585" s="145" t="n"/>
      <c r="B585" s="145" t="n"/>
      <c r="C585" s="145" t="n"/>
      <c r="D585" s="145" t="n"/>
      <c r="E585" s="145" t="n"/>
      <c r="F585" s="145" t="n"/>
      <c r="G585" s="145" t="n"/>
      <c r="H585" s="145" t="n"/>
      <c r="I585" s="145" t="n"/>
      <c r="J585" s="145" t="n"/>
      <c r="K585" s="145" t="n"/>
      <c r="L585" s="145" t="n"/>
      <c r="M585" s="145" t="n"/>
      <c r="N585" s="145" t="n"/>
      <c r="O585" s="140" t="n"/>
      <c r="P585" s="140" t="n"/>
      <c r="Q585" s="140" t="n"/>
      <c r="R585" s="140" t="n"/>
      <c r="S585" s="140" t="n"/>
      <c r="T585" s="141" t="n"/>
      <c r="U585" s="129" t="n"/>
      <c r="V585" s="129" t="n"/>
      <c r="W585" s="145" t="n"/>
      <c r="X585" s="145" t="n"/>
      <c r="Y585" s="145" t="n"/>
      <c r="Z585" s="145" t="n"/>
    </row>
    <row r="586" ht="45.75" customHeight="1" s="222">
      <c r="A586" s="145" t="n"/>
      <c r="B586" s="145" t="n"/>
      <c r="C586" s="145" t="n"/>
      <c r="D586" s="145" t="n"/>
      <c r="E586" s="145" t="n"/>
      <c r="F586" s="145" t="n"/>
      <c r="G586" s="145" t="n"/>
      <c r="H586" s="145" t="n"/>
      <c r="I586" s="145" t="n"/>
      <c r="J586" s="145" t="n"/>
      <c r="K586" s="145" t="n"/>
      <c r="L586" s="145" t="n"/>
      <c r="M586" s="145" t="n"/>
      <c r="N586" s="145" t="n"/>
      <c r="O586" s="140" t="n"/>
      <c r="P586" s="140" t="n"/>
      <c r="Q586" s="140" t="n"/>
      <c r="R586" s="140" t="n"/>
      <c r="S586" s="140" t="n"/>
      <c r="T586" s="141" t="n"/>
      <c r="U586" s="129" t="n"/>
      <c r="V586" s="129" t="n"/>
      <c r="W586" s="145" t="n"/>
      <c r="X586" s="145" t="n"/>
      <c r="Y586" s="145" t="n"/>
      <c r="Z586" s="145" t="n"/>
    </row>
    <row r="587" ht="45.75" customHeight="1" s="222">
      <c r="A587" s="145" t="n"/>
      <c r="B587" s="145" t="n"/>
      <c r="C587" s="145" t="n"/>
      <c r="D587" s="145" t="n"/>
      <c r="E587" s="145" t="n"/>
      <c r="F587" s="145" t="n"/>
      <c r="G587" s="145" t="n"/>
      <c r="H587" s="145" t="n"/>
      <c r="I587" s="145" t="n"/>
      <c r="J587" s="145" t="n"/>
      <c r="K587" s="145" t="n"/>
      <c r="L587" s="145" t="n"/>
      <c r="M587" s="145" t="n"/>
      <c r="N587" s="145" t="n"/>
      <c r="O587" s="140" t="n"/>
      <c r="P587" s="140" t="n"/>
      <c r="Q587" s="140" t="n"/>
      <c r="R587" s="140" t="n"/>
      <c r="S587" s="140" t="n"/>
      <c r="T587" s="141" t="n"/>
      <c r="U587" s="129" t="n"/>
      <c r="V587" s="129" t="n"/>
      <c r="W587" s="145" t="n"/>
      <c r="X587" s="145" t="n"/>
      <c r="Y587" s="145" t="n"/>
      <c r="Z587" s="145" t="n"/>
    </row>
    <row r="588" ht="45.75" customHeight="1" s="222">
      <c r="A588" s="145" t="n"/>
      <c r="B588" s="145" t="n"/>
      <c r="C588" s="145" t="n"/>
      <c r="D588" s="145" t="n"/>
      <c r="E588" s="145" t="n"/>
      <c r="F588" s="145" t="n"/>
      <c r="G588" s="145" t="n"/>
      <c r="H588" s="145" t="n"/>
      <c r="I588" s="145" t="n"/>
      <c r="J588" s="145" t="n"/>
      <c r="K588" s="145" t="n"/>
      <c r="L588" s="145" t="n"/>
      <c r="M588" s="145" t="n"/>
      <c r="N588" s="145" t="n"/>
      <c r="O588" s="140" t="n"/>
      <c r="P588" s="140" t="n"/>
      <c r="Q588" s="140" t="n"/>
      <c r="R588" s="140" t="n"/>
      <c r="S588" s="140" t="n"/>
      <c r="T588" s="141" t="n"/>
      <c r="U588" s="129" t="n"/>
      <c r="V588" s="129" t="n"/>
      <c r="W588" s="145" t="n"/>
      <c r="X588" s="145" t="n"/>
      <c r="Y588" s="145" t="n"/>
      <c r="Z588" s="145" t="n"/>
    </row>
    <row r="589" ht="45.75" customHeight="1" s="222">
      <c r="A589" s="145" t="n"/>
      <c r="B589" s="145" t="n"/>
      <c r="C589" s="145" t="n"/>
      <c r="D589" s="145" t="n"/>
      <c r="E589" s="145" t="n"/>
      <c r="F589" s="145" t="n"/>
      <c r="G589" s="145" t="n"/>
      <c r="H589" s="145" t="n"/>
      <c r="I589" s="145" t="n"/>
      <c r="J589" s="145" t="n"/>
      <c r="K589" s="145" t="n"/>
      <c r="L589" s="145" t="n"/>
      <c r="M589" s="145" t="n"/>
      <c r="N589" s="145" t="n"/>
      <c r="O589" s="140" t="n"/>
      <c r="P589" s="140" t="n"/>
      <c r="Q589" s="140" t="n"/>
      <c r="R589" s="140" t="n"/>
      <c r="S589" s="140" t="n"/>
      <c r="T589" s="141" t="n"/>
      <c r="U589" s="129" t="n"/>
      <c r="V589" s="129" t="n"/>
      <c r="W589" s="145" t="n"/>
      <c r="X589" s="145" t="n"/>
      <c r="Y589" s="145" t="n"/>
      <c r="Z589" s="145" t="n"/>
    </row>
    <row r="590" ht="45.75" customHeight="1" s="222">
      <c r="A590" s="145" t="n"/>
      <c r="B590" s="145" t="n"/>
      <c r="C590" s="145" t="n"/>
      <c r="D590" s="145" t="n"/>
      <c r="E590" s="145" t="n"/>
      <c r="F590" s="145" t="n"/>
      <c r="G590" s="145" t="n"/>
      <c r="H590" s="145" t="n"/>
      <c r="I590" s="145" t="n"/>
      <c r="J590" s="145" t="n"/>
      <c r="K590" s="145" t="n"/>
      <c r="L590" s="145" t="n"/>
      <c r="M590" s="145" t="n"/>
      <c r="N590" s="145" t="n"/>
      <c r="O590" s="140" t="n"/>
      <c r="P590" s="140" t="n"/>
      <c r="Q590" s="140" t="n"/>
      <c r="R590" s="140" t="n"/>
      <c r="S590" s="140" t="n"/>
      <c r="T590" s="141" t="n"/>
      <c r="U590" s="129" t="n"/>
      <c r="V590" s="129" t="n"/>
      <c r="W590" s="145" t="n"/>
      <c r="X590" s="145" t="n"/>
      <c r="Y590" s="145" t="n"/>
      <c r="Z590" s="145" t="n"/>
    </row>
    <row r="591" ht="45.75" customHeight="1" s="222">
      <c r="A591" s="145" t="n"/>
      <c r="B591" s="145" t="n"/>
      <c r="C591" s="145" t="n"/>
      <c r="D591" s="145" t="n"/>
      <c r="E591" s="145" t="n"/>
      <c r="F591" s="145" t="n"/>
      <c r="G591" s="145" t="n"/>
      <c r="H591" s="145" t="n"/>
      <c r="I591" s="145" t="n"/>
      <c r="J591" s="145" t="n"/>
      <c r="K591" s="145" t="n"/>
      <c r="L591" s="145" t="n"/>
      <c r="M591" s="145" t="n"/>
      <c r="N591" s="145" t="n"/>
      <c r="O591" s="140" t="n"/>
      <c r="P591" s="140" t="n"/>
      <c r="Q591" s="140" t="n"/>
      <c r="R591" s="140" t="n"/>
      <c r="S591" s="140" t="n"/>
      <c r="T591" s="141" t="n"/>
      <c r="U591" s="129" t="n"/>
      <c r="V591" s="129" t="n"/>
      <c r="W591" s="145" t="n"/>
      <c r="X591" s="145" t="n"/>
      <c r="Y591" s="145" t="n"/>
      <c r="Z591" s="145" t="n"/>
    </row>
    <row r="592" ht="45.75" customHeight="1" s="222">
      <c r="A592" s="145" t="n"/>
      <c r="B592" s="145" t="n"/>
      <c r="C592" s="145" t="n"/>
      <c r="D592" s="145" t="n"/>
      <c r="E592" s="145" t="n"/>
      <c r="F592" s="145" t="n"/>
      <c r="G592" s="145" t="n"/>
      <c r="H592" s="145" t="n"/>
      <c r="I592" s="145" t="n"/>
      <c r="J592" s="145" t="n"/>
      <c r="K592" s="145" t="n"/>
      <c r="L592" s="145" t="n"/>
      <c r="M592" s="145" t="n"/>
      <c r="N592" s="145" t="n"/>
      <c r="O592" s="140" t="n"/>
      <c r="P592" s="140" t="n"/>
      <c r="Q592" s="140" t="n"/>
      <c r="R592" s="140" t="n"/>
      <c r="S592" s="140" t="n"/>
      <c r="T592" s="141" t="n"/>
      <c r="U592" s="129" t="n"/>
      <c r="V592" s="129" t="n"/>
      <c r="W592" s="145" t="n"/>
      <c r="X592" s="145" t="n"/>
      <c r="Y592" s="145" t="n"/>
      <c r="Z592" s="145" t="n"/>
    </row>
    <row r="593" ht="45.75" customHeight="1" s="222">
      <c r="A593" s="145" t="n"/>
      <c r="B593" s="145" t="n"/>
      <c r="C593" s="145" t="n"/>
      <c r="D593" s="145" t="n"/>
      <c r="E593" s="145" t="n"/>
      <c r="F593" s="145" t="n"/>
      <c r="G593" s="145" t="n"/>
      <c r="H593" s="145" t="n"/>
      <c r="I593" s="145" t="n"/>
      <c r="J593" s="145" t="n"/>
      <c r="K593" s="145" t="n"/>
      <c r="L593" s="145" t="n"/>
      <c r="M593" s="145" t="n"/>
      <c r="N593" s="145" t="n"/>
      <c r="O593" s="140" t="n"/>
      <c r="P593" s="140" t="n"/>
      <c r="Q593" s="140" t="n"/>
      <c r="R593" s="140" t="n"/>
      <c r="S593" s="140" t="n"/>
      <c r="T593" s="141" t="n"/>
      <c r="U593" s="129" t="n"/>
      <c r="V593" s="129" t="n"/>
      <c r="W593" s="145" t="n"/>
      <c r="X593" s="145" t="n"/>
      <c r="Y593" s="145" t="n"/>
      <c r="Z593" s="145" t="n"/>
    </row>
    <row r="594" ht="45.75" customHeight="1" s="222">
      <c r="A594" s="145" t="n"/>
      <c r="B594" s="145" t="n"/>
      <c r="C594" s="145" t="n"/>
      <c r="D594" s="145" t="n"/>
      <c r="E594" s="145" t="n"/>
      <c r="F594" s="145" t="n"/>
      <c r="G594" s="145" t="n"/>
      <c r="H594" s="145" t="n"/>
      <c r="I594" s="145" t="n"/>
      <c r="J594" s="145" t="n"/>
      <c r="K594" s="145" t="n"/>
      <c r="L594" s="145" t="n"/>
      <c r="M594" s="145" t="n"/>
      <c r="N594" s="145" t="n"/>
      <c r="O594" s="140" t="n"/>
      <c r="P594" s="140" t="n"/>
      <c r="Q594" s="140" t="n"/>
      <c r="R594" s="140" t="n"/>
      <c r="S594" s="140" t="n"/>
      <c r="T594" s="141" t="n"/>
      <c r="U594" s="129" t="n"/>
      <c r="V594" s="129" t="n"/>
      <c r="W594" s="145" t="n"/>
      <c r="X594" s="145" t="n"/>
      <c r="Y594" s="145" t="n"/>
      <c r="Z594" s="145" t="n"/>
    </row>
    <row r="595" ht="45.75" customHeight="1" s="222">
      <c r="A595" s="145" t="n"/>
      <c r="B595" s="145" t="n"/>
      <c r="C595" s="145" t="n"/>
      <c r="D595" s="145" t="n"/>
      <c r="E595" s="145" t="n"/>
      <c r="F595" s="145" t="n"/>
      <c r="G595" s="145" t="n"/>
      <c r="H595" s="145" t="n"/>
      <c r="I595" s="145" t="n"/>
      <c r="J595" s="145" t="n"/>
      <c r="K595" s="145" t="n"/>
      <c r="L595" s="145" t="n"/>
      <c r="M595" s="145" t="n"/>
      <c r="N595" s="145" t="n"/>
      <c r="O595" s="140" t="n"/>
      <c r="P595" s="140" t="n"/>
      <c r="Q595" s="140" t="n"/>
      <c r="R595" s="140" t="n"/>
      <c r="S595" s="140" t="n"/>
      <c r="T595" s="141" t="n"/>
      <c r="U595" s="129" t="n"/>
      <c r="V595" s="129" t="n"/>
      <c r="W595" s="145" t="n"/>
      <c r="X595" s="145" t="n"/>
      <c r="Y595" s="145" t="n"/>
      <c r="Z595" s="145" t="n"/>
    </row>
    <row r="596" ht="45.75" customHeight="1" s="222">
      <c r="A596" s="145" t="n"/>
      <c r="B596" s="145" t="n"/>
      <c r="C596" s="145" t="n"/>
      <c r="D596" s="145" t="n"/>
      <c r="E596" s="145" t="n"/>
      <c r="F596" s="145" t="n"/>
      <c r="G596" s="145" t="n"/>
      <c r="H596" s="145" t="n"/>
      <c r="I596" s="145" t="n"/>
      <c r="J596" s="145" t="n"/>
      <c r="K596" s="145" t="n"/>
      <c r="L596" s="145" t="n"/>
      <c r="M596" s="145" t="n"/>
      <c r="N596" s="145" t="n"/>
      <c r="O596" s="140" t="n"/>
      <c r="P596" s="140" t="n"/>
      <c r="Q596" s="140" t="n"/>
      <c r="R596" s="140" t="n"/>
      <c r="S596" s="140" t="n"/>
      <c r="T596" s="141" t="n"/>
      <c r="U596" s="129" t="n"/>
      <c r="V596" s="129" t="n"/>
      <c r="W596" s="145" t="n"/>
      <c r="X596" s="145" t="n"/>
      <c r="Y596" s="145" t="n"/>
      <c r="Z596" s="145" t="n"/>
    </row>
    <row r="597" ht="45.75" customHeight="1" s="222">
      <c r="A597" s="145" t="n"/>
      <c r="B597" s="145" t="n"/>
      <c r="C597" s="145" t="n"/>
      <c r="D597" s="145" t="n"/>
      <c r="E597" s="145" t="n"/>
      <c r="F597" s="145" t="n"/>
      <c r="G597" s="145" t="n"/>
      <c r="H597" s="145" t="n"/>
      <c r="I597" s="145" t="n"/>
      <c r="J597" s="145" t="n"/>
      <c r="K597" s="145" t="n"/>
      <c r="L597" s="145" t="n"/>
      <c r="M597" s="145" t="n"/>
      <c r="N597" s="145" t="n"/>
      <c r="O597" s="140" t="n"/>
      <c r="P597" s="140" t="n"/>
      <c r="Q597" s="140" t="n"/>
      <c r="R597" s="140" t="n"/>
      <c r="S597" s="140" t="n"/>
      <c r="T597" s="141" t="n"/>
      <c r="U597" s="129" t="n"/>
      <c r="V597" s="129" t="n"/>
      <c r="W597" s="145" t="n"/>
      <c r="X597" s="145" t="n"/>
      <c r="Y597" s="145" t="n"/>
      <c r="Z597" s="145" t="n"/>
    </row>
    <row r="598" ht="45.75" customHeight="1" s="222">
      <c r="A598" s="145" t="n"/>
      <c r="B598" s="145" t="n"/>
      <c r="C598" s="145" t="n"/>
      <c r="D598" s="145" t="n"/>
      <c r="E598" s="145" t="n"/>
      <c r="F598" s="145" t="n"/>
      <c r="G598" s="145" t="n"/>
      <c r="H598" s="145" t="n"/>
      <c r="I598" s="145" t="n"/>
      <c r="J598" s="145" t="n"/>
      <c r="K598" s="145" t="n"/>
      <c r="L598" s="145" t="n"/>
      <c r="M598" s="145" t="n"/>
      <c r="N598" s="145" t="n"/>
      <c r="O598" s="140" t="n"/>
      <c r="P598" s="140" t="n"/>
      <c r="Q598" s="140" t="n"/>
      <c r="R598" s="140" t="n"/>
      <c r="S598" s="140" t="n"/>
      <c r="T598" s="141" t="n"/>
      <c r="U598" s="129" t="n"/>
      <c r="V598" s="129" t="n"/>
      <c r="W598" s="145" t="n"/>
      <c r="X598" s="145" t="n"/>
      <c r="Y598" s="145" t="n"/>
      <c r="Z598" s="145" t="n"/>
    </row>
    <row r="599" ht="45.75" customHeight="1" s="222">
      <c r="A599" s="145" t="n"/>
      <c r="B599" s="145" t="n"/>
      <c r="C599" s="145" t="n"/>
      <c r="D599" s="145" t="n"/>
      <c r="E599" s="145" t="n"/>
      <c r="F599" s="145" t="n"/>
      <c r="G599" s="145" t="n"/>
      <c r="H599" s="145" t="n"/>
      <c r="I599" s="145" t="n"/>
      <c r="J599" s="145" t="n"/>
      <c r="K599" s="145" t="n"/>
      <c r="L599" s="145" t="n"/>
      <c r="M599" s="145" t="n"/>
      <c r="N599" s="145" t="n"/>
      <c r="O599" s="140" t="n"/>
      <c r="P599" s="140" t="n"/>
      <c r="Q599" s="140" t="n"/>
      <c r="R599" s="140" t="n"/>
      <c r="S599" s="140" t="n"/>
      <c r="T599" s="141" t="n"/>
      <c r="U599" s="129" t="n"/>
      <c r="V599" s="129" t="n"/>
      <c r="W599" s="145" t="n"/>
      <c r="X599" s="145" t="n"/>
      <c r="Y599" s="145" t="n"/>
      <c r="Z599" s="145" t="n"/>
    </row>
    <row r="600" ht="45.75" customHeight="1" s="222">
      <c r="A600" s="145" t="n"/>
      <c r="B600" s="145" t="n"/>
      <c r="C600" s="145" t="n"/>
      <c r="D600" s="145" t="n"/>
      <c r="E600" s="145" t="n"/>
      <c r="F600" s="145" t="n"/>
      <c r="G600" s="145" t="n"/>
      <c r="H600" s="145" t="n"/>
      <c r="I600" s="145" t="n"/>
      <c r="J600" s="145" t="n"/>
      <c r="K600" s="145" t="n"/>
      <c r="L600" s="145" t="n"/>
      <c r="M600" s="145" t="n"/>
      <c r="N600" s="145" t="n"/>
      <c r="O600" s="140" t="n"/>
      <c r="P600" s="140" t="n"/>
      <c r="Q600" s="140" t="n"/>
      <c r="R600" s="140" t="n"/>
      <c r="S600" s="140" t="n"/>
      <c r="T600" s="141" t="n"/>
      <c r="U600" s="129" t="n"/>
      <c r="V600" s="129" t="n"/>
      <c r="W600" s="145" t="n"/>
      <c r="X600" s="145" t="n"/>
      <c r="Y600" s="145" t="n"/>
      <c r="Z600" s="145" t="n"/>
    </row>
    <row r="601" ht="45.75" customHeight="1" s="222">
      <c r="A601" s="145" t="n"/>
      <c r="B601" s="145" t="n"/>
      <c r="C601" s="145" t="n"/>
      <c r="D601" s="145" t="n"/>
      <c r="E601" s="145" t="n"/>
      <c r="F601" s="145" t="n"/>
      <c r="G601" s="145" t="n"/>
      <c r="H601" s="145" t="n"/>
      <c r="I601" s="145" t="n"/>
      <c r="J601" s="145" t="n"/>
      <c r="K601" s="145" t="n"/>
      <c r="L601" s="145" t="n"/>
      <c r="M601" s="145" t="n"/>
      <c r="N601" s="145" t="n"/>
      <c r="O601" s="140" t="n"/>
      <c r="P601" s="140" t="n"/>
      <c r="Q601" s="140" t="n"/>
      <c r="R601" s="140" t="n"/>
      <c r="S601" s="140" t="n"/>
      <c r="T601" s="141" t="n"/>
      <c r="U601" s="129" t="n"/>
      <c r="V601" s="129" t="n"/>
      <c r="W601" s="145" t="n"/>
      <c r="X601" s="145" t="n"/>
      <c r="Y601" s="145" t="n"/>
      <c r="Z601" s="145" t="n"/>
    </row>
    <row r="602" ht="45.75" customHeight="1" s="222">
      <c r="A602" s="145" t="n"/>
      <c r="B602" s="145" t="n"/>
      <c r="C602" s="145" t="n"/>
      <c r="D602" s="145" t="n"/>
      <c r="E602" s="145" t="n"/>
      <c r="F602" s="145" t="n"/>
      <c r="G602" s="145" t="n"/>
      <c r="H602" s="145" t="n"/>
      <c r="I602" s="145" t="n"/>
      <c r="J602" s="145" t="n"/>
      <c r="K602" s="145" t="n"/>
      <c r="L602" s="145" t="n"/>
      <c r="M602" s="145" t="n"/>
      <c r="N602" s="145" t="n"/>
      <c r="O602" s="140" t="n"/>
      <c r="P602" s="140" t="n"/>
      <c r="Q602" s="140" t="n"/>
      <c r="R602" s="140" t="n"/>
      <c r="S602" s="140" t="n"/>
      <c r="T602" s="141" t="n"/>
      <c r="U602" s="129" t="n"/>
      <c r="V602" s="129" t="n"/>
      <c r="W602" s="145" t="n"/>
      <c r="X602" s="145" t="n"/>
      <c r="Y602" s="145" t="n"/>
      <c r="Z602" s="145" t="n"/>
    </row>
    <row r="603" ht="45.75" customHeight="1" s="222">
      <c r="A603" s="145" t="n"/>
      <c r="B603" s="145" t="n"/>
      <c r="C603" s="145" t="n"/>
      <c r="D603" s="145" t="n"/>
      <c r="E603" s="145" t="n"/>
      <c r="F603" s="145" t="n"/>
      <c r="G603" s="145" t="n"/>
      <c r="H603" s="145" t="n"/>
      <c r="I603" s="145" t="n"/>
      <c r="J603" s="145" t="n"/>
      <c r="K603" s="145" t="n"/>
      <c r="L603" s="145" t="n"/>
      <c r="M603" s="145" t="n"/>
      <c r="N603" s="145" t="n"/>
      <c r="O603" s="140" t="n"/>
      <c r="P603" s="140" t="n"/>
      <c r="Q603" s="140" t="n"/>
      <c r="R603" s="140" t="n"/>
      <c r="S603" s="140" t="n"/>
      <c r="T603" s="141" t="n"/>
      <c r="U603" s="129" t="n"/>
      <c r="V603" s="129" t="n"/>
      <c r="W603" s="145" t="n"/>
      <c r="X603" s="145" t="n"/>
      <c r="Y603" s="145" t="n"/>
      <c r="Z603" s="145" t="n"/>
    </row>
    <row r="604" ht="45.75" customHeight="1" s="222">
      <c r="A604" s="145" t="n"/>
      <c r="B604" s="145" t="n"/>
      <c r="C604" s="145" t="n"/>
      <c r="D604" s="145" t="n"/>
      <c r="E604" s="145" t="n"/>
      <c r="F604" s="145" t="n"/>
      <c r="G604" s="145" t="n"/>
      <c r="H604" s="145" t="n"/>
      <c r="I604" s="145" t="n"/>
      <c r="J604" s="145" t="n"/>
      <c r="K604" s="145" t="n"/>
      <c r="L604" s="145" t="n"/>
      <c r="M604" s="145" t="n"/>
      <c r="N604" s="145" t="n"/>
      <c r="O604" s="140" t="n"/>
      <c r="P604" s="140" t="n"/>
      <c r="Q604" s="140" t="n"/>
      <c r="R604" s="140" t="n"/>
      <c r="S604" s="140" t="n"/>
      <c r="T604" s="141" t="n"/>
      <c r="U604" s="129" t="n"/>
      <c r="V604" s="129" t="n"/>
      <c r="W604" s="145" t="n"/>
      <c r="X604" s="145" t="n"/>
      <c r="Y604" s="145" t="n"/>
      <c r="Z604" s="145" t="n"/>
    </row>
    <row r="605" ht="45.75" customHeight="1" s="222">
      <c r="A605" s="145" t="n"/>
      <c r="B605" s="145" t="n"/>
      <c r="C605" s="145" t="n"/>
      <c r="D605" s="145" t="n"/>
      <c r="E605" s="145" t="n"/>
      <c r="F605" s="145" t="n"/>
      <c r="G605" s="145" t="n"/>
      <c r="H605" s="145" t="n"/>
      <c r="I605" s="145" t="n"/>
      <c r="J605" s="145" t="n"/>
      <c r="K605" s="145" t="n"/>
      <c r="L605" s="145" t="n"/>
      <c r="M605" s="145" t="n"/>
      <c r="N605" s="145" t="n"/>
      <c r="O605" s="140" t="n"/>
      <c r="P605" s="140" t="n"/>
      <c r="Q605" s="140" t="n"/>
      <c r="R605" s="140" t="n"/>
      <c r="S605" s="140" t="n"/>
      <c r="T605" s="141" t="n"/>
      <c r="U605" s="129" t="n"/>
      <c r="V605" s="129" t="n"/>
      <c r="W605" s="145" t="n"/>
      <c r="X605" s="145" t="n"/>
      <c r="Y605" s="145" t="n"/>
      <c r="Z605" s="145" t="n"/>
    </row>
    <row r="606" ht="45.75" customHeight="1" s="222">
      <c r="A606" s="145" t="n"/>
      <c r="B606" s="145" t="n"/>
      <c r="C606" s="145" t="n"/>
      <c r="D606" s="145" t="n"/>
      <c r="E606" s="145" t="n"/>
      <c r="F606" s="145" t="n"/>
      <c r="G606" s="145" t="n"/>
      <c r="H606" s="145" t="n"/>
      <c r="I606" s="145" t="n"/>
      <c r="J606" s="145" t="n"/>
      <c r="K606" s="145" t="n"/>
      <c r="L606" s="145" t="n"/>
      <c r="M606" s="145" t="n"/>
      <c r="N606" s="145" t="n"/>
      <c r="O606" s="140" t="n"/>
      <c r="P606" s="140" t="n"/>
      <c r="Q606" s="140" t="n"/>
      <c r="R606" s="140" t="n"/>
      <c r="S606" s="140" t="n"/>
      <c r="T606" s="141" t="n"/>
      <c r="U606" s="129" t="n"/>
      <c r="V606" s="129" t="n"/>
      <c r="W606" s="145" t="n"/>
      <c r="X606" s="145" t="n"/>
      <c r="Y606" s="145" t="n"/>
      <c r="Z606" s="145" t="n"/>
    </row>
    <row r="607" ht="45.75" customHeight="1" s="222">
      <c r="A607" s="145" t="n"/>
      <c r="B607" s="145" t="n"/>
      <c r="C607" s="145" t="n"/>
      <c r="D607" s="145" t="n"/>
      <c r="E607" s="145" t="n"/>
      <c r="F607" s="145" t="n"/>
      <c r="G607" s="145" t="n"/>
      <c r="H607" s="145" t="n"/>
      <c r="I607" s="145" t="n"/>
      <c r="J607" s="145" t="n"/>
      <c r="K607" s="145" t="n"/>
      <c r="L607" s="145" t="n"/>
      <c r="M607" s="145" t="n"/>
      <c r="N607" s="145" t="n"/>
      <c r="O607" s="140" t="n"/>
      <c r="P607" s="140" t="n"/>
      <c r="Q607" s="140" t="n"/>
      <c r="R607" s="140" t="n"/>
      <c r="S607" s="140" t="n"/>
      <c r="T607" s="141" t="n"/>
      <c r="U607" s="129" t="n"/>
      <c r="V607" s="129" t="n"/>
      <c r="W607" s="145" t="n"/>
      <c r="X607" s="145" t="n"/>
      <c r="Y607" s="145" t="n"/>
      <c r="Z607" s="145" t="n"/>
    </row>
    <row r="608" ht="45.75" customHeight="1" s="222">
      <c r="A608" s="145" t="n"/>
      <c r="B608" s="145" t="n"/>
      <c r="C608" s="145" t="n"/>
      <c r="D608" s="145" t="n"/>
      <c r="E608" s="145" t="n"/>
      <c r="F608" s="145" t="n"/>
      <c r="G608" s="145" t="n"/>
      <c r="H608" s="145" t="n"/>
      <c r="I608" s="145" t="n"/>
      <c r="J608" s="145" t="n"/>
      <c r="K608" s="145" t="n"/>
      <c r="L608" s="145" t="n"/>
      <c r="M608" s="145" t="n"/>
      <c r="N608" s="145" t="n"/>
      <c r="O608" s="140" t="n"/>
      <c r="P608" s="140" t="n"/>
      <c r="Q608" s="140" t="n"/>
      <c r="R608" s="140" t="n"/>
      <c r="S608" s="140" t="n"/>
      <c r="T608" s="141" t="n"/>
      <c r="U608" s="129" t="n"/>
      <c r="V608" s="129" t="n"/>
      <c r="W608" s="145" t="n"/>
      <c r="X608" s="145" t="n"/>
      <c r="Y608" s="145" t="n"/>
      <c r="Z608" s="145" t="n"/>
    </row>
    <row r="609" ht="45.75" customHeight="1" s="222">
      <c r="A609" s="145" t="n"/>
      <c r="B609" s="145" t="n"/>
      <c r="C609" s="145" t="n"/>
      <c r="D609" s="145" t="n"/>
      <c r="E609" s="145" t="n"/>
      <c r="F609" s="145" t="n"/>
      <c r="G609" s="145" t="n"/>
      <c r="H609" s="145" t="n"/>
      <c r="I609" s="145" t="n"/>
      <c r="J609" s="145" t="n"/>
      <c r="K609" s="145" t="n"/>
      <c r="L609" s="145" t="n"/>
      <c r="M609" s="145" t="n"/>
      <c r="N609" s="145" t="n"/>
      <c r="O609" s="140" t="n"/>
      <c r="P609" s="140" t="n"/>
      <c r="Q609" s="140" t="n"/>
      <c r="R609" s="140" t="n"/>
      <c r="S609" s="140" t="n"/>
      <c r="T609" s="141" t="n"/>
      <c r="U609" s="129" t="n"/>
      <c r="V609" s="129" t="n"/>
      <c r="W609" s="145" t="n"/>
      <c r="X609" s="145" t="n"/>
      <c r="Y609" s="145" t="n"/>
      <c r="Z609" s="145" t="n"/>
    </row>
    <row r="610" ht="45.75" customHeight="1" s="222">
      <c r="A610" s="145" t="n"/>
      <c r="B610" s="145" t="n"/>
      <c r="C610" s="145" t="n"/>
      <c r="D610" s="145" t="n"/>
      <c r="E610" s="145" t="n"/>
      <c r="F610" s="145" t="n"/>
      <c r="G610" s="145" t="n"/>
      <c r="H610" s="145" t="n"/>
      <c r="I610" s="145" t="n"/>
      <c r="J610" s="145" t="n"/>
      <c r="K610" s="145" t="n"/>
      <c r="L610" s="145" t="n"/>
      <c r="M610" s="145" t="n"/>
      <c r="N610" s="145" t="n"/>
      <c r="O610" s="140" t="n"/>
      <c r="P610" s="140" t="n"/>
      <c r="Q610" s="140" t="n"/>
      <c r="R610" s="140" t="n"/>
      <c r="S610" s="140" t="n"/>
      <c r="T610" s="141" t="n"/>
      <c r="U610" s="129" t="n"/>
      <c r="V610" s="129" t="n"/>
      <c r="W610" s="145" t="n"/>
      <c r="X610" s="145" t="n"/>
      <c r="Y610" s="145" t="n"/>
      <c r="Z610" s="145" t="n"/>
    </row>
    <row r="611" ht="45.75" customHeight="1" s="222">
      <c r="A611" s="145" t="n"/>
      <c r="B611" s="145" t="n"/>
      <c r="C611" s="145" t="n"/>
      <c r="D611" s="145" t="n"/>
      <c r="E611" s="145" t="n"/>
      <c r="F611" s="145" t="n"/>
      <c r="G611" s="145" t="n"/>
      <c r="H611" s="145" t="n"/>
      <c r="I611" s="145" t="n"/>
      <c r="J611" s="145" t="n"/>
      <c r="K611" s="145" t="n"/>
      <c r="L611" s="145" t="n"/>
      <c r="M611" s="145" t="n"/>
      <c r="N611" s="145" t="n"/>
      <c r="O611" s="140" t="n"/>
      <c r="P611" s="140" t="n"/>
      <c r="Q611" s="140" t="n"/>
      <c r="R611" s="140" t="n"/>
      <c r="S611" s="140" t="n"/>
      <c r="T611" s="141" t="n"/>
      <c r="U611" s="129" t="n"/>
      <c r="V611" s="129" t="n"/>
      <c r="W611" s="145" t="n"/>
      <c r="X611" s="145" t="n"/>
      <c r="Y611" s="145" t="n"/>
      <c r="Z611" s="145" t="n"/>
    </row>
    <row r="612" ht="45.75" customHeight="1" s="222">
      <c r="A612" s="145" t="n"/>
      <c r="B612" s="145" t="n"/>
      <c r="C612" s="145" t="n"/>
      <c r="D612" s="145" t="n"/>
      <c r="E612" s="145" t="n"/>
      <c r="F612" s="145" t="n"/>
      <c r="G612" s="145" t="n"/>
      <c r="H612" s="145" t="n"/>
      <c r="I612" s="145" t="n"/>
      <c r="J612" s="145" t="n"/>
      <c r="K612" s="145" t="n"/>
      <c r="L612" s="145" t="n"/>
      <c r="M612" s="145" t="n"/>
      <c r="N612" s="145" t="n"/>
      <c r="O612" s="140" t="n"/>
      <c r="P612" s="140" t="n"/>
      <c r="Q612" s="140" t="n"/>
      <c r="R612" s="140" t="n"/>
      <c r="S612" s="140" t="n"/>
      <c r="T612" s="141" t="n"/>
      <c r="U612" s="129" t="n"/>
      <c r="V612" s="129" t="n"/>
      <c r="W612" s="145" t="n"/>
      <c r="X612" s="145" t="n"/>
      <c r="Y612" s="145" t="n"/>
      <c r="Z612" s="145" t="n"/>
    </row>
    <row r="613" ht="45.75" customHeight="1" s="222">
      <c r="A613" s="145" t="n"/>
      <c r="B613" s="145" t="n"/>
      <c r="C613" s="145" t="n"/>
      <c r="D613" s="145" t="n"/>
      <c r="E613" s="145" t="n"/>
      <c r="F613" s="145" t="n"/>
      <c r="G613" s="145" t="n"/>
      <c r="H613" s="145" t="n"/>
      <c r="I613" s="145" t="n"/>
      <c r="J613" s="145" t="n"/>
      <c r="K613" s="145" t="n"/>
      <c r="L613" s="145" t="n"/>
      <c r="M613" s="145" t="n"/>
      <c r="N613" s="145" t="n"/>
      <c r="O613" s="140" t="n"/>
      <c r="P613" s="140" t="n"/>
      <c r="Q613" s="140" t="n"/>
      <c r="R613" s="140" t="n"/>
      <c r="S613" s="140" t="n"/>
      <c r="T613" s="141" t="n"/>
      <c r="U613" s="129" t="n"/>
      <c r="V613" s="129" t="n"/>
      <c r="W613" s="145" t="n"/>
      <c r="X613" s="145" t="n"/>
      <c r="Y613" s="145" t="n"/>
      <c r="Z613" s="145" t="n"/>
    </row>
    <row r="614" ht="45.75" customHeight="1" s="222">
      <c r="A614" s="145" t="n"/>
      <c r="B614" s="145" t="n"/>
      <c r="C614" s="145" t="n"/>
      <c r="D614" s="145" t="n"/>
      <c r="E614" s="145" t="n"/>
      <c r="F614" s="145" t="n"/>
      <c r="G614" s="145" t="n"/>
      <c r="H614" s="145" t="n"/>
      <c r="I614" s="145" t="n"/>
      <c r="J614" s="145" t="n"/>
      <c r="K614" s="145" t="n"/>
      <c r="L614" s="145" t="n"/>
      <c r="M614" s="145" t="n"/>
      <c r="N614" s="145" t="n"/>
      <c r="O614" s="140" t="n"/>
      <c r="P614" s="140" t="n"/>
      <c r="Q614" s="140" t="n"/>
      <c r="R614" s="140" t="n"/>
      <c r="S614" s="140" t="n"/>
      <c r="T614" s="141" t="n"/>
      <c r="U614" s="129" t="n"/>
      <c r="V614" s="129" t="n"/>
      <c r="W614" s="145" t="n"/>
      <c r="X614" s="145" t="n"/>
      <c r="Y614" s="145" t="n"/>
      <c r="Z614" s="145" t="n"/>
    </row>
    <row r="615" ht="45.75" customHeight="1" s="222">
      <c r="A615" s="145" t="n"/>
      <c r="B615" s="145" t="n"/>
      <c r="C615" s="145" t="n"/>
      <c r="D615" s="145" t="n"/>
      <c r="E615" s="145" t="n"/>
      <c r="F615" s="145" t="n"/>
      <c r="G615" s="145" t="n"/>
      <c r="H615" s="145" t="n"/>
      <c r="I615" s="145" t="n"/>
      <c r="J615" s="145" t="n"/>
      <c r="K615" s="145" t="n"/>
      <c r="L615" s="145" t="n"/>
      <c r="M615" s="145" t="n"/>
      <c r="N615" s="145" t="n"/>
      <c r="O615" s="140" t="n"/>
      <c r="P615" s="140" t="n"/>
      <c r="Q615" s="140" t="n"/>
      <c r="R615" s="140" t="n"/>
      <c r="S615" s="140" t="n"/>
      <c r="T615" s="141" t="n"/>
      <c r="U615" s="129" t="n"/>
      <c r="V615" s="129" t="n"/>
      <c r="W615" s="145" t="n"/>
      <c r="X615" s="145" t="n"/>
      <c r="Y615" s="145" t="n"/>
      <c r="Z615" s="145" t="n"/>
    </row>
    <row r="616" ht="45.75" customHeight="1" s="222">
      <c r="A616" s="145" t="n"/>
      <c r="B616" s="145" t="n"/>
      <c r="C616" s="145" t="n"/>
      <c r="D616" s="145" t="n"/>
      <c r="E616" s="145" t="n"/>
      <c r="F616" s="145" t="n"/>
      <c r="G616" s="145" t="n"/>
      <c r="H616" s="145" t="n"/>
      <c r="I616" s="145" t="n"/>
      <c r="J616" s="145" t="n"/>
      <c r="K616" s="145" t="n"/>
      <c r="L616" s="145" t="n"/>
      <c r="M616" s="145" t="n"/>
      <c r="N616" s="145" t="n"/>
      <c r="O616" s="140" t="n"/>
      <c r="P616" s="140" t="n"/>
      <c r="Q616" s="140" t="n"/>
      <c r="R616" s="140" t="n"/>
      <c r="S616" s="140" t="n"/>
      <c r="T616" s="141" t="n"/>
      <c r="U616" s="129" t="n"/>
      <c r="V616" s="129" t="n"/>
      <c r="W616" s="145" t="n"/>
      <c r="X616" s="145" t="n"/>
      <c r="Y616" s="145" t="n"/>
      <c r="Z616" s="145" t="n"/>
    </row>
    <row r="617" ht="45.75" customHeight="1" s="222">
      <c r="A617" s="145" t="n"/>
      <c r="B617" s="145" t="n"/>
      <c r="C617" s="145" t="n"/>
      <c r="D617" s="145" t="n"/>
      <c r="E617" s="145" t="n"/>
      <c r="F617" s="145" t="n"/>
      <c r="G617" s="145" t="n"/>
      <c r="H617" s="145" t="n"/>
      <c r="I617" s="145" t="n"/>
      <c r="J617" s="145" t="n"/>
      <c r="K617" s="145" t="n"/>
      <c r="L617" s="145" t="n"/>
      <c r="M617" s="145" t="n"/>
      <c r="N617" s="145" t="n"/>
      <c r="O617" s="140" t="n"/>
      <c r="P617" s="140" t="n"/>
      <c r="Q617" s="140" t="n"/>
      <c r="R617" s="140" t="n"/>
      <c r="S617" s="140" t="n"/>
      <c r="T617" s="141" t="n"/>
      <c r="U617" s="129" t="n"/>
      <c r="V617" s="129" t="n"/>
      <c r="W617" s="145" t="n"/>
      <c r="X617" s="145" t="n"/>
      <c r="Y617" s="145" t="n"/>
      <c r="Z617" s="145" t="n"/>
    </row>
    <row r="618" ht="45.75" customHeight="1" s="222">
      <c r="A618" s="145" t="n"/>
      <c r="B618" s="145" t="n"/>
      <c r="C618" s="145" t="n"/>
      <c r="D618" s="145" t="n"/>
      <c r="E618" s="145" t="n"/>
      <c r="F618" s="145" t="n"/>
      <c r="G618" s="145" t="n"/>
      <c r="H618" s="145" t="n"/>
      <c r="I618" s="145" t="n"/>
      <c r="J618" s="145" t="n"/>
      <c r="K618" s="145" t="n"/>
      <c r="L618" s="145" t="n"/>
      <c r="M618" s="145" t="n"/>
      <c r="N618" s="145" t="n"/>
      <c r="O618" s="140" t="n"/>
      <c r="P618" s="140" t="n"/>
      <c r="Q618" s="140" t="n"/>
      <c r="R618" s="140" t="n"/>
      <c r="S618" s="140" t="n"/>
      <c r="T618" s="141" t="n"/>
      <c r="U618" s="129" t="n"/>
      <c r="V618" s="129" t="n"/>
      <c r="W618" s="145" t="n"/>
      <c r="X618" s="145" t="n"/>
      <c r="Y618" s="145" t="n"/>
      <c r="Z618" s="145" t="n"/>
    </row>
    <row r="619" ht="45.75" customHeight="1" s="222">
      <c r="A619" s="145" t="n"/>
      <c r="B619" s="145" t="n"/>
      <c r="C619" s="145" t="n"/>
      <c r="D619" s="145" t="n"/>
      <c r="E619" s="145" t="n"/>
      <c r="F619" s="145" t="n"/>
      <c r="G619" s="145" t="n"/>
      <c r="H619" s="145" t="n"/>
      <c r="I619" s="145" t="n"/>
      <c r="J619" s="145" t="n"/>
      <c r="K619" s="145" t="n"/>
      <c r="L619" s="145" t="n"/>
      <c r="M619" s="145" t="n"/>
      <c r="N619" s="145" t="n"/>
      <c r="O619" s="140" t="n"/>
      <c r="P619" s="140" t="n"/>
      <c r="Q619" s="140" t="n"/>
      <c r="R619" s="140" t="n"/>
      <c r="S619" s="140" t="n"/>
      <c r="T619" s="141" t="n"/>
      <c r="U619" s="129" t="n"/>
      <c r="V619" s="129" t="n"/>
      <c r="W619" s="145" t="n"/>
      <c r="X619" s="145" t="n"/>
      <c r="Y619" s="145" t="n"/>
      <c r="Z619" s="145" t="n"/>
    </row>
    <row r="620" ht="45.75" customHeight="1" s="222">
      <c r="A620" s="145" t="n"/>
      <c r="B620" s="145" t="n"/>
      <c r="C620" s="145" t="n"/>
      <c r="D620" s="145" t="n"/>
      <c r="E620" s="145" t="n"/>
      <c r="F620" s="145" t="n"/>
      <c r="G620" s="145" t="n"/>
      <c r="H620" s="145" t="n"/>
      <c r="I620" s="145" t="n"/>
      <c r="J620" s="145" t="n"/>
      <c r="K620" s="145" t="n"/>
      <c r="L620" s="145" t="n"/>
      <c r="M620" s="145" t="n"/>
      <c r="N620" s="145" t="n"/>
      <c r="O620" s="140" t="n"/>
      <c r="P620" s="140" t="n"/>
      <c r="Q620" s="140" t="n"/>
      <c r="R620" s="140" t="n"/>
      <c r="S620" s="140" t="n"/>
      <c r="T620" s="141" t="n"/>
      <c r="U620" s="129" t="n"/>
      <c r="V620" s="129" t="n"/>
      <c r="W620" s="145" t="n"/>
      <c r="X620" s="145" t="n"/>
      <c r="Y620" s="145" t="n"/>
      <c r="Z620" s="145" t="n"/>
    </row>
    <row r="621" ht="45.75" customHeight="1" s="222">
      <c r="A621" s="145" t="n"/>
      <c r="B621" s="145" t="n"/>
      <c r="C621" s="145" t="n"/>
      <c r="D621" s="145" t="n"/>
      <c r="E621" s="145" t="n"/>
      <c r="F621" s="145" t="n"/>
      <c r="G621" s="145" t="n"/>
      <c r="H621" s="145" t="n"/>
      <c r="I621" s="145" t="n"/>
      <c r="J621" s="145" t="n"/>
      <c r="K621" s="145" t="n"/>
      <c r="L621" s="145" t="n"/>
      <c r="M621" s="145" t="n"/>
      <c r="N621" s="145" t="n"/>
      <c r="O621" s="140" t="n"/>
      <c r="P621" s="140" t="n"/>
      <c r="Q621" s="140" t="n"/>
      <c r="R621" s="140" t="n"/>
      <c r="S621" s="140" t="n"/>
      <c r="T621" s="141" t="n"/>
      <c r="U621" s="129" t="n"/>
      <c r="V621" s="129" t="n"/>
      <c r="W621" s="145" t="n"/>
      <c r="X621" s="145" t="n"/>
      <c r="Y621" s="145" t="n"/>
      <c r="Z621" s="145" t="n"/>
    </row>
    <row r="622" ht="45.75" customHeight="1" s="222">
      <c r="A622" s="145" t="n"/>
      <c r="B622" s="145" t="n"/>
      <c r="C622" s="145" t="n"/>
      <c r="D622" s="145" t="n"/>
      <c r="E622" s="145" t="n"/>
      <c r="F622" s="145" t="n"/>
      <c r="G622" s="145" t="n"/>
      <c r="H622" s="145" t="n"/>
      <c r="I622" s="145" t="n"/>
      <c r="J622" s="145" t="n"/>
      <c r="K622" s="145" t="n"/>
      <c r="L622" s="145" t="n"/>
      <c r="M622" s="145" t="n"/>
      <c r="N622" s="145" t="n"/>
      <c r="O622" s="140" t="n"/>
      <c r="P622" s="140" t="n"/>
      <c r="Q622" s="140" t="n"/>
      <c r="R622" s="140" t="n"/>
      <c r="S622" s="140" t="n"/>
      <c r="T622" s="141" t="n"/>
      <c r="U622" s="129" t="n"/>
      <c r="V622" s="129" t="n"/>
      <c r="W622" s="145" t="n"/>
      <c r="X622" s="145" t="n"/>
      <c r="Y622" s="145" t="n"/>
      <c r="Z622" s="145" t="n"/>
    </row>
    <row r="623" ht="45.75" customHeight="1" s="222">
      <c r="A623" s="145" t="n"/>
      <c r="B623" s="145" t="n"/>
      <c r="C623" s="145" t="n"/>
      <c r="D623" s="145" t="n"/>
      <c r="E623" s="145" t="n"/>
      <c r="F623" s="145" t="n"/>
      <c r="G623" s="145" t="n"/>
      <c r="H623" s="145" t="n"/>
      <c r="I623" s="145" t="n"/>
      <c r="J623" s="145" t="n"/>
      <c r="K623" s="145" t="n"/>
      <c r="L623" s="145" t="n"/>
      <c r="M623" s="145" t="n"/>
      <c r="N623" s="145" t="n"/>
      <c r="O623" s="140" t="n"/>
      <c r="P623" s="140" t="n"/>
      <c r="Q623" s="140" t="n"/>
      <c r="R623" s="140" t="n"/>
      <c r="S623" s="140" t="n"/>
      <c r="T623" s="141" t="n"/>
      <c r="U623" s="129" t="n"/>
      <c r="V623" s="129" t="n"/>
      <c r="W623" s="145" t="n"/>
      <c r="X623" s="145" t="n"/>
      <c r="Y623" s="145" t="n"/>
      <c r="Z623" s="145" t="n"/>
    </row>
    <row r="624" ht="45.75" customHeight="1" s="222">
      <c r="A624" s="145" t="n"/>
      <c r="B624" s="145" t="n"/>
      <c r="C624" s="145" t="n"/>
      <c r="D624" s="145" t="n"/>
      <c r="E624" s="145" t="n"/>
      <c r="F624" s="145" t="n"/>
      <c r="G624" s="145" t="n"/>
      <c r="H624" s="145" t="n"/>
      <c r="I624" s="145" t="n"/>
      <c r="J624" s="145" t="n"/>
      <c r="K624" s="145" t="n"/>
      <c r="L624" s="145" t="n"/>
      <c r="M624" s="145" t="n"/>
      <c r="N624" s="145" t="n"/>
      <c r="O624" s="140" t="n"/>
      <c r="P624" s="140" t="n"/>
      <c r="Q624" s="140" t="n"/>
      <c r="R624" s="140" t="n"/>
      <c r="S624" s="140" t="n"/>
      <c r="T624" s="141" t="n"/>
      <c r="U624" s="129" t="n"/>
      <c r="V624" s="129" t="n"/>
      <c r="W624" s="145" t="n"/>
      <c r="X624" s="145" t="n"/>
      <c r="Y624" s="145" t="n"/>
      <c r="Z624" s="145" t="n"/>
    </row>
    <row r="625" ht="45.75" customHeight="1" s="222">
      <c r="A625" s="145" t="n"/>
      <c r="B625" s="145" t="n"/>
      <c r="C625" s="145" t="n"/>
      <c r="D625" s="145" t="n"/>
      <c r="E625" s="145" t="n"/>
      <c r="F625" s="145" t="n"/>
      <c r="G625" s="145" t="n"/>
      <c r="H625" s="145" t="n"/>
      <c r="I625" s="145" t="n"/>
      <c r="J625" s="145" t="n"/>
      <c r="K625" s="145" t="n"/>
      <c r="L625" s="145" t="n"/>
      <c r="M625" s="145" t="n"/>
      <c r="N625" s="145" t="n"/>
      <c r="O625" s="140" t="n"/>
      <c r="P625" s="140" t="n"/>
      <c r="Q625" s="140" t="n"/>
      <c r="R625" s="140" t="n"/>
      <c r="S625" s="140" t="n"/>
      <c r="T625" s="141" t="n"/>
      <c r="U625" s="129" t="n"/>
      <c r="V625" s="129" t="n"/>
      <c r="W625" s="145" t="n"/>
      <c r="X625" s="145" t="n"/>
      <c r="Y625" s="145" t="n"/>
      <c r="Z625" s="145" t="n"/>
    </row>
    <row r="626" ht="45.75" customHeight="1" s="222">
      <c r="A626" s="145" t="n"/>
      <c r="B626" s="145" t="n"/>
      <c r="C626" s="145" t="n"/>
      <c r="D626" s="145" t="n"/>
      <c r="E626" s="145" t="n"/>
      <c r="F626" s="145" t="n"/>
      <c r="G626" s="145" t="n"/>
      <c r="H626" s="145" t="n"/>
      <c r="I626" s="145" t="n"/>
      <c r="J626" s="145" t="n"/>
      <c r="K626" s="145" t="n"/>
      <c r="L626" s="145" t="n"/>
      <c r="M626" s="145" t="n"/>
      <c r="N626" s="145" t="n"/>
      <c r="O626" s="140" t="n"/>
      <c r="P626" s="140" t="n"/>
      <c r="Q626" s="140" t="n"/>
      <c r="R626" s="140" t="n"/>
      <c r="S626" s="140" t="n"/>
      <c r="T626" s="141" t="n"/>
      <c r="U626" s="129" t="n"/>
      <c r="V626" s="129" t="n"/>
      <c r="W626" s="145" t="n"/>
      <c r="X626" s="145" t="n"/>
      <c r="Y626" s="145" t="n"/>
      <c r="Z626" s="145" t="n"/>
    </row>
    <row r="627" ht="45.75" customHeight="1" s="222">
      <c r="A627" s="145" t="n"/>
      <c r="B627" s="145" t="n"/>
      <c r="C627" s="145" t="n"/>
      <c r="D627" s="145" t="n"/>
      <c r="E627" s="145" t="n"/>
      <c r="F627" s="145" t="n"/>
      <c r="G627" s="145" t="n"/>
      <c r="H627" s="145" t="n"/>
      <c r="I627" s="145" t="n"/>
      <c r="J627" s="145" t="n"/>
      <c r="K627" s="145" t="n"/>
      <c r="L627" s="145" t="n"/>
      <c r="M627" s="145" t="n"/>
      <c r="N627" s="145" t="n"/>
      <c r="O627" s="140" t="n"/>
      <c r="P627" s="140" t="n"/>
      <c r="Q627" s="140" t="n"/>
      <c r="R627" s="140" t="n"/>
      <c r="S627" s="140" t="n"/>
      <c r="T627" s="141" t="n"/>
      <c r="U627" s="129" t="n"/>
      <c r="V627" s="129" t="n"/>
      <c r="W627" s="145" t="n"/>
      <c r="X627" s="145" t="n"/>
      <c r="Y627" s="145" t="n"/>
      <c r="Z627" s="145" t="n"/>
    </row>
    <row r="628" ht="45.75" customHeight="1" s="222">
      <c r="A628" s="145" t="n"/>
      <c r="B628" s="145" t="n"/>
      <c r="C628" s="145" t="n"/>
      <c r="D628" s="145" t="n"/>
      <c r="E628" s="145" t="n"/>
      <c r="F628" s="145" t="n"/>
      <c r="G628" s="145" t="n"/>
      <c r="H628" s="145" t="n"/>
      <c r="I628" s="145" t="n"/>
      <c r="J628" s="145" t="n"/>
      <c r="K628" s="145" t="n"/>
      <c r="L628" s="145" t="n"/>
      <c r="M628" s="145" t="n"/>
      <c r="N628" s="145" t="n"/>
      <c r="O628" s="140" t="n"/>
      <c r="P628" s="140" t="n"/>
      <c r="Q628" s="140" t="n"/>
      <c r="R628" s="140" t="n"/>
      <c r="S628" s="140" t="n"/>
      <c r="T628" s="141" t="n"/>
      <c r="U628" s="129" t="n"/>
      <c r="V628" s="129" t="n"/>
      <c r="W628" s="145" t="n"/>
      <c r="X628" s="145" t="n"/>
      <c r="Y628" s="145" t="n"/>
      <c r="Z628" s="145" t="n"/>
    </row>
    <row r="629" ht="45.75" customHeight="1" s="222">
      <c r="A629" s="145" t="n"/>
      <c r="B629" s="145" t="n"/>
      <c r="C629" s="145" t="n"/>
      <c r="D629" s="145" t="n"/>
      <c r="E629" s="145" t="n"/>
      <c r="F629" s="145" t="n"/>
      <c r="G629" s="145" t="n"/>
      <c r="H629" s="145" t="n"/>
      <c r="I629" s="145" t="n"/>
      <c r="J629" s="145" t="n"/>
      <c r="K629" s="145" t="n"/>
      <c r="L629" s="145" t="n"/>
      <c r="M629" s="145" t="n"/>
      <c r="N629" s="145" t="n"/>
      <c r="O629" s="140" t="n"/>
      <c r="P629" s="140" t="n"/>
      <c r="Q629" s="140" t="n"/>
      <c r="R629" s="140" t="n"/>
      <c r="S629" s="140" t="n"/>
      <c r="T629" s="141" t="n"/>
      <c r="U629" s="129" t="n"/>
      <c r="V629" s="129" t="n"/>
      <c r="W629" s="145" t="n"/>
      <c r="X629" s="145" t="n"/>
      <c r="Y629" s="145" t="n"/>
      <c r="Z629" s="145" t="n"/>
    </row>
    <row r="630" ht="45.75" customHeight="1" s="222">
      <c r="A630" s="145" t="n"/>
      <c r="B630" s="145" t="n"/>
      <c r="C630" s="145" t="n"/>
      <c r="D630" s="145" t="n"/>
      <c r="E630" s="145" t="n"/>
      <c r="F630" s="145" t="n"/>
      <c r="G630" s="145" t="n"/>
      <c r="H630" s="145" t="n"/>
      <c r="I630" s="145" t="n"/>
      <c r="J630" s="145" t="n"/>
      <c r="K630" s="145" t="n"/>
      <c r="L630" s="145" t="n"/>
      <c r="M630" s="145" t="n"/>
      <c r="N630" s="145" t="n"/>
      <c r="O630" s="140" t="n"/>
      <c r="P630" s="140" t="n"/>
      <c r="Q630" s="140" t="n"/>
      <c r="R630" s="140" t="n"/>
      <c r="S630" s="140" t="n"/>
      <c r="T630" s="141" t="n"/>
      <c r="U630" s="129" t="n"/>
      <c r="V630" s="129" t="n"/>
      <c r="W630" s="145" t="n"/>
      <c r="X630" s="145" t="n"/>
      <c r="Y630" s="145" t="n"/>
      <c r="Z630" s="145" t="n"/>
    </row>
    <row r="631" ht="45.75" customHeight="1" s="222">
      <c r="A631" s="145" t="n"/>
      <c r="B631" s="145" t="n"/>
      <c r="C631" s="145" t="n"/>
      <c r="D631" s="145" t="n"/>
      <c r="E631" s="145" t="n"/>
      <c r="F631" s="145" t="n"/>
      <c r="G631" s="145" t="n"/>
      <c r="H631" s="145" t="n"/>
      <c r="I631" s="145" t="n"/>
      <c r="J631" s="145" t="n"/>
      <c r="K631" s="145" t="n"/>
      <c r="L631" s="145" t="n"/>
      <c r="M631" s="145" t="n"/>
      <c r="N631" s="145" t="n"/>
      <c r="O631" s="140" t="n"/>
      <c r="P631" s="140" t="n"/>
      <c r="Q631" s="140" t="n"/>
      <c r="R631" s="140" t="n"/>
      <c r="S631" s="140" t="n"/>
      <c r="T631" s="141" t="n"/>
      <c r="U631" s="129" t="n"/>
      <c r="V631" s="129" t="n"/>
      <c r="W631" s="145" t="n"/>
      <c r="X631" s="145" t="n"/>
      <c r="Y631" s="145" t="n"/>
      <c r="Z631" s="145" t="n"/>
    </row>
    <row r="632" ht="45.75" customHeight="1" s="222">
      <c r="A632" s="145" t="n"/>
      <c r="B632" s="145" t="n"/>
      <c r="C632" s="145" t="n"/>
      <c r="D632" s="145" t="n"/>
      <c r="E632" s="145" t="n"/>
      <c r="F632" s="145" t="n"/>
      <c r="G632" s="145" t="n"/>
      <c r="H632" s="145" t="n"/>
      <c r="I632" s="145" t="n"/>
      <c r="J632" s="145" t="n"/>
      <c r="K632" s="145" t="n"/>
      <c r="L632" s="145" t="n"/>
      <c r="M632" s="145" t="n"/>
      <c r="N632" s="145" t="n"/>
      <c r="O632" s="140" t="n"/>
      <c r="P632" s="140" t="n"/>
      <c r="Q632" s="140" t="n"/>
      <c r="R632" s="140" t="n"/>
      <c r="S632" s="140" t="n"/>
      <c r="T632" s="141" t="n"/>
      <c r="U632" s="129" t="n"/>
      <c r="V632" s="129" t="n"/>
      <c r="W632" s="145" t="n"/>
      <c r="X632" s="145" t="n"/>
      <c r="Y632" s="145" t="n"/>
      <c r="Z632" s="145" t="n"/>
    </row>
    <row r="633" ht="45.75" customHeight="1" s="222">
      <c r="A633" s="145" t="n"/>
      <c r="B633" s="145" t="n"/>
      <c r="C633" s="145" t="n"/>
      <c r="D633" s="145" t="n"/>
      <c r="E633" s="145" t="n"/>
      <c r="F633" s="145" t="n"/>
      <c r="G633" s="145" t="n"/>
      <c r="H633" s="145" t="n"/>
      <c r="I633" s="145" t="n"/>
      <c r="J633" s="145" t="n"/>
      <c r="K633" s="145" t="n"/>
      <c r="L633" s="145" t="n"/>
      <c r="M633" s="145" t="n"/>
      <c r="N633" s="145" t="n"/>
      <c r="O633" s="140" t="n"/>
      <c r="P633" s="140" t="n"/>
      <c r="Q633" s="140" t="n"/>
      <c r="R633" s="140" t="n"/>
      <c r="S633" s="140" t="n"/>
      <c r="T633" s="141" t="n"/>
      <c r="U633" s="129" t="n"/>
      <c r="V633" s="129" t="n"/>
      <c r="W633" s="145" t="n"/>
      <c r="X633" s="145" t="n"/>
      <c r="Y633" s="145" t="n"/>
      <c r="Z633" s="145" t="n"/>
    </row>
    <row r="634" ht="45.75" customHeight="1" s="222">
      <c r="A634" s="145" t="n"/>
      <c r="B634" s="145" t="n"/>
      <c r="C634" s="145" t="n"/>
      <c r="D634" s="145" t="n"/>
      <c r="E634" s="145" t="n"/>
      <c r="F634" s="145" t="n"/>
      <c r="G634" s="145" t="n"/>
      <c r="H634" s="145" t="n"/>
      <c r="I634" s="145" t="n"/>
      <c r="J634" s="145" t="n"/>
      <c r="K634" s="145" t="n"/>
      <c r="L634" s="145" t="n"/>
      <c r="M634" s="145" t="n"/>
      <c r="N634" s="145" t="n"/>
      <c r="O634" s="140" t="n"/>
      <c r="P634" s="140" t="n"/>
      <c r="Q634" s="140" t="n"/>
      <c r="R634" s="140" t="n"/>
      <c r="S634" s="140" t="n"/>
      <c r="T634" s="141" t="n"/>
      <c r="U634" s="129" t="n"/>
      <c r="V634" s="129" t="n"/>
      <c r="W634" s="145" t="n"/>
      <c r="X634" s="145" t="n"/>
      <c r="Y634" s="145" t="n"/>
      <c r="Z634" s="145" t="n"/>
    </row>
    <row r="635" ht="45.75" customHeight="1" s="222">
      <c r="A635" s="145" t="n"/>
      <c r="B635" s="145" t="n"/>
      <c r="C635" s="145" t="n"/>
      <c r="D635" s="145" t="n"/>
      <c r="E635" s="145" t="n"/>
      <c r="F635" s="145" t="n"/>
      <c r="G635" s="145" t="n"/>
      <c r="H635" s="145" t="n"/>
      <c r="I635" s="145" t="n"/>
      <c r="J635" s="145" t="n"/>
      <c r="K635" s="145" t="n"/>
      <c r="L635" s="145" t="n"/>
      <c r="M635" s="145" t="n"/>
      <c r="N635" s="145" t="n"/>
      <c r="O635" s="140" t="n"/>
      <c r="P635" s="140" t="n"/>
      <c r="Q635" s="140" t="n"/>
      <c r="R635" s="140" t="n"/>
      <c r="S635" s="140" t="n"/>
      <c r="T635" s="141" t="n"/>
      <c r="U635" s="129" t="n"/>
      <c r="V635" s="129" t="n"/>
      <c r="W635" s="145" t="n"/>
      <c r="X635" s="145" t="n"/>
      <c r="Y635" s="145" t="n"/>
      <c r="Z635" s="145" t="n"/>
    </row>
    <row r="636" ht="45.75" customHeight="1" s="222">
      <c r="A636" s="145" t="n"/>
      <c r="B636" s="145" t="n"/>
      <c r="C636" s="145" t="n"/>
      <c r="D636" s="145" t="n"/>
      <c r="E636" s="145" t="n"/>
      <c r="F636" s="145" t="n"/>
      <c r="G636" s="145" t="n"/>
      <c r="H636" s="145" t="n"/>
      <c r="I636" s="145" t="n"/>
      <c r="J636" s="145" t="n"/>
      <c r="K636" s="145" t="n"/>
      <c r="L636" s="145" t="n"/>
      <c r="M636" s="145" t="n"/>
      <c r="N636" s="145" t="n"/>
      <c r="O636" s="140" t="n"/>
      <c r="P636" s="140" t="n"/>
      <c r="Q636" s="140" t="n"/>
      <c r="R636" s="140" t="n"/>
      <c r="S636" s="140" t="n"/>
      <c r="T636" s="141" t="n"/>
      <c r="U636" s="129" t="n"/>
      <c r="V636" s="129" t="n"/>
      <c r="W636" s="145" t="n"/>
      <c r="X636" s="145" t="n"/>
      <c r="Y636" s="145" t="n"/>
      <c r="Z636" s="145" t="n"/>
    </row>
    <row r="637" ht="45.75" customHeight="1" s="222">
      <c r="A637" s="145" t="n"/>
      <c r="B637" s="145" t="n"/>
      <c r="C637" s="145" t="n"/>
      <c r="D637" s="145" t="n"/>
      <c r="E637" s="145" t="n"/>
      <c r="F637" s="145" t="n"/>
      <c r="G637" s="145" t="n"/>
      <c r="H637" s="145" t="n"/>
      <c r="I637" s="145" t="n"/>
      <c r="J637" s="145" t="n"/>
      <c r="K637" s="145" t="n"/>
      <c r="L637" s="145" t="n"/>
      <c r="M637" s="145" t="n"/>
      <c r="N637" s="145" t="n"/>
      <c r="O637" s="140" t="n"/>
      <c r="P637" s="140" t="n"/>
      <c r="Q637" s="140" t="n"/>
      <c r="R637" s="140" t="n"/>
      <c r="S637" s="140" t="n"/>
      <c r="T637" s="141" t="n"/>
      <c r="U637" s="129" t="n"/>
      <c r="V637" s="129" t="n"/>
      <c r="W637" s="145" t="n"/>
      <c r="X637" s="145" t="n"/>
      <c r="Y637" s="145" t="n"/>
      <c r="Z637" s="145" t="n"/>
    </row>
    <row r="638" ht="45.75" customHeight="1" s="222">
      <c r="A638" s="145" t="n"/>
      <c r="B638" s="145" t="n"/>
      <c r="C638" s="145" t="n"/>
      <c r="D638" s="145" t="n"/>
      <c r="E638" s="145" t="n"/>
      <c r="F638" s="145" t="n"/>
      <c r="G638" s="145" t="n"/>
      <c r="H638" s="145" t="n"/>
      <c r="I638" s="145" t="n"/>
      <c r="J638" s="145" t="n"/>
      <c r="K638" s="145" t="n"/>
      <c r="L638" s="145" t="n"/>
      <c r="M638" s="145" t="n"/>
      <c r="N638" s="145" t="n"/>
      <c r="O638" s="140" t="n"/>
      <c r="P638" s="140" t="n"/>
      <c r="Q638" s="140" t="n"/>
      <c r="R638" s="140" t="n"/>
      <c r="S638" s="140" t="n"/>
      <c r="T638" s="141" t="n"/>
      <c r="U638" s="129" t="n"/>
      <c r="V638" s="129" t="n"/>
      <c r="W638" s="145" t="n"/>
      <c r="X638" s="145" t="n"/>
      <c r="Y638" s="145" t="n"/>
      <c r="Z638" s="145" t="n"/>
    </row>
    <row r="639" ht="45.75" customHeight="1" s="222">
      <c r="A639" s="145" t="n"/>
      <c r="B639" s="145" t="n"/>
      <c r="C639" s="145" t="n"/>
      <c r="D639" s="145" t="n"/>
      <c r="E639" s="145" t="n"/>
      <c r="F639" s="145" t="n"/>
      <c r="G639" s="145" t="n"/>
      <c r="H639" s="145" t="n"/>
      <c r="I639" s="145" t="n"/>
      <c r="J639" s="145" t="n"/>
      <c r="K639" s="145" t="n"/>
      <c r="L639" s="145" t="n"/>
      <c r="M639" s="145" t="n"/>
      <c r="N639" s="145" t="n"/>
      <c r="O639" s="140" t="n"/>
      <c r="P639" s="140" t="n"/>
      <c r="Q639" s="140" t="n"/>
      <c r="R639" s="140" t="n"/>
      <c r="S639" s="140" t="n"/>
      <c r="T639" s="141" t="n"/>
      <c r="U639" s="129" t="n"/>
      <c r="V639" s="129" t="n"/>
      <c r="W639" s="145" t="n"/>
      <c r="X639" s="145" t="n"/>
      <c r="Y639" s="145" t="n"/>
      <c r="Z639" s="145" t="n"/>
    </row>
    <row r="640" ht="45.75" customHeight="1" s="222">
      <c r="A640" s="145" t="n"/>
      <c r="B640" s="145" t="n"/>
      <c r="C640" s="145" t="n"/>
      <c r="D640" s="145" t="n"/>
      <c r="E640" s="145" t="n"/>
      <c r="F640" s="145" t="n"/>
      <c r="G640" s="145" t="n"/>
      <c r="H640" s="145" t="n"/>
      <c r="I640" s="145" t="n"/>
      <c r="J640" s="145" t="n"/>
      <c r="K640" s="145" t="n"/>
      <c r="L640" s="145" t="n"/>
      <c r="M640" s="145" t="n"/>
      <c r="N640" s="145" t="n"/>
      <c r="O640" s="140" t="n"/>
      <c r="P640" s="140" t="n"/>
      <c r="Q640" s="140" t="n"/>
      <c r="R640" s="140" t="n"/>
      <c r="S640" s="140" t="n"/>
      <c r="T640" s="141" t="n"/>
      <c r="U640" s="129" t="n"/>
      <c r="V640" s="129" t="n"/>
      <c r="W640" s="145" t="n"/>
      <c r="X640" s="145" t="n"/>
      <c r="Y640" s="145" t="n"/>
      <c r="Z640" s="145" t="n"/>
    </row>
    <row r="641" ht="45.75" customHeight="1" s="222">
      <c r="A641" s="145" t="n"/>
      <c r="B641" s="145" t="n"/>
      <c r="C641" s="145" t="n"/>
      <c r="D641" s="145" t="n"/>
      <c r="E641" s="145" t="n"/>
      <c r="F641" s="145" t="n"/>
      <c r="G641" s="145" t="n"/>
      <c r="H641" s="145" t="n"/>
      <c r="I641" s="145" t="n"/>
      <c r="J641" s="145" t="n"/>
      <c r="K641" s="145" t="n"/>
      <c r="L641" s="145" t="n"/>
      <c r="M641" s="145" t="n"/>
      <c r="N641" s="145" t="n"/>
      <c r="O641" s="140" t="n"/>
      <c r="P641" s="140" t="n"/>
      <c r="Q641" s="140" t="n"/>
      <c r="R641" s="140" t="n"/>
      <c r="S641" s="140" t="n"/>
      <c r="T641" s="141" t="n"/>
      <c r="U641" s="129" t="n"/>
      <c r="V641" s="129" t="n"/>
      <c r="W641" s="145" t="n"/>
      <c r="X641" s="145" t="n"/>
      <c r="Y641" s="145" t="n"/>
      <c r="Z641" s="145" t="n"/>
    </row>
    <row r="642" ht="45.75" customHeight="1" s="222">
      <c r="A642" s="145" t="n"/>
      <c r="B642" s="145" t="n"/>
      <c r="C642" s="145" t="n"/>
      <c r="D642" s="145" t="n"/>
      <c r="E642" s="145" t="n"/>
      <c r="F642" s="145" t="n"/>
      <c r="G642" s="145" t="n"/>
      <c r="H642" s="145" t="n"/>
      <c r="I642" s="145" t="n"/>
      <c r="J642" s="145" t="n"/>
      <c r="K642" s="145" t="n"/>
      <c r="L642" s="145" t="n"/>
      <c r="M642" s="145" t="n"/>
      <c r="N642" s="145" t="n"/>
      <c r="O642" s="140" t="n"/>
      <c r="P642" s="140" t="n"/>
      <c r="Q642" s="140" t="n"/>
      <c r="R642" s="140" t="n"/>
      <c r="S642" s="140" t="n"/>
      <c r="T642" s="141" t="n"/>
      <c r="U642" s="129" t="n"/>
      <c r="V642" s="129" t="n"/>
      <c r="W642" s="145" t="n"/>
      <c r="X642" s="145" t="n"/>
      <c r="Y642" s="145" t="n"/>
      <c r="Z642" s="145" t="n"/>
    </row>
    <row r="643" ht="45.75" customHeight="1" s="222">
      <c r="A643" s="145" t="n"/>
      <c r="B643" s="145" t="n"/>
      <c r="C643" s="145" t="n"/>
      <c r="D643" s="145" t="n"/>
      <c r="E643" s="145" t="n"/>
      <c r="F643" s="145" t="n"/>
      <c r="G643" s="145" t="n"/>
      <c r="H643" s="145" t="n"/>
      <c r="I643" s="145" t="n"/>
      <c r="J643" s="145" t="n"/>
      <c r="K643" s="145" t="n"/>
      <c r="L643" s="145" t="n"/>
      <c r="M643" s="145" t="n"/>
      <c r="N643" s="145" t="n"/>
      <c r="O643" s="140" t="n"/>
      <c r="P643" s="140" t="n"/>
      <c r="Q643" s="140" t="n"/>
      <c r="R643" s="140" t="n"/>
      <c r="S643" s="140" t="n"/>
      <c r="T643" s="141" t="n"/>
      <c r="U643" s="129" t="n"/>
      <c r="V643" s="129" t="n"/>
      <c r="W643" s="145" t="n"/>
      <c r="X643" s="145" t="n"/>
      <c r="Y643" s="145" t="n"/>
      <c r="Z643" s="145" t="n"/>
    </row>
    <row r="644" ht="45.75" customHeight="1" s="222">
      <c r="A644" s="145" t="n"/>
      <c r="B644" s="145" t="n"/>
      <c r="C644" s="145" t="n"/>
      <c r="D644" s="145" t="n"/>
      <c r="E644" s="145" t="n"/>
      <c r="F644" s="145" t="n"/>
      <c r="G644" s="145" t="n"/>
      <c r="H644" s="145" t="n"/>
      <c r="I644" s="145" t="n"/>
      <c r="J644" s="145" t="n"/>
      <c r="K644" s="145" t="n"/>
      <c r="L644" s="145" t="n"/>
      <c r="M644" s="145" t="n"/>
      <c r="N644" s="145" t="n"/>
      <c r="O644" s="140" t="n"/>
      <c r="P644" s="140" t="n"/>
      <c r="Q644" s="140" t="n"/>
      <c r="R644" s="140" t="n"/>
      <c r="S644" s="140" t="n"/>
      <c r="T644" s="141" t="n"/>
      <c r="U644" s="129" t="n"/>
      <c r="V644" s="129" t="n"/>
      <c r="W644" s="145" t="n"/>
      <c r="X644" s="145" t="n"/>
      <c r="Y644" s="145" t="n"/>
      <c r="Z644" s="145" t="n"/>
    </row>
    <row r="645" ht="45.75" customHeight="1" s="222">
      <c r="A645" s="145" t="n"/>
      <c r="B645" s="145" t="n"/>
      <c r="C645" s="145" t="n"/>
      <c r="D645" s="145" t="n"/>
      <c r="E645" s="145" t="n"/>
      <c r="F645" s="145" t="n"/>
      <c r="G645" s="145" t="n"/>
      <c r="H645" s="145" t="n"/>
      <c r="I645" s="145" t="n"/>
      <c r="J645" s="145" t="n"/>
      <c r="K645" s="145" t="n"/>
      <c r="L645" s="145" t="n"/>
      <c r="M645" s="145" t="n"/>
      <c r="N645" s="145" t="n"/>
      <c r="O645" s="140" t="n"/>
      <c r="P645" s="140" t="n"/>
      <c r="Q645" s="140" t="n"/>
      <c r="R645" s="140" t="n"/>
      <c r="S645" s="140" t="n"/>
      <c r="T645" s="141" t="n"/>
      <c r="U645" s="129" t="n"/>
      <c r="V645" s="129" t="n"/>
      <c r="W645" s="145" t="n"/>
      <c r="X645" s="145" t="n"/>
      <c r="Y645" s="145" t="n"/>
      <c r="Z645" s="145" t="n"/>
    </row>
    <row r="646" ht="45.75" customHeight="1" s="222">
      <c r="A646" s="145" t="n"/>
      <c r="B646" s="145" t="n"/>
      <c r="C646" s="145" t="n"/>
      <c r="D646" s="145" t="n"/>
      <c r="E646" s="145" t="n"/>
      <c r="F646" s="145" t="n"/>
      <c r="G646" s="145" t="n"/>
      <c r="H646" s="145" t="n"/>
      <c r="I646" s="145" t="n"/>
      <c r="J646" s="145" t="n"/>
      <c r="K646" s="145" t="n"/>
      <c r="L646" s="145" t="n"/>
      <c r="M646" s="145" t="n"/>
      <c r="N646" s="145" t="n"/>
      <c r="O646" s="140" t="n"/>
      <c r="P646" s="140" t="n"/>
      <c r="Q646" s="140" t="n"/>
      <c r="R646" s="140" t="n"/>
      <c r="S646" s="140" t="n"/>
      <c r="T646" s="141" t="n"/>
      <c r="U646" s="129" t="n"/>
      <c r="V646" s="129" t="n"/>
      <c r="W646" s="145" t="n"/>
      <c r="X646" s="145" t="n"/>
      <c r="Y646" s="145" t="n"/>
      <c r="Z646" s="145" t="n"/>
    </row>
    <row r="647" ht="45.75" customHeight="1" s="222">
      <c r="A647" s="145" t="n"/>
      <c r="B647" s="145" t="n"/>
      <c r="C647" s="145" t="n"/>
      <c r="D647" s="145" t="n"/>
      <c r="E647" s="145" t="n"/>
      <c r="F647" s="145" t="n"/>
      <c r="G647" s="145" t="n"/>
      <c r="H647" s="145" t="n"/>
      <c r="I647" s="145" t="n"/>
      <c r="J647" s="145" t="n"/>
      <c r="K647" s="145" t="n"/>
      <c r="L647" s="145" t="n"/>
      <c r="M647" s="145" t="n"/>
      <c r="N647" s="145" t="n"/>
      <c r="O647" s="140" t="n"/>
      <c r="P647" s="140" t="n"/>
      <c r="Q647" s="140" t="n"/>
      <c r="R647" s="140" t="n"/>
      <c r="S647" s="140" t="n"/>
      <c r="T647" s="141" t="n"/>
      <c r="U647" s="129" t="n"/>
      <c r="V647" s="129" t="n"/>
      <c r="W647" s="145" t="n"/>
      <c r="X647" s="145" t="n"/>
      <c r="Y647" s="145" t="n"/>
      <c r="Z647" s="145" t="n"/>
    </row>
    <row r="648" ht="45.75" customHeight="1" s="222">
      <c r="A648" s="145" t="n"/>
      <c r="B648" s="145" t="n"/>
      <c r="C648" s="145" t="n"/>
      <c r="D648" s="145" t="n"/>
      <c r="E648" s="145" t="n"/>
      <c r="F648" s="145" t="n"/>
      <c r="G648" s="145" t="n"/>
      <c r="H648" s="145" t="n"/>
      <c r="I648" s="145" t="n"/>
      <c r="J648" s="145" t="n"/>
      <c r="K648" s="145" t="n"/>
      <c r="L648" s="145" t="n"/>
      <c r="M648" s="145" t="n"/>
      <c r="N648" s="145" t="n"/>
      <c r="O648" s="140" t="n"/>
      <c r="P648" s="140" t="n"/>
      <c r="Q648" s="140" t="n"/>
      <c r="R648" s="140" t="n"/>
      <c r="S648" s="140" t="n"/>
      <c r="T648" s="141" t="n"/>
      <c r="U648" s="129" t="n"/>
      <c r="V648" s="129" t="n"/>
      <c r="W648" s="145" t="n"/>
      <c r="X648" s="145" t="n"/>
      <c r="Y648" s="145" t="n"/>
      <c r="Z648" s="145" t="n"/>
    </row>
    <row r="649" ht="45.75" customHeight="1" s="222">
      <c r="A649" s="145" t="n"/>
      <c r="B649" s="145" t="n"/>
      <c r="C649" s="145" t="n"/>
      <c r="D649" s="145" t="n"/>
      <c r="E649" s="145" t="n"/>
      <c r="F649" s="145" t="n"/>
      <c r="G649" s="145" t="n"/>
      <c r="H649" s="145" t="n"/>
      <c r="I649" s="145" t="n"/>
      <c r="J649" s="145" t="n"/>
      <c r="K649" s="145" t="n"/>
      <c r="L649" s="145" t="n"/>
      <c r="M649" s="145" t="n"/>
      <c r="N649" s="145" t="n"/>
      <c r="O649" s="140" t="n"/>
      <c r="P649" s="140" t="n"/>
      <c r="Q649" s="140" t="n"/>
      <c r="R649" s="140" t="n"/>
      <c r="S649" s="140" t="n"/>
      <c r="T649" s="141" t="n"/>
      <c r="U649" s="129" t="n"/>
      <c r="V649" s="129" t="n"/>
      <c r="W649" s="145" t="n"/>
      <c r="X649" s="145" t="n"/>
      <c r="Y649" s="145" t="n"/>
      <c r="Z649" s="145" t="n"/>
    </row>
    <row r="650" ht="45.75" customHeight="1" s="222">
      <c r="A650" s="145" t="n"/>
      <c r="B650" s="145" t="n"/>
      <c r="C650" s="145" t="n"/>
      <c r="D650" s="145" t="n"/>
      <c r="E650" s="145" t="n"/>
      <c r="F650" s="145" t="n"/>
      <c r="G650" s="145" t="n"/>
      <c r="H650" s="145" t="n"/>
      <c r="I650" s="145" t="n"/>
      <c r="J650" s="145" t="n"/>
      <c r="K650" s="145" t="n"/>
      <c r="L650" s="145" t="n"/>
      <c r="M650" s="145" t="n"/>
      <c r="N650" s="145" t="n"/>
      <c r="O650" s="140" t="n"/>
      <c r="P650" s="140" t="n"/>
      <c r="Q650" s="140" t="n"/>
      <c r="R650" s="140" t="n"/>
      <c r="S650" s="140" t="n"/>
      <c r="T650" s="141" t="n"/>
      <c r="U650" s="129" t="n"/>
      <c r="V650" s="129" t="n"/>
      <c r="W650" s="145" t="n"/>
      <c r="X650" s="145" t="n"/>
      <c r="Y650" s="145" t="n"/>
      <c r="Z650" s="145" t="n"/>
    </row>
    <row r="651" ht="45.75" customHeight="1" s="222">
      <c r="A651" s="145" t="n"/>
      <c r="B651" s="145" t="n"/>
      <c r="C651" s="145" t="n"/>
      <c r="D651" s="145" t="n"/>
      <c r="E651" s="145" t="n"/>
      <c r="F651" s="145" t="n"/>
      <c r="G651" s="145" t="n"/>
      <c r="H651" s="145" t="n"/>
      <c r="I651" s="145" t="n"/>
      <c r="J651" s="145" t="n"/>
      <c r="K651" s="145" t="n"/>
      <c r="L651" s="145" t="n"/>
      <c r="M651" s="145" t="n"/>
      <c r="N651" s="145" t="n"/>
      <c r="O651" s="140" t="n"/>
      <c r="P651" s="140" t="n"/>
      <c r="Q651" s="140" t="n"/>
      <c r="R651" s="140" t="n"/>
      <c r="S651" s="140" t="n"/>
      <c r="T651" s="141" t="n"/>
      <c r="U651" s="129" t="n"/>
      <c r="V651" s="129" t="n"/>
      <c r="W651" s="145" t="n"/>
      <c r="X651" s="145" t="n"/>
      <c r="Y651" s="145" t="n"/>
      <c r="Z651" s="145" t="n"/>
    </row>
    <row r="652" ht="45.75" customHeight="1" s="222">
      <c r="A652" s="145" t="n"/>
      <c r="B652" s="145" t="n"/>
      <c r="C652" s="145" t="n"/>
      <c r="D652" s="145" t="n"/>
      <c r="E652" s="145" t="n"/>
      <c r="F652" s="145" t="n"/>
      <c r="G652" s="145" t="n"/>
      <c r="H652" s="145" t="n"/>
      <c r="I652" s="145" t="n"/>
      <c r="J652" s="145" t="n"/>
      <c r="K652" s="145" t="n"/>
      <c r="L652" s="145" t="n"/>
      <c r="M652" s="145" t="n"/>
      <c r="N652" s="145" t="n"/>
      <c r="O652" s="140" t="n"/>
      <c r="P652" s="140" t="n"/>
      <c r="Q652" s="140" t="n"/>
      <c r="R652" s="140" t="n"/>
      <c r="S652" s="140" t="n"/>
      <c r="T652" s="141" t="n"/>
      <c r="U652" s="129" t="n"/>
      <c r="V652" s="129" t="n"/>
      <c r="W652" s="145" t="n"/>
      <c r="X652" s="145" t="n"/>
      <c r="Y652" s="145" t="n"/>
      <c r="Z652" s="145" t="n"/>
    </row>
    <row r="653" ht="45.75" customHeight="1" s="222">
      <c r="A653" s="145" t="n"/>
      <c r="B653" s="145" t="n"/>
      <c r="C653" s="145" t="n"/>
      <c r="D653" s="145" t="n"/>
      <c r="E653" s="145" t="n"/>
      <c r="F653" s="145" t="n"/>
      <c r="G653" s="145" t="n"/>
      <c r="H653" s="145" t="n"/>
      <c r="I653" s="145" t="n"/>
      <c r="J653" s="145" t="n"/>
      <c r="K653" s="145" t="n"/>
      <c r="L653" s="145" t="n"/>
      <c r="M653" s="145" t="n"/>
      <c r="N653" s="145" t="n"/>
      <c r="O653" s="140" t="n"/>
      <c r="P653" s="140" t="n"/>
      <c r="Q653" s="140" t="n"/>
      <c r="R653" s="140" t="n"/>
      <c r="S653" s="140" t="n"/>
      <c r="T653" s="141" t="n"/>
      <c r="U653" s="129" t="n"/>
      <c r="V653" s="129" t="n"/>
      <c r="W653" s="145" t="n"/>
      <c r="X653" s="145" t="n"/>
      <c r="Y653" s="145" t="n"/>
      <c r="Z653" s="145" t="n"/>
    </row>
    <row r="654" ht="45.75" customHeight="1" s="222">
      <c r="A654" s="145" t="n"/>
      <c r="B654" s="145" t="n"/>
      <c r="C654" s="145" t="n"/>
      <c r="D654" s="145" t="n"/>
      <c r="E654" s="145" t="n"/>
      <c r="F654" s="145" t="n"/>
      <c r="G654" s="145" t="n"/>
      <c r="H654" s="145" t="n"/>
      <c r="I654" s="145" t="n"/>
      <c r="J654" s="145" t="n"/>
      <c r="K654" s="145" t="n"/>
      <c r="L654" s="145" t="n"/>
      <c r="M654" s="145" t="n"/>
      <c r="N654" s="145" t="n"/>
      <c r="O654" s="140" t="n"/>
      <c r="P654" s="140" t="n"/>
      <c r="Q654" s="140" t="n"/>
      <c r="R654" s="140" t="n"/>
      <c r="S654" s="140" t="n"/>
      <c r="T654" s="141" t="n"/>
      <c r="U654" s="129" t="n"/>
      <c r="V654" s="129" t="n"/>
      <c r="W654" s="145" t="n"/>
      <c r="X654" s="145" t="n"/>
      <c r="Y654" s="145" t="n"/>
      <c r="Z654" s="145" t="n"/>
    </row>
    <row r="655" ht="45.75" customHeight="1" s="222">
      <c r="A655" s="145" t="n"/>
      <c r="B655" s="145" t="n"/>
      <c r="C655" s="145" t="n"/>
      <c r="D655" s="145" t="n"/>
      <c r="E655" s="145" t="n"/>
      <c r="F655" s="145" t="n"/>
      <c r="G655" s="145" t="n"/>
      <c r="H655" s="145" t="n"/>
      <c r="I655" s="145" t="n"/>
      <c r="J655" s="145" t="n"/>
      <c r="K655" s="145" t="n"/>
      <c r="L655" s="145" t="n"/>
      <c r="M655" s="145" t="n"/>
      <c r="N655" s="145" t="n"/>
      <c r="O655" s="140" t="n"/>
      <c r="P655" s="140" t="n"/>
      <c r="Q655" s="140" t="n"/>
      <c r="R655" s="140" t="n"/>
      <c r="S655" s="140" t="n"/>
      <c r="T655" s="141" t="n"/>
      <c r="U655" s="129" t="n"/>
      <c r="V655" s="129" t="n"/>
      <c r="W655" s="145" t="n"/>
      <c r="X655" s="145" t="n"/>
      <c r="Y655" s="145" t="n"/>
      <c r="Z655" s="145" t="n"/>
    </row>
    <row r="656" ht="45.75" customHeight="1" s="222">
      <c r="A656" s="145" t="n"/>
      <c r="B656" s="145" t="n"/>
      <c r="C656" s="145" t="n"/>
      <c r="D656" s="145" t="n"/>
      <c r="E656" s="145" t="n"/>
      <c r="F656" s="145" t="n"/>
      <c r="G656" s="145" t="n"/>
      <c r="H656" s="145" t="n"/>
      <c r="I656" s="145" t="n"/>
      <c r="J656" s="145" t="n"/>
      <c r="K656" s="145" t="n"/>
      <c r="L656" s="145" t="n"/>
      <c r="M656" s="145" t="n"/>
      <c r="N656" s="145" t="n"/>
      <c r="O656" s="140" t="n"/>
      <c r="P656" s="140" t="n"/>
      <c r="Q656" s="140" t="n"/>
      <c r="R656" s="140" t="n"/>
      <c r="S656" s="140" t="n"/>
      <c r="T656" s="141" t="n"/>
      <c r="U656" s="129" t="n"/>
      <c r="V656" s="129" t="n"/>
      <c r="W656" s="145" t="n"/>
      <c r="X656" s="145" t="n"/>
      <c r="Y656" s="145" t="n"/>
      <c r="Z656" s="145" t="n"/>
    </row>
    <row r="657" ht="45.75" customHeight="1" s="222">
      <c r="A657" s="145" t="n"/>
      <c r="B657" s="145" t="n"/>
      <c r="C657" s="145" t="n"/>
      <c r="D657" s="145" t="n"/>
      <c r="E657" s="145" t="n"/>
      <c r="F657" s="145" t="n"/>
      <c r="G657" s="145" t="n"/>
      <c r="H657" s="145" t="n"/>
      <c r="I657" s="145" t="n"/>
      <c r="J657" s="145" t="n"/>
      <c r="K657" s="145" t="n"/>
      <c r="L657" s="145" t="n"/>
      <c r="M657" s="145" t="n"/>
      <c r="N657" s="145" t="n"/>
      <c r="O657" s="140" t="n"/>
      <c r="P657" s="140" t="n"/>
      <c r="Q657" s="140" t="n"/>
      <c r="R657" s="140" t="n"/>
      <c r="S657" s="140" t="n"/>
      <c r="T657" s="141" t="n"/>
      <c r="U657" s="129" t="n"/>
      <c r="V657" s="129" t="n"/>
      <c r="W657" s="145" t="n"/>
      <c r="X657" s="145" t="n"/>
      <c r="Y657" s="145" t="n"/>
      <c r="Z657" s="145" t="n"/>
    </row>
    <row r="658" ht="45.75" customHeight="1" s="222">
      <c r="A658" s="145" t="n"/>
      <c r="B658" s="145" t="n"/>
      <c r="C658" s="145" t="n"/>
      <c r="D658" s="145" t="n"/>
      <c r="E658" s="145" t="n"/>
      <c r="F658" s="145" t="n"/>
      <c r="G658" s="145" t="n"/>
      <c r="H658" s="145" t="n"/>
      <c r="I658" s="145" t="n"/>
      <c r="J658" s="145" t="n"/>
      <c r="K658" s="145" t="n"/>
      <c r="L658" s="145" t="n"/>
      <c r="M658" s="145" t="n"/>
      <c r="N658" s="145" t="n"/>
      <c r="O658" s="140" t="n"/>
      <c r="P658" s="140" t="n"/>
      <c r="Q658" s="140" t="n"/>
      <c r="R658" s="140" t="n"/>
      <c r="S658" s="140" t="n"/>
      <c r="T658" s="141" t="n"/>
      <c r="U658" s="129" t="n"/>
      <c r="V658" s="129" t="n"/>
      <c r="W658" s="145" t="n"/>
      <c r="X658" s="145" t="n"/>
      <c r="Y658" s="145" t="n"/>
      <c r="Z658" s="145" t="n"/>
    </row>
    <row r="659" ht="45.75" customHeight="1" s="222">
      <c r="A659" s="145" t="n"/>
      <c r="B659" s="145" t="n"/>
      <c r="C659" s="145" t="n"/>
      <c r="D659" s="145" t="n"/>
      <c r="E659" s="145" t="n"/>
      <c r="F659" s="145" t="n"/>
      <c r="G659" s="145" t="n"/>
      <c r="H659" s="145" t="n"/>
      <c r="I659" s="145" t="n"/>
      <c r="J659" s="145" t="n"/>
      <c r="K659" s="145" t="n"/>
      <c r="L659" s="145" t="n"/>
      <c r="M659" s="145" t="n"/>
      <c r="N659" s="145" t="n"/>
      <c r="O659" s="140" t="n"/>
      <c r="P659" s="140" t="n"/>
      <c r="Q659" s="140" t="n"/>
      <c r="R659" s="140" t="n"/>
      <c r="S659" s="140" t="n"/>
      <c r="T659" s="141" t="n"/>
      <c r="U659" s="129" t="n"/>
      <c r="V659" s="129" t="n"/>
      <c r="W659" s="145" t="n"/>
      <c r="X659" s="145" t="n"/>
      <c r="Y659" s="145" t="n"/>
      <c r="Z659" s="145" t="n"/>
    </row>
    <row r="660" ht="45.75" customHeight="1" s="222">
      <c r="A660" s="145" t="n"/>
      <c r="B660" s="145" t="n"/>
      <c r="C660" s="145" t="n"/>
      <c r="D660" s="145" t="n"/>
      <c r="E660" s="145" t="n"/>
      <c r="F660" s="145" t="n"/>
      <c r="G660" s="145" t="n"/>
      <c r="H660" s="145" t="n"/>
      <c r="I660" s="145" t="n"/>
      <c r="J660" s="145" t="n"/>
      <c r="K660" s="145" t="n"/>
      <c r="L660" s="145" t="n"/>
      <c r="M660" s="145" t="n"/>
      <c r="N660" s="145" t="n"/>
      <c r="O660" s="140" t="n"/>
      <c r="P660" s="140" t="n"/>
      <c r="Q660" s="140" t="n"/>
      <c r="R660" s="140" t="n"/>
      <c r="S660" s="140" t="n"/>
      <c r="T660" s="141" t="n"/>
      <c r="U660" s="129" t="n"/>
      <c r="V660" s="129" t="n"/>
      <c r="W660" s="145" t="n"/>
      <c r="X660" s="145" t="n"/>
      <c r="Y660" s="145" t="n"/>
      <c r="Z660" s="145" t="n"/>
    </row>
    <row r="661" ht="45.75" customHeight="1" s="222">
      <c r="A661" s="145" t="n"/>
      <c r="B661" s="145" t="n"/>
      <c r="C661" s="145" t="n"/>
      <c r="D661" s="145" t="n"/>
      <c r="E661" s="145" t="n"/>
      <c r="F661" s="145" t="n"/>
      <c r="G661" s="145" t="n"/>
      <c r="H661" s="145" t="n"/>
      <c r="I661" s="145" t="n"/>
      <c r="J661" s="145" t="n"/>
      <c r="K661" s="145" t="n"/>
      <c r="L661" s="145" t="n"/>
      <c r="M661" s="145" t="n"/>
      <c r="N661" s="145" t="n"/>
      <c r="O661" s="140" t="n"/>
      <c r="P661" s="140" t="n"/>
      <c r="Q661" s="140" t="n"/>
      <c r="R661" s="140" t="n"/>
      <c r="S661" s="140" t="n"/>
      <c r="T661" s="141" t="n"/>
      <c r="U661" s="129" t="n"/>
      <c r="V661" s="129" t="n"/>
      <c r="W661" s="145" t="n"/>
      <c r="X661" s="145" t="n"/>
      <c r="Y661" s="145" t="n"/>
      <c r="Z661" s="145" t="n"/>
    </row>
    <row r="662" ht="45.75" customHeight="1" s="222">
      <c r="A662" s="145" t="n"/>
      <c r="B662" s="145" t="n"/>
      <c r="C662" s="145" t="n"/>
      <c r="D662" s="145" t="n"/>
      <c r="E662" s="145" t="n"/>
      <c r="F662" s="145" t="n"/>
      <c r="G662" s="145" t="n"/>
      <c r="H662" s="145" t="n"/>
      <c r="I662" s="145" t="n"/>
      <c r="J662" s="145" t="n"/>
      <c r="K662" s="145" t="n"/>
      <c r="L662" s="145" t="n"/>
      <c r="M662" s="145" t="n"/>
      <c r="N662" s="145" t="n"/>
      <c r="O662" s="140" t="n"/>
      <c r="P662" s="140" t="n"/>
      <c r="Q662" s="140" t="n"/>
      <c r="R662" s="140" t="n"/>
      <c r="S662" s="140" t="n"/>
      <c r="T662" s="141" t="n"/>
      <c r="U662" s="129" t="n"/>
      <c r="V662" s="129" t="n"/>
      <c r="W662" s="145" t="n"/>
      <c r="X662" s="145" t="n"/>
      <c r="Y662" s="145" t="n"/>
      <c r="Z662" s="145" t="n"/>
    </row>
    <row r="663" ht="45.75" customHeight="1" s="222">
      <c r="A663" s="145" t="n"/>
      <c r="B663" s="145" t="n"/>
      <c r="C663" s="145" t="n"/>
      <c r="D663" s="145" t="n"/>
      <c r="E663" s="145" t="n"/>
      <c r="F663" s="145" t="n"/>
      <c r="G663" s="145" t="n"/>
      <c r="H663" s="145" t="n"/>
      <c r="I663" s="145" t="n"/>
      <c r="J663" s="145" t="n"/>
      <c r="K663" s="145" t="n"/>
      <c r="L663" s="145" t="n"/>
      <c r="M663" s="145" t="n"/>
      <c r="N663" s="145" t="n"/>
      <c r="O663" s="140" t="n"/>
      <c r="P663" s="140" t="n"/>
      <c r="Q663" s="140" t="n"/>
      <c r="R663" s="140" t="n"/>
      <c r="S663" s="140" t="n"/>
      <c r="T663" s="141" t="n"/>
      <c r="U663" s="129" t="n"/>
      <c r="V663" s="129" t="n"/>
      <c r="W663" s="145" t="n"/>
      <c r="X663" s="145" t="n"/>
      <c r="Y663" s="145" t="n"/>
      <c r="Z663" s="145" t="n"/>
    </row>
    <row r="664" ht="45.75" customHeight="1" s="222">
      <c r="A664" s="145" t="n"/>
      <c r="B664" s="145" t="n"/>
      <c r="C664" s="145" t="n"/>
      <c r="D664" s="145" t="n"/>
      <c r="E664" s="145" t="n"/>
      <c r="F664" s="145" t="n"/>
      <c r="G664" s="145" t="n"/>
      <c r="H664" s="145" t="n"/>
      <c r="I664" s="145" t="n"/>
      <c r="J664" s="145" t="n"/>
      <c r="K664" s="145" t="n"/>
      <c r="L664" s="145" t="n"/>
      <c r="M664" s="145" t="n"/>
      <c r="N664" s="145" t="n"/>
      <c r="O664" s="140" t="n"/>
      <c r="P664" s="140" t="n"/>
      <c r="Q664" s="140" t="n"/>
      <c r="R664" s="140" t="n"/>
      <c r="S664" s="140" t="n"/>
      <c r="T664" s="141" t="n"/>
      <c r="U664" s="129" t="n"/>
      <c r="V664" s="129" t="n"/>
      <c r="W664" s="145" t="n"/>
      <c r="X664" s="145" t="n"/>
      <c r="Y664" s="145" t="n"/>
      <c r="Z664" s="145" t="n"/>
    </row>
    <row r="665" ht="45.75" customHeight="1" s="222">
      <c r="A665" s="145" t="n"/>
      <c r="B665" s="145" t="n"/>
      <c r="C665" s="145" t="n"/>
      <c r="D665" s="145" t="n"/>
      <c r="E665" s="145" t="n"/>
      <c r="F665" s="145" t="n"/>
      <c r="G665" s="145" t="n"/>
      <c r="H665" s="145" t="n"/>
      <c r="I665" s="145" t="n"/>
      <c r="J665" s="145" t="n"/>
      <c r="K665" s="145" t="n"/>
      <c r="L665" s="145" t="n"/>
      <c r="M665" s="145" t="n"/>
      <c r="N665" s="145" t="n"/>
      <c r="O665" s="140" t="n"/>
      <c r="P665" s="140" t="n"/>
      <c r="Q665" s="140" t="n"/>
      <c r="R665" s="140" t="n"/>
      <c r="S665" s="140" t="n"/>
      <c r="T665" s="141" t="n"/>
      <c r="U665" s="129" t="n"/>
      <c r="V665" s="129" t="n"/>
      <c r="W665" s="145" t="n"/>
      <c r="X665" s="145" t="n"/>
      <c r="Y665" s="145" t="n"/>
      <c r="Z665" s="145" t="n"/>
    </row>
    <row r="666" ht="45.75" customHeight="1" s="222">
      <c r="A666" s="145" t="n"/>
      <c r="B666" s="145" t="n"/>
      <c r="C666" s="145" t="n"/>
      <c r="D666" s="145" t="n"/>
      <c r="E666" s="145" t="n"/>
      <c r="F666" s="145" t="n"/>
      <c r="G666" s="145" t="n"/>
      <c r="H666" s="145" t="n"/>
      <c r="I666" s="145" t="n"/>
      <c r="J666" s="145" t="n"/>
      <c r="K666" s="145" t="n"/>
      <c r="L666" s="145" t="n"/>
      <c r="M666" s="145" t="n"/>
      <c r="N666" s="145" t="n"/>
      <c r="O666" s="140" t="n"/>
      <c r="P666" s="140" t="n"/>
      <c r="Q666" s="140" t="n"/>
      <c r="R666" s="140" t="n"/>
      <c r="S666" s="140" t="n"/>
      <c r="T666" s="141" t="n"/>
      <c r="U666" s="129" t="n"/>
      <c r="V666" s="129" t="n"/>
      <c r="W666" s="145" t="n"/>
      <c r="X666" s="145" t="n"/>
      <c r="Y666" s="145" t="n"/>
      <c r="Z666" s="145" t="n"/>
    </row>
    <row r="667" ht="45.75" customHeight="1" s="222">
      <c r="A667" s="145" t="n"/>
      <c r="B667" s="145" t="n"/>
      <c r="C667" s="145" t="n"/>
      <c r="D667" s="145" t="n"/>
      <c r="E667" s="145" t="n"/>
      <c r="F667" s="145" t="n"/>
      <c r="G667" s="145" t="n"/>
      <c r="H667" s="145" t="n"/>
      <c r="I667" s="145" t="n"/>
      <c r="J667" s="145" t="n"/>
      <c r="K667" s="145" t="n"/>
      <c r="L667" s="145" t="n"/>
      <c r="M667" s="145" t="n"/>
      <c r="N667" s="145" t="n"/>
      <c r="O667" s="140" t="n"/>
      <c r="P667" s="140" t="n"/>
      <c r="Q667" s="140" t="n"/>
      <c r="R667" s="140" t="n"/>
      <c r="S667" s="140" t="n"/>
      <c r="T667" s="141" t="n"/>
      <c r="U667" s="129" t="n"/>
      <c r="V667" s="129" t="n"/>
      <c r="W667" s="145" t="n"/>
      <c r="X667" s="145" t="n"/>
      <c r="Y667" s="145" t="n"/>
      <c r="Z667" s="145" t="n"/>
    </row>
    <row r="668" ht="45.75" customHeight="1" s="222">
      <c r="A668" s="145" t="n"/>
      <c r="B668" s="145" t="n"/>
      <c r="C668" s="145" t="n"/>
      <c r="D668" s="145" t="n"/>
      <c r="E668" s="145" t="n"/>
      <c r="F668" s="145" t="n"/>
      <c r="G668" s="145" t="n"/>
      <c r="H668" s="145" t="n"/>
      <c r="I668" s="145" t="n"/>
      <c r="J668" s="145" t="n"/>
      <c r="K668" s="145" t="n"/>
      <c r="L668" s="145" t="n"/>
      <c r="M668" s="145" t="n"/>
      <c r="N668" s="145" t="n"/>
      <c r="O668" s="140" t="n"/>
      <c r="P668" s="140" t="n"/>
      <c r="Q668" s="140" t="n"/>
      <c r="R668" s="140" t="n"/>
      <c r="S668" s="140" t="n"/>
      <c r="T668" s="141" t="n"/>
      <c r="U668" s="129" t="n"/>
      <c r="V668" s="129" t="n"/>
      <c r="W668" s="145" t="n"/>
      <c r="X668" s="145" t="n"/>
      <c r="Y668" s="145" t="n"/>
      <c r="Z668" s="145" t="n"/>
    </row>
    <row r="669" ht="45.75" customHeight="1" s="222">
      <c r="A669" s="145" t="n"/>
      <c r="B669" s="145" t="n"/>
      <c r="C669" s="145" t="n"/>
      <c r="D669" s="145" t="n"/>
      <c r="E669" s="145" t="n"/>
      <c r="F669" s="145" t="n"/>
      <c r="G669" s="145" t="n"/>
      <c r="H669" s="145" t="n"/>
      <c r="I669" s="145" t="n"/>
      <c r="J669" s="145" t="n"/>
      <c r="K669" s="145" t="n"/>
      <c r="L669" s="145" t="n"/>
      <c r="M669" s="145" t="n"/>
      <c r="N669" s="145" t="n"/>
      <c r="O669" s="140" t="n"/>
      <c r="P669" s="140" t="n"/>
      <c r="Q669" s="140" t="n"/>
      <c r="R669" s="140" t="n"/>
      <c r="S669" s="140" t="n"/>
      <c r="T669" s="141" t="n"/>
      <c r="U669" s="129" t="n"/>
      <c r="V669" s="129" t="n"/>
      <c r="W669" s="145" t="n"/>
      <c r="X669" s="145" t="n"/>
      <c r="Y669" s="145" t="n"/>
      <c r="Z669" s="145" t="n"/>
    </row>
    <row r="670" ht="45.75" customHeight="1" s="222">
      <c r="A670" s="145" t="n"/>
      <c r="B670" s="145" t="n"/>
      <c r="C670" s="145" t="n"/>
      <c r="D670" s="145" t="n"/>
      <c r="E670" s="145" t="n"/>
      <c r="F670" s="145" t="n"/>
      <c r="G670" s="145" t="n"/>
      <c r="H670" s="145" t="n"/>
      <c r="I670" s="145" t="n"/>
      <c r="J670" s="145" t="n"/>
      <c r="K670" s="145" t="n"/>
      <c r="L670" s="145" t="n"/>
      <c r="M670" s="145" t="n"/>
      <c r="N670" s="145" t="n"/>
      <c r="O670" s="140" t="n"/>
      <c r="P670" s="140" t="n"/>
      <c r="Q670" s="140" t="n"/>
      <c r="R670" s="140" t="n"/>
      <c r="S670" s="140" t="n"/>
      <c r="T670" s="141" t="n"/>
      <c r="U670" s="129" t="n"/>
      <c r="V670" s="129" t="n"/>
      <c r="W670" s="145" t="n"/>
      <c r="X670" s="145" t="n"/>
      <c r="Y670" s="145" t="n"/>
      <c r="Z670" s="145" t="n"/>
    </row>
    <row r="671" ht="45.75" customHeight="1" s="222">
      <c r="A671" s="145" t="n"/>
      <c r="B671" s="145" t="n"/>
      <c r="C671" s="145" t="n"/>
      <c r="D671" s="145" t="n"/>
      <c r="E671" s="145" t="n"/>
      <c r="F671" s="145" t="n"/>
      <c r="G671" s="145" t="n"/>
      <c r="H671" s="145" t="n"/>
      <c r="I671" s="145" t="n"/>
      <c r="J671" s="145" t="n"/>
      <c r="K671" s="145" t="n"/>
      <c r="L671" s="145" t="n"/>
      <c r="M671" s="145" t="n"/>
      <c r="N671" s="145" t="n"/>
      <c r="O671" s="140" t="n"/>
      <c r="P671" s="140" t="n"/>
      <c r="Q671" s="140" t="n"/>
      <c r="R671" s="140" t="n"/>
      <c r="S671" s="140" t="n"/>
      <c r="T671" s="141" t="n"/>
      <c r="U671" s="129" t="n"/>
      <c r="V671" s="129" t="n"/>
      <c r="W671" s="145" t="n"/>
      <c r="X671" s="145" t="n"/>
      <c r="Y671" s="145" t="n"/>
      <c r="Z671" s="145" t="n"/>
    </row>
    <row r="672" ht="45.75" customHeight="1" s="222">
      <c r="A672" s="145" t="n"/>
      <c r="B672" s="145" t="n"/>
      <c r="C672" s="145" t="n"/>
      <c r="D672" s="145" t="n"/>
      <c r="E672" s="145" t="n"/>
      <c r="F672" s="145" t="n"/>
      <c r="G672" s="145" t="n"/>
      <c r="H672" s="145" t="n"/>
      <c r="I672" s="145" t="n"/>
      <c r="J672" s="145" t="n"/>
      <c r="K672" s="145" t="n"/>
      <c r="L672" s="145" t="n"/>
      <c r="M672" s="145" t="n"/>
      <c r="N672" s="145" t="n"/>
      <c r="O672" s="140" t="n"/>
      <c r="P672" s="140" t="n"/>
      <c r="Q672" s="140" t="n"/>
      <c r="R672" s="140" t="n"/>
      <c r="S672" s="140" t="n"/>
      <c r="T672" s="141" t="n"/>
      <c r="U672" s="129" t="n"/>
      <c r="V672" s="129" t="n"/>
      <c r="W672" s="145" t="n"/>
      <c r="X672" s="145" t="n"/>
      <c r="Y672" s="145" t="n"/>
      <c r="Z672" s="145" t="n"/>
    </row>
    <row r="673" ht="45.75" customHeight="1" s="222">
      <c r="A673" s="145" t="n"/>
      <c r="B673" s="145" t="n"/>
      <c r="C673" s="145" t="n"/>
      <c r="D673" s="145" t="n"/>
      <c r="E673" s="145" t="n"/>
      <c r="F673" s="145" t="n"/>
      <c r="G673" s="145" t="n"/>
      <c r="H673" s="145" t="n"/>
      <c r="I673" s="145" t="n"/>
      <c r="J673" s="145" t="n"/>
      <c r="K673" s="145" t="n"/>
      <c r="L673" s="145" t="n"/>
      <c r="M673" s="145" t="n"/>
      <c r="N673" s="145" t="n"/>
      <c r="O673" s="140" t="n"/>
      <c r="P673" s="140" t="n"/>
      <c r="Q673" s="140" t="n"/>
      <c r="R673" s="140" t="n"/>
      <c r="S673" s="140" t="n"/>
      <c r="T673" s="141" t="n"/>
      <c r="U673" s="129" t="n"/>
      <c r="V673" s="129" t="n"/>
      <c r="W673" s="145" t="n"/>
      <c r="X673" s="145" t="n"/>
      <c r="Y673" s="145" t="n"/>
      <c r="Z673" s="145" t="n"/>
    </row>
    <row r="674" ht="45.75" customHeight="1" s="222">
      <c r="A674" s="145" t="n"/>
      <c r="B674" s="145" t="n"/>
      <c r="C674" s="145" t="n"/>
      <c r="D674" s="145" t="n"/>
      <c r="E674" s="145" t="n"/>
      <c r="F674" s="145" t="n"/>
      <c r="G674" s="145" t="n"/>
      <c r="H674" s="145" t="n"/>
      <c r="I674" s="145" t="n"/>
      <c r="J674" s="145" t="n"/>
      <c r="K674" s="145" t="n"/>
      <c r="L674" s="145" t="n"/>
      <c r="M674" s="145" t="n"/>
      <c r="N674" s="145" t="n"/>
      <c r="O674" s="140" t="n"/>
      <c r="P674" s="140" t="n"/>
      <c r="Q674" s="140" t="n"/>
      <c r="R674" s="140" t="n"/>
      <c r="S674" s="140" t="n"/>
      <c r="T674" s="141" t="n"/>
      <c r="U674" s="129" t="n"/>
      <c r="V674" s="129" t="n"/>
      <c r="W674" s="145" t="n"/>
      <c r="X674" s="145" t="n"/>
      <c r="Y674" s="145" t="n"/>
      <c r="Z674" s="145" t="n"/>
    </row>
    <row r="675" ht="45.75" customHeight="1" s="222">
      <c r="A675" s="145" t="n"/>
      <c r="B675" s="145" t="n"/>
      <c r="C675" s="145" t="n"/>
      <c r="D675" s="145" t="n"/>
      <c r="E675" s="145" t="n"/>
      <c r="F675" s="145" t="n"/>
      <c r="G675" s="145" t="n"/>
      <c r="H675" s="145" t="n"/>
      <c r="I675" s="145" t="n"/>
      <c r="J675" s="145" t="n"/>
      <c r="K675" s="145" t="n"/>
      <c r="L675" s="145" t="n"/>
      <c r="M675" s="145" t="n"/>
      <c r="N675" s="145" t="n"/>
      <c r="O675" s="140" t="n"/>
      <c r="P675" s="140" t="n"/>
      <c r="Q675" s="140" t="n"/>
      <c r="R675" s="140" t="n"/>
      <c r="S675" s="140" t="n"/>
      <c r="T675" s="141" t="n"/>
      <c r="U675" s="129" t="n"/>
      <c r="V675" s="129" t="n"/>
      <c r="W675" s="145" t="n"/>
      <c r="X675" s="145" t="n"/>
      <c r="Y675" s="145" t="n"/>
      <c r="Z675" s="145" t="n"/>
    </row>
    <row r="676" ht="45.75" customHeight="1" s="222">
      <c r="A676" s="145" t="n"/>
      <c r="B676" s="145" t="n"/>
      <c r="C676" s="145" t="n"/>
      <c r="D676" s="145" t="n"/>
      <c r="E676" s="145" t="n"/>
      <c r="F676" s="145" t="n"/>
      <c r="G676" s="145" t="n"/>
      <c r="H676" s="145" t="n"/>
      <c r="I676" s="145" t="n"/>
      <c r="J676" s="145" t="n"/>
      <c r="K676" s="145" t="n"/>
      <c r="L676" s="145" t="n"/>
      <c r="M676" s="145" t="n"/>
      <c r="N676" s="145" t="n"/>
      <c r="O676" s="140" t="n"/>
      <c r="P676" s="140" t="n"/>
      <c r="Q676" s="140" t="n"/>
      <c r="R676" s="140" t="n"/>
      <c r="S676" s="140" t="n"/>
      <c r="T676" s="141" t="n"/>
      <c r="U676" s="129" t="n"/>
      <c r="V676" s="129" t="n"/>
      <c r="W676" s="145" t="n"/>
      <c r="X676" s="145" t="n"/>
      <c r="Y676" s="145" t="n"/>
      <c r="Z676" s="145" t="n"/>
    </row>
    <row r="677" ht="45.75" customHeight="1" s="222">
      <c r="A677" s="145" t="n"/>
      <c r="B677" s="145" t="n"/>
      <c r="C677" s="145" t="n"/>
      <c r="D677" s="145" t="n"/>
      <c r="E677" s="145" t="n"/>
      <c r="F677" s="145" t="n"/>
      <c r="G677" s="145" t="n"/>
      <c r="H677" s="145" t="n"/>
      <c r="I677" s="145" t="n"/>
      <c r="J677" s="145" t="n"/>
      <c r="K677" s="145" t="n"/>
      <c r="L677" s="145" t="n"/>
      <c r="M677" s="145" t="n"/>
      <c r="N677" s="145" t="n"/>
      <c r="O677" s="140" t="n"/>
      <c r="P677" s="140" t="n"/>
      <c r="Q677" s="140" t="n"/>
      <c r="R677" s="140" t="n"/>
      <c r="S677" s="140" t="n"/>
      <c r="T677" s="141" t="n"/>
      <c r="U677" s="129" t="n"/>
      <c r="V677" s="129" t="n"/>
      <c r="W677" s="145" t="n"/>
      <c r="X677" s="145" t="n"/>
      <c r="Y677" s="145" t="n"/>
      <c r="Z677" s="145" t="n"/>
    </row>
    <row r="678" ht="45.75" customHeight="1" s="222">
      <c r="A678" s="145" t="n"/>
      <c r="B678" s="145" t="n"/>
      <c r="C678" s="145" t="n"/>
      <c r="D678" s="145" t="n"/>
      <c r="E678" s="145" t="n"/>
      <c r="F678" s="145" t="n"/>
      <c r="G678" s="145" t="n"/>
      <c r="H678" s="145" t="n"/>
      <c r="I678" s="145" t="n"/>
      <c r="J678" s="145" t="n"/>
      <c r="K678" s="145" t="n"/>
      <c r="L678" s="145" t="n"/>
      <c r="M678" s="145" t="n"/>
      <c r="N678" s="145" t="n"/>
      <c r="O678" s="140" t="n"/>
      <c r="P678" s="140" t="n"/>
      <c r="Q678" s="140" t="n"/>
      <c r="R678" s="140" t="n"/>
      <c r="S678" s="140" t="n"/>
      <c r="T678" s="141" t="n"/>
      <c r="U678" s="129" t="n"/>
      <c r="V678" s="129" t="n"/>
      <c r="W678" s="145" t="n"/>
      <c r="X678" s="145" t="n"/>
      <c r="Y678" s="145" t="n"/>
      <c r="Z678" s="145" t="n"/>
    </row>
    <row r="679" ht="45.75" customHeight="1" s="222">
      <c r="A679" s="145" t="n"/>
      <c r="B679" s="145" t="n"/>
      <c r="C679" s="145" t="n"/>
      <c r="D679" s="145" t="n"/>
      <c r="E679" s="145" t="n"/>
      <c r="F679" s="145" t="n"/>
      <c r="G679" s="145" t="n"/>
      <c r="H679" s="145" t="n"/>
      <c r="I679" s="145" t="n"/>
      <c r="J679" s="145" t="n"/>
      <c r="K679" s="145" t="n"/>
      <c r="L679" s="145" t="n"/>
      <c r="M679" s="145" t="n"/>
      <c r="N679" s="145" t="n"/>
      <c r="O679" s="140" t="n"/>
      <c r="P679" s="140" t="n"/>
      <c r="Q679" s="140" t="n"/>
      <c r="R679" s="140" t="n"/>
      <c r="S679" s="140" t="n"/>
      <c r="T679" s="141" t="n"/>
      <c r="U679" s="129" t="n"/>
      <c r="V679" s="129" t="n"/>
      <c r="W679" s="145" t="n"/>
      <c r="X679" s="145" t="n"/>
      <c r="Y679" s="145" t="n"/>
      <c r="Z679" s="145" t="n"/>
    </row>
    <row r="680" ht="45.75" customHeight="1" s="222">
      <c r="A680" s="145" t="n"/>
      <c r="B680" s="145" t="n"/>
      <c r="C680" s="145" t="n"/>
      <c r="D680" s="145" t="n"/>
      <c r="E680" s="145" t="n"/>
      <c r="F680" s="145" t="n"/>
      <c r="G680" s="145" t="n"/>
      <c r="H680" s="145" t="n"/>
      <c r="I680" s="145" t="n"/>
      <c r="J680" s="145" t="n"/>
      <c r="K680" s="145" t="n"/>
      <c r="L680" s="145" t="n"/>
      <c r="M680" s="145" t="n"/>
      <c r="N680" s="145" t="n"/>
      <c r="O680" s="140" t="n"/>
      <c r="P680" s="140" t="n"/>
      <c r="Q680" s="140" t="n"/>
      <c r="R680" s="140" t="n"/>
      <c r="S680" s="140" t="n"/>
      <c r="T680" s="141" t="n"/>
      <c r="U680" s="129" t="n"/>
      <c r="V680" s="129" t="n"/>
      <c r="W680" s="145" t="n"/>
      <c r="X680" s="145" t="n"/>
      <c r="Y680" s="145" t="n"/>
      <c r="Z680" s="145" t="n"/>
    </row>
    <row r="681" ht="45.75" customHeight="1" s="222">
      <c r="A681" s="145" t="n"/>
      <c r="B681" s="145" t="n"/>
      <c r="C681" s="145" t="n"/>
      <c r="D681" s="145" t="n"/>
      <c r="E681" s="145" t="n"/>
      <c r="F681" s="145" t="n"/>
      <c r="G681" s="145" t="n"/>
      <c r="H681" s="145" t="n"/>
      <c r="I681" s="145" t="n"/>
      <c r="J681" s="145" t="n"/>
      <c r="K681" s="145" t="n"/>
      <c r="L681" s="145" t="n"/>
      <c r="M681" s="145" t="n"/>
      <c r="N681" s="145" t="n"/>
      <c r="O681" s="140" t="n"/>
      <c r="P681" s="140" t="n"/>
      <c r="Q681" s="140" t="n"/>
      <c r="R681" s="140" t="n"/>
      <c r="S681" s="140" t="n"/>
      <c r="T681" s="141" t="n"/>
      <c r="U681" s="129" t="n"/>
      <c r="V681" s="129" t="n"/>
      <c r="W681" s="145" t="n"/>
      <c r="X681" s="145" t="n"/>
      <c r="Y681" s="145" t="n"/>
      <c r="Z681" s="145" t="n"/>
    </row>
    <row r="682" ht="45.75" customHeight="1" s="222">
      <c r="A682" s="145" t="n"/>
      <c r="B682" s="145" t="n"/>
      <c r="C682" s="145" t="n"/>
      <c r="D682" s="145" t="n"/>
      <c r="E682" s="145" t="n"/>
      <c r="F682" s="145" t="n"/>
      <c r="G682" s="145" t="n"/>
      <c r="H682" s="145" t="n"/>
      <c r="I682" s="145" t="n"/>
      <c r="J682" s="145" t="n"/>
      <c r="K682" s="145" t="n"/>
      <c r="L682" s="145" t="n"/>
      <c r="M682" s="145" t="n"/>
      <c r="N682" s="145" t="n"/>
      <c r="O682" s="140" t="n"/>
      <c r="P682" s="140" t="n"/>
      <c r="Q682" s="140" t="n"/>
      <c r="R682" s="140" t="n"/>
      <c r="S682" s="140" t="n"/>
      <c r="T682" s="141" t="n"/>
      <c r="U682" s="129" t="n"/>
      <c r="V682" s="129" t="n"/>
      <c r="W682" s="145" t="n"/>
      <c r="X682" s="145" t="n"/>
      <c r="Y682" s="145" t="n"/>
      <c r="Z682" s="145" t="n"/>
    </row>
    <row r="683" ht="45.75" customHeight="1" s="222">
      <c r="A683" s="145" t="n"/>
      <c r="B683" s="145" t="n"/>
      <c r="C683" s="145" t="n"/>
      <c r="D683" s="145" t="n"/>
      <c r="E683" s="145" t="n"/>
      <c r="F683" s="145" t="n"/>
      <c r="G683" s="145" t="n"/>
      <c r="H683" s="145" t="n"/>
      <c r="I683" s="145" t="n"/>
      <c r="J683" s="145" t="n"/>
      <c r="K683" s="145" t="n"/>
      <c r="L683" s="145" t="n"/>
      <c r="M683" s="145" t="n"/>
      <c r="N683" s="145" t="n"/>
      <c r="O683" s="140" t="n"/>
      <c r="P683" s="140" t="n"/>
      <c r="Q683" s="140" t="n"/>
      <c r="R683" s="140" t="n"/>
      <c r="S683" s="140" t="n"/>
      <c r="T683" s="141" t="n"/>
      <c r="U683" s="129" t="n"/>
      <c r="V683" s="129" t="n"/>
      <c r="W683" s="145" t="n"/>
      <c r="X683" s="145" t="n"/>
      <c r="Y683" s="145" t="n"/>
      <c r="Z683" s="145" t="n"/>
    </row>
    <row r="684" ht="45.75" customHeight="1" s="222">
      <c r="A684" s="145" t="n"/>
      <c r="B684" s="145" t="n"/>
      <c r="C684" s="145" t="n"/>
      <c r="D684" s="145" t="n"/>
      <c r="E684" s="145" t="n"/>
      <c r="F684" s="145" t="n"/>
      <c r="G684" s="145" t="n"/>
      <c r="H684" s="145" t="n"/>
      <c r="I684" s="145" t="n"/>
      <c r="J684" s="145" t="n"/>
      <c r="K684" s="145" t="n"/>
      <c r="L684" s="145" t="n"/>
      <c r="M684" s="145" t="n"/>
      <c r="N684" s="145" t="n"/>
      <c r="O684" s="140" t="n"/>
      <c r="P684" s="140" t="n"/>
      <c r="Q684" s="140" t="n"/>
      <c r="R684" s="140" t="n"/>
      <c r="S684" s="140" t="n"/>
      <c r="T684" s="141" t="n"/>
      <c r="U684" s="129" t="n"/>
      <c r="V684" s="129" t="n"/>
      <c r="W684" s="145" t="n"/>
      <c r="X684" s="145" t="n"/>
      <c r="Y684" s="145" t="n"/>
      <c r="Z684" s="145" t="n"/>
    </row>
    <row r="685" ht="45.75" customHeight="1" s="222">
      <c r="A685" s="145" t="n"/>
      <c r="B685" s="145" t="n"/>
      <c r="C685" s="145" t="n"/>
      <c r="D685" s="145" t="n"/>
      <c r="E685" s="145" t="n"/>
      <c r="F685" s="145" t="n"/>
      <c r="G685" s="145" t="n"/>
      <c r="H685" s="145" t="n"/>
      <c r="I685" s="145" t="n"/>
      <c r="J685" s="145" t="n"/>
      <c r="K685" s="145" t="n"/>
      <c r="L685" s="145" t="n"/>
      <c r="M685" s="145" t="n"/>
      <c r="N685" s="145" t="n"/>
      <c r="O685" s="140" t="n"/>
      <c r="P685" s="140" t="n"/>
      <c r="Q685" s="140" t="n"/>
      <c r="R685" s="140" t="n"/>
      <c r="S685" s="140" t="n"/>
      <c r="T685" s="141" t="n"/>
      <c r="U685" s="129" t="n"/>
      <c r="V685" s="129" t="n"/>
      <c r="W685" s="145" t="n"/>
      <c r="X685" s="145" t="n"/>
      <c r="Y685" s="145" t="n"/>
      <c r="Z685" s="145" t="n"/>
    </row>
    <row r="686" ht="45.75" customHeight="1" s="222">
      <c r="A686" s="145" t="n"/>
      <c r="B686" s="145" t="n"/>
      <c r="C686" s="145" t="n"/>
      <c r="D686" s="145" t="n"/>
      <c r="E686" s="145" t="n"/>
      <c r="F686" s="145" t="n"/>
      <c r="G686" s="145" t="n"/>
      <c r="H686" s="145" t="n"/>
      <c r="I686" s="145" t="n"/>
      <c r="J686" s="145" t="n"/>
      <c r="K686" s="145" t="n"/>
      <c r="L686" s="145" t="n"/>
      <c r="M686" s="145" t="n"/>
      <c r="N686" s="145" t="n"/>
      <c r="O686" s="140" t="n"/>
      <c r="P686" s="140" t="n"/>
      <c r="Q686" s="140" t="n"/>
      <c r="R686" s="140" t="n"/>
      <c r="S686" s="140" t="n"/>
      <c r="T686" s="141" t="n"/>
      <c r="U686" s="129" t="n"/>
      <c r="V686" s="129" t="n"/>
      <c r="W686" s="145" t="n"/>
      <c r="X686" s="145" t="n"/>
      <c r="Y686" s="145" t="n"/>
      <c r="Z686" s="145" t="n"/>
    </row>
    <row r="687" ht="45.75" customHeight="1" s="222">
      <c r="A687" s="145" t="n"/>
      <c r="B687" s="145" t="n"/>
      <c r="C687" s="145" t="n"/>
      <c r="D687" s="145" t="n"/>
      <c r="E687" s="145" t="n"/>
      <c r="F687" s="145" t="n"/>
      <c r="G687" s="145" t="n"/>
      <c r="H687" s="145" t="n"/>
      <c r="I687" s="145" t="n"/>
      <c r="J687" s="145" t="n"/>
      <c r="K687" s="145" t="n"/>
      <c r="L687" s="145" t="n"/>
      <c r="M687" s="145" t="n"/>
      <c r="N687" s="145" t="n"/>
      <c r="O687" s="140" t="n"/>
      <c r="P687" s="140" t="n"/>
      <c r="Q687" s="140" t="n"/>
      <c r="R687" s="140" t="n"/>
      <c r="S687" s="140" t="n"/>
      <c r="T687" s="141" t="n"/>
      <c r="U687" s="129" t="n"/>
      <c r="V687" s="129" t="n"/>
      <c r="W687" s="145" t="n"/>
      <c r="X687" s="145" t="n"/>
      <c r="Y687" s="145" t="n"/>
      <c r="Z687" s="145" t="n"/>
    </row>
    <row r="688" ht="45.75" customHeight="1" s="222">
      <c r="A688" s="145" t="n"/>
      <c r="B688" s="145" t="n"/>
      <c r="C688" s="145" t="n"/>
      <c r="D688" s="145" t="n"/>
      <c r="E688" s="145" t="n"/>
      <c r="F688" s="145" t="n"/>
      <c r="G688" s="145" t="n"/>
      <c r="H688" s="145" t="n"/>
      <c r="I688" s="145" t="n"/>
      <c r="J688" s="145" t="n"/>
      <c r="K688" s="145" t="n"/>
      <c r="L688" s="145" t="n"/>
      <c r="M688" s="145" t="n"/>
      <c r="N688" s="145" t="n"/>
      <c r="O688" s="140" t="n"/>
      <c r="P688" s="140" t="n"/>
      <c r="Q688" s="140" t="n"/>
      <c r="R688" s="140" t="n"/>
      <c r="S688" s="140" t="n"/>
      <c r="T688" s="141" t="n"/>
      <c r="U688" s="129" t="n"/>
      <c r="V688" s="129" t="n"/>
      <c r="W688" s="145" t="n"/>
      <c r="X688" s="145" t="n"/>
      <c r="Y688" s="145" t="n"/>
      <c r="Z688" s="145" t="n"/>
    </row>
    <row r="689" ht="45.75" customHeight="1" s="222">
      <c r="A689" s="145" t="n"/>
      <c r="B689" s="145" t="n"/>
      <c r="C689" s="145" t="n"/>
      <c r="D689" s="145" t="n"/>
      <c r="E689" s="145" t="n"/>
      <c r="F689" s="145" t="n"/>
      <c r="G689" s="145" t="n"/>
      <c r="H689" s="145" t="n"/>
      <c r="I689" s="145" t="n"/>
      <c r="J689" s="145" t="n"/>
      <c r="K689" s="145" t="n"/>
      <c r="L689" s="145" t="n"/>
      <c r="M689" s="145" t="n"/>
      <c r="N689" s="145" t="n"/>
      <c r="O689" s="140" t="n"/>
      <c r="P689" s="140" t="n"/>
      <c r="Q689" s="140" t="n"/>
      <c r="R689" s="140" t="n"/>
      <c r="S689" s="140" t="n"/>
      <c r="T689" s="141" t="n"/>
      <c r="U689" s="129" t="n"/>
      <c r="V689" s="129" t="n"/>
      <c r="W689" s="145" t="n"/>
      <c r="X689" s="145" t="n"/>
      <c r="Y689" s="145" t="n"/>
      <c r="Z689" s="145" t="n"/>
    </row>
    <row r="690" ht="45.75" customHeight="1" s="222">
      <c r="A690" s="145" t="n"/>
      <c r="B690" s="145" t="n"/>
      <c r="C690" s="145" t="n"/>
      <c r="D690" s="145" t="n"/>
      <c r="E690" s="145" t="n"/>
      <c r="F690" s="145" t="n"/>
      <c r="G690" s="145" t="n"/>
      <c r="H690" s="145" t="n"/>
      <c r="I690" s="145" t="n"/>
      <c r="J690" s="145" t="n"/>
      <c r="K690" s="145" t="n"/>
      <c r="L690" s="145" t="n"/>
      <c r="M690" s="145" t="n"/>
      <c r="N690" s="145" t="n"/>
      <c r="O690" s="140" t="n"/>
      <c r="P690" s="140" t="n"/>
      <c r="Q690" s="140" t="n"/>
      <c r="R690" s="140" t="n"/>
      <c r="S690" s="140" t="n"/>
      <c r="T690" s="141" t="n"/>
      <c r="U690" s="129" t="n"/>
      <c r="V690" s="129" t="n"/>
      <c r="W690" s="145" t="n"/>
      <c r="X690" s="145" t="n"/>
      <c r="Y690" s="145" t="n"/>
      <c r="Z690" s="145" t="n"/>
    </row>
    <row r="691" ht="45.75" customHeight="1" s="222">
      <c r="A691" s="145" t="n"/>
      <c r="B691" s="145" t="n"/>
      <c r="C691" s="145" t="n"/>
      <c r="D691" s="145" t="n"/>
      <c r="E691" s="145" t="n"/>
      <c r="F691" s="145" t="n"/>
      <c r="G691" s="145" t="n"/>
      <c r="H691" s="145" t="n"/>
      <c r="I691" s="145" t="n"/>
      <c r="J691" s="145" t="n"/>
      <c r="K691" s="145" t="n"/>
      <c r="L691" s="145" t="n"/>
      <c r="M691" s="145" t="n"/>
      <c r="N691" s="145" t="n"/>
      <c r="O691" s="140" t="n"/>
      <c r="P691" s="140" t="n"/>
      <c r="Q691" s="140" t="n"/>
      <c r="R691" s="140" t="n"/>
      <c r="S691" s="140" t="n"/>
      <c r="T691" s="141" t="n"/>
      <c r="U691" s="129" t="n"/>
      <c r="V691" s="129" t="n"/>
      <c r="W691" s="145" t="n"/>
      <c r="X691" s="145" t="n"/>
      <c r="Y691" s="145" t="n"/>
      <c r="Z691" s="145" t="n"/>
    </row>
    <row r="692" ht="45.75" customHeight="1" s="222">
      <c r="A692" s="145" t="n"/>
      <c r="B692" s="145" t="n"/>
      <c r="C692" s="145" t="n"/>
      <c r="D692" s="145" t="n"/>
      <c r="E692" s="145" t="n"/>
      <c r="F692" s="145" t="n"/>
      <c r="G692" s="145" t="n"/>
      <c r="H692" s="145" t="n"/>
      <c r="I692" s="145" t="n"/>
      <c r="J692" s="145" t="n"/>
      <c r="K692" s="145" t="n"/>
      <c r="L692" s="145" t="n"/>
      <c r="M692" s="145" t="n"/>
      <c r="N692" s="145" t="n"/>
      <c r="O692" s="140" t="n"/>
      <c r="P692" s="140" t="n"/>
      <c r="Q692" s="140" t="n"/>
      <c r="R692" s="140" t="n"/>
      <c r="S692" s="140" t="n"/>
      <c r="T692" s="141" t="n"/>
      <c r="U692" s="129" t="n"/>
      <c r="V692" s="129" t="n"/>
      <c r="W692" s="145" t="n"/>
      <c r="X692" s="145" t="n"/>
      <c r="Y692" s="145" t="n"/>
      <c r="Z692" s="145" t="n"/>
    </row>
    <row r="693" ht="45.75" customHeight="1" s="222">
      <c r="A693" s="145" t="n"/>
      <c r="B693" s="145" t="n"/>
      <c r="C693" s="145" t="n"/>
      <c r="D693" s="145" t="n"/>
      <c r="E693" s="145" t="n"/>
      <c r="F693" s="145" t="n"/>
      <c r="G693" s="145" t="n"/>
      <c r="H693" s="145" t="n"/>
      <c r="I693" s="145" t="n"/>
      <c r="J693" s="145" t="n"/>
      <c r="K693" s="145" t="n"/>
      <c r="L693" s="145" t="n"/>
      <c r="M693" s="145" t="n"/>
      <c r="N693" s="145" t="n"/>
      <c r="O693" s="140" t="n"/>
      <c r="P693" s="140" t="n"/>
      <c r="Q693" s="140" t="n"/>
      <c r="R693" s="140" t="n"/>
      <c r="S693" s="140" t="n"/>
      <c r="T693" s="141" t="n"/>
      <c r="U693" s="129" t="n"/>
      <c r="V693" s="129" t="n"/>
      <c r="W693" s="145" t="n"/>
      <c r="X693" s="145" t="n"/>
      <c r="Y693" s="145" t="n"/>
      <c r="Z693" s="145" t="n"/>
    </row>
    <row r="694" ht="45.75" customHeight="1" s="222">
      <c r="A694" s="145" t="n"/>
      <c r="B694" s="145" t="n"/>
      <c r="C694" s="145" t="n"/>
      <c r="D694" s="145" t="n"/>
      <c r="E694" s="145" t="n"/>
      <c r="F694" s="145" t="n"/>
      <c r="G694" s="145" t="n"/>
      <c r="H694" s="145" t="n"/>
      <c r="I694" s="145" t="n"/>
      <c r="J694" s="145" t="n"/>
      <c r="K694" s="145" t="n"/>
      <c r="L694" s="145" t="n"/>
      <c r="M694" s="145" t="n"/>
      <c r="N694" s="145" t="n"/>
      <c r="O694" s="140" t="n"/>
      <c r="P694" s="140" t="n"/>
      <c r="Q694" s="140" t="n"/>
      <c r="R694" s="140" t="n"/>
      <c r="S694" s="140" t="n"/>
      <c r="T694" s="141" t="n"/>
      <c r="U694" s="129" t="n"/>
      <c r="V694" s="129" t="n"/>
      <c r="W694" s="145" t="n"/>
      <c r="X694" s="145" t="n"/>
      <c r="Y694" s="145" t="n"/>
      <c r="Z694" s="145" t="n"/>
    </row>
    <row r="695" ht="45.75" customHeight="1" s="222">
      <c r="A695" s="145" t="n"/>
      <c r="B695" s="145" t="n"/>
      <c r="C695" s="145" t="n"/>
      <c r="D695" s="145" t="n"/>
      <c r="E695" s="145" t="n"/>
      <c r="F695" s="145" t="n"/>
      <c r="G695" s="145" t="n"/>
      <c r="H695" s="145" t="n"/>
      <c r="I695" s="145" t="n"/>
      <c r="J695" s="145" t="n"/>
      <c r="K695" s="145" t="n"/>
      <c r="L695" s="145" t="n"/>
      <c r="M695" s="145" t="n"/>
      <c r="N695" s="145" t="n"/>
      <c r="O695" s="140" t="n"/>
      <c r="P695" s="140" t="n"/>
      <c r="Q695" s="140" t="n"/>
      <c r="R695" s="140" t="n"/>
      <c r="S695" s="140" t="n"/>
      <c r="T695" s="141" t="n"/>
      <c r="U695" s="129" t="n"/>
      <c r="V695" s="129" t="n"/>
      <c r="W695" s="145" t="n"/>
      <c r="X695" s="145" t="n"/>
      <c r="Y695" s="145" t="n"/>
      <c r="Z695" s="145" t="n"/>
    </row>
    <row r="696" ht="45.75" customHeight="1" s="222">
      <c r="A696" s="145" t="n"/>
      <c r="B696" s="145" t="n"/>
      <c r="C696" s="145" t="n"/>
      <c r="D696" s="145" t="n"/>
      <c r="E696" s="145" t="n"/>
      <c r="F696" s="145" t="n"/>
      <c r="G696" s="145" t="n"/>
      <c r="H696" s="145" t="n"/>
      <c r="I696" s="145" t="n"/>
      <c r="J696" s="145" t="n"/>
      <c r="K696" s="145" t="n"/>
      <c r="L696" s="145" t="n"/>
      <c r="M696" s="145" t="n"/>
      <c r="N696" s="145" t="n"/>
      <c r="O696" s="140" t="n"/>
      <c r="P696" s="140" t="n"/>
      <c r="Q696" s="140" t="n"/>
      <c r="R696" s="140" t="n"/>
      <c r="S696" s="140" t="n"/>
      <c r="T696" s="141" t="n"/>
      <c r="U696" s="129" t="n"/>
      <c r="V696" s="129" t="n"/>
      <c r="W696" s="145" t="n"/>
      <c r="X696" s="145" t="n"/>
      <c r="Y696" s="145" t="n"/>
      <c r="Z696" s="145" t="n"/>
    </row>
    <row r="697" ht="45.75" customHeight="1" s="222">
      <c r="A697" s="145" t="n"/>
      <c r="B697" s="145" t="n"/>
      <c r="C697" s="145" t="n"/>
      <c r="D697" s="145" t="n"/>
      <c r="E697" s="145" t="n"/>
      <c r="F697" s="145" t="n"/>
      <c r="G697" s="145" t="n"/>
      <c r="H697" s="145" t="n"/>
      <c r="I697" s="145" t="n"/>
      <c r="J697" s="145" t="n"/>
      <c r="K697" s="145" t="n"/>
      <c r="L697" s="145" t="n"/>
      <c r="M697" s="145" t="n"/>
      <c r="N697" s="145" t="n"/>
      <c r="O697" s="140" t="n"/>
      <c r="P697" s="140" t="n"/>
      <c r="Q697" s="140" t="n"/>
      <c r="R697" s="140" t="n"/>
      <c r="S697" s="140" t="n"/>
      <c r="T697" s="141" t="n"/>
      <c r="U697" s="129" t="n"/>
      <c r="V697" s="129" t="n"/>
      <c r="W697" s="145" t="n"/>
      <c r="X697" s="145" t="n"/>
      <c r="Y697" s="145" t="n"/>
      <c r="Z697" s="145" t="n"/>
    </row>
    <row r="698" ht="45.75" customHeight="1" s="222">
      <c r="A698" s="145" t="n"/>
      <c r="B698" s="145" t="n"/>
      <c r="C698" s="145" t="n"/>
      <c r="D698" s="145" t="n"/>
      <c r="E698" s="145" t="n"/>
      <c r="F698" s="145" t="n"/>
      <c r="G698" s="145" t="n"/>
      <c r="H698" s="145" t="n"/>
      <c r="I698" s="145" t="n"/>
      <c r="J698" s="145" t="n"/>
      <c r="K698" s="145" t="n"/>
      <c r="L698" s="145" t="n"/>
      <c r="M698" s="145" t="n"/>
      <c r="N698" s="145" t="n"/>
      <c r="O698" s="140" t="n"/>
      <c r="P698" s="140" t="n"/>
      <c r="Q698" s="140" t="n"/>
      <c r="R698" s="140" t="n"/>
      <c r="S698" s="140" t="n"/>
      <c r="T698" s="141" t="n"/>
      <c r="U698" s="129" t="n"/>
      <c r="V698" s="129" t="n"/>
      <c r="W698" s="145" t="n"/>
      <c r="X698" s="145" t="n"/>
      <c r="Y698" s="145" t="n"/>
      <c r="Z698" s="145" t="n"/>
    </row>
    <row r="699" ht="45.75" customHeight="1" s="222">
      <c r="A699" s="145" t="n"/>
      <c r="B699" s="145" t="n"/>
      <c r="C699" s="145" t="n"/>
      <c r="D699" s="145" t="n"/>
      <c r="E699" s="145" t="n"/>
      <c r="F699" s="145" t="n"/>
      <c r="G699" s="145" t="n"/>
      <c r="H699" s="145" t="n"/>
      <c r="I699" s="145" t="n"/>
      <c r="J699" s="145" t="n"/>
      <c r="K699" s="145" t="n"/>
      <c r="L699" s="145" t="n"/>
      <c r="M699" s="145" t="n"/>
      <c r="N699" s="145" t="n"/>
      <c r="O699" s="140" t="n"/>
      <c r="P699" s="140" t="n"/>
      <c r="Q699" s="140" t="n"/>
      <c r="R699" s="140" t="n"/>
      <c r="S699" s="140" t="n"/>
      <c r="T699" s="141" t="n"/>
      <c r="U699" s="129" t="n"/>
      <c r="V699" s="129" t="n"/>
      <c r="W699" s="145" t="n"/>
      <c r="X699" s="145" t="n"/>
      <c r="Y699" s="145" t="n"/>
      <c r="Z699" s="145" t="n"/>
    </row>
    <row r="700" ht="45.75" customHeight="1" s="222">
      <c r="A700" s="145" t="n"/>
      <c r="B700" s="145" t="n"/>
      <c r="C700" s="145" t="n"/>
      <c r="D700" s="145" t="n"/>
      <c r="E700" s="145" t="n"/>
      <c r="F700" s="145" t="n"/>
      <c r="G700" s="145" t="n"/>
      <c r="H700" s="145" t="n"/>
      <c r="I700" s="145" t="n"/>
      <c r="J700" s="145" t="n"/>
      <c r="K700" s="145" t="n"/>
      <c r="L700" s="145" t="n"/>
      <c r="M700" s="145" t="n"/>
      <c r="N700" s="145" t="n"/>
      <c r="O700" s="140" t="n"/>
      <c r="P700" s="140" t="n"/>
      <c r="Q700" s="140" t="n"/>
      <c r="R700" s="140" t="n"/>
      <c r="S700" s="140" t="n"/>
      <c r="T700" s="141" t="n"/>
      <c r="U700" s="129" t="n"/>
      <c r="V700" s="129" t="n"/>
      <c r="W700" s="145" t="n"/>
      <c r="X700" s="145" t="n"/>
      <c r="Y700" s="145" t="n"/>
      <c r="Z700" s="145" t="n"/>
    </row>
    <row r="701" ht="45.75" customHeight="1" s="222">
      <c r="A701" s="145" t="n"/>
      <c r="B701" s="145" t="n"/>
      <c r="C701" s="145" t="n"/>
      <c r="D701" s="145" t="n"/>
      <c r="E701" s="145" t="n"/>
      <c r="F701" s="145" t="n"/>
      <c r="G701" s="145" t="n"/>
      <c r="H701" s="145" t="n"/>
      <c r="I701" s="145" t="n"/>
      <c r="J701" s="145" t="n"/>
      <c r="K701" s="145" t="n"/>
      <c r="L701" s="145" t="n"/>
      <c r="M701" s="145" t="n"/>
      <c r="N701" s="145" t="n"/>
      <c r="O701" s="140" t="n"/>
      <c r="P701" s="140" t="n"/>
      <c r="Q701" s="140" t="n"/>
      <c r="R701" s="140" t="n"/>
      <c r="S701" s="140" t="n"/>
      <c r="T701" s="141" t="n"/>
      <c r="U701" s="129" t="n"/>
      <c r="V701" s="129" t="n"/>
      <c r="W701" s="145" t="n"/>
      <c r="X701" s="145" t="n"/>
      <c r="Y701" s="145" t="n"/>
      <c r="Z701" s="145" t="n"/>
    </row>
    <row r="702" ht="45.75" customHeight="1" s="222">
      <c r="A702" s="145" t="n"/>
      <c r="B702" s="145" t="n"/>
      <c r="C702" s="145" t="n"/>
      <c r="D702" s="145" t="n"/>
      <c r="E702" s="145" t="n"/>
      <c r="F702" s="145" t="n"/>
      <c r="G702" s="145" t="n"/>
      <c r="H702" s="145" t="n"/>
      <c r="I702" s="145" t="n"/>
      <c r="J702" s="145" t="n"/>
      <c r="K702" s="145" t="n"/>
      <c r="L702" s="145" t="n"/>
      <c r="M702" s="145" t="n"/>
      <c r="N702" s="145" t="n"/>
      <c r="O702" s="140" t="n"/>
      <c r="P702" s="140" t="n"/>
      <c r="Q702" s="140" t="n"/>
      <c r="R702" s="140" t="n"/>
      <c r="S702" s="140" t="n"/>
      <c r="T702" s="141" t="n"/>
      <c r="U702" s="129" t="n"/>
      <c r="V702" s="129" t="n"/>
      <c r="W702" s="145" t="n"/>
      <c r="X702" s="145" t="n"/>
      <c r="Y702" s="145" t="n"/>
      <c r="Z702" s="145" t="n"/>
    </row>
    <row r="703" ht="45.75" customHeight="1" s="222">
      <c r="A703" s="145" t="n"/>
      <c r="B703" s="145" t="n"/>
      <c r="C703" s="145" t="n"/>
      <c r="D703" s="145" t="n"/>
      <c r="E703" s="145" t="n"/>
      <c r="F703" s="145" t="n"/>
      <c r="G703" s="145" t="n"/>
      <c r="H703" s="145" t="n"/>
      <c r="I703" s="145" t="n"/>
      <c r="J703" s="145" t="n"/>
      <c r="K703" s="145" t="n"/>
      <c r="L703" s="145" t="n"/>
      <c r="M703" s="145" t="n"/>
      <c r="N703" s="145" t="n"/>
      <c r="O703" s="140" t="n"/>
      <c r="P703" s="140" t="n"/>
      <c r="Q703" s="140" t="n"/>
      <c r="R703" s="140" t="n"/>
      <c r="S703" s="140" t="n"/>
      <c r="T703" s="141" t="n"/>
      <c r="U703" s="129" t="n"/>
      <c r="V703" s="129" t="n"/>
      <c r="W703" s="145" t="n"/>
      <c r="X703" s="145" t="n"/>
      <c r="Y703" s="145" t="n"/>
      <c r="Z703" s="145" t="n"/>
    </row>
    <row r="704" ht="45.75" customHeight="1" s="222">
      <c r="A704" s="145" t="n"/>
      <c r="B704" s="145" t="n"/>
      <c r="C704" s="145" t="n"/>
      <c r="D704" s="145" t="n"/>
      <c r="E704" s="145" t="n"/>
      <c r="F704" s="145" t="n"/>
      <c r="G704" s="145" t="n"/>
      <c r="H704" s="145" t="n"/>
      <c r="I704" s="145" t="n"/>
      <c r="J704" s="145" t="n"/>
      <c r="K704" s="145" t="n"/>
      <c r="L704" s="145" t="n"/>
      <c r="M704" s="145" t="n"/>
      <c r="N704" s="145" t="n"/>
      <c r="O704" s="140" t="n"/>
      <c r="P704" s="140" t="n"/>
      <c r="Q704" s="140" t="n"/>
      <c r="R704" s="140" t="n"/>
      <c r="S704" s="140" t="n"/>
      <c r="T704" s="141" t="n"/>
      <c r="U704" s="129" t="n"/>
      <c r="V704" s="129" t="n"/>
      <c r="W704" s="145" t="n"/>
      <c r="X704" s="145" t="n"/>
      <c r="Y704" s="145" t="n"/>
      <c r="Z704" s="145" t="n"/>
    </row>
    <row r="705" ht="45.75" customHeight="1" s="222">
      <c r="A705" s="145" t="n"/>
      <c r="B705" s="145" t="n"/>
      <c r="C705" s="145" t="n"/>
      <c r="D705" s="145" t="n"/>
      <c r="E705" s="145" t="n"/>
      <c r="F705" s="145" t="n"/>
      <c r="G705" s="145" t="n"/>
      <c r="H705" s="145" t="n"/>
      <c r="I705" s="145" t="n"/>
      <c r="J705" s="145" t="n"/>
      <c r="K705" s="145" t="n"/>
      <c r="L705" s="145" t="n"/>
      <c r="M705" s="145" t="n"/>
      <c r="N705" s="145" t="n"/>
      <c r="O705" s="140" t="n"/>
      <c r="P705" s="140" t="n"/>
      <c r="Q705" s="140" t="n"/>
      <c r="R705" s="140" t="n"/>
      <c r="S705" s="140" t="n"/>
      <c r="T705" s="141" t="n"/>
      <c r="U705" s="129" t="n"/>
      <c r="V705" s="129" t="n"/>
      <c r="W705" s="145" t="n"/>
      <c r="X705" s="145" t="n"/>
      <c r="Y705" s="145" t="n"/>
      <c r="Z705" s="145" t="n"/>
    </row>
    <row r="706" ht="45.75" customHeight="1" s="222">
      <c r="A706" s="145" t="n"/>
      <c r="B706" s="145" t="n"/>
      <c r="C706" s="145" t="n"/>
      <c r="D706" s="145" t="n"/>
      <c r="E706" s="145" t="n"/>
      <c r="F706" s="145" t="n"/>
      <c r="G706" s="145" t="n"/>
      <c r="H706" s="145" t="n"/>
      <c r="I706" s="145" t="n"/>
      <c r="J706" s="145" t="n"/>
      <c r="K706" s="145" t="n"/>
      <c r="L706" s="145" t="n"/>
      <c r="M706" s="145" t="n"/>
      <c r="N706" s="145" t="n"/>
      <c r="O706" s="140" t="n"/>
      <c r="P706" s="140" t="n"/>
      <c r="Q706" s="140" t="n"/>
      <c r="R706" s="140" t="n"/>
      <c r="S706" s="140" t="n"/>
      <c r="T706" s="141" t="n"/>
      <c r="U706" s="129" t="n"/>
      <c r="V706" s="129" t="n"/>
      <c r="W706" s="145" t="n"/>
      <c r="X706" s="145" t="n"/>
      <c r="Y706" s="145" t="n"/>
      <c r="Z706" s="145" t="n"/>
    </row>
    <row r="707" ht="45.75" customHeight="1" s="222">
      <c r="A707" s="145" t="n"/>
      <c r="B707" s="145" t="n"/>
      <c r="C707" s="145" t="n"/>
      <c r="D707" s="145" t="n"/>
      <c r="E707" s="145" t="n"/>
      <c r="F707" s="145" t="n"/>
      <c r="G707" s="145" t="n"/>
      <c r="H707" s="145" t="n"/>
      <c r="I707" s="145" t="n"/>
      <c r="J707" s="145" t="n"/>
      <c r="K707" s="145" t="n"/>
      <c r="L707" s="145" t="n"/>
      <c r="M707" s="145" t="n"/>
      <c r="N707" s="145" t="n"/>
      <c r="O707" s="140" t="n"/>
      <c r="P707" s="140" t="n"/>
      <c r="Q707" s="140" t="n"/>
      <c r="R707" s="140" t="n"/>
      <c r="S707" s="140" t="n"/>
      <c r="T707" s="141" t="n"/>
      <c r="U707" s="129" t="n"/>
      <c r="V707" s="129" t="n"/>
      <c r="W707" s="145" t="n"/>
      <c r="X707" s="145" t="n"/>
      <c r="Y707" s="145" t="n"/>
      <c r="Z707" s="145" t="n"/>
    </row>
    <row r="708" ht="45.75" customHeight="1" s="222">
      <c r="A708" s="145" t="n"/>
      <c r="B708" s="145" t="n"/>
      <c r="C708" s="145" t="n"/>
      <c r="D708" s="145" t="n"/>
      <c r="E708" s="145" t="n"/>
      <c r="F708" s="145" t="n"/>
      <c r="G708" s="145" t="n"/>
      <c r="H708" s="145" t="n"/>
      <c r="I708" s="145" t="n"/>
      <c r="J708" s="145" t="n"/>
      <c r="K708" s="145" t="n"/>
      <c r="L708" s="145" t="n"/>
      <c r="M708" s="145" t="n"/>
      <c r="N708" s="145" t="n"/>
      <c r="O708" s="140" t="n"/>
      <c r="P708" s="140" t="n"/>
      <c r="Q708" s="140" t="n"/>
      <c r="R708" s="140" t="n"/>
      <c r="S708" s="140" t="n"/>
      <c r="T708" s="141" t="n"/>
      <c r="U708" s="129" t="n"/>
      <c r="V708" s="129" t="n"/>
      <c r="W708" s="145" t="n"/>
      <c r="X708" s="145" t="n"/>
      <c r="Y708" s="145" t="n"/>
      <c r="Z708" s="145" t="n"/>
    </row>
    <row r="709" ht="45.75" customHeight="1" s="222">
      <c r="A709" s="145" t="n"/>
      <c r="B709" s="145" t="n"/>
      <c r="C709" s="145" t="n"/>
      <c r="D709" s="145" t="n"/>
      <c r="E709" s="145" t="n"/>
      <c r="F709" s="145" t="n"/>
      <c r="G709" s="145" t="n"/>
      <c r="H709" s="145" t="n"/>
      <c r="I709" s="145" t="n"/>
      <c r="J709" s="145" t="n"/>
      <c r="K709" s="145" t="n"/>
      <c r="L709" s="145" t="n"/>
      <c r="M709" s="145" t="n"/>
      <c r="N709" s="145" t="n"/>
      <c r="O709" s="140" t="n"/>
      <c r="P709" s="140" t="n"/>
      <c r="Q709" s="140" t="n"/>
      <c r="R709" s="140" t="n"/>
      <c r="S709" s="140" t="n"/>
      <c r="T709" s="141" t="n"/>
      <c r="U709" s="129" t="n"/>
      <c r="V709" s="129" t="n"/>
      <c r="W709" s="145" t="n"/>
      <c r="X709" s="145" t="n"/>
      <c r="Y709" s="145" t="n"/>
      <c r="Z709" s="145" t="n"/>
    </row>
    <row r="710" ht="45.75" customHeight="1" s="222">
      <c r="A710" s="145" t="n"/>
      <c r="B710" s="145" t="n"/>
      <c r="C710" s="145" t="n"/>
      <c r="D710" s="145" t="n"/>
      <c r="E710" s="145" t="n"/>
      <c r="F710" s="145" t="n"/>
      <c r="G710" s="145" t="n"/>
      <c r="H710" s="145" t="n"/>
      <c r="I710" s="145" t="n"/>
      <c r="J710" s="145" t="n"/>
      <c r="K710" s="145" t="n"/>
      <c r="L710" s="145" t="n"/>
      <c r="M710" s="145" t="n"/>
      <c r="N710" s="145" t="n"/>
      <c r="O710" s="140" t="n"/>
      <c r="P710" s="140" t="n"/>
      <c r="Q710" s="140" t="n"/>
      <c r="R710" s="140" t="n"/>
      <c r="S710" s="140" t="n"/>
      <c r="T710" s="141" t="n"/>
      <c r="U710" s="129" t="n"/>
      <c r="V710" s="129" t="n"/>
      <c r="W710" s="145" t="n"/>
      <c r="X710" s="145" t="n"/>
      <c r="Y710" s="145" t="n"/>
      <c r="Z710" s="145" t="n"/>
    </row>
    <row r="711" ht="45.75" customHeight="1" s="222">
      <c r="A711" s="145" t="n"/>
      <c r="B711" s="145" t="n"/>
      <c r="C711" s="145" t="n"/>
      <c r="D711" s="145" t="n"/>
      <c r="E711" s="145" t="n"/>
      <c r="F711" s="145" t="n"/>
      <c r="G711" s="145" t="n"/>
      <c r="H711" s="145" t="n"/>
      <c r="I711" s="145" t="n"/>
      <c r="J711" s="145" t="n"/>
      <c r="K711" s="145" t="n"/>
      <c r="L711" s="145" t="n"/>
      <c r="M711" s="145" t="n"/>
      <c r="N711" s="145" t="n"/>
      <c r="O711" s="140" t="n"/>
      <c r="P711" s="140" t="n"/>
      <c r="Q711" s="140" t="n"/>
      <c r="R711" s="140" t="n"/>
      <c r="S711" s="140" t="n"/>
      <c r="T711" s="141" t="n"/>
      <c r="U711" s="129" t="n"/>
      <c r="V711" s="129" t="n"/>
      <c r="W711" s="145" t="n"/>
      <c r="X711" s="145" t="n"/>
      <c r="Y711" s="145" t="n"/>
      <c r="Z711" s="145" t="n"/>
    </row>
    <row r="712" ht="45.75" customHeight="1" s="222">
      <c r="A712" s="145" t="n"/>
      <c r="B712" s="145" t="n"/>
      <c r="C712" s="145" t="n"/>
      <c r="D712" s="145" t="n"/>
      <c r="E712" s="145" t="n"/>
      <c r="F712" s="145" t="n"/>
      <c r="G712" s="145" t="n"/>
      <c r="H712" s="145" t="n"/>
      <c r="I712" s="145" t="n"/>
      <c r="J712" s="145" t="n"/>
      <c r="K712" s="145" t="n"/>
      <c r="L712" s="145" t="n"/>
      <c r="M712" s="145" t="n"/>
      <c r="N712" s="145" t="n"/>
      <c r="O712" s="140" t="n"/>
      <c r="P712" s="140" t="n"/>
      <c r="Q712" s="140" t="n"/>
      <c r="R712" s="140" t="n"/>
      <c r="S712" s="140" t="n"/>
      <c r="T712" s="141" t="n"/>
      <c r="U712" s="129" t="n"/>
      <c r="V712" s="129" t="n"/>
      <c r="W712" s="145" t="n"/>
      <c r="X712" s="145" t="n"/>
      <c r="Y712" s="145" t="n"/>
      <c r="Z712" s="145" t="n"/>
    </row>
    <row r="713" ht="45.75" customHeight="1" s="222">
      <c r="A713" s="145" t="n"/>
      <c r="B713" s="145" t="n"/>
      <c r="C713" s="145" t="n"/>
      <c r="D713" s="145" t="n"/>
      <c r="E713" s="145" t="n"/>
      <c r="F713" s="145" t="n"/>
      <c r="G713" s="145" t="n"/>
      <c r="H713" s="145" t="n"/>
      <c r="I713" s="145" t="n"/>
      <c r="J713" s="145" t="n"/>
      <c r="K713" s="145" t="n"/>
      <c r="L713" s="145" t="n"/>
      <c r="M713" s="145" t="n"/>
      <c r="N713" s="145" t="n"/>
      <c r="O713" s="140" t="n"/>
      <c r="P713" s="140" t="n"/>
      <c r="Q713" s="140" t="n"/>
      <c r="R713" s="140" t="n"/>
      <c r="S713" s="140" t="n"/>
      <c r="T713" s="141" t="n"/>
      <c r="U713" s="129" t="n"/>
      <c r="V713" s="129" t="n"/>
      <c r="W713" s="145" t="n"/>
      <c r="X713" s="145" t="n"/>
      <c r="Y713" s="145" t="n"/>
      <c r="Z713" s="145" t="n"/>
    </row>
    <row r="714" ht="45.75" customHeight="1" s="222">
      <c r="A714" s="145" t="n"/>
      <c r="B714" s="145" t="n"/>
      <c r="C714" s="145" t="n"/>
      <c r="D714" s="145" t="n"/>
      <c r="E714" s="145" t="n"/>
      <c r="F714" s="145" t="n"/>
      <c r="G714" s="145" t="n"/>
      <c r="H714" s="145" t="n"/>
      <c r="I714" s="145" t="n"/>
      <c r="J714" s="145" t="n"/>
      <c r="K714" s="145" t="n"/>
      <c r="L714" s="145" t="n"/>
      <c r="M714" s="145" t="n"/>
      <c r="N714" s="145" t="n"/>
      <c r="O714" s="140" t="n"/>
      <c r="P714" s="140" t="n"/>
      <c r="Q714" s="140" t="n"/>
      <c r="R714" s="140" t="n"/>
      <c r="S714" s="140" t="n"/>
      <c r="T714" s="141" t="n"/>
      <c r="U714" s="129" t="n"/>
      <c r="V714" s="129" t="n"/>
      <c r="W714" s="145" t="n"/>
      <c r="X714" s="145" t="n"/>
      <c r="Y714" s="145" t="n"/>
      <c r="Z714" s="145" t="n"/>
    </row>
    <row r="715" ht="45.75" customHeight="1" s="222">
      <c r="A715" s="145" t="n"/>
      <c r="B715" s="145" t="n"/>
      <c r="C715" s="145" t="n"/>
      <c r="D715" s="145" t="n"/>
      <c r="E715" s="145" t="n"/>
      <c r="F715" s="145" t="n"/>
      <c r="G715" s="145" t="n"/>
      <c r="H715" s="145" t="n"/>
      <c r="I715" s="145" t="n"/>
      <c r="J715" s="145" t="n"/>
      <c r="K715" s="145" t="n"/>
      <c r="L715" s="145" t="n"/>
      <c r="M715" s="145" t="n"/>
      <c r="N715" s="145" t="n"/>
      <c r="O715" s="140" t="n"/>
      <c r="P715" s="140" t="n"/>
      <c r="Q715" s="140" t="n"/>
      <c r="R715" s="140" t="n"/>
      <c r="S715" s="140" t="n"/>
      <c r="T715" s="141" t="n"/>
      <c r="U715" s="129" t="n"/>
      <c r="V715" s="129" t="n"/>
      <c r="W715" s="145" t="n"/>
      <c r="X715" s="145" t="n"/>
      <c r="Y715" s="145" t="n"/>
      <c r="Z715" s="145" t="n"/>
    </row>
    <row r="716" ht="45.75" customHeight="1" s="222">
      <c r="A716" s="145" t="n"/>
      <c r="B716" s="145" t="n"/>
      <c r="C716" s="145" t="n"/>
      <c r="D716" s="145" t="n"/>
      <c r="E716" s="145" t="n"/>
      <c r="F716" s="145" t="n"/>
      <c r="G716" s="145" t="n"/>
      <c r="H716" s="145" t="n"/>
      <c r="I716" s="145" t="n"/>
      <c r="J716" s="145" t="n"/>
      <c r="K716" s="145" t="n"/>
      <c r="L716" s="145" t="n"/>
      <c r="M716" s="145" t="n"/>
      <c r="N716" s="145" t="n"/>
      <c r="O716" s="140" t="n"/>
      <c r="P716" s="140" t="n"/>
      <c r="Q716" s="140" t="n"/>
      <c r="R716" s="140" t="n"/>
      <c r="S716" s="140" t="n"/>
      <c r="T716" s="141" t="n"/>
      <c r="U716" s="129" t="n"/>
      <c r="V716" s="129" t="n"/>
      <c r="W716" s="145" t="n"/>
      <c r="X716" s="145" t="n"/>
      <c r="Y716" s="145" t="n"/>
      <c r="Z716" s="145" t="n"/>
    </row>
    <row r="717" ht="45.75" customHeight="1" s="222">
      <c r="A717" s="145" t="n"/>
      <c r="B717" s="145" t="n"/>
      <c r="C717" s="145" t="n"/>
      <c r="D717" s="145" t="n"/>
      <c r="E717" s="145" t="n"/>
      <c r="F717" s="145" t="n"/>
      <c r="G717" s="145" t="n"/>
      <c r="H717" s="145" t="n"/>
      <c r="I717" s="145" t="n"/>
      <c r="J717" s="145" t="n"/>
      <c r="K717" s="145" t="n"/>
      <c r="L717" s="145" t="n"/>
      <c r="M717" s="145" t="n"/>
      <c r="N717" s="145" t="n"/>
      <c r="O717" s="140" t="n"/>
      <c r="P717" s="140" t="n"/>
      <c r="Q717" s="140" t="n"/>
      <c r="R717" s="140" t="n"/>
      <c r="S717" s="140" t="n"/>
      <c r="T717" s="141" t="n"/>
      <c r="U717" s="129" t="n"/>
      <c r="V717" s="129" t="n"/>
      <c r="W717" s="145" t="n"/>
      <c r="X717" s="145" t="n"/>
      <c r="Y717" s="145" t="n"/>
      <c r="Z717" s="145" t="n"/>
    </row>
    <row r="718" ht="45.75" customHeight="1" s="222">
      <c r="A718" s="145" t="n"/>
      <c r="B718" s="145" t="n"/>
      <c r="C718" s="145" t="n"/>
      <c r="D718" s="145" t="n"/>
      <c r="E718" s="145" t="n"/>
      <c r="F718" s="145" t="n"/>
      <c r="G718" s="145" t="n"/>
      <c r="H718" s="145" t="n"/>
      <c r="I718" s="145" t="n"/>
      <c r="J718" s="145" t="n"/>
      <c r="K718" s="145" t="n"/>
      <c r="L718" s="145" t="n"/>
      <c r="M718" s="145" t="n"/>
      <c r="N718" s="145" t="n"/>
      <c r="O718" s="140" t="n"/>
      <c r="P718" s="140" t="n"/>
      <c r="Q718" s="140" t="n"/>
      <c r="R718" s="140" t="n"/>
      <c r="S718" s="140" t="n"/>
      <c r="T718" s="141" t="n"/>
      <c r="U718" s="129" t="n"/>
      <c r="V718" s="129" t="n"/>
      <c r="W718" s="145" t="n"/>
      <c r="X718" s="145" t="n"/>
      <c r="Y718" s="145" t="n"/>
      <c r="Z718" s="145" t="n"/>
    </row>
    <row r="719" ht="45.75" customHeight="1" s="222">
      <c r="A719" s="145" t="n"/>
      <c r="B719" s="145" t="n"/>
      <c r="C719" s="145" t="n"/>
      <c r="D719" s="145" t="n"/>
      <c r="E719" s="145" t="n"/>
      <c r="F719" s="145" t="n"/>
      <c r="G719" s="145" t="n"/>
      <c r="H719" s="145" t="n"/>
      <c r="I719" s="145" t="n"/>
      <c r="J719" s="145" t="n"/>
      <c r="K719" s="145" t="n"/>
      <c r="L719" s="145" t="n"/>
      <c r="M719" s="145" t="n"/>
      <c r="N719" s="145" t="n"/>
      <c r="O719" s="140" t="n"/>
      <c r="P719" s="140" t="n"/>
      <c r="Q719" s="140" t="n"/>
      <c r="R719" s="140" t="n"/>
      <c r="S719" s="140" t="n"/>
      <c r="T719" s="141" t="n"/>
      <c r="U719" s="129" t="n"/>
      <c r="V719" s="129" t="n"/>
      <c r="W719" s="145" t="n"/>
      <c r="X719" s="145" t="n"/>
      <c r="Y719" s="145" t="n"/>
      <c r="Z719" s="145" t="n"/>
    </row>
    <row r="720" ht="45.75" customHeight="1" s="222">
      <c r="A720" s="145" t="n"/>
      <c r="B720" s="145" t="n"/>
      <c r="C720" s="145" t="n"/>
      <c r="D720" s="145" t="n"/>
      <c r="E720" s="145" t="n"/>
      <c r="F720" s="145" t="n"/>
      <c r="G720" s="145" t="n"/>
      <c r="H720" s="145" t="n"/>
      <c r="I720" s="145" t="n"/>
      <c r="J720" s="145" t="n"/>
      <c r="K720" s="145" t="n"/>
      <c r="L720" s="145" t="n"/>
      <c r="M720" s="145" t="n"/>
      <c r="N720" s="145" t="n"/>
      <c r="O720" s="140" t="n"/>
      <c r="P720" s="140" t="n"/>
      <c r="Q720" s="140" t="n"/>
      <c r="R720" s="140" t="n"/>
      <c r="S720" s="140" t="n"/>
      <c r="T720" s="141" t="n"/>
      <c r="U720" s="129" t="n"/>
      <c r="V720" s="129" t="n"/>
      <c r="W720" s="145" t="n"/>
      <c r="X720" s="145" t="n"/>
      <c r="Y720" s="145" t="n"/>
      <c r="Z720" s="145" t="n"/>
    </row>
    <row r="721" ht="45.75" customHeight="1" s="222">
      <c r="A721" s="145" t="n"/>
      <c r="B721" s="145" t="n"/>
      <c r="C721" s="145" t="n"/>
      <c r="D721" s="145" t="n"/>
      <c r="E721" s="145" t="n"/>
      <c r="F721" s="145" t="n"/>
      <c r="G721" s="145" t="n"/>
      <c r="H721" s="145" t="n"/>
      <c r="I721" s="145" t="n"/>
      <c r="J721" s="145" t="n"/>
      <c r="K721" s="145" t="n"/>
      <c r="L721" s="145" t="n"/>
      <c r="M721" s="145" t="n"/>
      <c r="N721" s="145" t="n"/>
      <c r="O721" s="140" t="n"/>
      <c r="P721" s="140" t="n"/>
      <c r="Q721" s="140" t="n"/>
      <c r="R721" s="140" t="n"/>
      <c r="S721" s="140" t="n"/>
      <c r="T721" s="141" t="n"/>
      <c r="U721" s="129" t="n"/>
      <c r="V721" s="129" t="n"/>
      <c r="W721" s="145" t="n"/>
      <c r="X721" s="145" t="n"/>
      <c r="Y721" s="145" t="n"/>
      <c r="Z721" s="145" t="n"/>
    </row>
    <row r="722" ht="45.75" customHeight="1" s="222">
      <c r="A722" s="145" t="n"/>
      <c r="B722" s="145" t="n"/>
      <c r="C722" s="145" t="n"/>
      <c r="D722" s="145" t="n"/>
      <c r="E722" s="145" t="n"/>
      <c r="F722" s="145" t="n"/>
      <c r="G722" s="145" t="n"/>
      <c r="H722" s="145" t="n"/>
      <c r="I722" s="145" t="n"/>
      <c r="J722" s="145" t="n"/>
      <c r="K722" s="145" t="n"/>
      <c r="L722" s="145" t="n"/>
      <c r="M722" s="145" t="n"/>
      <c r="N722" s="145" t="n"/>
      <c r="O722" s="140" t="n"/>
      <c r="P722" s="140" t="n"/>
      <c r="Q722" s="140" t="n"/>
      <c r="R722" s="140" t="n"/>
      <c r="S722" s="140" t="n"/>
      <c r="T722" s="141" t="n"/>
      <c r="U722" s="129" t="n"/>
      <c r="V722" s="129" t="n"/>
      <c r="W722" s="145" t="n"/>
      <c r="X722" s="145" t="n"/>
      <c r="Y722" s="145" t="n"/>
      <c r="Z722" s="145" t="n"/>
    </row>
    <row r="723" ht="45.75" customHeight="1" s="222">
      <c r="A723" s="145" t="n"/>
      <c r="B723" s="145" t="n"/>
      <c r="C723" s="145" t="n"/>
      <c r="D723" s="145" t="n"/>
      <c r="E723" s="145" t="n"/>
      <c r="F723" s="145" t="n"/>
      <c r="G723" s="145" t="n"/>
      <c r="H723" s="145" t="n"/>
      <c r="I723" s="145" t="n"/>
      <c r="J723" s="145" t="n"/>
      <c r="K723" s="145" t="n"/>
      <c r="L723" s="145" t="n"/>
      <c r="M723" s="145" t="n"/>
      <c r="N723" s="145" t="n"/>
      <c r="O723" s="140" t="n"/>
      <c r="P723" s="140" t="n"/>
      <c r="Q723" s="140" t="n"/>
      <c r="R723" s="140" t="n"/>
      <c r="S723" s="140" t="n"/>
      <c r="T723" s="141" t="n"/>
      <c r="U723" s="129" t="n"/>
      <c r="V723" s="129" t="n"/>
      <c r="W723" s="145" t="n"/>
      <c r="X723" s="145" t="n"/>
      <c r="Y723" s="145" t="n"/>
      <c r="Z723" s="145" t="n"/>
    </row>
    <row r="724" ht="45.75" customHeight="1" s="222">
      <c r="A724" s="145" t="n"/>
      <c r="B724" s="145" t="n"/>
      <c r="C724" s="145" t="n"/>
      <c r="D724" s="145" t="n"/>
      <c r="E724" s="145" t="n"/>
      <c r="F724" s="145" t="n"/>
      <c r="G724" s="145" t="n"/>
      <c r="H724" s="145" t="n"/>
      <c r="I724" s="145" t="n"/>
      <c r="J724" s="145" t="n"/>
      <c r="K724" s="145" t="n"/>
      <c r="L724" s="145" t="n"/>
      <c r="M724" s="145" t="n"/>
      <c r="N724" s="145" t="n"/>
      <c r="O724" s="140" t="n"/>
      <c r="P724" s="140" t="n"/>
      <c r="Q724" s="140" t="n"/>
      <c r="R724" s="140" t="n"/>
      <c r="S724" s="140" t="n"/>
      <c r="T724" s="141" t="n"/>
      <c r="U724" s="129" t="n"/>
      <c r="V724" s="129" t="n"/>
      <c r="W724" s="145" t="n"/>
      <c r="X724" s="145" t="n"/>
      <c r="Y724" s="145" t="n"/>
      <c r="Z724" s="145" t="n"/>
    </row>
    <row r="725" ht="45.75" customHeight="1" s="222">
      <c r="A725" s="145" t="n"/>
      <c r="B725" s="145" t="n"/>
      <c r="C725" s="145" t="n"/>
      <c r="D725" s="145" t="n"/>
      <c r="E725" s="145" t="n"/>
      <c r="F725" s="145" t="n"/>
      <c r="G725" s="145" t="n"/>
      <c r="H725" s="145" t="n"/>
      <c r="I725" s="145" t="n"/>
      <c r="J725" s="145" t="n"/>
      <c r="K725" s="145" t="n"/>
      <c r="L725" s="145" t="n"/>
      <c r="M725" s="145" t="n"/>
      <c r="N725" s="145" t="n"/>
      <c r="O725" s="140" t="n"/>
      <c r="P725" s="140" t="n"/>
      <c r="Q725" s="140" t="n"/>
      <c r="R725" s="140" t="n"/>
      <c r="S725" s="140" t="n"/>
      <c r="T725" s="141" t="n"/>
      <c r="U725" s="129" t="n"/>
      <c r="V725" s="129" t="n"/>
      <c r="W725" s="145" t="n"/>
      <c r="X725" s="145" t="n"/>
      <c r="Y725" s="145" t="n"/>
      <c r="Z725" s="145" t="n"/>
    </row>
    <row r="726" ht="45.75" customHeight="1" s="222">
      <c r="A726" s="145" t="n"/>
      <c r="B726" s="145" t="n"/>
      <c r="C726" s="145" t="n"/>
      <c r="D726" s="145" t="n"/>
      <c r="E726" s="145" t="n"/>
      <c r="F726" s="145" t="n"/>
      <c r="G726" s="145" t="n"/>
      <c r="H726" s="145" t="n"/>
      <c r="I726" s="145" t="n"/>
      <c r="J726" s="145" t="n"/>
      <c r="K726" s="145" t="n"/>
      <c r="L726" s="145" t="n"/>
      <c r="M726" s="145" t="n"/>
      <c r="N726" s="145" t="n"/>
      <c r="O726" s="140" t="n"/>
      <c r="P726" s="140" t="n"/>
      <c r="Q726" s="140" t="n"/>
      <c r="R726" s="140" t="n"/>
      <c r="S726" s="140" t="n"/>
      <c r="T726" s="141" t="n"/>
      <c r="U726" s="129" t="n"/>
      <c r="V726" s="129" t="n"/>
      <c r="W726" s="145" t="n"/>
      <c r="X726" s="145" t="n"/>
      <c r="Y726" s="145" t="n"/>
      <c r="Z726" s="145" t="n"/>
    </row>
    <row r="727" ht="45.75" customHeight="1" s="222">
      <c r="A727" s="145" t="n"/>
      <c r="B727" s="145" t="n"/>
      <c r="C727" s="145" t="n"/>
      <c r="D727" s="145" t="n"/>
      <c r="E727" s="145" t="n"/>
      <c r="F727" s="145" t="n"/>
      <c r="G727" s="145" t="n"/>
      <c r="H727" s="145" t="n"/>
      <c r="I727" s="145" t="n"/>
      <c r="J727" s="145" t="n"/>
      <c r="K727" s="145" t="n"/>
      <c r="L727" s="145" t="n"/>
      <c r="M727" s="145" t="n"/>
      <c r="N727" s="145" t="n"/>
      <c r="O727" s="140" t="n"/>
      <c r="P727" s="140" t="n"/>
      <c r="Q727" s="140" t="n"/>
      <c r="R727" s="140" t="n"/>
      <c r="S727" s="140" t="n"/>
      <c r="T727" s="141" t="n"/>
      <c r="U727" s="129" t="n"/>
      <c r="V727" s="129" t="n"/>
      <c r="W727" s="145" t="n"/>
      <c r="X727" s="145" t="n"/>
      <c r="Y727" s="145" t="n"/>
      <c r="Z727" s="145" t="n"/>
    </row>
    <row r="728" ht="45.75" customHeight="1" s="222">
      <c r="A728" s="145" t="n"/>
      <c r="B728" s="145" t="n"/>
      <c r="C728" s="145" t="n"/>
      <c r="D728" s="145" t="n"/>
      <c r="E728" s="145" t="n"/>
      <c r="F728" s="145" t="n"/>
      <c r="G728" s="145" t="n"/>
      <c r="H728" s="145" t="n"/>
      <c r="I728" s="145" t="n"/>
      <c r="J728" s="145" t="n"/>
      <c r="K728" s="145" t="n"/>
      <c r="L728" s="145" t="n"/>
      <c r="M728" s="145" t="n"/>
      <c r="N728" s="145" t="n"/>
      <c r="O728" s="140" t="n"/>
      <c r="P728" s="140" t="n"/>
      <c r="Q728" s="140" t="n"/>
      <c r="R728" s="140" t="n"/>
      <c r="S728" s="140" t="n"/>
      <c r="T728" s="141" t="n"/>
      <c r="U728" s="129" t="n"/>
      <c r="V728" s="129" t="n"/>
      <c r="W728" s="145" t="n"/>
      <c r="X728" s="145" t="n"/>
      <c r="Y728" s="145" t="n"/>
      <c r="Z728" s="145" t="n"/>
    </row>
    <row r="729" ht="45.75" customHeight="1" s="222">
      <c r="A729" s="145" t="n"/>
      <c r="B729" s="145" t="n"/>
      <c r="C729" s="145" t="n"/>
      <c r="D729" s="145" t="n"/>
      <c r="E729" s="145" t="n"/>
      <c r="F729" s="145" t="n"/>
      <c r="G729" s="145" t="n"/>
      <c r="H729" s="145" t="n"/>
      <c r="I729" s="145" t="n"/>
      <c r="J729" s="145" t="n"/>
      <c r="K729" s="145" t="n"/>
      <c r="L729" s="145" t="n"/>
      <c r="M729" s="145" t="n"/>
      <c r="N729" s="145" t="n"/>
      <c r="O729" s="140" t="n"/>
      <c r="P729" s="140" t="n"/>
      <c r="Q729" s="140" t="n"/>
      <c r="R729" s="140" t="n"/>
      <c r="S729" s="140" t="n"/>
      <c r="T729" s="141" t="n"/>
      <c r="U729" s="129" t="n"/>
      <c r="V729" s="129" t="n"/>
      <c r="W729" s="145" t="n"/>
      <c r="X729" s="145" t="n"/>
      <c r="Y729" s="145" t="n"/>
      <c r="Z729" s="145" t="n"/>
    </row>
    <row r="730" ht="45.75" customHeight="1" s="222">
      <c r="A730" s="145" t="n"/>
      <c r="B730" s="145" t="n"/>
      <c r="C730" s="145" t="n"/>
      <c r="D730" s="145" t="n"/>
      <c r="E730" s="145" t="n"/>
      <c r="F730" s="145" t="n"/>
      <c r="G730" s="145" t="n"/>
      <c r="H730" s="145" t="n"/>
      <c r="I730" s="145" t="n"/>
      <c r="J730" s="145" t="n"/>
      <c r="K730" s="145" t="n"/>
      <c r="L730" s="145" t="n"/>
      <c r="M730" s="145" t="n"/>
      <c r="N730" s="145" t="n"/>
      <c r="O730" s="140" t="n"/>
      <c r="P730" s="140" t="n"/>
      <c r="Q730" s="140" t="n"/>
      <c r="R730" s="140" t="n"/>
      <c r="S730" s="140" t="n"/>
      <c r="T730" s="141" t="n"/>
      <c r="U730" s="129" t="n"/>
      <c r="V730" s="129" t="n"/>
      <c r="W730" s="145" t="n"/>
      <c r="X730" s="145" t="n"/>
      <c r="Y730" s="145" t="n"/>
      <c r="Z730" s="145" t="n"/>
    </row>
    <row r="731" ht="45.75" customHeight="1" s="222">
      <c r="A731" s="145" t="n"/>
      <c r="B731" s="145" t="n"/>
      <c r="C731" s="145" t="n"/>
      <c r="D731" s="145" t="n"/>
      <c r="E731" s="145" t="n"/>
      <c r="F731" s="145" t="n"/>
      <c r="G731" s="145" t="n"/>
      <c r="H731" s="145" t="n"/>
      <c r="I731" s="145" t="n"/>
      <c r="J731" s="145" t="n"/>
      <c r="K731" s="145" t="n"/>
      <c r="L731" s="145" t="n"/>
      <c r="M731" s="145" t="n"/>
      <c r="N731" s="145" t="n"/>
      <c r="O731" s="140" t="n"/>
      <c r="P731" s="140" t="n"/>
      <c r="Q731" s="140" t="n"/>
      <c r="R731" s="140" t="n"/>
      <c r="S731" s="140" t="n"/>
      <c r="T731" s="141" t="n"/>
      <c r="U731" s="129" t="n"/>
      <c r="V731" s="129" t="n"/>
      <c r="W731" s="145" t="n"/>
      <c r="X731" s="145" t="n"/>
      <c r="Y731" s="145" t="n"/>
      <c r="Z731" s="145" t="n"/>
    </row>
    <row r="732" ht="45.75" customHeight="1" s="222">
      <c r="A732" s="145" t="n"/>
      <c r="B732" s="145" t="n"/>
      <c r="C732" s="145" t="n"/>
      <c r="D732" s="145" t="n"/>
      <c r="E732" s="145" t="n"/>
      <c r="F732" s="145" t="n"/>
      <c r="G732" s="145" t="n"/>
      <c r="H732" s="145" t="n"/>
      <c r="I732" s="145" t="n"/>
      <c r="J732" s="145" t="n"/>
      <c r="K732" s="145" t="n"/>
      <c r="L732" s="145" t="n"/>
      <c r="M732" s="145" t="n"/>
      <c r="N732" s="145" t="n"/>
      <c r="O732" s="140" t="n"/>
      <c r="P732" s="140" t="n"/>
      <c r="Q732" s="140" t="n"/>
      <c r="R732" s="140" t="n"/>
      <c r="S732" s="140" t="n"/>
      <c r="T732" s="141" t="n"/>
      <c r="U732" s="129" t="n"/>
      <c r="V732" s="129" t="n"/>
      <c r="W732" s="145" t="n"/>
      <c r="X732" s="145" t="n"/>
      <c r="Y732" s="145" t="n"/>
      <c r="Z732" s="145" t="n"/>
    </row>
    <row r="733" ht="45.75" customHeight="1" s="222">
      <c r="A733" s="145" t="n"/>
      <c r="B733" s="145" t="n"/>
      <c r="C733" s="145" t="n"/>
      <c r="D733" s="145" t="n"/>
      <c r="E733" s="145" t="n"/>
      <c r="F733" s="145" t="n"/>
      <c r="G733" s="145" t="n"/>
      <c r="H733" s="145" t="n"/>
      <c r="I733" s="145" t="n"/>
      <c r="J733" s="145" t="n"/>
      <c r="K733" s="145" t="n"/>
      <c r="L733" s="145" t="n"/>
      <c r="M733" s="145" t="n"/>
      <c r="N733" s="145" t="n"/>
      <c r="O733" s="140" t="n"/>
      <c r="P733" s="140" t="n"/>
      <c r="Q733" s="140" t="n"/>
      <c r="R733" s="140" t="n"/>
      <c r="S733" s="140" t="n"/>
      <c r="T733" s="141" t="n"/>
      <c r="U733" s="129" t="n"/>
      <c r="V733" s="129" t="n"/>
      <c r="W733" s="145" t="n"/>
      <c r="X733" s="145" t="n"/>
      <c r="Y733" s="145" t="n"/>
      <c r="Z733" s="145" t="n"/>
    </row>
    <row r="734" ht="45.75" customHeight="1" s="222">
      <c r="A734" s="145" t="n"/>
      <c r="B734" s="145" t="n"/>
      <c r="C734" s="145" t="n"/>
      <c r="D734" s="145" t="n"/>
      <c r="E734" s="145" t="n"/>
      <c r="F734" s="145" t="n"/>
      <c r="G734" s="145" t="n"/>
      <c r="H734" s="145" t="n"/>
      <c r="I734" s="145" t="n"/>
      <c r="J734" s="145" t="n"/>
      <c r="K734" s="145" t="n"/>
      <c r="L734" s="145" t="n"/>
      <c r="M734" s="145" t="n"/>
      <c r="N734" s="145" t="n"/>
      <c r="O734" s="140" t="n"/>
      <c r="P734" s="140" t="n"/>
      <c r="Q734" s="140" t="n"/>
      <c r="R734" s="140" t="n"/>
      <c r="S734" s="140" t="n"/>
      <c r="T734" s="141" t="n"/>
      <c r="U734" s="129" t="n"/>
      <c r="V734" s="129" t="n"/>
      <c r="W734" s="145" t="n"/>
      <c r="X734" s="145" t="n"/>
      <c r="Y734" s="145" t="n"/>
      <c r="Z734" s="145" t="n"/>
    </row>
    <row r="735" ht="45.75" customHeight="1" s="222">
      <c r="A735" s="145" t="n"/>
      <c r="B735" s="145" t="n"/>
      <c r="C735" s="145" t="n"/>
      <c r="D735" s="145" t="n"/>
      <c r="E735" s="145" t="n"/>
      <c r="F735" s="145" t="n"/>
      <c r="G735" s="145" t="n"/>
      <c r="H735" s="145" t="n"/>
      <c r="I735" s="145" t="n"/>
      <c r="J735" s="145" t="n"/>
      <c r="K735" s="145" t="n"/>
      <c r="L735" s="145" t="n"/>
      <c r="M735" s="145" t="n"/>
      <c r="N735" s="145" t="n"/>
      <c r="O735" s="140" t="n"/>
      <c r="P735" s="140" t="n"/>
      <c r="Q735" s="140" t="n"/>
      <c r="R735" s="140" t="n"/>
      <c r="S735" s="140" t="n"/>
      <c r="T735" s="141" t="n"/>
      <c r="U735" s="129" t="n"/>
      <c r="V735" s="129" t="n"/>
      <c r="W735" s="145" t="n"/>
      <c r="X735" s="145" t="n"/>
      <c r="Y735" s="145" t="n"/>
      <c r="Z735" s="145" t="n"/>
    </row>
    <row r="736" ht="45.75" customHeight="1" s="222">
      <c r="A736" s="145" t="n"/>
      <c r="B736" s="145" t="n"/>
      <c r="C736" s="145" t="n"/>
      <c r="D736" s="145" t="n"/>
      <c r="E736" s="145" t="n"/>
      <c r="F736" s="145" t="n"/>
      <c r="G736" s="145" t="n"/>
      <c r="H736" s="145" t="n"/>
      <c r="I736" s="145" t="n"/>
      <c r="J736" s="145" t="n"/>
      <c r="K736" s="145" t="n"/>
      <c r="L736" s="145" t="n"/>
      <c r="M736" s="145" t="n"/>
      <c r="N736" s="145" t="n"/>
      <c r="O736" s="140" t="n"/>
      <c r="P736" s="140" t="n"/>
      <c r="Q736" s="140" t="n"/>
      <c r="R736" s="140" t="n"/>
      <c r="S736" s="140" t="n"/>
      <c r="T736" s="141" t="n"/>
      <c r="U736" s="129" t="n"/>
      <c r="V736" s="129" t="n"/>
      <c r="W736" s="145" t="n"/>
      <c r="X736" s="145" t="n"/>
      <c r="Y736" s="145" t="n"/>
      <c r="Z736" s="145" t="n"/>
    </row>
    <row r="737" ht="45.75" customHeight="1" s="222">
      <c r="A737" s="145" t="n"/>
      <c r="B737" s="145" t="n"/>
      <c r="C737" s="145" t="n"/>
      <c r="D737" s="145" t="n"/>
      <c r="E737" s="145" t="n"/>
      <c r="F737" s="145" t="n"/>
      <c r="G737" s="145" t="n"/>
      <c r="H737" s="145" t="n"/>
      <c r="I737" s="145" t="n"/>
      <c r="J737" s="145" t="n"/>
      <c r="K737" s="145" t="n"/>
      <c r="L737" s="145" t="n"/>
      <c r="M737" s="145" t="n"/>
      <c r="N737" s="145" t="n"/>
      <c r="O737" s="140" t="n"/>
      <c r="P737" s="140" t="n"/>
      <c r="Q737" s="140" t="n"/>
      <c r="R737" s="140" t="n"/>
      <c r="S737" s="140" t="n"/>
      <c r="T737" s="141" t="n"/>
      <c r="U737" s="129" t="n"/>
      <c r="V737" s="129" t="n"/>
      <c r="W737" s="145" t="n"/>
      <c r="X737" s="145" t="n"/>
      <c r="Y737" s="145" t="n"/>
      <c r="Z737" s="145" t="n"/>
    </row>
    <row r="738" ht="45.75" customHeight="1" s="222">
      <c r="A738" s="145" t="n"/>
      <c r="B738" s="145" t="n"/>
      <c r="C738" s="145" t="n"/>
      <c r="D738" s="145" t="n"/>
      <c r="E738" s="145" t="n"/>
      <c r="F738" s="145" t="n"/>
      <c r="G738" s="145" t="n"/>
      <c r="H738" s="145" t="n"/>
      <c r="I738" s="145" t="n"/>
      <c r="J738" s="145" t="n"/>
      <c r="K738" s="145" t="n"/>
      <c r="L738" s="145" t="n"/>
      <c r="M738" s="145" t="n"/>
      <c r="N738" s="145" t="n"/>
      <c r="O738" s="140" t="n"/>
      <c r="P738" s="140" t="n"/>
      <c r="Q738" s="140" t="n"/>
      <c r="R738" s="140" t="n"/>
      <c r="S738" s="140" t="n"/>
      <c r="T738" s="141" t="n"/>
      <c r="U738" s="129" t="n"/>
      <c r="V738" s="129" t="n"/>
      <c r="W738" s="145" t="n"/>
      <c r="X738" s="145" t="n"/>
      <c r="Y738" s="145" t="n"/>
      <c r="Z738" s="145" t="n"/>
    </row>
    <row r="739" ht="45.75" customHeight="1" s="222">
      <c r="A739" s="145" t="n"/>
      <c r="B739" s="145" t="n"/>
      <c r="C739" s="145" t="n"/>
      <c r="D739" s="145" t="n"/>
      <c r="E739" s="145" t="n"/>
      <c r="F739" s="145" t="n"/>
      <c r="G739" s="145" t="n"/>
      <c r="H739" s="145" t="n"/>
      <c r="I739" s="145" t="n"/>
      <c r="J739" s="145" t="n"/>
      <c r="K739" s="145" t="n"/>
      <c r="L739" s="145" t="n"/>
      <c r="M739" s="145" t="n"/>
      <c r="N739" s="145" t="n"/>
      <c r="O739" s="140" t="n"/>
      <c r="P739" s="140" t="n"/>
      <c r="Q739" s="140" t="n"/>
      <c r="R739" s="140" t="n"/>
      <c r="S739" s="140" t="n"/>
      <c r="T739" s="141" t="n"/>
      <c r="U739" s="129" t="n"/>
      <c r="V739" s="129" t="n"/>
      <c r="W739" s="145" t="n"/>
      <c r="X739" s="145" t="n"/>
      <c r="Y739" s="145" t="n"/>
      <c r="Z739" s="145" t="n"/>
    </row>
    <row r="740" ht="45.75" customHeight="1" s="222">
      <c r="A740" s="145" t="n"/>
      <c r="B740" s="145" t="n"/>
      <c r="C740" s="145" t="n"/>
      <c r="D740" s="145" t="n"/>
      <c r="E740" s="145" t="n"/>
      <c r="F740" s="145" t="n"/>
      <c r="G740" s="145" t="n"/>
      <c r="H740" s="145" t="n"/>
      <c r="I740" s="145" t="n"/>
      <c r="J740" s="145" t="n"/>
      <c r="K740" s="145" t="n"/>
      <c r="L740" s="145" t="n"/>
      <c r="M740" s="145" t="n"/>
      <c r="N740" s="145" t="n"/>
      <c r="O740" s="140" t="n"/>
      <c r="P740" s="140" t="n"/>
      <c r="Q740" s="140" t="n"/>
      <c r="R740" s="140" t="n"/>
      <c r="S740" s="140" t="n"/>
      <c r="T740" s="141" t="n"/>
      <c r="U740" s="129" t="n"/>
      <c r="V740" s="129" t="n"/>
      <c r="W740" s="145" t="n"/>
      <c r="X740" s="145" t="n"/>
      <c r="Y740" s="145" t="n"/>
      <c r="Z740" s="145" t="n"/>
    </row>
    <row r="741" ht="45.75" customHeight="1" s="222">
      <c r="A741" s="145" t="n"/>
      <c r="B741" s="145" t="n"/>
      <c r="C741" s="145" t="n"/>
      <c r="D741" s="145" t="n"/>
      <c r="E741" s="145" t="n"/>
      <c r="F741" s="145" t="n"/>
      <c r="G741" s="145" t="n"/>
      <c r="H741" s="145" t="n"/>
      <c r="I741" s="145" t="n"/>
      <c r="J741" s="145" t="n"/>
      <c r="K741" s="145" t="n"/>
      <c r="L741" s="145" t="n"/>
      <c r="M741" s="145" t="n"/>
      <c r="N741" s="145" t="n"/>
      <c r="O741" s="140" t="n"/>
      <c r="P741" s="140" t="n"/>
      <c r="Q741" s="140" t="n"/>
      <c r="R741" s="140" t="n"/>
      <c r="S741" s="140" t="n"/>
      <c r="T741" s="141" t="n"/>
      <c r="U741" s="129" t="n"/>
      <c r="V741" s="129" t="n"/>
      <c r="W741" s="145" t="n"/>
      <c r="X741" s="145" t="n"/>
      <c r="Y741" s="145" t="n"/>
      <c r="Z741" s="145" t="n"/>
    </row>
    <row r="742" ht="45.75" customHeight="1" s="222">
      <c r="A742" s="145" t="n"/>
      <c r="B742" s="145" t="n"/>
      <c r="C742" s="145" t="n"/>
      <c r="D742" s="145" t="n"/>
      <c r="E742" s="145" t="n"/>
      <c r="F742" s="145" t="n"/>
      <c r="G742" s="145" t="n"/>
      <c r="H742" s="145" t="n"/>
      <c r="I742" s="145" t="n"/>
      <c r="J742" s="145" t="n"/>
      <c r="K742" s="145" t="n"/>
      <c r="L742" s="145" t="n"/>
      <c r="M742" s="145" t="n"/>
      <c r="N742" s="145" t="n"/>
      <c r="O742" s="140" t="n"/>
      <c r="P742" s="140" t="n"/>
      <c r="Q742" s="140" t="n"/>
      <c r="R742" s="140" t="n"/>
      <c r="S742" s="140" t="n"/>
      <c r="T742" s="141" t="n"/>
      <c r="U742" s="129" t="n"/>
      <c r="V742" s="129" t="n"/>
      <c r="W742" s="145" t="n"/>
      <c r="X742" s="145" t="n"/>
      <c r="Y742" s="145" t="n"/>
      <c r="Z742" s="145" t="n"/>
    </row>
    <row r="743" ht="45.75" customHeight="1" s="222">
      <c r="A743" s="145" t="n"/>
      <c r="B743" s="145" t="n"/>
      <c r="C743" s="145" t="n"/>
      <c r="D743" s="145" t="n"/>
      <c r="E743" s="145" t="n"/>
      <c r="F743" s="145" t="n"/>
      <c r="G743" s="145" t="n"/>
      <c r="H743" s="145" t="n"/>
      <c r="I743" s="145" t="n"/>
      <c r="J743" s="145" t="n"/>
      <c r="K743" s="145" t="n"/>
      <c r="L743" s="145" t="n"/>
      <c r="M743" s="145" t="n"/>
      <c r="N743" s="145" t="n"/>
      <c r="O743" s="140" t="n"/>
      <c r="P743" s="140" t="n"/>
      <c r="Q743" s="140" t="n"/>
      <c r="R743" s="140" t="n"/>
      <c r="S743" s="140" t="n"/>
      <c r="T743" s="141" t="n"/>
      <c r="U743" s="129" t="n"/>
      <c r="V743" s="129" t="n"/>
      <c r="W743" s="145" t="n"/>
      <c r="X743" s="145" t="n"/>
      <c r="Y743" s="145" t="n"/>
      <c r="Z743" s="145" t="n"/>
    </row>
    <row r="744" ht="45.75" customHeight="1" s="222">
      <c r="A744" s="145" t="n"/>
      <c r="B744" s="145" t="n"/>
      <c r="C744" s="145" t="n"/>
      <c r="D744" s="145" t="n"/>
      <c r="E744" s="145" t="n"/>
      <c r="F744" s="145" t="n"/>
      <c r="G744" s="145" t="n"/>
      <c r="H744" s="145" t="n"/>
      <c r="I744" s="145" t="n"/>
      <c r="J744" s="145" t="n"/>
      <c r="K744" s="145" t="n"/>
      <c r="L744" s="145" t="n"/>
      <c r="M744" s="145" t="n"/>
      <c r="N744" s="145" t="n"/>
      <c r="O744" s="140" t="n"/>
      <c r="P744" s="140" t="n"/>
      <c r="Q744" s="140" t="n"/>
      <c r="R744" s="140" t="n"/>
      <c r="S744" s="140" t="n"/>
      <c r="T744" s="141" t="n"/>
      <c r="U744" s="129" t="n"/>
      <c r="V744" s="129" t="n"/>
      <c r="W744" s="145" t="n"/>
      <c r="X744" s="145" t="n"/>
      <c r="Y744" s="145" t="n"/>
      <c r="Z744" s="145" t="n"/>
    </row>
    <row r="745" ht="45.75" customHeight="1" s="222">
      <c r="A745" s="145" t="n"/>
      <c r="B745" s="145" t="n"/>
      <c r="C745" s="145" t="n"/>
      <c r="D745" s="145" t="n"/>
      <c r="E745" s="145" t="n"/>
      <c r="F745" s="145" t="n"/>
      <c r="G745" s="145" t="n"/>
      <c r="H745" s="145" t="n"/>
      <c r="I745" s="145" t="n"/>
      <c r="J745" s="145" t="n"/>
      <c r="K745" s="145" t="n"/>
      <c r="L745" s="145" t="n"/>
      <c r="M745" s="145" t="n"/>
      <c r="N745" s="145" t="n"/>
      <c r="O745" s="140" t="n"/>
      <c r="P745" s="140" t="n"/>
      <c r="Q745" s="140" t="n"/>
      <c r="R745" s="140" t="n"/>
      <c r="S745" s="140" t="n"/>
      <c r="T745" s="141" t="n"/>
      <c r="U745" s="129" t="n"/>
      <c r="V745" s="129" t="n"/>
      <c r="W745" s="145" t="n"/>
      <c r="X745" s="145" t="n"/>
      <c r="Y745" s="145" t="n"/>
      <c r="Z745" s="145" t="n"/>
    </row>
    <row r="746" ht="45.75" customHeight="1" s="222">
      <c r="A746" s="145" t="n"/>
      <c r="B746" s="145" t="n"/>
      <c r="C746" s="145" t="n"/>
      <c r="D746" s="145" t="n"/>
      <c r="E746" s="145" t="n"/>
      <c r="F746" s="145" t="n"/>
      <c r="G746" s="145" t="n"/>
      <c r="H746" s="145" t="n"/>
      <c r="I746" s="145" t="n"/>
      <c r="J746" s="145" t="n"/>
      <c r="K746" s="145" t="n"/>
      <c r="L746" s="145" t="n"/>
      <c r="M746" s="145" t="n"/>
      <c r="N746" s="145" t="n"/>
      <c r="O746" s="140" t="n"/>
      <c r="P746" s="140" t="n"/>
      <c r="Q746" s="140" t="n"/>
      <c r="R746" s="140" t="n"/>
      <c r="S746" s="140" t="n"/>
      <c r="T746" s="141" t="n"/>
      <c r="U746" s="129" t="n"/>
      <c r="V746" s="129" t="n"/>
      <c r="W746" s="145" t="n"/>
      <c r="X746" s="145" t="n"/>
      <c r="Y746" s="145" t="n"/>
      <c r="Z746" s="145" t="n"/>
    </row>
    <row r="747" ht="45.75" customHeight="1" s="222">
      <c r="A747" s="145" t="n"/>
      <c r="B747" s="145" t="n"/>
      <c r="C747" s="145" t="n"/>
      <c r="D747" s="145" t="n"/>
      <c r="E747" s="145" t="n"/>
      <c r="F747" s="145" t="n"/>
      <c r="G747" s="145" t="n"/>
      <c r="H747" s="145" t="n"/>
      <c r="I747" s="145" t="n"/>
      <c r="J747" s="145" t="n"/>
      <c r="K747" s="145" t="n"/>
      <c r="L747" s="145" t="n"/>
      <c r="M747" s="145" t="n"/>
      <c r="N747" s="145" t="n"/>
      <c r="O747" s="140" t="n"/>
      <c r="P747" s="140" t="n"/>
      <c r="Q747" s="140" t="n"/>
      <c r="R747" s="140" t="n"/>
      <c r="S747" s="140" t="n"/>
      <c r="T747" s="141" t="n"/>
      <c r="U747" s="129" t="n"/>
      <c r="V747" s="129" t="n"/>
      <c r="W747" s="145" t="n"/>
      <c r="X747" s="145" t="n"/>
      <c r="Y747" s="145" t="n"/>
      <c r="Z747" s="145" t="n"/>
    </row>
    <row r="748" ht="45.75" customHeight="1" s="222">
      <c r="A748" s="145" t="n"/>
      <c r="B748" s="145" t="n"/>
      <c r="C748" s="145" t="n"/>
      <c r="D748" s="145" t="n"/>
      <c r="E748" s="145" t="n"/>
      <c r="F748" s="145" t="n"/>
      <c r="G748" s="145" t="n"/>
      <c r="H748" s="145" t="n"/>
      <c r="I748" s="145" t="n"/>
      <c r="J748" s="145" t="n"/>
      <c r="K748" s="145" t="n"/>
      <c r="L748" s="145" t="n"/>
      <c r="M748" s="145" t="n"/>
      <c r="N748" s="145" t="n"/>
      <c r="O748" s="140" t="n"/>
      <c r="P748" s="140" t="n"/>
      <c r="Q748" s="140" t="n"/>
      <c r="R748" s="140" t="n"/>
      <c r="S748" s="140" t="n"/>
      <c r="T748" s="141" t="n"/>
      <c r="U748" s="129" t="n"/>
      <c r="V748" s="129" t="n"/>
      <c r="W748" s="145" t="n"/>
      <c r="X748" s="145" t="n"/>
      <c r="Y748" s="145" t="n"/>
      <c r="Z748" s="145" t="n"/>
    </row>
    <row r="749" ht="45.75" customHeight="1" s="222">
      <c r="A749" s="145" t="n"/>
      <c r="B749" s="145" t="n"/>
      <c r="C749" s="145" t="n"/>
      <c r="D749" s="145" t="n"/>
      <c r="E749" s="145" t="n"/>
      <c r="F749" s="145" t="n"/>
      <c r="G749" s="145" t="n"/>
      <c r="H749" s="145" t="n"/>
      <c r="I749" s="145" t="n"/>
      <c r="J749" s="145" t="n"/>
      <c r="K749" s="145" t="n"/>
      <c r="L749" s="145" t="n"/>
      <c r="M749" s="145" t="n"/>
      <c r="N749" s="145" t="n"/>
      <c r="O749" s="140" t="n"/>
      <c r="P749" s="140" t="n"/>
      <c r="Q749" s="140" t="n"/>
      <c r="R749" s="140" t="n"/>
      <c r="S749" s="140" t="n"/>
      <c r="T749" s="141" t="n"/>
      <c r="U749" s="129" t="n"/>
      <c r="V749" s="129" t="n"/>
      <c r="W749" s="145" t="n"/>
      <c r="X749" s="145" t="n"/>
      <c r="Y749" s="145" t="n"/>
      <c r="Z749" s="145" t="n"/>
    </row>
    <row r="750" ht="45.75" customHeight="1" s="222">
      <c r="A750" s="145" t="n"/>
      <c r="B750" s="145" t="n"/>
      <c r="C750" s="145" t="n"/>
      <c r="D750" s="145" t="n"/>
      <c r="E750" s="145" t="n"/>
      <c r="F750" s="145" t="n"/>
      <c r="G750" s="145" t="n"/>
      <c r="H750" s="145" t="n"/>
      <c r="I750" s="145" t="n"/>
      <c r="J750" s="145" t="n"/>
      <c r="K750" s="145" t="n"/>
      <c r="L750" s="145" t="n"/>
      <c r="M750" s="145" t="n"/>
      <c r="N750" s="145" t="n"/>
      <c r="O750" s="140" t="n"/>
      <c r="P750" s="140" t="n"/>
      <c r="Q750" s="140" t="n"/>
      <c r="R750" s="140" t="n"/>
      <c r="S750" s="140" t="n"/>
      <c r="T750" s="141" t="n"/>
      <c r="U750" s="129" t="n"/>
      <c r="V750" s="129" t="n"/>
      <c r="W750" s="145" t="n"/>
      <c r="X750" s="145" t="n"/>
      <c r="Y750" s="145" t="n"/>
      <c r="Z750" s="145" t="n"/>
    </row>
    <row r="751" ht="45.75" customHeight="1" s="222">
      <c r="A751" s="145" t="n"/>
      <c r="B751" s="145" t="n"/>
      <c r="C751" s="145" t="n"/>
      <c r="D751" s="145" t="n"/>
      <c r="E751" s="145" t="n"/>
      <c r="F751" s="145" t="n"/>
      <c r="G751" s="145" t="n"/>
      <c r="H751" s="145" t="n"/>
      <c r="I751" s="145" t="n"/>
      <c r="J751" s="145" t="n"/>
      <c r="K751" s="145" t="n"/>
      <c r="L751" s="145" t="n"/>
      <c r="M751" s="145" t="n"/>
      <c r="N751" s="145" t="n"/>
      <c r="O751" s="140" t="n"/>
      <c r="P751" s="140" t="n"/>
      <c r="Q751" s="140" t="n"/>
      <c r="R751" s="140" t="n"/>
      <c r="S751" s="140" t="n"/>
      <c r="T751" s="141" t="n"/>
      <c r="U751" s="129" t="n"/>
      <c r="V751" s="129" t="n"/>
      <c r="W751" s="145" t="n"/>
      <c r="X751" s="145" t="n"/>
      <c r="Y751" s="145" t="n"/>
      <c r="Z751" s="145" t="n"/>
    </row>
    <row r="752" ht="45.75" customHeight="1" s="222">
      <c r="A752" s="145" t="n"/>
      <c r="B752" s="145" t="n"/>
      <c r="C752" s="145" t="n"/>
      <c r="D752" s="145" t="n"/>
      <c r="E752" s="145" t="n"/>
      <c r="F752" s="145" t="n"/>
      <c r="G752" s="145" t="n"/>
      <c r="H752" s="145" t="n"/>
      <c r="I752" s="145" t="n"/>
      <c r="J752" s="145" t="n"/>
      <c r="K752" s="145" t="n"/>
      <c r="L752" s="145" t="n"/>
      <c r="M752" s="145" t="n"/>
      <c r="N752" s="145" t="n"/>
      <c r="O752" s="140" t="n"/>
      <c r="P752" s="140" t="n"/>
      <c r="Q752" s="140" t="n"/>
      <c r="R752" s="140" t="n"/>
      <c r="S752" s="140" t="n"/>
      <c r="T752" s="141" t="n"/>
      <c r="U752" s="129" t="n"/>
      <c r="V752" s="129" t="n"/>
      <c r="W752" s="145" t="n"/>
      <c r="X752" s="145" t="n"/>
      <c r="Y752" s="145" t="n"/>
      <c r="Z752" s="145" t="n"/>
    </row>
    <row r="753" ht="45.75" customHeight="1" s="222">
      <c r="A753" s="145" t="n"/>
      <c r="B753" s="145" t="n"/>
      <c r="C753" s="145" t="n"/>
      <c r="D753" s="145" t="n"/>
      <c r="E753" s="145" t="n"/>
      <c r="F753" s="145" t="n"/>
      <c r="G753" s="145" t="n"/>
      <c r="H753" s="145" t="n"/>
      <c r="I753" s="145" t="n"/>
      <c r="J753" s="145" t="n"/>
      <c r="K753" s="145" t="n"/>
      <c r="L753" s="145" t="n"/>
      <c r="M753" s="145" t="n"/>
      <c r="N753" s="145" t="n"/>
      <c r="O753" s="140" t="n"/>
      <c r="P753" s="140" t="n"/>
      <c r="Q753" s="140" t="n"/>
      <c r="R753" s="140" t="n"/>
      <c r="S753" s="140" t="n"/>
      <c r="T753" s="141" t="n"/>
      <c r="U753" s="129" t="n"/>
      <c r="V753" s="129" t="n"/>
      <c r="W753" s="145" t="n"/>
      <c r="X753" s="145" t="n"/>
      <c r="Y753" s="145" t="n"/>
      <c r="Z753" s="145" t="n"/>
    </row>
    <row r="754" ht="45.75" customHeight="1" s="222">
      <c r="A754" s="145" t="n"/>
      <c r="B754" s="145" t="n"/>
      <c r="C754" s="145" t="n"/>
      <c r="D754" s="145" t="n"/>
      <c r="E754" s="145" t="n"/>
      <c r="F754" s="145" t="n"/>
      <c r="G754" s="145" t="n"/>
      <c r="H754" s="145" t="n"/>
      <c r="I754" s="145" t="n"/>
      <c r="J754" s="145" t="n"/>
      <c r="K754" s="145" t="n"/>
      <c r="L754" s="145" t="n"/>
      <c r="M754" s="145" t="n"/>
      <c r="N754" s="145" t="n"/>
      <c r="O754" s="140" t="n"/>
      <c r="P754" s="140" t="n"/>
      <c r="Q754" s="140" t="n"/>
      <c r="R754" s="140" t="n"/>
      <c r="S754" s="140" t="n"/>
      <c r="T754" s="141" t="n"/>
      <c r="U754" s="129" t="n"/>
      <c r="V754" s="129" t="n"/>
      <c r="W754" s="145" t="n"/>
      <c r="X754" s="145" t="n"/>
      <c r="Y754" s="145" t="n"/>
      <c r="Z754" s="145" t="n"/>
    </row>
    <row r="755" ht="45.75" customHeight="1" s="222">
      <c r="A755" s="145" t="n"/>
      <c r="B755" s="145" t="n"/>
      <c r="C755" s="145" t="n"/>
      <c r="D755" s="145" t="n"/>
      <c r="E755" s="145" t="n"/>
      <c r="F755" s="145" t="n"/>
      <c r="G755" s="145" t="n"/>
      <c r="H755" s="145" t="n"/>
      <c r="I755" s="145" t="n"/>
      <c r="J755" s="145" t="n"/>
      <c r="K755" s="145" t="n"/>
      <c r="L755" s="145" t="n"/>
      <c r="M755" s="145" t="n"/>
      <c r="N755" s="145" t="n"/>
      <c r="O755" s="140" t="n"/>
      <c r="P755" s="140" t="n"/>
      <c r="Q755" s="140" t="n"/>
      <c r="R755" s="140" t="n"/>
      <c r="S755" s="140" t="n"/>
      <c r="T755" s="141" t="n"/>
      <c r="U755" s="129" t="n"/>
      <c r="V755" s="129" t="n"/>
      <c r="W755" s="145" t="n"/>
      <c r="X755" s="145" t="n"/>
      <c r="Y755" s="145" t="n"/>
      <c r="Z755" s="145" t="n"/>
    </row>
    <row r="756" ht="45.75" customHeight="1" s="222">
      <c r="A756" s="145" t="n"/>
      <c r="B756" s="145" t="n"/>
      <c r="C756" s="145" t="n"/>
      <c r="D756" s="145" t="n"/>
      <c r="E756" s="145" t="n"/>
      <c r="F756" s="145" t="n"/>
      <c r="G756" s="145" t="n"/>
      <c r="H756" s="145" t="n"/>
      <c r="I756" s="145" t="n"/>
      <c r="J756" s="145" t="n"/>
      <c r="K756" s="145" t="n"/>
      <c r="L756" s="145" t="n"/>
      <c r="M756" s="145" t="n"/>
      <c r="N756" s="145" t="n"/>
      <c r="O756" s="140" t="n"/>
      <c r="P756" s="140" t="n"/>
      <c r="Q756" s="140" t="n"/>
      <c r="R756" s="140" t="n"/>
      <c r="S756" s="140" t="n"/>
      <c r="T756" s="141" t="n"/>
      <c r="U756" s="129" t="n"/>
      <c r="V756" s="129" t="n"/>
      <c r="W756" s="145" t="n"/>
      <c r="X756" s="145" t="n"/>
      <c r="Y756" s="145" t="n"/>
      <c r="Z756" s="145" t="n"/>
    </row>
    <row r="757" ht="45.75" customHeight="1" s="222">
      <c r="A757" s="145" t="n"/>
      <c r="B757" s="145" t="n"/>
      <c r="C757" s="145" t="n"/>
      <c r="D757" s="145" t="n"/>
      <c r="E757" s="145" t="n"/>
      <c r="F757" s="145" t="n"/>
      <c r="G757" s="145" t="n"/>
      <c r="H757" s="145" t="n"/>
      <c r="I757" s="145" t="n"/>
      <c r="J757" s="145" t="n"/>
      <c r="K757" s="145" t="n"/>
      <c r="L757" s="145" t="n"/>
      <c r="M757" s="145" t="n"/>
      <c r="N757" s="145" t="n"/>
      <c r="O757" s="140" t="n"/>
      <c r="P757" s="140" t="n"/>
      <c r="Q757" s="140" t="n"/>
      <c r="R757" s="140" t="n"/>
      <c r="S757" s="140" t="n"/>
      <c r="T757" s="141" t="n"/>
      <c r="U757" s="129" t="n"/>
      <c r="V757" s="129" t="n"/>
      <c r="W757" s="145" t="n"/>
      <c r="X757" s="145" t="n"/>
      <c r="Y757" s="145" t="n"/>
      <c r="Z757" s="145" t="n"/>
    </row>
    <row r="758" ht="45.75" customHeight="1" s="222">
      <c r="A758" s="145" t="n"/>
      <c r="B758" s="145" t="n"/>
      <c r="C758" s="145" t="n"/>
      <c r="D758" s="145" t="n"/>
      <c r="E758" s="145" t="n"/>
      <c r="F758" s="145" t="n"/>
      <c r="G758" s="145" t="n"/>
      <c r="H758" s="145" t="n"/>
      <c r="I758" s="145" t="n"/>
      <c r="J758" s="145" t="n"/>
      <c r="K758" s="145" t="n"/>
      <c r="L758" s="145" t="n"/>
      <c r="M758" s="145" t="n"/>
      <c r="N758" s="145" t="n"/>
      <c r="O758" s="140" t="n"/>
      <c r="P758" s="140" t="n"/>
      <c r="Q758" s="140" t="n"/>
      <c r="R758" s="140" t="n"/>
      <c r="S758" s="140" t="n"/>
      <c r="T758" s="141" t="n"/>
      <c r="U758" s="129" t="n"/>
      <c r="V758" s="129" t="n"/>
      <c r="W758" s="145" t="n"/>
      <c r="X758" s="145" t="n"/>
      <c r="Y758" s="145" t="n"/>
      <c r="Z758" s="145" t="n"/>
    </row>
    <row r="759" ht="45.75" customHeight="1" s="222">
      <c r="A759" s="145" t="n"/>
      <c r="B759" s="145" t="n"/>
      <c r="C759" s="145" t="n"/>
      <c r="D759" s="145" t="n"/>
      <c r="E759" s="145" t="n"/>
      <c r="F759" s="145" t="n"/>
      <c r="G759" s="145" t="n"/>
      <c r="H759" s="145" t="n"/>
      <c r="I759" s="145" t="n"/>
      <c r="J759" s="145" t="n"/>
      <c r="K759" s="145" t="n"/>
      <c r="L759" s="145" t="n"/>
      <c r="M759" s="145" t="n"/>
      <c r="N759" s="145" t="n"/>
      <c r="O759" s="140" t="n"/>
      <c r="P759" s="140" t="n"/>
      <c r="Q759" s="140" t="n"/>
      <c r="R759" s="140" t="n"/>
      <c r="S759" s="140" t="n"/>
      <c r="T759" s="141" t="n"/>
      <c r="U759" s="129" t="n"/>
      <c r="V759" s="129" t="n"/>
      <c r="W759" s="145" t="n"/>
      <c r="X759" s="145" t="n"/>
      <c r="Y759" s="145" t="n"/>
      <c r="Z759" s="145" t="n"/>
    </row>
    <row r="760" ht="45.75" customHeight="1" s="222">
      <c r="A760" s="145" t="n"/>
      <c r="B760" s="145" t="n"/>
      <c r="C760" s="145" t="n"/>
      <c r="D760" s="145" t="n"/>
      <c r="E760" s="145" t="n"/>
      <c r="F760" s="145" t="n"/>
      <c r="G760" s="145" t="n"/>
      <c r="H760" s="145" t="n"/>
      <c r="I760" s="145" t="n"/>
      <c r="J760" s="145" t="n"/>
      <c r="K760" s="145" t="n"/>
      <c r="L760" s="145" t="n"/>
      <c r="M760" s="145" t="n"/>
      <c r="N760" s="145" t="n"/>
      <c r="O760" s="140" t="n"/>
      <c r="P760" s="140" t="n"/>
      <c r="Q760" s="140" t="n"/>
      <c r="R760" s="140" t="n"/>
      <c r="S760" s="140" t="n"/>
      <c r="T760" s="141" t="n"/>
      <c r="U760" s="129" t="n"/>
      <c r="V760" s="129" t="n"/>
      <c r="W760" s="145" t="n"/>
      <c r="X760" s="145" t="n"/>
      <c r="Y760" s="145" t="n"/>
      <c r="Z760" s="145" t="n"/>
    </row>
    <row r="761" ht="45.75" customHeight="1" s="222">
      <c r="A761" s="145" t="n"/>
      <c r="B761" s="145" t="n"/>
      <c r="C761" s="145" t="n"/>
      <c r="D761" s="145" t="n"/>
      <c r="E761" s="145" t="n"/>
      <c r="F761" s="145" t="n"/>
      <c r="G761" s="145" t="n"/>
      <c r="H761" s="145" t="n"/>
      <c r="I761" s="145" t="n"/>
      <c r="J761" s="145" t="n"/>
      <c r="K761" s="145" t="n"/>
      <c r="L761" s="145" t="n"/>
      <c r="M761" s="145" t="n"/>
      <c r="N761" s="145" t="n"/>
      <c r="O761" s="140" t="n"/>
      <c r="P761" s="140" t="n"/>
      <c r="Q761" s="140" t="n"/>
      <c r="R761" s="140" t="n"/>
      <c r="S761" s="140" t="n"/>
      <c r="T761" s="141" t="n"/>
      <c r="U761" s="129" t="n"/>
      <c r="V761" s="129" t="n"/>
      <c r="W761" s="145" t="n"/>
      <c r="X761" s="145" t="n"/>
      <c r="Y761" s="145" t="n"/>
      <c r="Z761" s="145" t="n"/>
    </row>
    <row r="762" ht="45.75" customHeight="1" s="222">
      <c r="A762" s="145" t="n"/>
      <c r="B762" s="145" t="n"/>
      <c r="C762" s="145" t="n"/>
      <c r="D762" s="145" t="n"/>
      <c r="E762" s="145" t="n"/>
      <c r="F762" s="145" t="n"/>
      <c r="G762" s="145" t="n"/>
      <c r="H762" s="145" t="n"/>
      <c r="I762" s="145" t="n"/>
      <c r="J762" s="145" t="n"/>
      <c r="K762" s="145" t="n"/>
      <c r="L762" s="145" t="n"/>
      <c r="M762" s="145" t="n"/>
      <c r="N762" s="145" t="n"/>
      <c r="O762" s="140" t="n"/>
      <c r="P762" s="140" t="n"/>
      <c r="Q762" s="140" t="n"/>
      <c r="R762" s="140" t="n"/>
      <c r="S762" s="140" t="n"/>
      <c r="T762" s="141" t="n"/>
      <c r="U762" s="129" t="n"/>
      <c r="V762" s="129" t="n"/>
      <c r="W762" s="145" t="n"/>
      <c r="X762" s="145" t="n"/>
      <c r="Y762" s="145" t="n"/>
      <c r="Z762" s="145" t="n"/>
    </row>
    <row r="763" ht="45.75" customHeight="1" s="222">
      <c r="A763" s="145" t="n"/>
      <c r="B763" s="145" t="n"/>
      <c r="C763" s="145" t="n"/>
      <c r="D763" s="145" t="n"/>
      <c r="E763" s="145" t="n"/>
      <c r="F763" s="145" t="n"/>
      <c r="G763" s="145" t="n"/>
      <c r="H763" s="145" t="n"/>
      <c r="I763" s="145" t="n"/>
      <c r="J763" s="145" t="n"/>
      <c r="K763" s="145" t="n"/>
      <c r="L763" s="145" t="n"/>
      <c r="M763" s="145" t="n"/>
      <c r="N763" s="145" t="n"/>
      <c r="O763" s="140" t="n"/>
      <c r="P763" s="140" t="n"/>
      <c r="Q763" s="140" t="n"/>
      <c r="R763" s="140" t="n"/>
      <c r="S763" s="140" t="n"/>
      <c r="T763" s="141" t="n"/>
      <c r="U763" s="129" t="n"/>
      <c r="V763" s="129" t="n"/>
      <c r="W763" s="145" t="n"/>
      <c r="X763" s="145" t="n"/>
      <c r="Y763" s="145" t="n"/>
      <c r="Z763" s="145" t="n"/>
    </row>
    <row r="764" ht="45.75" customHeight="1" s="222">
      <c r="A764" s="145" t="n"/>
      <c r="B764" s="145" t="n"/>
      <c r="C764" s="145" t="n"/>
      <c r="D764" s="145" t="n"/>
      <c r="E764" s="145" t="n"/>
      <c r="F764" s="145" t="n"/>
      <c r="G764" s="145" t="n"/>
      <c r="H764" s="145" t="n"/>
      <c r="I764" s="145" t="n"/>
      <c r="J764" s="145" t="n"/>
      <c r="K764" s="145" t="n"/>
      <c r="L764" s="145" t="n"/>
      <c r="M764" s="145" t="n"/>
      <c r="N764" s="145" t="n"/>
      <c r="O764" s="140" t="n"/>
      <c r="P764" s="140" t="n"/>
      <c r="Q764" s="140" t="n"/>
      <c r="R764" s="140" t="n"/>
      <c r="S764" s="140" t="n"/>
      <c r="T764" s="141" t="n"/>
      <c r="U764" s="129" t="n"/>
      <c r="V764" s="129" t="n"/>
      <c r="W764" s="145" t="n"/>
      <c r="X764" s="145" t="n"/>
      <c r="Y764" s="145" t="n"/>
      <c r="Z764" s="145" t="n"/>
    </row>
    <row r="765" ht="45.75" customHeight="1" s="222">
      <c r="A765" s="145" t="n"/>
      <c r="B765" s="145" t="n"/>
      <c r="C765" s="145" t="n"/>
      <c r="D765" s="145" t="n"/>
      <c r="E765" s="145" t="n"/>
      <c r="F765" s="145" t="n"/>
      <c r="G765" s="145" t="n"/>
      <c r="H765" s="145" t="n"/>
      <c r="I765" s="145" t="n"/>
      <c r="J765" s="145" t="n"/>
      <c r="K765" s="145" t="n"/>
      <c r="L765" s="145" t="n"/>
      <c r="M765" s="145" t="n"/>
      <c r="N765" s="145" t="n"/>
      <c r="O765" s="140" t="n"/>
      <c r="P765" s="140" t="n"/>
      <c r="Q765" s="140" t="n"/>
      <c r="R765" s="140" t="n"/>
      <c r="S765" s="140" t="n"/>
      <c r="T765" s="141" t="n"/>
      <c r="U765" s="129" t="n"/>
      <c r="V765" s="129" t="n"/>
      <c r="W765" s="145" t="n"/>
      <c r="X765" s="145" t="n"/>
      <c r="Y765" s="145" t="n"/>
      <c r="Z765" s="145" t="n"/>
    </row>
    <row r="766" ht="45.75" customHeight="1" s="222">
      <c r="A766" s="145" t="n"/>
      <c r="B766" s="145" t="n"/>
      <c r="C766" s="145" t="n"/>
      <c r="D766" s="145" t="n"/>
      <c r="E766" s="145" t="n"/>
      <c r="F766" s="145" t="n"/>
      <c r="G766" s="145" t="n"/>
      <c r="H766" s="145" t="n"/>
      <c r="I766" s="145" t="n"/>
      <c r="J766" s="145" t="n"/>
      <c r="K766" s="145" t="n"/>
      <c r="L766" s="145" t="n"/>
      <c r="M766" s="145" t="n"/>
      <c r="N766" s="145" t="n"/>
      <c r="O766" s="140" t="n"/>
      <c r="P766" s="140" t="n"/>
      <c r="Q766" s="140" t="n"/>
      <c r="R766" s="140" t="n"/>
      <c r="S766" s="140" t="n"/>
      <c r="T766" s="141" t="n"/>
      <c r="U766" s="129" t="n"/>
      <c r="V766" s="129" t="n"/>
      <c r="W766" s="145" t="n"/>
      <c r="X766" s="145" t="n"/>
      <c r="Y766" s="145" t="n"/>
      <c r="Z766" s="145" t="n"/>
    </row>
    <row r="767" ht="45.75" customHeight="1" s="222">
      <c r="A767" s="145" t="n"/>
      <c r="B767" s="145" t="n"/>
      <c r="C767" s="145" t="n"/>
      <c r="D767" s="145" t="n"/>
      <c r="E767" s="145" t="n"/>
      <c r="F767" s="145" t="n"/>
      <c r="G767" s="145" t="n"/>
      <c r="H767" s="145" t="n"/>
      <c r="I767" s="145" t="n"/>
      <c r="J767" s="145" t="n"/>
      <c r="K767" s="145" t="n"/>
      <c r="L767" s="145" t="n"/>
      <c r="M767" s="145" t="n"/>
      <c r="N767" s="145" t="n"/>
      <c r="O767" s="140" t="n"/>
      <c r="P767" s="140" t="n"/>
      <c r="Q767" s="140" t="n"/>
      <c r="R767" s="140" t="n"/>
      <c r="S767" s="140" t="n"/>
      <c r="T767" s="141" t="n"/>
      <c r="U767" s="129" t="n"/>
      <c r="V767" s="129" t="n"/>
      <c r="W767" s="145" t="n"/>
      <c r="X767" s="145" t="n"/>
      <c r="Y767" s="145" t="n"/>
      <c r="Z767" s="145" t="n"/>
    </row>
    <row r="768" ht="45.75" customHeight="1" s="222">
      <c r="A768" s="145" t="n"/>
      <c r="B768" s="145" t="n"/>
      <c r="C768" s="145" t="n"/>
      <c r="D768" s="145" t="n"/>
      <c r="E768" s="145" t="n"/>
      <c r="F768" s="145" t="n"/>
      <c r="G768" s="145" t="n"/>
      <c r="H768" s="145" t="n"/>
      <c r="I768" s="145" t="n"/>
      <c r="J768" s="145" t="n"/>
      <c r="K768" s="145" t="n"/>
      <c r="L768" s="145" t="n"/>
      <c r="M768" s="145" t="n"/>
      <c r="N768" s="145" t="n"/>
      <c r="O768" s="140" t="n"/>
      <c r="P768" s="140" t="n"/>
      <c r="Q768" s="140" t="n"/>
      <c r="R768" s="140" t="n"/>
      <c r="S768" s="140" t="n"/>
      <c r="T768" s="141" t="n"/>
      <c r="U768" s="129" t="n"/>
      <c r="V768" s="129" t="n"/>
      <c r="W768" s="145" t="n"/>
      <c r="X768" s="145" t="n"/>
      <c r="Y768" s="145" t="n"/>
      <c r="Z768" s="145" t="n"/>
    </row>
    <row r="769" ht="45.75" customHeight="1" s="222">
      <c r="A769" s="145" t="n"/>
      <c r="B769" s="145" t="n"/>
      <c r="C769" s="145" t="n"/>
      <c r="D769" s="145" t="n"/>
      <c r="E769" s="145" t="n"/>
      <c r="F769" s="145" t="n"/>
      <c r="G769" s="145" t="n"/>
      <c r="H769" s="145" t="n"/>
      <c r="I769" s="145" t="n"/>
      <c r="J769" s="145" t="n"/>
      <c r="K769" s="145" t="n"/>
      <c r="L769" s="145" t="n"/>
      <c r="M769" s="145" t="n"/>
      <c r="N769" s="145" t="n"/>
      <c r="O769" s="140" t="n"/>
      <c r="P769" s="140" t="n"/>
      <c r="Q769" s="140" t="n"/>
      <c r="R769" s="140" t="n"/>
      <c r="S769" s="140" t="n"/>
      <c r="T769" s="141" t="n"/>
      <c r="U769" s="129" t="n"/>
      <c r="V769" s="129" t="n"/>
      <c r="W769" s="145" t="n"/>
      <c r="X769" s="145" t="n"/>
      <c r="Y769" s="145" t="n"/>
      <c r="Z769" s="145" t="n"/>
    </row>
    <row r="770" ht="45.75" customHeight="1" s="222">
      <c r="A770" s="145" t="n"/>
      <c r="B770" s="145" t="n"/>
      <c r="C770" s="145" t="n"/>
      <c r="D770" s="145" t="n"/>
      <c r="E770" s="145" t="n"/>
      <c r="F770" s="145" t="n"/>
      <c r="G770" s="145" t="n"/>
      <c r="H770" s="145" t="n"/>
      <c r="I770" s="145" t="n"/>
      <c r="J770" s="145" t="n"/>
      <c r="K770" s="145" t="n"/>
      <c r="L770" s="145" t="n"/>
      <c r="M770" s="145" t="n"/>
      <c r="N770" s="145" t="n"/>
      <c r="O770" s="140" t="n"/>
      <c r="P770" s="140" t="n"/>
      <c r="Q770" s="140" t="n"/>
      <c r="R770" s="140" t="n"/>
      <c r="S770" s="140" t="n"/>
      <c r="T770" s="141" t="n"/>
      <c r="U770" s="129" t="n"/>
      <c r="V770" s="129" t="n"/>
      <c r="W770" s="145" t="n"/>
      <c r="X770" s="145" t="n"/>
      <c r="Y770" s="145" t="n"/>
      <c r="Z770" s="145" t="n"/>
    </row>
    <row r="771" ht="45.75" customHeight="1" s="222">
      <c r="A771" s="145" t="n"/>
      <c r="B771" s="145" t="n"/>
      <c r="C771" s="145" t="n"/>
      <c r="D771" s="145" t="n"/>
      <c r="E771" s="145" t="n"/>
      <c r="F771" s="145" t="n"/>
      <c r="G771" s="145" t="n"/>
      <c r="H771" s="145" t="n"/>
      <c r="I771" s="145" t="n"/>
      <c r="J771" s="145" t="n"/>
      <c r="K771" s="145" t="n"/>
      <c r="L771" s="145" t="n"/>
      <c r="M771" s="145" t="n"/>
      <c r="N771" s="145" t="n"/>
      <c r="O771" s="140" t="n"/>
      <c r="P771" s="140" t="n"/>
      <c r="Q771" s="140" t="n"/>
      <c r="R771" s="140" t="n"/>
      <c r="S771" s="140" t="n"/>
      <c r="T771" s="141" t="n"/>
      <c r="U771" s="129" t="n"/>
      <c r="V771" s="129" t="n"/>
      <c r="W771" s="145" t="n"/>
      <c r="X771" s="145" t="n"/>
      <c r="Y771" s="145" t="n"/>
      <c r="Z771" s="145" t="n"/>
    </row>
    <row r="772" ht="45.75" customHeight="1" s="222">
      <c r="A772" s="145" t="n"/>
      <c r="B772" s="145" t="n"/>
      <c r="C772" s="145" t="n"/>
      <c r="D772" s="145" t="n"/>
      <c r="E772" s="145" t="n"/>
      <c r="F772" s="145" t="n"/>
      <c r="G772" s="145" t="n"/>
      <c r="H772" s="145" t="n"/>
      <c r="I772" s="145" t="n"/>
      <c r="J772" s="145" t="n"/>
      <c r="K772" s="145" t="n"/>
      <c r="L772" s="145" t="n"/>
      <c r="M772" s="145" t="n"/>
      <c r="N772" s="145" t="n"/>
      <c r="O772" s="140" t="n"/>
      <c r="P772" s="140" t="n"/>
      <c r="Q772" s="140" t="n"/>
      <c r="R772" s="140" t="n"/>
      <c r="S772" s="140" t="n"/>
      <c r="T772" s="141" t="n"/>
      <c r="U772" s="129" t="n"/>
      <c r="V772" s="129" t="n"/>
      <c r="W772" s="145" t="n"/>
      <c r="X772" s="145" t="n"/>
      <c r="Y772" s="145" t="n"/>
      <c r="Z772" s="145" t="n"/>
    </row>
    <row r="773" ht="45.75" customHeight="1" s="222">
      <c r="A773" s="145" t="n"/>
      <c r="B773" s="145" t="n"/>
      <c r="C773" s="145" t="n"/>
      <c r="D773" s="145" t="n"/>
      <c r="E773" s="145" t="n"/>
      <c r="F773" s="145" t="n"/>
      <c r="G773" s="145" t="n"/>
      <c r="H773" s="145" t="n"/>
      <c r="I773" s="145" t="n"/>
      <c r="J773" s="145" t="n"/>
      <c r="K773" s="145" t="n"/>
      <c r="L773" s="145" t="n"/>
      <c r="M773" s="145" t="n"/>
      <c r="N773" s="145" t="n"/>
      <c r="O773" s="140" t="n"/>
      <c r="P773" s="140" t="n"/>
      <c r="Q773" s="140" t="n"/>
      <c r="R773" s="140" t="n"/>
      <c r="S773" s="140" t="n"/>
      <c r="T773" s="141" t="n"/>
      <c r="U773" s="129" t="n"/>
      <c r="V773" s="129" t="n"/>
      <c r="W773" s="145" t="n"/>
      <c r="X773" s="145" t="n"/>
      <c r="Y773" s="145" t="n"/>
      <c r="Z773" s="145" t="n"/>
    </row>
    <row r="774" ht="45.75" customHeight="1" s="222">
      <c r="A774" s="145" t="n"/>
      <c r="B774" s="145" t="n"/>
      <c r="C774" s="145" t="n"/>
      <c r="D774" s="145" t="n"/>
      <c r="E774" s="145" t="n"/>
      <c r="F774" s="145" t="n"/>
      <c r="G774" s="145" t="n"/>
      <c r="H774" s="145" t="n"/>
      <c r="I774" s="145" t="n"/>
      <c r="J774" s="145" t="n"/>
      <c r="K774" s="145" t="n"/>
      <c r="L774" s="145" t="n"/>
      <c r="M774" s="145" t="n"/>
      <c r="N774" s="145" t="n"/>
      <c r="O774" s="140" t="n"/>
      <c r="P774" s="140" t="n"/>
      <c r="Q774" s="140" t="n"/>
      <c r="R774" s="140" t="n"/>
      <c r="S774" s="140" t="n"/>
      <c r="T774" s="141" t="n"/>
      <c r="U774" s="129" t="n"/>
      <c r="V774" s="129" t="n"/>
      <c r="W774" s="145" t="n"/>
      <c r="X774" s="145" t="n"/>
      <c r="Y774" s="145" t="n"/>
      <c r="Z774" s="145" t="n"/>
    </row>
    <row r="775" ht="45.75" customHeight="1" s="222">
      <c r="A775" s="145" t="n"/>
      <c r="B775" s="145" t="n"/>
      <c r="C775" s="145" t="n"/>
      <c r="D775" s="145" t="n"/>
      <c r="E775" s="145" t="n"/>
      <c r="F775" s="145" t="n"/>
      <c r="G775" s="145" t="n"/>
      <c r="H775" s="145" t="n"/>
      <c r="I775" s="145" t="n"/>
      <c r="J775" s="145" t="n"/>
      <c r="K775" s="145" t="n"/>
      <c r="L775" s="145" t="n"/>
      <c r="M775" s="145" t="n"/>
      <c r="N775" s="145" t="n"/>
      <c r="O775" s="140" t="n"/>
      <c r="P775" s="140" t="n"/>
      <c r="Q775" s="140" t="n"/>
      <c r="R775" s="140" t="n"/>
      <c r="S775" s="140" t="n"/>
      <c r="T775" s="141" t="n"/>
      <c r="U775" s="129" t="n"/>
      <c r="V775" s="129" t="n"/>
      <c r="W775" s="145" t="n"/>
      <c r="X775" s="145" t="n"/>
      <c r="Y775" s="145" t="n"/>
      <c r="Z775" s="145" t="n"/>
    </row>
    <row r="776" ht="45.75" customHeight="1" s="222">
      <c r="A776" s="145" t="n"/>
      <c r="B776" s="145" t="n"/>
      <c r="C776" s="145" t="n"/>
      <c r="D776" s="145" t="n"/>
      <c r="E776" s="145" t="n"/>
      <c r="F776" s="145" t="n"/>
      <c r="G776" s="145" t="n"/>
      <c r="H776" s="145" t="n"/>
      <c r="I776" s="145" t="n"/>
      <c r="J776" s="145" t="n"/>
      <c r="K776" s="145" t="n"/>
      <c r="L776" s="145" t="n"/>
      <c r="M776" s="145" t="n"/>
      <c r="N776" s="145" t="n"/>
      <c r="O776" s="140" t="n"/>
      <c r="P776" s="140" t="n"/>
      <c r="Q776" s="140" t="n"/>
      <c r="R776" s="140" t="n"/>
      <c r="S776" s="140" t="n"/>
      <c r="T776" s="141" t="n"/>
      <c r="U776" s="129" t="n"/>
      <c r="V776" s="129" t="n"/>
      <c r="W776" s="145" t="n"/>
      <c r="X776" s="145" t="n"/>
      <c r="Y776" s="145" t="n"/>
      <c r="Z776" s="145" t="n"/>
    </row>
    <row r="777" ht="45.75" customHeight="1" s="222">
      <c r="A777" s="145" t="n"/>
      <c r="B777" s="145" t="n"/>
      <c r="C777" s="145" t="n"/>
      <c r="D777" s="145" t="n"/>
      <c r="E777" s="145" t="n"/>
      <c r="F777" s="145" t="n"/>
      <c r="G777" s="145" t="n"/>
      <c r="H777" s="145" t="n"/>
      <c r="I777" s="145" t="n"/>
      <c r="J777" s="145" t="n"/>
      <c r="K777" s="145" t="n"/>
      <c r="L777" s="145" t="n"/>
      <c r="M777" s="145" t="n"/>
      <c r="N777" s="145" t="n"/>
      <c r="O777" s="140" t="n"/>
      <c r="P777" s="140" t="n"/>
      <c r="Q777" s="140" t="n"/>
      <c r="R777" s="140" t="n"/>
      <c r="S777" s="140" t="n"/>
      <c r="T777" s="141" t="n"/>
      <c r="U777" s="129" t="n"/>
      <c r="V777" s="129" t="n"/>
      <c r="W777" s="145" t="n"/>
      <c r="X777" s="145" t="n"/>
      <c r="Y777" s="145" t="n"/>
      <c r="Z777" s="145" t="n"/>
    </row>
    <row r="778" ht="45.75" customHeight="1" s="222">
      <c r="A778" s="145" t="n"/>
      <c r="B778" s="145" t="n"/>
      <c r="C778" s="145" t="n"/>
      <c r="D778" s="145" t="n"/>
      <c r="E778" s="145" t="n"/>
      <c r="F778" s="145" t="n"/>
      <c r="G778" s="145" t="n"/>
      <c r="H778" s="145" t="n"/>
      <c r="I778" s="145" t="n"/>
      <c r="J778" s="145" t="n"/>
      <c r="K778" s="145" t="n"/>
      <c r="L778" s="145" t="n"/>
      <c r="M778" s="145" t="n"/>
      <c r="N778" s="145" t="n"/>
      <c r="O778" s="140" t="n"/>
      <c r="P778" s="140" t="n"/>
      <c r="Q778" s="140" t="n"/>
      <c r="R778" s="140" t="n"/>
      <c r="S778" s="140" t="n"/>
      <c r="T778" s="141" t="n"/>
      <c r="U778" s="129" t="n"/>
      <c r="V778" s="129" t="n"/>
      <c r="W778" s="145" t="n"/>
      <c r="X778" s="145" t="n"/>
      <c r="Y778" s="145" t="n"/>
      <c r="Z778" s="145" t="n"/>
    </row>
    <row r="779" ht="45.75" customHeight="1" s="222">
      <c r="A779" s="145" t="n"/>
      <c r="B779" s="145" t="n"/>
      <c r="C779" s="145" t="n"/>
      <c r="D779" s="145" t="n"/>
      <c r="E779" s="145" t="n"/>
      <c r="F779" s="145" t="n"/>
      <c r="G779" s="145" t="n"/>
      <c r="H779" s="145" t="n"/>
      <c r="I779" s="145" t="n"/>
      <c r="J779" s="145" t="n"/>
      <c r="K779" s="145" t="n"/>
      <c r="L779" s="145" t="n"/>
      <c r="M779" s="145" t="n"/>
      <c r="N779" s="145" t="n"/>
      <c r="O779" s="140" t="n"/>
      <c r="P779" s="140" t="n"/>
      <c r="Q779" s="140" t="n"/>
      <c r="R779" s="140" t="n"/>
      <c r="S779" s="140" t="n"/>
      <c r="T779" s="141" t="n"/>
      <c r="U779" s="129" t="n"/>
      <c r="V779" s="129" t="n"/>
      <c r="W779" s="145" t="n"/>
      <c r="X779" s="145" t="n"/>
      <c r="Y779" s="145" t="n"/>
      <c r="Z779" s="145" t="n"/>
    </row>
    <row r="780" ht="45.75" customHeight="1" s="222">
      <c r="A780" s="145" t="n"/>
      <c r="B780" s="145" t="n"/>
      <c r="C780" s="145" t="n"/>
      <c r="D780" s="145" t="n"/>
      <c r="E780" s="145" t="n"/>
      <c r="F780" s="145" t="n"/>
      <c r="G780" s="145" t="n"/>
      <c r="H780" s="145" t="n"/>
      <c r="I780" s="145" t="n"/>
      <c r="J780" s="145" t="n"/>
      <c r="K780" s="145" t="n"/>
      <c r="L780" s="145" t="n"/>
      <c r="M780" s="145" t="n"/>
      <c r="N780" s="145" t="n"/>
      <c r="O780" s="140" t="n"/>
      <c r="P780" s="140" t="n"/>
      <c r="Q780" s="140" t="n"/>
      <c r="R780" s="140" t="n"/>
      <c r="S780" s="140" t="n"/>
      <c r="T780" s="141" t="n"/>
      <c r="U780" s="129" t="n"/>
      <c r="V780" s="129" t="n"/>
      <c r="W780" s="145" t="n"/>
      <c r="X780" s="145" t="n"/>
      <c r="Y780" s="145" t="n"/>
      <c r="Z780" s="145" t="n"/>
    </row>
    <row r="781" ht="45.75" customHeight="1" s="222">
      <c r="A781" s="145" t="n"/>
      <c r="B781" s="145" t="n"/>
      <c r="C781" s="145" t="n"/>
      <c r="D781" s="145" t="n"/>
      <c r="E781" s="145" t="n"/>
      <c r="F781" s="145" t="n"/>
      <c r="G781" s="145" t="n"/>
      <c r="H781" s="145" t="n"/>
      <c r="I781" s="145" t="n"/>
      <c r="J781" s="145" t="n"/>
      <c r="K781" s="145" t="n"/>
      <c r="L781" s="145" t="n"/>
      <c r="M781" s="145" t="n"/>
      <c r="N781" s="145" t="n"/>
      <c r="O781" s="140" t="n"/>
      <c r="P781" s="140" t="n"/>
      <c r="Q781" s="140" t="n"/>
      <c r="R781" s="140" t="n"/>
      <c r="S781" s="140" t="n"/>
      <c r="T781" s="141" t="n"/>
      <c r="U781" s="129" t="n"/>
      <c r="V781" s="129" t="n"/>
      <c r="W781" s="145" t="n"/>
      <c r="X781" s="145" t="n"/>
      <c r="Y781" s="145" t="n"/>
      <c r="Z781" s="145" t="n"/>
    </row>
    <row r="782" ht="45.75" customHeight="1" s="222">
      <c r="A782" s="145" t="n"/>
      <c r="B782" s="145" t="n"/>
      <c r="C782" s="145" t="n"/>
      <c r="D782" s="145" t="n"/>
      <c r="E782" s="145" t="n"/>
      <c r="F782" s="145" t="n"/>
      <c r="G782" s="145" t="n"/>
      <c r="H782" s="145" t="n"/>
      <c r="I782" s="145" t="n"/>
      <c r="J782" s="145" t="n"/>
      <c r="K782" s="145" t="n"/>
      <c r="L782" s="145" t="n"/>
      <c r="M782" s="145" t="n"/>
      <c r="N782" s="145" t="n"/>
      <c r="O782" s="140" t="n"/>
      <c r="P782" s="140" t="n"/>
      <c r="Q782" s="140" t="n"/>
      <c r="R782" s="140" t="n"/>
      <c r="S782" s="140" t="n"/>
      <c r="T782" s="141" t="n"/>
      <c r="U782" s="129" t="n"/>
      <c r="V782" s="129" t="n"/>
      <c r="W782" s="145" t="n"/>
      <c r="X782" s="145" t="n"/>
      <c r="Y782" s="145" t="n"/>
      <c r="Z782" s="145" t="n"/>
    </row>
    <row r="783" ht="45.75" customHeight="1" s="222">
      <c r="A783" s="145" t="n"/>
      <c r="B783" s="145" t="n"/>
      <c r="C783" s="145" t="n"/>
      <c r="D783" s="145" t="n"/>
      <c r="E783" s="145" t="n"/>
      <c r="F783" s="145" t="n"/>
      <c r="G783" s="145" t="n"/>
      <c r="H783" s="145" t="n"/>
      <c r="I783" s="145" t="n"/>
      <c r="J783" s="145" t="n"/>
      <c r="K783" s="145" t="n"/>
      <c r="L783" s="145" t="n"/>
      <c r="M783" s="145" t="n"/>
      <c r="N783" s="145" t="n"/>
      <c r="O783" s="140" t="n"/>
      <c r="P783" s="140" t="n"/>
      <c r="Q783" s="140" t="n"/>
      <c r="R783" s="140" t="n"/>
      <c r="S783" s="140" t="n"/>
      <c r="T783" s="141" t="n"/>
      <c r="U783" s="129" t="n"/>
      <c r="V783" s="129" t="n"/>
      <c r="W783" s="145" t="n"/>
      <c r="X783" s="145" t="n"/>
      <c r="Y783" s="145" t="n"/>
      <c r="Z783" s="145" t="n"/>
    </row>
    <row r="784" ht="45.75" customHeight="1" s="222">
      <c r="A784" s="145" t="n"/>
      <c r="B784" s="145" t="n"/>
      <c r="C784" s="145" t="n"/>
      <c r="D784" s="145" t="n"/>
      <c r="E784" s="145" t="n"/>
      <c r="F784" s="145" t="n"/>
      <c r="G784" s="145" t="n"/>
      <c r="H784" s="145" t="n"/>
      <c r="I784" s="145" t="n"/>
      <c r="J784" s="145" t="n"/>
      <c r="K784" s="145" t="n"/>
      <c r="L784" s="145" t="n"/>
      <c r="M784" s="145" t="n"/>
      <c r="N784" s="145" t="n"/>
      <c r="O784" s="140" t="n"/>
      <c r="P784" s="140" t="n"/>
      <c r="Q784" s="140" t="n"/>
      <c r="R784" s="140" t="n"/>
      <c r="S784" s="140" t="n"/>
      <c r="T784" s="141" t="n"/>
      <c r="U784" s="129" t="n"/>
      <c r="V784" s="129" t="n"/>
      <c r="W784" s="145" t="n"/>
      <c r="X784" s="145" t="n"/>
      <c r="Y784" s="145" t="n"/>
      <c r="Z784" s="145" t="n"/>
    </row>
    <row r="785" ht="45.75" customHeight="1" s="222">
      <c r="A785" s="145" t="n"/>
      <c r="B785" s="145" t="n"/>
      <c r="C785" s="145" t="n"/>
      <c r="D785" s="145" t="n"/>
      <c r="E785" s="145" t="n"/>
      <c r="F785" s="145" t="n"/>
      <c r="G785" s="145" t="n"/>
      <c r="H785" s="145" t="n"/>
      <c r="I785" s="145" t="n"/>
      <c r="J785" s="145" t="n"/>
      <c r="K785" s="145" t="n"/>
      <c r="L785" s="145" t="n"/>
      <c r="M785" s="145" t="n"/>
      <c r="N785" s="145" t="n"/>
      <c r="O785" s="140" t="n"/>
      <c r="P785" s="140" t="n"/>
      <c r="Q785" s="140" t="n"/>
      <c r="R785" s="140" t="n"/>
      <c r="S785" s="140" t="n"/>
      <c r="T785" s="141" t="n"/>
      <c r="U785" s="129" t="n"/>
      <c r="V785" s="129" t="n"/>
      <c r="W785" s="145" t="n"/>
      <c r="X785" s="145" t="n"/>
      <c r="Y785" s="145" t="n"/>
      <c r="Z785" s="145" t="n"/>
    </row>
    <row r="786" ht="45.75" customHeight="1" s="222">
      <c r="A786" s="145" t="n"/>
      <c r="B786" s="145" t="n"/>
      <c r="C786" s="145" t="n"/>
      <c r="D786" s="145" t="n"/>
      <c r="E786" s="145" t="n"/>
      <c r="F786" s="145" t="n"/>
      <c r="G786" s="145" t="n"/>
      <c r="H786" s="145" t="n"/>
      <c r="I786" s="145" t="n"/>
      <c r="J786" s="145" t="n"/>
      <c r="K786" s="145" t="n"/>
      <c r="L786" s="145" t="n"/>
      <c r="M786" s="145" t="n"/>
      <c r="N786" s="145" t="n"/>
      <c r="O786" s="140" t="n"/>
      <c r="P786" s="140" t="n"/>
      <c r="Q786" s="140" t="n"/>
      <c r="R786" s="140" t="n"/>
      <c r="S786" s="140" t="n"/>
      <c r="T786" s="141" t="n"/>
      <c r="U786" s="129" t="n"/>
      <c r="V786" s="129" t="n"/>
      <c r="W786" s="145" t="n"/>
      <c r="X786" s="145" t="n"/>
      <c r="Y786" s="145" t="n"/>
      <c r="Z786" s="145" t="n"/>
    </row>
    <row r="787" ht="45.75" customHeight="1" s="222">
      <c r="A787" s="145" t="n"/>
      <c r="B787" s="145" t="n"/>
      <c r="C787" s="145" t="n"/>
      <c r="D787" s="145" t="n"/>
      <c r="E787" s="145" t="n"/>
      <c r="F787" s="145" t="n"/>
      <c r="G787" s="145" t="n"/>
      <c r="H787" s="145" t="n"/>
      <c r="I787" s="145" t="n"/>
      <c r="J787" s="145" t="n"/>
      <c r="K787" s="145" t="n"/>
      <c r="L787" s="145" t="n"/>
      <c r="M787" s="145" t="n"/>
      <c r="N787" s="145" t="n"/>
      <c r="O787" s="140" t="n"/>
      <c r="P787" s="140" t="n"/>
      <c r="Q787" s="140" t="n"/>
      <c r="R787" s="140" t="n"/>
      <c r="S787" s="140" t="n"/>
      <c r="T787" s="141" t="n"/>
      <c r="U787" s="129" t="n"/>
      <c r="V787" s="129" t="n"/>
      <c r="W787" s="145" t="n"/>
      <c r="X787" s="145" t="n"/>
      <c r="Y787" s="145" t="n"/>
      <c r="Z787" s="145" t="n"/>
    </row>
    <row r="788" ht="45.75" customHeight="1" s="222">
      <c r="A788" s="145" t="n"/>
      <c r="B788" s="145" t="n"/>
      <c r="C788" s="145" t="n"/>
      <c r="D788" s="145" t="n"/>
      <c r="E788" s="145" t="n"/>
      <c r="F788" s="145" t="n"/>
      <c r="G788" s="145" t="n"/>
      <c r="H788" s="145" t="n"/>
      <c r="I788" s="145" t="n"/>
      <c r="J788" s="145" t="n"/>
      <c r="K788" s="145" t="n"/>
      <c r="L788" s="145" t="n"/>
      <c r="M788" s="145" t="n"/>
      <c r="N788" s="145" t="n"/>
      <c r="O788" s="140" t="n"/>
      <c r="P788" s="140" t="n"/>
      <c r="Q788" s="140" t="n"/>
      <c r="R788" s="140" t="n"/>
      <c r="S788" s="140" t="n"/>
      <c r="T788" s="141" t="n"/>
      <c r="U788" s="129" t="n"/>
      <c r="V788" s="129" t="n"/>
      <c r="W788" s="145" t="n"/>
      <c r="X788" s="145" t="n"/>
      <c r="Y788" s="145" t="n"/>
      <c r="Z788" s="145" t="n"/>
    </row>
    <row r="789" ht="45.75" customHeight="1" s="222">
      <c r="A789" s="145" t="n"/>
      <c r="B789" s="145" t="n"/>
      <c r="C789" s="145" t="n"/>
      <c r="D789" s="145" t="n"/>
      <c r="E789" s="145" t="n"/>
      <c r="F789" s="145" t="n"/>
      <c r="G789" s="145" t="n"/>
      <c r="H789" s="145" t="n"/>
      <c r="I789" s="145" t="n"/>
      <c r="J789" s="145" t="n"/>
      <c r="K789" s="145" t="n"/>
      <c r="L789" s="145" t="n"/>
      <c r="M789" s="145" t="n"/>
      <c r="N789" s="145" t="n"/>
      <c r="O789" s="140" t="n"/>
      <c r="P789" s="140" t="n"/>
      <c r="Q789" s="140" t="n"/>
      <c r="R789" s="140" t="n"/>
      <c r="S789" s="140" t="n"/>
      <c r="T789" s="141" t="n"/>
      <c r="U789" s="129" t="n"/>
      <c r="V789" s="129" t="n"/>
      <c r="W789" s="145" t="n"/>
      <c r="X789" s="145" t="n"/>
      <c r="Y789" s="145" t="n"/>
      <c r="Z789" s="145" t="n"/>
    </row>
    <row r="790" ht="45.75" customHeight="1" s="222">
      <c r="A790" s="145" t="n"/>
      <c r="B790" s="145" t="n"/>
      <c r="C790" s="145" t="n"/>
      <c r="D790" s="145" t="n"/>
      <c r="E790" s="145" t="n"/>
      <c r="F790" s="145" t="n"/>
      <c r="G790" s="145" t="n"/>
      <c r="H790" s="145" t="n"/>
      <c r="I790" s="145" t="n"/>
      <c r="J790" s="145" t="n"/>
      <c r="K790" s="145" t="n"/>
      <c r="L790" s="145" t="n"/>
      <c r="M790" s="145" t="n"/>
      <c r="N790" s="145" t="n"/>
      <c r="O790" s="140" t="n"/>
      <c r="P790" s="140" t="n"/>
      <c r="Q790" s="140" t="n"/>
      <c r="R790" s="140" t="n"/>
      <c r="S790" s="140" t="n"/>
      <c r="T790" s="141" t="n"/>
      <c r="U790" s="129" t="n"/>
      <c r="V790" s="129" t="n"/>
      <c r="W790" s="145" t="n"/>
      <c r="X790" s="145" t="n"/>
      <c r="Y790" s="145" t="n"/>
      <c r="Z790" s="145" t="n"/>
    </row>
    <row r="791" ht="45.75" customHeight="1" s="222">
      <c r="A791" s="145" t="n"/>
      <c r="B791" s="145" t="n"/>
      <c r="C791" s="145" t="n"/>
      <c r="D791" s="145" t="n"/>
      <c r="E791" s="145" t="n"/>
      <c r="F791" s="145" t="n"/>
      <c r="G791" s="145" t="n"/>
      <c r="H791" s="145" t="n"/>
      <c r="I791" s="145" t="n"/>
      <c r="J791" s="145" t="n"/>
      <c r="K791" s="145" t="n"/>
      <c r="L791" s="145" t="n"/>
      <c r="M791" s="145" t="n"/>
      <c r="N791" s="145" t="n"/>
      <c r="O791" s="140" t="n"/>
      <c r="P791" s="140" t="n"/>
      <c r="Q791" s="140" t="n"/>
      <c r="R791" s="140" t="n"/>
      <c r="S791" s="140" t="n"/>
      <c r="T791" s="141" t="n"/>
      <c r="U791" s="129" t="n"/>
      <c r="V791" s="129" t="n"/>
      <c r="W791" s="145" t="n"/>
      <c r="X791" s="145" t="n"/>
      <c r="Y791" s="145" t="n"/>
      <c r="Z791" s="145" t="n"/>
    </row>
    <row r="792" ht="45.75" customHeight="1" s="222">
      <c r="A792" s="145" t="n"/>
      <c r="B792" s="145" t="n"/>
      <c r="C792" s="145" t="n"/>
      <c r="D792" s="145" t="n"/>
      <c r="E792" s="145" t="n"/>
      <c r="F792" s="145" t="n"/>
      <c r="G792" s="145" t="n"/>
      <c r="H792" s="145" t="n"/>
      <c r="I792" s="145" t="n"/>
      <c r="J792" s="145" t="n"/>
      <c r="K792" s="145" t="n"/>
      <c r="L792" s="145" t="n"/>
      <c r="M792" s="145" t="n"/>
      <c r="N792" s="145" t="n"/>
      <c r="O792" s="140" t="n"/>
      <c r="P792" s="140" t="n"/>
      <c r="Q792" s="140" t="n"/>
      <c r="R792" s="140" t="n"/>
      <c r="S792" s="140" t="n"/>
      <c r="T792" s="141" t="n"/>
      <c r="U792" s="129" t="n"/>
      <c r="V792" s="129" t="n"/>
      <c r="W792" s="145" t="n"/>
      <c r="X792" s="145" t="n"/>
      <c r="Y792" s="145" t="n"/>
      <c r="Z792" s="145" t="n"/>
    </row>
    <row r="793" ht="45.75" customHeight="1" s="222">
      <c r="A793" s="145" t="n"/>
      <c r="B793" s="145" t="n"/>
      <c r="C793" s="145" t="n"/>
      <c r="D793" s="145" t="n"/>
      <c r="E793" s="145" t="n"/>
      <c r="F793" s="145" t="n"/>
      <c r="G793" s="145" t="n"/>
      <c r="H793" s="145" t="n"/>
      <c r="I793" s="145" t="n"/>
      <c r="J793" s="145" t="n"/>
      <c r="K793" s="145" t="n"/>
      <c r="L793" s="145" t="n"/>
      <c r="M793" s="145" t="n"/>
      <c r="N793" s="145" t="n"/>
      <c r="O793" s="140" t="n"/>
      <c r="P793" s="140" t="n"/>
      <c r="Q793" s="140" t="n"/>
      <c r="R793" s="140" t="n"/>
      <c r="S793" s="140" t="n"/>
      <c r="T793" s="141" t="n"/>
      <c r="U793" s="129" t="n"/>
      <c r="V793" s="129" t="n"/>
      <c r="W793" s="145" t="n"/>
      <c r="X793" s="145" t="n"/>
      <c r="Y793" s="145" t="n"/>
      <c r="Z793" s="145" t="n"/>
    </row>
    <row r="794" ht="45.75" customHeight="1" s="222">
      <c r="A794" s="145" t="n"/>
      <c r="B794" s="145" t="n"/>
      <c r="C794" s="145" t="n"/>
      <c r="D794" s="145" t="n"/>
      <c r="E794" s="145" t="n"/>
      <c r="F794" s="145" t="n"/>
      <c r="G794" s="145" t="n"/>
      <c r="H794" s="145" t="n"/>
      <c r="I794" s="145" t="n"/>
      <c r="J794" s="145" t="n"/>
      <c r="K794" s="145" t="n"/>
      <c r="L794" s="145" t="n"/>
      <c r="M794" s="145" t="n"/>
      <c r="N794" s="145" t="n"/>
      <c r="O794" s="140" t="n"/>
      <c r="P794" s="140" t="n"/>
      <c r="Q794" s="140" t="n"/>
      <c r="R794" s="140" t="n"/>
      <c r="S794" s="140" t="n"/>
      <c r="T794" s="141" t="n"/>
      <c r="U794" s="129" t="n"/>
      <c r="V794" s="129" t="n"/>
      <c r="W794" s="145" t="n"/>
      <c r="X794" s="145" t="n"/>
      <c r="Y794" s="145" t="n"/>
      <c r="Z794" s="145" t="n"/>
    </row>
    <row r="795" ht="45.75" customHeight="1" s="222">
      <c r="A795" s="145" t="n"/>
      <c r="B795" s="145" t="n"/>
      <c r="C795" s="145" t="n"/>
      <c r="D795" s="145" t="n"/>
      <c r="E795" s="145" t="n"/>
      <c r="F795" s="145" t="n"/>
      <c r="G795" s="145" t="n"/>
      <c r="H795" s="145" t="n"/>
      <c r="I795" s="145" t="n"/>
      <c r="J795" s="145" t="n"/>
      <c r="K795" s="145" t="n"/>
      <c r="L795" s="145" t="n"/>
      <c r="M795" s="145" t="n"/>
      <c r="N795" s="145" t="n"/>
      <c r="O795" s="140" t="n"/>
      <c r="P795" s="140" t="n"/>
      <c r="Q795" s="140" t="n"/>
      <c r="R795" s="140" t="n"/>
      <c r="S795" s="140" t="n"/>
      <c r="T795" s="141" t="n"/>
      <c r="U795" s="129" t="n"/>
      <c r="V795" s="129" t="n"/>
      <c r="W795" s="145" t="n"/>
      <c r="X795" s="145" t="n"/>
      <c r="Y795" s="145" t="n"/>
      <c r="Z795" s="145" t="n"/>
    </row>
    <row r="796" ht="45.75" customHeight="1" s="222">
      <c r="A796" s="145" t="n"/>
      <c r="B796" s="145" t="n"/>
      <c r="C796" s="145" t="n"/>
      <c r="D796" s="145" t="n"/>
      <c r="E796" s="145" t="n"/>
      <c r="F796" s="145" t="n"/>
      <c r="G796" s="145" t="n"/>
      <c r="H796" s="145" t="n"/>
      <c r="I796" s="145" t="n"/>
      <c r="J796" s="145" t="n"/>
      <c r="K796" s="145" t="n"/>
      <c r="L796" s="145" t="n"/>
      <c r="M796" s="145" t="n"/>
      <c r="N796" s="145" t="n"/>
      <c r="O796" s="140" t="n"/>
      <c r="P796" s="140" t="n"/>
      <c r="Q796" s="140" t="n"/>
      <c r="R796" s="140" t="n"/>
      <c r="S796" s="140" t="n"/>
      <c r="T796" s="141" t="n"/>
      <c r="U796" s="129" t="n"/>
      <c r="V796" s="129" t="n"/>
      <c r="W796" s="145" t="n"/>
      <c r="X796" s="145" t="n"/>
      <c r="Y796" s="145" t="n"/>
      <c r="Z796" s="145" t="n"/>
    </row>
    <row r="797" ht="45.75" customHeight="1" s="222">
      <c r="A797" s="145" t="n"/>
      <c r="B797" s="145" t="n"/>
      <c r="C797" s="145" t="n"/>
      <c r="D797" s="145" t="n"/>
      <c r="E797" s="145" t="n"/>
      <c r="F797" s="145" t="n"/>
      <c r="G797" s="145" t="n"/>
      <c r="H797" s="145" t="n"/>
      <c r="I797" s="145" t="n"/>
      <c r="J797" s="145" t="n"/>
      <c r="K797" s="145" t="n"/>
      <c r="L797" s="145" t="n"/>
      <c r="M797" s="145" t="n"/>
      <c r="N797" s="145" t="n"/>
      <c r="O797" s="140" t="n"/>
      <c r="P797" s="140" t="n"/>
      <c r="Q797" s="140" t="n"/>
      <c r="R797" s="140" t="n"/>
      <c r="S797" s="140" t="n"/>
      <c r="T797" s="141" t="n"/>
      <c r="U797" s="129" t="n"/>
      <c r="V797" s="129" t="n"/>
      <c r="W797" s="145" t="n"/>
      <c r="X797" s="145" t="n"/>
      <c r="Y797" s="145" t="n"/>
      <c r="Z797" s="145" t="n"/>
    </row>
    <row r="798" ht="45.75" customHeight="1" s="222">
      <c r="A798" s="145" t="n"/>
      <c r="B798" s="145" t="n"/>
      <c r="C798" s="145" t="n"/>
      <c r="D798" s="145" t="n"/>
      <c r="E798" s="145" t="n"/>
      <c r="F798" s="145" t="n"/>
      <c r="G798" s="145" t="n"/>
      <c r="H798" s="145" t="n"/>
      <c r="I798" s="145" t="n"/>
      <c r="J798" s="145" t="n"/>
      <c r="K798" s="145" t="n"/>
      <c r="L798" s="145" t="n"/>
      <c r="M798" s="145" t="n"/>
      <c r="N798" s="145" t="n"/>
      <c r="O798" s="140" t="n"/>
      <c r="P798" s="140" t="n"/>
      <c r="Q798" s="140" t="n"/>
      <c r="R798" s="140" t="n"/>
      <c r="S798" s="140" t="n"/>
      <c r="T798" s="141" t="n"/>
      <c r="U798" s="129" t="n"/>
      <c r="V798" s="129" t="n"/>
      <c r="W798" s="145" t="n"/>
      <c r="X798" s="145" t="n"/>
      <c r="Y798" s="145" t="n"/>
      <c r="Z798" s="145" t="n"/>
    </row>
    <row r="799" ht="45.75" customHeight="1" s="222">
      <c r="A799" s="145" t="n"/>
      <c r="B799" s="145" t="n"/>
      <c r="C799" s="145" t="n"/>
      <c r="D799" s="145" t="n"/>
      <c r="E799" s="145" t="n"/>
      <c r="F799" s="145" t="n"/>
      <c r="G799" s="145" t="n"/>
      <c r="H799" s="145" t="n"/>
      <c r="I799" s="145" t="n"/>
      <c r="J799" s="145" t="n"/>
      <c r="K799" s="145" t="n"/>
      <c r="L799" s="145" t="n"/>
      <c r="M799" s="145" t="n"/>
      <c r="N799" s="145" t="n"/>
      <c r="O799" s="140" t="n"/>
      <c r="P799" s="140" t="n"/>
      <c r="Q799" s="140" t="n"/>
      <c r="R799" s="140" t="n"/>
      <c r="S799" s="140" t="n"/>
      <c r="T799" s="141" t="n"/>
      <c r="U799" s="129" t="n"/>
      <c r="V799" s="129" t="n"/>
      <c r="W799" s="145" t="n"/>
      <c r="X799" s="145" t="n"/>
      <c r="Y799" s="145" t="n"/>
      <c r="Z799" s="145" t="n"/>
    </row>
    <row r="800" ht="45.75" customHeight="1" s="222">
      <c r="A800" s="145" t="n"/>
      <c r="B800" s="145" t="n"/>
      <c r="C800" s="145" t="n"/>
      <c r="D800" s="145" t="n"/>
      <c r="E800" s="145" t="n"/>
      <c r="F800" s="145" t="n"/>
      <c r="G800" s="145" t="n"/>
      <c r="H800" s="145" t="n"/>
      <c r="I800" s="145" t="n"/>
      <c r="J800" s="145" t="n"/>
      <c r="K800" s="145" t="n"/>
      <c r="L800" s="145" t="n"/>
      <c r="M800" s="145" t="n"/>
      <c r="N800" s="145" t="n"/>
      <c r="O800" s="140" t="n"/>
      <c r="P800" s="140" t="n"/>
      <c r="Q800" s="140" t="n"/>
      <c r="R800" s="140" t="n"/>
      <c r="S800" s="140" t="n"/>
      <c r="T800" s="141" t="n"/>
      <c r="U800" s="129" t="n"/>
      <c r="V800" s="129" t="n"/>
      <c r="W800" s="145" t="n"/>
      <c r="X800" s="145" t="n"/>
      <c r="Y800" s="145" t="n"/>
      <c r="Z800" s="145" t="n"/>
    </row>
    <row r="801" ht="45.75" customHeight="1" s="222">
      <c r="A801" s="145" t="n"/>
      <c r="B801" s="145" t="n"/>
      <c r="C801" s="145" t="n"/>
      <c r="D801" s="145" t="n"/>
      <c r="E801" s="145" t="n"/>
      <c r="F801" s="145" t="n"/>
      <c r="G801" s="145" t="n"/>
      <c r="H801" s="145" t="n"/>
      <c r="I801" s="145" t="n"/>
      <c r="J801" s="145" t="n"/>
      <c r="K801" s="145" t="n"/>
      <c r="L801" s="145" t="n"/>
      <c r="M801" s="145" t="n"/>
      <c r="N801" s="145" t="n"/>
      <c r="O801" s="140" t="n"/>
      <c r="P801" s="140" t="n"/>
      <c r="Q801" s="140" t="n"/>
      <c r="R801" s="140" t="n"/>
      <c r="S801" s="140" t="n"/>
      <c r="T801" s="141" t="n"/>
      <c r="U801" s="129" t="n"/>
      <c r="V801" s="129" t="n"/>
      <c r="W801" s="145" t="n"/>
      <c r="X801" s="145" t="n"/>
      <c r="Y801" s="145" t="n"/>
      <c r="Z801" s="145" t="n"/>
    </row>
    <row r="802" ht="45.75" customHeight="1" s="222">
      <c r="A802" s="145" t="n"/>
      <c r="B802" s="145" t="n"/>
      <c r="C802" s="145" t="n"/>
      <c r="D802" s="145" t="n"/>
      <c r="E802" s="145" t="n"/>
      <c r="F802" s="145" t="n"/>
      <c r="G802" s="145" t="n"/>
      <c r="H802" s="145" t="n"/>
      <c r="I802" s="145" t="n"/>
      <c r="J802" s="145" t="n"/>
      <c r="K802" s="145" t="n"/>
      <c r="L802" s="145" t="n"/>
      <c r="M802" s="145" t="n"/>
      <c r="N802" s="145" t="n"/>
      <c r="O802" s="140" t="n"/>
      <c r="P802" s="140" t="n"/>
      <c r="Q802" s="140" t="n"/>
      <c r="R802" s="140" t="n"/>
      <c r="S802" s="140" t="n"/>
      <c r="T802" s="141" t="n"/>
      <c r="U802" s="129" t="n"/>
      <c r="V802" s="129" t="n"/>
      <c r="W802" s="145" t="n"/>
      <c r="X802" s="145" t="n"/>
      <c r="Y802" s="145" t="n"/>
      <c r="Z802" s="145" t="n"/>
    </row>
    <row r="803" ht="45.75" customHeight="1" s="222">
      <c r="A803" s="145" t="n"/>
      <c r="B803" s="145" t="n"/>
      <c r="C803" s="145" t="n"/>
      <c r="D803" s="145" t="n"/>
      <c r="E803" s="145" t="n"/>
      <c r="F803" s="145" t="n"/>
      <c r="G803" s="145" t="n"/>
      <c r="H803" s="145" t="n"/>
      <c r="I803" s="145" t="n"/>
      <c r="J803" s="145" t="n"/>
      <c r="K803" s="145" t="n"/>
      <c r="L803" s="145" t="n"/>
      <c r="M803" s="145" t="n"/>
      <c r="N803" s="145" t="n"/>
      <c r="O803" s="140" t="n"/>
      <c r="P803" s="140" t="n"/>
      <c r="Q803" s="140" t="n"/>
      <c r="R803" s="140" t="n"/>
      <c r="S803" s="140" t="n"/>
      <c r="T803" s="141" t="n"/>
      <c r="U803" s="129" t="n"/>
      <c r="V803" s="129" t="n"/>
      <c r="W803" s="145" t="n"/>
      <c r="X803" s="145" t="n"/>
      <c r="Y803" s="145" t="n"/>
      <c r="Z803" s="145" t="n"/>
    </row>
    <row r="804" ht="45.75" customHeight="1" s="222">
      <c r="A804" s="145" t="n"/>
      <c r="B804" s="145" t="n"/>
      <c r="C804" s="145" t="n"/>
      <c r="D804" s="145" t="n"/>
      <c r="E804" s="145" t="n"/>
      <c r="F804" s="145" t="n"/>
      <c r="G804" s="145" t="n"/>
      <c r="H804" s="145" t="n"/>
      <c r="I804" s="145" t="n"/>
      <c r="J804" s="145" t="n"/>
      <c r="K804" s="145" t="n"/>
      <c r="L804" s="145" t="n"/>
      <c r="M804" s="145" t="n"/>
      <c r="N804" s="145" t="n"/>
      <c r="O804" s="140" t="n"/>
      <c r="P804" s="140" t="n"/>
      <c r="Q804" s="140" t="n"/>
      <c r="R804" s="140" t="n"/>
      <c r="S804" s="140" t="n"/>
      <c r="T804" s="141" t="n"/>
      <c r="U804" s="129" t="n"/>
      <c r="V804" s="129" t="n"/>
      <c r="W804" s="145" t="n"/>
      <c r="X804" s="145" t="n"/>
      <c r="Y804" s="145" t="n"/>
      <c r="Z804" s="145" t="n"/>
    </row>
    <row r="805" ht="45.75" customHeight="1" s="222">
      <c r="A805" s="145" t="n"/>
      <c r="B805" s="145" t="n"/>
      <c r="C805" s="145" t="n"/>
      <c r="D805" s="145" t="n"/>
      <c r="E805" s="145" t="n"/>
      <c r="F805" s="145" t="n"/>
      <c r="G805" s="145" t="n"/>
      <c r="H805" s="145" t="n"/>
      <c r="I805" s="145" t="n"/>
      <c r="J805" s="145" t="n"/>
      <c r="K805" s="145" t="n"/>
      <c r="L805" s="145" t="n"/>
      <c r="M805" s="145" t="n"/>
      <c r="N805" s="145" t="n"/>
      <c r="O805" s="140" t="n"/>
      <c r="P805" s="140" t="n"/>
      <c r="Q805" s="140" t="n"/>
      <c r="R805" s="140" t="n"/>
      <c r="S805" s="140" t="n"/>
      <c r="T805" s="141" t="n"/>
      <c r="U805" s="129" t="n"/>
      <c r="V805" s="129" t="n"/>
      <c r="W805" s="145" t="n"/>
      <c r="X805" s="145" t="n"/>
      <c r="Y805" s="145" t="n"/>
      <c r="Z805" s="145" t="n"/>
    </row>
    <row r="806" ht="45.75" customHeight="1" s="222">
      <c r="A806" s="145" t="n"/>
      <c r="B806" s="145" t="n"/>
      <c r="C806" s="145" t="n"/>
      <c r="D806" s="145" t="n"/>
      <c r="E806" s="145" t="n"/>
      <c r="F806" s="145" t="n"/>
      <c r="G806" s="145" t="n"/>
      <c r="H806" s="145" t="n"/>
      <c r="I806" s="145" t="n"/>
      <c r="J806" s="145" t="n"/>
      <c r="K806" s="145" t="n"/>
      <c r="L806" s="145" t="n"/>
      <c r="M806" s="145" t="n"/>
      <c r="N806" s="145" t="n"/>
      <c r="O806" s="140" t="n"/>
      <c r="P806" s="140" t="n"/>
      <c r="Q806" s="140" t="n"/>
      <c r="R806" s="140" t="n"/>
      <c r="S806" s="140" t="n"/>
      <c r="T806" s="141" t="n"/>
      <c r="U806" s="129" t="n"/>
      <c r="V806" s="129" t="n"/>
      <c r="W806" s="145" t="n"/>
      <c r="X806" s="145" t="n"/>
      <c r="Y806" s="145" t="n"/>
      <c r="Z806" s="145" t="n"/>
    </row>
    <row r="807" ht="45.75" customHeight="1" s="222">
      <c r="A807" s="145" t="n"/>
      <c r="B807" s="145" t="n"/>
      <c r="C807" s="145" t="n"/>
      <c r="D807" s="145" t="n"/>
      <c r="E807" s="145" t="n"/>
      <c r="F807" s="145" t="n"/>
      <c r="G807" s="145" t="n"/>
      <c r="H807" s="145" t="n"/>
      <c r="I807" s="145" t="n"/>
      <c r="J807" s="145" t="n"/>
      <c r="K807" s="145" t="n"/>
      <c r="L807" s="145" t="n"/>
      <c r="M807" s="145" t="n"/>
      <c r="N807" s="145" t="n"/>
      <c r="O807" s="140" t="n"/>
      <c r="P807" s="140" t="n"/>
      <c r="Q807" s="140" t="n"/>
      <c r="R807" s="140" t="n"/>
      <c r="S807" s="140" t="n"/>
      <c r="T807" s="141" t="n"/>
      <c r="U807" s="129" t="n"/>
      <c r="V807" s="129" t="n"/>
      <c r="W807" s="145" t="n"/>
      <c r="X807" s="145" t="n"/>
      <c r="Y807" s="145" t="n"/>
      <c r="Z807" s="145" t="n"/>
    </row>
    <row r="808" ht="45.75" customHeight="1" s="222">
      <c r="A808" s="145" t="n"/>
      <c r="B808" s="145" t="n"/>
      <c r="C808" s="145" t="n"/>
      <c r="D808" s="145" t="n"/>
      <c r="E808" s="145" t="n"/>
      <c r="F808" s="145" t="n"/>
      <c r="G808" s="145" t="n"/>
      <c r="H808" s="145" t="n"/>
      <c r="I808" s="145" t="n"/>
      <c r="J808" s="145" t="n"/>
      <c r="K808" s="145" t="n"/>
      <c r="L808" s="145" t="n"/>
      <c r="M808" s="145" t="n"/>
      <c r="N808" s="145" t="n"/>
      <c r="O808" s="140" t="n"/>
      <c r="P808" s="140" t="n"/>
      <c r="Q808" s="140" t="n"/>
      <c r="R808" s="140" t="n"/>
      <c r="S808" s="140" t="n"/>
      <c r="T808" s="141" t="n"/>
      <c r="U808" s="129" t="n"/>
      <c r="V808" s="129" t="n"/>
      <c r="W808" s="145" t="n"/>
      <c r="X808" s="145" t="n"/>
      <c r="Y808" s="145" t="n"/>
      <c r="Z808" s="145" t="n"/>
    </row>
    <row r="809" ht="45.75" customHeight="1" s="222">
      <c r="A809" s="145" t="n"/>
      <c r="B809" s="145" t="n"/>
      <c r="C809" s="145" t="n"/>
      <c r="D809" s="145" t="n"/>
      <c r="E809" s="145" t="n"/>
      <c r="F809" s="145" t="n"/>
      <c r="G809" s="145" t="n"/>
      <c r="H809" s="145" t="n"/>
      <c r="I809" s="145" t="n"/>
      <c r="J809" s="145" t="n"/>
      <c r="K809" s="145" t="n"/>
      <c r="L809" s="145" t="n"/>
      <c r="M809" s="145" t="n"/>
      <c r="N809" s="145" t="n"/>
      <c r="O809" s="140" t="n"/>
      <c r="P809" s="140" t="n"/>
      <c r="Q809" s="140" t="n"/>
      <c r="R809" s="140" t="n"/>
      <c r="S809" s="140" t="n"/>
      <c r="T809" s="141" t="n"/>
      <c r="U809" s="129" t="n"/>
      <c r="V809" s="129" t="n"/>
      <c r="W809" s="145" t="n"/>
      <c r="X809" s="145" t="n"/>
      <c r="Y809" s="145" t="n"/>
      <c r="Z809" s="145" t="n"/>
    </row>
    <row r="810" ht="45.75" customHeight="1" s="222">
      <c r="A810" s="145" t="n"/>
      <c r="B810" s="145" t="n"/>
      <c r="C810" s="145" t="n"/>
      <c r="D810" s="145" t="n"/>
      <c r="E810" s="145" t="n"/>
      <c r="F810" s="145" t="n"/>
      <c r="G810" s="145" t="n"/>
      <c r="H810" s="145" t="n"/>
      <c r="I810" s="145" t="n"/>
      <c r="J810" s="145" t="n"/>
      <c r="K810" s="145" t="n"/>
      <c r="L810" s="145" t="n"/>
      <c r="M810" s="145" t="n"/>
      <c r="N810" s="145" t="n"/>
      <c r="O810" s="140" t="n"/>
      <c r="P810" s="140" t="n"/>
      <c r="Q810" s="140" t="n"/>
      <c r="R810" s="140" t="n"/>
      <c r="S810" s="140" t="n"/>
      <c r="T810" s="141" t="n"/>
      <c r="U810" s="129" t="n"/>
      <c r="V810" s="129" t="n"/>
      <c r="W810" s="145" t="n"/>
      <c r="X810" s="145" t="n"/>
      <c r="Y810" s="145" t="n"/>
      <c r="Z810" s="145" t="n"/>
    </row>
    <row r="811" ht="45.75" customHeight="1" s="222">
      <c r="A811" s="145" t="n"/>
      <c r="B811" s="145" t="n"/>
      <c r="C811" s="145" t="n"/>
      <c r="D811" s="145" t="n"/>
      <c r="E811" s="145" t="n"/>
      <c r="F811" s="145" t="n"/>
      <c r="G811" s="145" t="n"/>
      <c r="H811" s="145" t="n"/>
      <c r="I811" s="145" t="n"/>
      <c r="J811" s="145" t="n"/>
      <c r="K811" s="145" t="n"/>
      <c r="L811" s="145" t="n"/>
      <c r="M811" s="145" t="n"/>
      <c r="N811" s="145" t="n"/>
      <c r="O811" s="140" t="n"/>
      <c r="P811" s="140" t="n"/>
      <c r="Q811" s="140" t="n"/>
      <c r="R811" s="140" t="n"/>
      <c r="S811" s="140" t="n"/>
      <c r="T811" s="141" t="n"/>
      <c r="U811" s="129" t="n"/>
      <c r="V811" s="129" t="n"/>
      <c r="W811" s="145" t="n"/>
      <c r="X811" s="145" t="n"/>
      <c r="Y811" s="145" t="n"/>
      <c r="Z811" s="145" t="n"/>
    </row>
    <row r="812" ht="45.75" customHeight="1" s="222">
      <c r="A812" s="145" t="n"/>
      <c r="B812" s="145" t="n"/>
      <c r="C812" s="145" t="n"/>
      <c r="D812" s="145" t="n"/>
      <c r="E812" s="145" t="n"/>
      <c r="F812" s="145" t="n"/>
      <c r="G812" s="145" t="n"/>
      <c r="H812" s="145" t="n"/>
      <c r="I812" s="145" t="n"/>
      <c r="J812" s="145" t="n"/>
      <c r="K812" s="145" t="n"/>
      <c r="L812" s="145" t="n"/>
      <c r="M812" s="145" t="n"/>
      <c r="N812" s="145" t="n"/>
      <c r="O812" s="140" t="n"/>
      <c r="P812" s="140" t="n"/>
      <c r="Q812" s="140" t="n"/>
      <c r="R812" s="140" t="n"/>
      <c r="S812" s="140" t="n"/>
      <c r="T812" s="141" t="n"/>
      <c r="U812" s="129" t="n"/>
      <c r="V812" s="129" t="n"/>
      <c r="W812" s="145" t="n"/>
      <c r="X812" s="145" t="n"/>
      <c r="Y812" s="145" t="n"/>
      <c r="Z812" s="145" t="n"/>
    </row>
    <row r="813" ht="45.75" customHeight="1" s="222">
      <c r="A813" s="145" t="n"/>
      <c r="B813" s="145" t="n"/>
      <c r="C813" s="145" t="n"/>
      <c r="D813" s="145" t="n"/>
      <c r="E813" s="145" t="n"/>
      <c r="F813" s="145" t="n"/>
      <c r="G813" s="145" t="n"/>
      <c r="H813" s="145" t="n"/>
      <c r="I813" s="145" t="n"/>
      <c r="J813" s="145" t="n"/>
      <c r="K813" s="145" t="n"/>
      <c r="L813" s="145" t="n"/>
      <c r="M813" s="145" t="n"/>
      <c r="N813" s="145" t="n"/>
      <c r="O813" s="140" t="n"/>
      <c r="P813" s="140" t="n"/>
      <c r="Q813" s="140" t="n"/>
      <c r="R813" s="140" t="n"/>
      <c r="S813" s="140" t="n"/>
      <c r="T813" s="141" t="n"/>
      <c r="U813" s="129" t="n"/>
      <c r="V813" s="129" t="n"/>
      <c r="W813" s="145" t="n"/>
      <c r="X813" s="145" t="n"/>
      <c r="Y813" s="145" t="n"/>
      <c r="Z813" s="145" t="n"/>
    </row>
    <row r="814" ht="45.75" customHeight="1" s="222">
      <c r="A814" s="145" t="n"/>
      <c r="B814" s="145" t="n"/>
      <c r="C814" s="145" t="n"/>
      <c r="D814" s="145" t="n"/>
      <c r="E814" s="145" t="n"/>
      <c r="F814" s="145" t="n"/>
      <c r="G814" s="145" t="n"/>
      <c r="H814" s="145" t="n"/>
      <c r="I814" s="145" t="n"/>
      <c r="J814" s="145" t="n"/>
      <c r="K814" s="145" t="n"/>
      <c r="L814" s="145" t="n"/>
      <c r="M814" s="145" t="n"/>
      <c r="N814" s="145" t="n"/>
      <c r="O814" s="140" t="n"/>
      <c r="P814" s="140" t="n"/>
      <c r="Q814" s="140" t="n"/>
      <c r="R814" s="140" t="n"/>
      <c r="S814" s="140" t="n"/>
      <c r="T814" s="141" t="n"/>
      <c r="U814" s="129" t="n"/>
      <c r="V814" s="129" t="n"/>
      <c r="W814" s="145" t="n"/>
      <c r="X814" s="145" t="n"/>
      <c r="Y814" s="145" t="n"/>
      <c r="Z814" s="145" t="n"/>
    </row>
    <row r="815" ht="45.75" customHeight="1" s="222">
      <c r="A815" s="145" t="n"/>
      <c r="B815" s="145" t="n"/>
      <c r="C815" s="145" t="n"/>
      <c r="D815" s="145" t="n"/>
      <c r="E815" s="145" t="n"/>
      <c r="F815" s="145" t="n"/>
      <c r="G815" s="145" t="n"/>
      <c r="H815" s="145" t="n"/>
      <c r="I815" s="145" t="n"/>
      <c r="J815" s="145" t="n"/>
      <c r="K815" s="145" t="n"/>
      <c r="L815" s="145" t="n"/>
      <c r="M815" s="145" t="n"/>
      <c r="N815" s="145" t="n"/>
      <c r="O815" s="140" t="n"/>
      <c r="P815" s="140" t="n"/>
      <c r="Q815" s="140" t="n"/>
      <c r="R815" s="140" t="n"/>
      <c r="S815" s="140" t="n"/>
      <c r="T815" s="141" t="n"/>
      <c r="U815" s="129" t="n"/>
      <c r="V815" s="129" t="n"/>
      <c r="W815" s="145" t="n"/>
      <c r="X815" s="145" t="n"/>
      <c r="Y815" s="145" t="n"/>
      <c r="Z815" s="145" t="n"/>
    </row>
    <row r="816" ht="45.75" customHeight="1" s="222">
      <c r="A816" s="145" t="n"/>
      <c r="B816" s="145" t="n"/>
      <c r="C816" s="145" t="n"/>
      <c r="D816" s="145" t="n"/>
      <c r="E816" s="145" t="n"/>
      <c r="F816" s="145" t="n"/>
      <c r="G816" s="145" t="n"/>
      <c r="H816" s="145" t="n"/>
      <c r="I816" s="145" t="n"/>
      <c r="J816" s="145" t="n"/>
      <c r="K816" s="145" t="n"/>
      <c r="L816" s="145" t="n"/>
      <c r="M816" s="145" t="n"/>
      <c r="N816" s="145" t="n"/>
      <c r="O816" s="140" t="n"/>
      <c r="P816" s="140" t="n"/>
      <c r="Q816" s="140" t="n"/>
      <c r="R816" s="140" t="n"/>
      <c r="S816" s="140" t="n"/>
      <c r="T816" s="141" t="n"/>
      <c r="U816" s="129" t="n"/>
      <c r="V816" s="129" t="n"/>
      <c r="W816" s="145" t="n"/>
      <c r="X816" s="145" t="n"/>
      <c r="Y816" s="145" t="n"/>
      <c r="Z816" s="145" t="n"/>
    </row>
    <row r="817" ht="45.75" customHeight="1" s="222">
      <c r="A817" s="145" t="n"/>
      <c r="B817" s="145" t="n"/>
      <c r="C817" s="145" t="n"/>
      <c r="D817" s="145" t="n"/>
      <c r="E817" s="145" t="n"/>
      <c r="F817" s="145" t="n"/>
      <c r="G817" s="145" t="n"/>
      <c r="H817" s="145" t="n"/>
      <c r="I817" s="145" t="n"/>
      <c r="J817" s="145" t="n"/>
      <c r="K817" s="145" t="n"/>
      <c r="L817" s="145" t="n"/>
      <c r="M817" s="145" t="n"/>
      <c r="N817" s="145" t="n"/>
      <c r="O817" s="140" t="n"/>
      <c r="P817" s="140" t="n"/>
      <c r="Q817" s="140" t="n"/>
      <c r="R817" s="140" t="n"/>
      <c r="S817" s="140" t="n"/>
      <c r="T817" s="141" t="n"/>
      <c r="U817" s="129" t="n"/>
      <c r="V817" s="129" t="n"/>
      <c r="W817" s="145" t="n"/>
      <c r="X817" s="145" t="n"/>
      <c r="Y817" s="145" t="n"/>
      <c r="Z817" s="145" t="n"/>
    </row>
    <row r="818" ht="45.75" customHeight="1" s="222">
      <c r="A818" s="145" t="n"/>
      <c r="B818" s="145" t="n"/>
      <c r="C818" s="145" t="n"/>
      <c r="D818" s="145" t="n"/>
      <c r="E818" s="145" t="n"/>
      <c r="F818" s="145" t="n"/>
      <c r="G818" s="145" t="n"/>
      <c r="H818" s="145" t="n"/>
      <c r="I818" s="145" t="n"/>
      <c r="J818" s="145" t="n"/>
      <c r="K818" s="145" t="n"/>
      <c r="L818" s="145" t="n"/>
      <c r="M818" s="145" t="n"/>
      <c r="N818" s="145" t="n"/>
      <c r="O818" s="140" t="n"/>
      <c r="P818" s="140" t="n"/>
      <c r="Q818" s="140" t="n"/>
      <c r="R818" s="140" t="n"/>
      <c r="S818" s="140" t="n"/>
      <c r="T818" s="141" t="n"/>
      <c r="U818" s="129" t="n"/>
      <c r="V818" s="129" t="n"/>
      <c r="W818" s="145" t="n"/>
      <c r="X818" s="145" t="n"/>
      <c r="Y818" s="145" t="n"/>
      <c r="Z818" s="145" t="n"/>
    </row>
    <row r="819" ht="45.75" customHeight="1" s="222">
      <c r="A819" s="145" t="n"/>
      <c r="B819" s="145" t="n"/>
      <c r="C819" s="145" t="n"/>
      <c r="D819" s="145" t="n"/>
      <c r="E819" s="145" t="n"/>
      <c r="F819" s="145" t="n"/>
      <c r="G819" s="145" t="n"/>
      <c r="H819" s="145" t="n"/>
      <c r="I819" s="145" t="n"/>
      <c r="J819" s="145" t="n"/>
      <c r="K819" s="145" t="n"/>
      <c r="L819" s="145" t="n"/>
      <c r="M819" s="145" t="n"/>
      <c r="N819" s="145" t="n"/>
      <c r="O819" s="140" t="n"/>
      <c r="P819" s="140" t="n"/>
      <c r="Q819" s="140" t="n"/>
      <c r="R819" s="140" t="n"/>
      <c r="S819" s="140" t="n"/>
      <c r="T819" s="141" t="n"/>
      <c r="U819" s="129" t="n"/>
      <c r="V819" s="129" t="n"/>
      <c r="W819" s="145" t="n"/>
      <c r="X819" s="145" t="n"/>
      <c r="Y819" s="145" t="n"/>
      <c r="Z819" s="145" t="n"/>
    </row>
    <row r="820" ht="45.75" customHeight="1" s="222">
      <c r="A820" s="145" t="n"/>
      <c r="B820" s="145" t="n"/>
      <c r="C820" s="145" t="n"/>
      <c r="D820" s="145" t="n"/>
      <c r="E820" s="145" t="n"/>
      <c r="F820" s="145" t="n"/>
      <c r="G820" s="145" t="n"/>
      <c r="H820" s="145" t="n"/>
      <c r="I820" s="145" t="n"/>
      <c r="J820" s="145" t="n"/>
      <c r="K820" s="145" t="n"/>
      <c r="L820" s="145" t="n"/>
      <c r="M820" s="145" t="n"/>
      <c r="N820" s="145" t="n"/>
      <c r="O820" s="140" t="n"/>
      <c r="P820" s="140" t="n"/>
      <c r="Q820" s="140" t="n"/>
      <c r="R820" s="140" t="n"/>
      <c r="S820" s="140" t="n"/>
      <c r="T820" s="141" t="n"/>
      <c r="U820" s="129" t="n"/>
      <c r="V820" s="129" t="n"/>
      <c r="W820" s="145" t="n"/>
      <c r="X820" s="145" t="n"/>
      <c r="Y820" s="145" t="n"/>
      <c r="Z820" s="145" t="n"/>
    </row>
    <row r="821" ht="45.75" customHeight="1" s="222">
      <c r="A821" s="145" t="n"/>
      <c r="B821" s="145" t="n"/>
      <c r="C821" s="145" t="n"/>
      <c r="D821" s="145" t="n"/>
      <c r="E821" s="145" t="n"/>
      <c r="F821" s="145" t="n"/>
      <c r="G821" s="145" t="n"/>
      <c r="H821" s="145" t="n"/>
      <c r="I821" s="145" t="n"/>
      <c r="J821" s="145" t="n"/>
      <c r="K821" s="145" t="n"/>
      <c r="L821" s="145" t="n"/>
      <c r="M821" s="145" t="n"/>
      <c r="N821" s="145" t="n"/>
      <c r="O821" s="140" t="n"/>
      <c r="P821" s="140" t="n"/>
      <c r="Q821" s="140" t="n"/>
      <c r="R821" s="140" t="n"/>
      <c r="S821" s="140" t="n"/>
      <c r="T821" s="141" t="n"/>
      <c r="U821" s="129" t="n"/>
      <c r="V821" s="129" t="n"/>
      <c r="W821" s="145" t="n"/>
      <c r="X821" s="145" t="n"/>
      <c r="Y821" s="145" t="n"/>
      <c r="Z821" s="145" t="n"/>
    </row>
    <row r="822" ht="45.75" customHeight="1" s="222">
      <c r="A822" s="145" t="n"/>
      <c r="B822" s="145" t="n"/>
      <c r="C822" s="145" t="n"/>
      <c r="D822" s="145" t="n"/>
      <c r="E822" s="145" t="n"/>
      <c r="F822" s="145" t="n"/>
      <c r="G822" s="145" t="n"/>
      <c r="H822" s="145" t="n"/>
      <c r="I822" s="145" t="n"/>
      <c r="J822" s="145" t="n"/>
      <c r="K822" s="145" t="n"/>
      <c r="L822" s="145" t="n"/>
      <c r="M822" s="145" t="n"/>
      <c r="N822" s="145" t="n"/>
      <c r="O822" s="140" t="n"/>
      <c r="P822" s="140" t="n"/>
      <c r="Q822" s="140" t="n"/>
      <c r="R822" s="140" t="n"/>
      <c r="S822" s="140" t="n"/>
      <c r="T822" s="141" t="n"/>
      <c r="U822" s="129" t="n"/>
      <c r="V822" s="129" t="n"/>
      <c r="W822" s="145" t="n"/>
      <c r="X822" s="145" t="n"/>
      <c r="Y822" s="145" t="n"/>
      <c r="Z822" s="145" t="n"/>
    </row>
    <row r="823" ht="45.75" customHeight="1" s="222">
      <c r="A823" s="145" t="n"/>
      <c r="B823" s="145" t="n"/>
      <c r="C823" s="145" t="n"/>
      <c r="D823" s="145" t="n"/>
      <c r="E823" s="145" t="n"/>
      <c r="F823" s="145" t="n"/>
      <c r="G823" s="145" t="n"/>
      <c r="H823" s="145" t="n"/>
      <c r="I823" s="145" t="n"/>
      <c r="J823" s="145" t="n"/>
      <c r="K823" s="145" t="n"/>
      <c r="L823" s="145" t="n"/>
      <c r="M823" s="145" t="n"/>
      <c r="N823" s="145" t="n"/>
      <c r="O823" s="140" t="n"/>
      <c r="P823" s="140" t="n"/>
      <c r="Q823" s="140" t="n"/>
      <c r="R823" s="140" t="n"/>
      <c r="S823" s="140" t="n"/>
      <c r="T823" s="141" t="n"/>
      <c r="U823" s="129" t="n"/>
      <c r="V823" s="129" t="n"/>
      <c r="W823" s="145" t="n"/>
      <c r="X823" s="145" t="n"/>
      <c r="Y823" s="145" t="n"/>
      <c r="Z823" s="145" t="n"/>
    </row>
    <row r="824" ht="45.75" customHeight="1" s="222">
      <c r="A824" s="145" t="n"/>
      <c r="B824" s="145" t="n"/>
      <c r="C824" s="145" t="n"/>
      <c r="D824" s="145" t="n"/>
      <c r="E824" s="145" t="n"/>
      <c r="F824" s="145" t="n"/>
      <c r="G824" s="145" t="n"/>
      <c r="H824" s="145" t="n"/>
      <c r="I824" s="145" t="n"/>
      <c r="J824" s="145" t="n"/>
      <c r="K824" s="145" t="n"/>
      <c r="L824" s="145" t="n"/>
      <c r="M824" s="145" t="n"/>
      <c r="N824" s="145" t="n"/>
      <c r="O824" s="140" t="n"/>
      <c r="P824" s="140" t="n"/>
      <c r="Q824" s="140" t="n"/>
      <c r="R824" s="140" t="n"/>
      <c r="S824" s="140" t="n"/>
      <c r="T824" s="141" t="n"/>
      <c r="U824" s="129" t="n"/>
      <c r="V824" s="129" t="n"/>
      <c r="W824" s="145" t="n"/>
      <c r="X824" s="145" t="n"/>
      <c r="Y824" s="145" t="n"/>
      <c r="Z824" s="145" t="n"/>
    </row>
    <row r="825" ht="45.75" customHeight="1" s="222">
      <c r="A825" s="145" t="n"/>
      <c r="B825" s="145" t="n"/>
      <c r="C825" s="145" t="n"/>
      <c r="D825" s="145" t="n"/>
      <c r="E825" s="145" t="n"/>
      <c r="F825" s="145" t="n"/>
      <c r="G825" s="145" t="n"/>
      <c r="H825" s="145" t="n"/>
      <c r="I825" s="145" t="n"/>
      <c r="J825" s="145" t="n"/>
      <c r="K825" s="145" t="n"/>
      <c r="L825" s="145" t="n"/>
      <c r="M825" s="145" t="n"/>
      <c r="N825" s="145" t="n"/>
      <c r="O825" s="140" t="n"/>
      <c r="P825" s="140" t="n"/>
      <c r="Q825" s="140" t="n"/>
      <c r="R825" s="140" t="n"/>
      <c r="S825" s="140" t="n"/>
      <c r="T825" s="141" t="n"/>
      <c r="U825" s="129" t="n"/>
      <c r="V825" s="129" t="n"/>
      <c r="W825" s="145" t="n"/>
      <c r="X825" s="145" t="n"/>
      <c r="Y825" s="145" t="n"/>
      <c r="Z825" s="145" t="n"/>
    </row>
    <row r="826" ht="45.75" customHeight="1" s="222">
      <c r="A826" s="145" t="n"/>
      <c r="B826" s="145" t="n"/>
      <c r="C826" s="145" t="n"/>
      <c r="D826" s="145" t="n"/>
      <c r="E826" s="145" t="n"/>
      <c r="F826" s="145" t="n"/>
      <c r="G826" s="145" t="n"/>
      <c r="H826" s="145" t="n"/>
      <c r="I826" s="145" t="n"/>
      <c r="J826" s="145" t="n"/>
      <c r="K826" s="145" t="n"/>
      <c r="L826" s="145" t="n"/>
      <c r="M826" s="145" t="n"/>
      <c r="N826" s="145" t="n"/>
      <c r="O826" s="140" t="n"/>
      <c r="P826" s="140" t="n"/>
      <c r="Q826" s="140" t="n"/>
      <c r="R826" s="140" t="n"/>
      <c r="S826" s="140" t="n"/>
      <c r="T826" s="141" t="n"/>
      <c r="U826" s="129" t="n"/>
      <c r="V826" s="129" t="n"/>
      <c r="W826" s="145" t="n"/>
      <c r="X826" s="145" t="n"/>
      <c r="Y826" s="145" t="n"/>
      <c r="Z826" s="145" t="n"/>
    </row>
    <row r="827" ht="45.75" customHeight="1" s="222">
      <c r="A827" s="145" t="n"/>
      <c r="B827" s="145" t="n"/>
      <c r="C827" s="145" t="n"/>
      <c r="D827" s="145" t="n"/>
      <c r="E827" s="145" t="n"/>
      <c r="F827" s="145" t="n"/>
      <c r="G827" s="145" t="n"/>
      <c r="H827" s="145" t="n"/>
      <c r="I827" s="145" t="n"/>
      <c r="J827" s="145" t="n"/>
      <c r="K827" s="145" t="n"/>
      <c r="L827" s="145" t="n"/>
      <c r="M827" s="145" t="n"/>
      <c r="N827" s="145" t="n"/>
      <c r="O827" s="140" t="n"/>
      <c r="P827" s="140" t="n"/>
      <c r="Q827" s="140" t="n"/>
      <c r="R827" s="140" t="n"/>
      <c r="S827" s="140" t="n"/>
      <c r="T827" s="141" t="n"/>
      <c r="U827" s="129" t="n"/>
      <c r="V827" s="129" t="n"/>
      <c r="W827" s="145" t="n"/>
      <c r="X827" s="145" t="n"/>
      <c r="Y827" s="145" t="n"/>
      <c r="Z827" s="145" t="n"/>
    </row>
    <row r="828" ht="45.75" customHeight="1" s="222">
      <c r="A828" s="145" t="n"/>
      <c r="B828" s="145" t="n"/>
      <c r="C828" s="145" t="n"/>
      <c r="D828" s="145" t="n"/>
      <c r="E828" s="145" t="n"/>
      <c r="F828" s="145" t="n"/>
      <c r="G828" s="145" t="n"/>
      <c r="H828" s="145" t="n"/>
      <c r="I828" s="145" t="n"/>
      <c r="J828" s="145" t="n"/>
      <c r="K828" s="145" t="n"/>
      <c r="L828" s="145" t="n"/>
      <c r="M828" s="145" t="n"/>
      <c r="N828" s="145" t="n"/>
      <c r="O828" s="140" t="n"/>
      <c r="P828" s="140" t="n"/>
      <c r="Q828" s="140" t="n"/>
      <c r="R828" s="140" t="n"/>
      <c r="S828" s="140" t="n"/>
      <c r="T828" s="141" t="n"/>
      <c r="U828" s="129" t="n"/>
      <c r="V828" s="129" t="n"/>
      <c r="W828" s="145" t="n"/>
      <c r="X828" s="145" t="n"/>
      <c r="Y828" s="145" t="n"/>
      <c r="Z828" s="145" t="n"/>
    </row>
    <row r="829" ht="45.75" customHeight="1" s="222">
      <c r="A829" s="145" t="n"/>
      <c r="B829" s="145" t="n"/>
      <c r="C829" s="145" t="n"/>
      <c r="D829" s="145" t="n"/>
      <c r="E829" s="145" t="n"/>
      <c r="F829" s="145" t="n"/>
      <c r="G829" s="145" t="n"/>
      <c r="H829" s="145" t="n"/>
      <c r="I829" s="145" t="n"/>
      <c r="J829" s="145" t="n"/>
      <c r="K829" s="145" t="n"/>
      <c r="L829" s="145" t="n"/>
      <c r="M829" s="145" t="n"/>
      <c r="N829" s="145" t="n"/>
      <c r="O829" s="140" t="n"/>
      <c r="P829" s="140" t="n"/>
      <c r="Q829" s="140" t="n"/>
      <c r="R829" s="140" t="n"/>
      <c r="S829" s="140" t="n"/>
      <c r="T829" s="141" t="n"/>
      <c r="U829" s="129" t="n"/>
      <c r="V829" s="129" t="n"/>
      <c r="W829" s="145" t="n"/>
      <c r="X829" s="145" t="n"/>
      <c r="Y829" s="145" t="n"/>
      <c r="Z829" s="145" t="n"/>
    </row>
    <row r="830" ht="45.75" customHeight="1" s="222">
      <c r="A830" s="145" t="n"/>
      <c r="B830" s="145" t="n"/>
      <c r="C830" s="145" t="n"/>
      <c r="D830" s="145" t="n"/>
      <c r="E830" s="145" t="n"/>
      <c r="F830" s="145" t="n"/>
      <c r="G830" s="145" t="n"/>
      <c r="H830" s="145" t="n"/>
      <c r="I830" s="145" t="n"/>
      <c r="J830" s="145" t="n"/>
      <c r="K830" s="145" t="n"/>
      <c r="L830" s="145" t="n"/>
      <c r="M830" s="145" t="n"/>
      <c r="N830" s="145" t="n"/>
      <c r="O830" s="140" t="n"/>
      <c r="P830" s="140" t="n"/>
      <c r="Q830" s="140" t="n"/>
      <c r="R830" s="140" t="n"/>
      <c r="S830" s="140" t="n"/>
      <c r="T830" s="141" t="n"/>
      <c r="U830" s="129" t="n"/>
      <c r="V830" s="129" t="n"/>
      <c r="W830" s="145" t="n"/>
      <c r="X830" s="145" t="n"/>
      <c r="Y830" s="145" t="n"/>
      <c r="Z830" s="145" t="n"/>
    </row>
    <row r="831" ht="45.75" customHeight="1" s="222">
      <c r="A831" s="145" t="n"/>
      <c r="B831" s="145" t="n"/>
      <c r="C831" s="145" t="n"/>
      <c r="D831" s="145" t="n"/>
      <c r="E831" s="145" t="n"/>
      <c r="F831" s="145" t="n"/>
      <c r="G831" s="145" t="n"/>
      <c r="H831" s="145" t="n"/>
      <c r="I831" s="145" t="n"/>
      <c r="J831" s="145" t="n"/>
      <c r="K831" s="145" t="n"/>
      <c r="L831" s="145" t="n"/>
      <c r="M831" s="145" t="n"/>
      <c r="N831" s="145" t="n"/>
      <c r="O831" s="140" t="n"/>
      <c r="P831" s="140" t="n"/>
      <c r="Q831" s="140" t="n"/>
      <c r="R831" s="140" t="n"/>
      <c r="S831" s="140" t="n"/>
      <c r="T831" s="141" t="n"/>
      <c r="U831" s="129" t="n"/>
      <c r="V831" s="129" t="n"/>
      <c r="W831" s="145" t="n"/>
      <c r="X831" s="145" t="n"/>
      <c r="Y831" s="145" t="n"/>
      <c r="Z831" s="145" t="n"/>
    </row>
    <row r="832" ht="45.75" customHeight="1" s="222">
      <c r="A832" s="145" t="n"/>
      <c r="B832" s="145" t="n"/>
      <c r="C832" s="145" t="n"/>
      <c r="D832" s="145" t="n"/>
      <c r="E832" s="145" t="n"/>
      <c r="F832" s="145" t="n"/>
      <c r="G832" s="145" t="n"/>
      <c r="H832" s="145" t="n"/>
      <c r="I832" s="145" t="n"/>
      <c r="J832" s="145" t="n"/>
      <c r="K832" s="145" t="n"/>
      <c r="L832" s="145" t="n"/>
      <c r="M832" s="145" t="n"/>
      <c r="N832" s="145" t="n"/>
      <c r="O832" s="140" t="n"/>
      <c r="P832" s="140" t="n"/>
      <c r="Q832" s="140" t="n"/>
      <c r="R832" s="140" t="n"/>
      <c r="S832" s="140" t="n"/>
      <c r="T832" s="141" t="n"/>
      <c r="U832" s="129" t="n"/>
      <c r="V832" s="129" t="n"/>
      <c r="W832" s="145" t="n"/>
      <c r="X832" s="145" t="n"/>
      <c r="Y832" s="145" t="n"/>
      <c r="Z832" s="145" t="n"/>
    </row>
    <row r="833" ht="45.75" customHeight="1" s="222">
      <c r="A833" s="145" t="n"/>
      <c r="B833" s="145" t="n"/>
      <c r="C833" s="145" t="n"/>
      <c r="D833" s="145" t="n"/>
      <c r="E833" s="145" t="n"/>
      <c r="F833" s="145" t="n"/>
      <c r="G833" s="145" t="n"/>
      <c r="H833" s="145" t="n"/>
      <c r="I833" s="145" t="n"/>
      <c r="J833" s="145" t="n"/>
      <c r="K833" s="145" t="n"/>
      <c r="L833" s="145" t="n"/>
      <c r="M833" s="145" t="n"/>
      <c r="N833" s="145" t="n"/>
      <c r="O833" s="140" t="n"/>
      <c r="P833" s="140" t="n"/>
      <c r="Q833" s="140" t="n"/>
      <c r="R833" s="140" t="n"/>
      <c r="S833" s="140" t="n"/>
      <c r="T833" s="141" t="n"/>
      <c r="U833" s="129" t="n"/>
      <c r="V833" s="129" t="n"/>
      <c r="W833" s="145" t="n"/>
      <c r="X833" s="145" t="n"/>
      <c r="Y833" s="145" t="n"/>
      <c r="Z833" s="145" t="n"/>
    </row>
    <row r="834" ht="45.75" customHeight="1" s="222">
      <c r="A834" s="145" t="n"/>
      <c r="B834" s="145" t="n"/>
      <c r="C834" s="145" t="n"/>
      <c r="D834" s="145" t="n"/>
      <c r="E834" s="145" t="n"/>
      <c r="F834" s="145" t="n"/>
      <c r="G834" s="145" t="n"/>
      <c r="H834" s="145" t="n"/>
      <c r="I834" s="145" t="n"/>
      <c r="J834" s="145" t="n"/>
      <c r="K834" s="145" t="n"/>
      <c r="L834" s="145" t="n"/>
      <c r="M834" s="145" t="n"/>
      <c r="N834" s="145" t="n"/>
      <c r="O834" s="140" t="n"/>
      <c r="P834" s="140" t="n"/>
      <c r="Q834" s="140" t="n"/>
      <c r="R834" s="140" t="n"/>
      <c r="S834" s="140" t="n"/>
      <c r="T834" s="141" t="n"/>
      <c r="U834" s="129" t="n"/>
      <c r="V834" s="129" t="n"/>
      <c r="W834" s="145" t="n"/>
      <c r="X834" s="145" t="n"/>
      <c r="Y834" s="145" t="n"/>
      <c r="Z834" s="145" t="n"/>
    </row>
    <row r="835" ht="45.75" customHeight="1" s="222">
      <c r="A835" s="145" t="n"/>
      <c r="B835" s="145" t="n"/>
      <c r="C835" s="145" t="n"/>
      <c r="D835" s="145" t="n"/>
      <c r="E835" s="145" t="n"/>
      <c r="F835" s="145" t="n"/>
      <c r="G835" s="145" t="n"/>
      <c r="H835" s="145" t="n"/>
      <c r="I835" s="145" t="n"/>
      <c r="J835" s="145" t="n"/>
      <c r="K835" s="145" t="n"/>
      <c r="L835" s="145" t="n"/>
      <c r="M835" s="145" t="n"/>
      <c r="N835" s="145" t="n"/>
      <c r="O835" s="140" t="n"/>
      <c r="P835" s="140" t="n"/>
      <c r="Q835" s="140" t="n"/>
      <c r="R835" s="140" t="n"/>
      <c r="S835" s="140" t="n"/>
      <c r="T835" s="141" t="n"/>
      <c r="U835" s="129" t="n"/>
      <c r="V835" s="129" t="n"/>
      <c r="W835" s="145" t="n"/>
      <c r="X835" s="145" t="n"/>
      <c r="Y835" s="145" t="n"/>
      <c r="Z835" s="145" t="n"/>
    </row>
    <row r="836" ht="45.75" customHeight="1" s="222">
      <c r="A836" s="145" t="n"/>
      <c r="B836" s="145" t="n"/>
      <c r="C836" s="145" t="n"/>
      <c r="D836" s="145" t="n"/>
      <c r="E836" s="145" t="n"/>
      <c r="F836" s="145" t="n"/>
      <c r="G836" s="145" t="n"/>
      <c r="H836" s="145" t="n"/>
      <c r="I836" s="145" t="n"/>
      <c r="J836" s="145" t="n"/>
      <c r="K836" s="145" t="n"/>
      <c r="L836" s="145" t="n"/>
      <c r="M836" s="145" t="n"/>
      <c r="N836" s="145" t="n"/>
      <c r="O836" s="140" t="n"/>
      <c r="P836" s="140" t="n"/>
      <c r="Q836" s="140" t="n"/>
      <c r="R836" s="140" t="n"/>
      <c r="S836" s="140" t="n"/>
      <c r="T836" s="141" t="n"/>
      <c r="U836" s="129" t="n"/>
      <c r="V836" s="129" t="n"/>
      <c r="W836" s="145" t="n"/>
      <c r="X836" s="145" t="n"/>
      <c r="Y836" s="145" t="n"/>
      <c r="Z836" s="145" t="n"/>
    </row>
    <row r="837" ht="45.75" customHeight="1" s="222">
      <c r="A837" s="145" t="n"/>
      <c r="B837" s="145" t="n"/>
      <c r="C837" s="145" t="n"/>
      <c r="D837" s="145" t="n"/>
      <c r="E837" s="145" t="n"/>
      <c r="F837" s="145" t="n"/>
      <c r="G837" s="145" t="n"/>
      <c r="H837" s="145" t="n"/>
      <c r="I837" s="145" t="n"/>
      <c r="J837" s="145" t="n"/>
      <c r="K837" s="145" t="n"/>
      <c r="L837" s="145" t="n"/>
      <c r="M837" s="145" t="n"/>
      <c r="N837" s="145" t="n"/>
      <c r="O837" s="140" t="n"/>
      <c r="P837" s="140" t="n"/>
      <c r="Q837" s="140" t="n"/>
      <c r="R837" s="140" t="n"/>
      <c r="S837" s="140" t="n"/>
      <c r="T837" s="141" t="n"/>
      <c r="U837" s="129" t="n"/>
      <c r="V837" s="129" t="n"/>
      <c r="W837" s="145" t="n"/>
      <c r="X837" s="145" t="n"/>
      <c r="Y837" s="145" t="n"/>
      <c r="Z837" s="145" t="n"/>
    </row>
    <row r="838" ht="45.75" customHeight="1" s="222">
      <c r="A838" s="145" t="n"/>
      <c r="B838" s="145" t="n"/>
      <c r="C838" s="145" t="n"/>
      <c r="D838" s="145" t="n"/>
      <c r="E838" s="145" t="n"/>
      <c r="F838" s="145" t="n"/>
      <c r="G838" s="145" t="n"/>
      <c r="H838" s="145" t="n"/>
      <c r="I838" s="145" t="n"/>
      <c r="J838" s="145" t="n"/>
      <c r="K838" s="145" t="n"/>
      <c r="L838" s="145" t="n"/>
      <c r="M838" s="145" t="n"/>
      <c r="N838" s="145" t="n"/>
      <c r="O838" s="140" t="n"/>
      <c r="P838" s="140" t="n"/>
      <c r="Q838" s="140" t="n"/>
      <c r="R838" s="140" t="n"/>
      <c r="S838" s="140" t="n"/>
      <c r="T838" s="141" t="n"/>
      <c r="U838" s="129" t="n"/>
      <c r="V838" s="129" t="n"/>
      <c r="W838" s="145" t="n"/>
      <c r="X838" s="145" t="n"/>
      <c r="Y838" s="145" t="n"/>
      <c r="Z838" s="145" t="n"/>
    </row>
    <row r="839" ht="45.75" customHeight="1" s="222">
      <c r="A839" s="145" t="n"/>
      <c r="B839" s="145" t="n"/>
      <c r="C839" s="145" t="n"/>
      <c r="D839" s="145" t="n"/>
      <c r="E839" s="145" t="n"/>
      <c r="F839" s="145" t="n"/>
      <c r="G839" s="145" t="n"/>
      <c r="H839" s="145" t="n"/>
      <c r="I839" s="145" t="n"/>
      <c r="J839" s="145" t="n"/>
      <c r="K839" s="145" t="n"/>
      <c r="L839" s="145" t="n"/>
      <c r="M839" s="145" t="n"/>
      <c r="N839" s="145" t="n"/>
      <c r="O839" s="140" t="n"/>
      <c r="P839" s="140" t="n"/>
      <c r="Q839" s="140" t="n"/>
      <c r="R839" s="140" t="n"/>
      <c r="S839" s="140" t="n"/>
      <c r="T839" s="141" t="n"/>
      <c r="U839" s="129" t="n"/>
      <c r="V839" s="129" t="n"/>
      <c r="W839" s="145" t="n"/>
      <c r="X839" s="145" t="n"/>
      <c r="Y839" s="145" t="n"/>
      <c r="Z839" s="145" t="n"/>
    </row>
    <row r="840" ht="45.75" customHeight="1" s="222">
      <c r="A840" s="145" t="n"/>
      <c r="B840" s="145" t="n"/>
      <c r="C840" s="145" t="n"/>
      <c r="D840" s="145" t="n"/>
      <c r="E840" s="145" t="n"/>
      <c r="F840" s="145" t="n"/>
      <c r="G840" s="145" t="n"/>
      <c r="H840" s="145" t="n"/>
      <c r="I840" s="145" t="n"/>
      <c r="J840" s="145" t="n"/>
      <c r="K840" s="145" t="n"/>
      <c r="L840" s="145" t="n"/>
      <c r="M840" s="145" t="n"/>
      <c r="N840" s="145" t="n"/>
      <c r="O840" s="140" t="n"/>
      <c r="P840" s="140" t="n"/>
      <c r="Q840" s="140" t="n"/>
      <c r="R840" s="140" t="n"/>
      <c r="S840" s="140" t="n"/>
      <c r="T840" s="141" t="n"/>
      <c r="U840" s="129" t="n"/>
      <c r="V840" s="129" t="n"/>
      <c r="W840" s="145" t="n"/>
      <c r="X840" s="145" t="n"/>
      <c r="Y840" s="145" t="n"/>
      <c r="Z840" s="145" t="n"/>
    </row>
    <row r="841" ht="45.75" customHeight="1" s="222">
      <c r="A841" s="145" t="n"/>
      <c r="B841" s="145" t="n"/>
      <c r="C841" s="145" t="n"/>
      <c r="D841" s="145" t="n"/>
      <c r="E841" s="145" t="n"/>
      <c r="F841" s="145" t="n"/>
      <c r="G841" s="145" t="n"/>
      <c r="H841" s="145" t="n"/>
      <c r="I841" s="145" t="n"/>
      <c r="J841" s="145" t="n"/>
      <c r="K841" s="145" t="n"/>
      <c r="L841" s="145" t="n"/>
      <c r="M841" s="145" t="n"/>
      <c r="N841" s="145" t="n"/>
      <c r="O841" s="140" t="n"/>
      <c r="P841" s="140" t="n"/>
      <c r="Q841" s="140" t="n"/>
      <c r="R841" s="140" t="n"/>
      <c r="S841" s="140" t="n"/>
      <c r="T841" s="141" t="n"/>
      <c r="U841" s="129" t="n"/>
      <c r="V841" s="129" t="n"/>
      <c r="W841" s="145" t="n"/>
      <c r="X841" s="145" t="n"/>
      <c r="Y841" s="145" t="n"/>
      <c r="Z841" s="145" t="n"/>
    </row>
    <row r="842" ht="45.75" customHeight="1" s="222">
      <c r="A842" s="145" t="n"/>
      <c r="B842" s="145" t="n"/>
      <c r="C842" s="145" t="n"/>
      <c r="D842" s="145" t="n"/>
      <c r="E842" s="145" t="n"/>
      <c r="F842" s="145" t="n"/>
      <c r="G842" s="145" t="n"/>
      <c r="H842" s="145" t="n"/>
      <c r="I842" s="145" t="n"/>
      <c r="J842" s="145" t="n"/>
      <c r="K842" s="145" t="n"/>
      <c r="L842" s="145" t="n"/>
      <c r="M842" s="145" t="n"/>
      <c r="N842" s="145" t="n"/>
      <c r="O842" s="140" t="n"/>
      <c r="P842" s="140" t="n"/>
      <c r="Q842" s="140" t="n"/>
      <c r="R842" s="140" t="n"/>
      <c r="S842" s="140" t="n"/>
      <c r="T842" s="141" t="n"/>
      <c r="U842" s="129" t="n"/>
      <c r="V842" s="129" t="n"/>
      <c r="W842" s="145" t="n"/>
      <c r="X842" s="145" t="n"/>
      <c r="Y842" s="145" t="n"/>
      <c r="Z842" s="145" t="n"/>
    </row>
    <row r="843" ht="45.75" customHeight="1" s="222">
      <c r="A843" s="145" t="n"/>
      <c r="B843" s="145" t="n"/>
      <c r="C843" s="145" t="n"/>
      <c r="D843" s="145" t="n"/>
      <c r="E843" s="145" t="n"/>
      <c r="F843" s="145" t="n"/>
      <c r="G843" s="145" t="n"/>
      <c r="H843" s="145" t="n"/>
      <c r="I843" s="145" t="n"/>
      <c r="J843" s="145" t="n"/>
      <c r="K843" s="145" t="n"/>
      <c r="L843" s="145" t="n"/>
      <c r="M843" s="145" t="n"/>
      <c r="N843" s="145" t="n"/>
      <c r="O843" s="140" t="n"/>
      <c r="P843" s="140" t="n"/>
      <c r="Q843" s="140" t="n"/>
      <c r="R843" s="140" t="n"/>
      <c r="S843" s="140" t="n"/>
      <c r="T843" s="141" t="n"/>
      <c r="U843" s="129" t="n"/>
      <c r="V843" s="129" t="n"/>
      <c r="W843" s="145" t="n"/>
      <c r="X843" s="145" t="n"/>
      <c r="Y843" s="145" t="n"/>
      <c r="Z843" s="145" t="n"/>
    </row>
    <row r="844" ht="45.75" customHeight="1" s="222">
      <c r="A844" s="145" t="n"/>
      <c r="B844" s="145" t="n"/>
      <c r="C844" s="145" t="n"/>
      <c r="D844" s="145" t="n"/>
      <c r="E844" s="145" t="n"/>
      <c r="F844" s="145" t="n"/>
      <c r="G844" s="145" t="n"/>
      <c r="H844" s="145" t="n"/>
      <c r="I844" s="145" t="n"/>
      <c r="J844" s="145" t="n"/>
      <c r="K844" s="145" t="n"/>
      <c r="L844" s="145" t="n"/>
      <c r="M844" s="145" t="n"/>
      <c r="N844" s="145" t="n"/>
      <c r="O844" s="140" t="n"/>
      <c r="P844" s="140" t="n"/>
      <c r="Q844" s="140" t="n"/>
      <c r="R844" s="140" t="n"/>
      <c r="S844" s="140" t="n"/>
      <c r="T844" s="141" t="n"/>
      <c r="U844" s="129" t="n"/>
      <c r="V844" s="129" t="n"/>
      <c r="W844" s="145" t="n"/>
      <c r="X844" s="145" t="n"/>
      <c r="Y844" s="145" t="n"/>
      <c r="Z844" s="145" t="n"/>
    </row>
    <row r="845" ht="45.75" customHeight="1" s="222">
      <c r="A845" s="145" t="n"/>
      <c r="B845" s="145" t="n"/>
      <c r="C845" s="145" t="n"/>
      <c r="D845" s="145" t="n"/>
      <c r="E845" s="145" t="n"/>
      <c r="F845" s="145" t="n"/>
      <c r="G845" s="145" t="n"/>
      <c r="H845" s="145" t="n"/>
      <c r="I845" s="145" t="n"/>
      <c r="J845" s="145" t="n"/>
      <c r="K845" s="145" t="n"/>
      <c r="L845" s="145" t="n"/>
      <c r="M845" s="145" t="n"/>
      <c r="N845" s="145" t="n"/>
      <c r="O845" s="140" t="n"/>
      <c r="P845" s="140" t="n"/>
      <c r="Q845" s="140" t="n"/>
      <c r="R845" s="140" t="n"/>
      <c r="S845" s="140" t="n"/>
      <c r="T845" s="141" t="n"/>
      <c r="U845" s="129" t="n"/>
      <c r="V845" s="129" t="n"/>
      <c r="W845" s="145" t="n"/>
      <c r="X845" s="145" t="n"/>
      <c r="Y845" s="145" t="n"/>
      <c r="Z845" s="145" t="n"/>
    </row>
    <row r="846" ht="45.75" customHeight="1" s="222">
      <c r="A846" s="145" t="n"/>
      <c r="B846" s="145" t="n"/>
      <c r="C846" s="145" t="n"/>
      <c r="D846" s="145" t="n"/>
      <c r="E846" s="145" t="n"/>
      <c r="F846" s="145" t="n"/>
      <c r="G846" s="145" t="n"/>
      <c r="H846" s="145" t="n"/>
      <c r="I846" s="145" t="n"/>
      <c r="J846" s="145" t="n"/>
      <c r="K846" s="145" t="n"/>
      <c r="L846" s="145" t="n"/>
      <c r="M846" s="145" t="n"/>
      <c r="N846" s="145" t="n"/>
      <c r="O846" s="140" t="n"/>
      <c r="P846" s="140" t="n"/>
      <c r="Q846" s="140" t="n"/>
      <c r="R846" s="140" t="n"/>
      <c r="S846" s="140" t="n"/>
      <c r="T846" s="141" t="n"/>
      <c r="U846" s="129" t="n"/>
      <c r="V846" s="129" t="n"/>
      <c r="W846" s="145" t="n"/>
      <c r="X846" s="145" t="n"/>
      <c r="Y846" s="145" t="n"/>
      <c r="Z846" s="145" t="n"/>
    </row>
    <row r="847" ht="45.75" customHeight="1" s="222">
      <c r="A847" s="145" t="n"/>
      <c r="B847" s="145" t="n"/>
      <c r="C847" s="145" t="n"/>
      <c r="D847" s="145" t="n"/>
      <c r="E847" s="145" t="n"/>
      <c r="F847" s="145" t="n"/>
      <c r="G847" s="145" t="n"/>
      <c r="H847" s="145" t="n"/>
      <c r="I847" s="145" t="n"/>
      <c r="J847" s="145" t="n"/>
      <c r="K847" s="145" t="n"/>
      <c r="L847" s="145" t="n"/>
      <c r="M847" s="145" t="n"/>
      <c r="N847" s="145" t="n"/>
      <c r="O847" s="140" t="n"/>
      <c r="P847" s="140" t="n"/>
      <c r="Q847" s="140" t="n"/>
      <c r="R847" s="140" t="n"/>
      <c r="S847" s="140" t="n"/>
      <c r="T847" s="141" t="n"/>
      <c r="U847" s="129" t="n"/>
      <c r="V847" s="129" t="n"/>
      <c r="W847" s="145" t="n"/>
      <c r="X847" s="145" t="n"/>
      <c r="Y847" s="145" t="n"/>
      <c r="Z847" s="145" t="n"/>
    </row>
    <row r="848" ht="45.75" customHeight="1" s="222">
      <c r="A848" s="145" t="n"/>
      <c r="B848" s="145" t="n"/>
      <c r="C848" s="145" t="n"/>
      <c r="D848" s="145" t="n"/>
      <c r="E848" s="145" t="n"/>
      <c r="F848" s="145" t="n"/>
      <c r="G848" s="145" t="n"/>
      <c r="H848" s="145" t="n"/>
      <c r="I848" s="145" t="n"/>
      <c r="J848" s="145" t="n"/>
      <c r="K848" s="145" t="n"/>
      <c r="L848" s="145" t="n"/>
      <c r="M848" s="145" t="n"/>
      <c r="N848" s="145" t="n"/>
      <c r="O848" s="140" t="n"/>
      <c r="P848" s="140" t="n"/>
      <c r="Q848" s="140" t="n"/>
      <c r="R848" s="140" t="n"/>
      <c r="S848" s="140" t="n"/>
      <c r="T848" s="141" t="n"/>
      <c r="U848" s="129" t="n"/>
      <c r="V848" s="129" t="n"/>
      <c r="W848" s="145" t="n"/>
      <c r="X848" s="145" t="n"/>
      <c r="Y848" s="145" t="n"/>
      <c r="Z848" s="145" t="n"/>
    </row>
    <row r="849" ht="45.75" customHeight="1" s="222">
      <c r="A849" s="145" t="n"/>
      <c r="B849" s="145" t="n"/>
      <c r="C849" s="145" t="n"/>
      <c r="D849" s="145" t="n"/>
      <c r="E849" s="145" t="n"/>
      <c r="F849" s="145" t="n"/>
      <c r="G849" s="145" t="n"/>
      <c r="H849" s="145" t="n"/>
      <c r="I849" s="145" t="n"/>
      <c r="J849" s="145" t="n"/>
      <c r="K849" s="145" t="n"/>
      <c r="L849" s="145" t="n"/>
      <c r="M849" s="145" t="n"/>
      <c r="N849" s="145" t="n"/>
      <c r="O849" s="140" t="n"/>
      <c r="P849" s="140" t="n"/>
      <c r="Q849" s="140" t="n"/>
      <c r="R849" s="140" t="n"/>
      <c r="S849" s="140" t="n"/>
      <c r="T849" s="141" t="n"/>
      <c r="U849" s="129" t="n"/>
      <c r="V849" s="129" t="n"/>
      <c r="W849" s="145" t="n"/>
      <c r="X849" s="145" t="n"/>
      <c r="Y849" s="145" t="n"/>
      <c r="Z849" s="145" t="n"/>
    </row>
    <row r="850" ht="45.75" customHeight="1" s="222">
      <c r="A850" s="145" t="n"/>
      <c r="B850" s="145" t="n"/>
      <c r="C850" s="145" t="n"/>
      <c r="D850" s="145" t="n"/>
      <c r="E850" s="145" t="n"/>
      <c r="F850" s="145" t="n"/>
      <c r="G850" s="145" t="n"/>
      <c r="H850" s="145" t="n"/>
      <c r="I850" s="145" t="n"/>
      <c r="J850" s="145" t="n"/>
      <c r="K850" s="145" t="n"/>
      <c r="L850" s="145" t="n"/>
      <c r="M850" s="145" t="n"/>
      <c r="N850" s="145" t="n"/>
      <c r="O850" s="140" t="n"/>
      <c r="P850" s="140" t="n"/>
      <c r="Q850" s="140" t="n"/>
      <c r="R850" s="140" t="n"/>
      <c r="S850" s="140" t="n"/>
      <c r="T850" s="141" t="n"/>
      <c r="U850" s="129" t="n"/>
      <c r="V850" s="129" t="n"/>
      <c r="W850" s="145" t="n"/>
      <c r="X850" s="145" t="n"/>
      <c r="Y850" s="145" t="n"/>
      <c r="Z850" s="145" t="n"/>
    </row>
    <row r="851" ht="45.75" customHeight="1" s="222">
      <c r="A851" s="145" t="n"/>
      <c r="B851" s="145" t="n"/>
      <c r="C851" s="145" t="n"/>
      <c r="D851" s="145" t="n"/>
      <c r="E851" s="145" t="n"/>
      <c r="F851" s="145" t="n"/>
      <c r="G851" s="145" t="n"/>
      <c r="H851" s="145" t="n"/>
      <c r="I851" s="145" t="n"/>
      <c r="J851" s="145" t="n"/>
      <c r="K851" s="145" t="n"/>
      <c r="L851" s="145" t="n"/>
      <c r="M851" s="145" t="n"/>
      <c r="N851" s="145" t="n"/>
      <c r="O851" s="140" t="n"/>
      <c r="P851" s="140" t="n"/>
      <c r="Q851" s="140" t="n"/>
      <c r="R851" s="140" t="n"/>
      <c r="S851" s="140" t="n"/>
      <c r="T851" s="141" t="n"/>
      <c r="U851" s="129" t="n"/>
      <c r="V851" s="129" t="n"/>
      <c r="W851" s="145" t="n"/>
      <c r="X851" s="145" t="n"/>
      <c r="Y851" s="145" t="n"/>
      <c r="Z851" s="145" t="n"/>
    </row>
    <row r="852" ht="45.75" customHeight="1" s="222">
      <c r="A852" s="145" t="n"/>
      <c r="B852" s="145" t="n"/>
      <c r="C852" s="145" t="n"/>
      <c r="D852" s="145" t="n"/>
      <c r="E852" s="145" t="n"/>
      <c r="F852" s="145" t="n"/>
      <c r="G852" s="145" t="n"/>
      <c r="H852" s="145" t="n"/>
      <c r="I852" s="145" t="n"/>
      <c r="J852" s="145" t="n"/>
      <c r="K852" s="145" t="n"/>
      <c r="L852" s="145" t="n"/>
      <c r="M852" s="145" t="n"/>
      <c r="N852" s="145" t="n"/>
      <c r="O852" s="140" t="n"/>
      <c r="P852" s="140" t="n"/>
      <c r="Q852" s="140" t="n"/>
      <c r="R852" s="140" t="n"/>
      <c r="S852" s="140" t="n"/>
      <c r="T852" s="141" t="n"/>
      <c r="U852" s="129" t="n"/>
      <c r="V852" s="129" t="n"/>
      <c r="W852" s="145" t="n"/>
      <c r="X852" s="145" t="n"/>
      <c r="Y852" s="145" t="n"/>
      <c r="Z852" s="145" t="n"/>
    </row>
    <row r="853" ht="45.75" customHeight="1" s="222">
      <c r="A853" s="145" t="n"/>
      <c r="B853" s="145" t="n"/>
      <c r="C853" s="145" t="n"/>
      <c r="D853" s="145" t="n"/>
      <c r="E853" s="145" t="n"/>
      <c r="F853" s="145" t="n"/>
      <c r="G853" s="145" t="n"/>
      <c r="H853" s="145" t="n"/>
      <c r="I853" s="145" t="n"/>
      <c r="J853" s="145" t="n"/>
      <c r="K853" s="145" t="n"/>
      <c r="L853" s="145" t="n"/>
      <c r="M853" s="145" t="n"/>
      <c r="N853" s="145" t="n"/>
      <c r="O853" s="140" t="n"/>
      <c r="P853" s="140" t="n"/>
      <c r="Q853" s="140" t="n"/>
      <c r="R853" s="140" t="n"/>
      <c r="S853" s="140" t="n"/>
      <c r="T853" s="141" t="n"/>
      <c r="U853" s="129" t="n"/>
      <c r="V853" s="129" t="n"/>
      <c r="W853" s="145" t="n"/>
      <c r="X853" s="145" t="n"/>
      <c r="Y853" s="145" t="n"/>
      <c r="Z853" s="145" t="n"/>
    </row>
    <row r="854" ht="45.75" customHeight="1" s="222">
      <c r="A854" s="145" t="n"/>
      <c r="B854" s="145" t="n"/>
      <c r="C854" s="145" t="n"/>
      <c r="D854" s="145" t="n"/>
      <c r="E854" s="145" t="n"/>
      <c r="F854" s="145" t="n"/>
      <c r="G854" s="145" t="n"/>
      <c r="H854" s="145" t="n"/>
      <c r="I854" s="145" t="n"/>
      <c r="J854" s="145" t="n"/>
      <c r="K854" s="145" t="n"/>
      <c r="L854" s="145" t="n"/>
      <c r="M854" s="145" t="n"/>
      <c r="N854" s="145" t="n"/>
      <c r="O854" s="140" t="n"/>
      <c r="P854" s="140" t="n"/>
      <c r="Q854" s="140" t="n"/>
      <c r="R854" s="140" t="n"/>
      <c r="S854" s="140" t="n"/>
      <c r="T854" s="141" t="n"/>
      <c r="U854" s="129" t="n"/>
      <c r="V854" s="129" t="n"/>
      <c r="W854" s="145" t="n"/>
      <c r="X854" s="145" t="n"/>
      <c r="Y854" s="145" t="n"/>
      <c r="Z854" s="145" t="n"/>
    </row>
    <row r="855" ht="45.75" customHeight="1" s="222">
      <c r="A855" s="145" t="n"/>
      <c r="B855" s="145" t="n"/>
      <c r="C855" s="145" t="n"/>
      <c r="D855" s="145" t="n"/>
      <c r="E855" s="145" t="n"/>
      <c r="F855" s="145" t="n"/>
      <c r="G855" s="145" t="n"/>
      <c r="H855" s="145" t="n"/>
      <c r="I855" s="145" t="n"/>
      <c r="J855" s="145" t="n"/>
      <c r="K855" s="145" t="n"/>
      <c r="L855" s="145" t="n"/>
      <c r="M855" s="145" t="n"/>
      <c r="N855" s="145" t="n"/>
      <c r="O855" s="140" t="n"/>
      <c r="P855" s="140" t="n"/>
      <c r="Q855" s="140" t="n"/>
      <c r="R855" s="140" t="n"/>
      <c r="S855" s="140" t="n"/>
      <c r="T855" s="141" t="n"/>
      <c r="U855" s="129" t="n"/>
      <c r="V855" s="129" t="n"/>
      <c r="W855" s="145" t="n"/>
      <c r="X855" s="145" t="n"/>
      <c r="Y855" s="145" t="n"/>
      <c r="Z855" s="145" t="n"/>
    </row>
    <row r="856" ht="45.75" customHeight="1" s="222">
      <c r="A856" s="145" t="n"/>
      <c r="B856" s="145" t="n"/>
      <c r="C856" s="145" t="n"/>
      <c r="D856" s="145" t="n"/>
      <c r="E856" s="145" t="n"/>
      <c r="F856" s="145" t="n"/>
      <c r="G856" s="145" t="n"/>
      <c r="H856" s="145" t="n"/>
      <c r="I856" s="145" t="n"/>
      <c r="J856" s="145" t="n"/>
      <c r="K856" s="145" t="n"/>
      <c r="L856" s="145" t="n"/>
      <c r="M856" s="145" t="n"/>
      <c r="N856" s="145" t="n"/>
      <c r="O856" s="140" t="n"/>
      <c r="P856" s="140" t="n"/>
      <c r="Q856" s="140" t="n"/>
      <c r="R856" s="140" t="n"/>
      <c r="S856" s="140" t="n"/>
      <c r="T856" s="141" t="n"/>
      <c r="U856" s="129" t="n"/>
      <c r="V856" s="129" t="n"/>
      <c r="W856" s="145" t="n"/>
      <c r="X856" s="145" t="n"/>
      <c r="Y856" s="145" t="n"/>
      <c r="Z856" s="145" t="n"/>
    </row>
    <row r="857" ht="45.75" customHeight="1" s="222">
      <c r="A857" s="145" t="n"/>
      <c r="B857" s="145" t="n"/>
      <c r="C857" s="145" t="n"/>
      <c r="D857" s="145" t="n"/>
      <c r="E857" s="145" t="n"/>
      <c r="F857" s="145" t="n"/>
      <c r="G857" s="145" t="n"/>
      <c r="H857" s="145" t="n"/>
      <c r="I857" s="145" t="n"/>
      <c r="J857" s="145" t="n"/>
      <c r="K857" s="145" t="n"/>
      <c r="L857" s="145" t="n"/>
      <c r="M857" s="145" t="n"/>
      <c r="N857" s="145" t="n"/>
      <c r="O857" s="140" t="n"/>
      <c r="P857" s="140" t="n"/>
      <c r="Q857" s="140" t="n"/>
      <c r="R857" s="140" t="n"/>
      <c r="S857" s="140" t="n"/>
      <c r="T857" s="141" t="n"/>
      <c r="U857" s="129" t="n"/>
      <c r="V857" s="129" t="n"/>
      <c r="W857" s="145" t="n"/>
      <c r="X857" s="145" t="n"/>
      <c r="Y857" s="145" t="n"/>
      <c r="Z857" s="145" t="n"/>
    </row>
    <row r="858" ht="45.75" customHeight="1" s="222">
      <c r="A858" s="145" t="n"/>
      <c r="B858" s="145" t="n"/>
      <c r="C858" s="145" t="n"/>
      <c r="D858" s="145" t="n"/>
      <c r="E858" s="145" t="n"/>
      <c r="F858" s="145" t="n"/>
      <c r="G858" s="145" t="n"/>
      <c r="H858" s="145" t="n"/>
      <c r="I858" s="145" t="n"/>
      <c r="J858" s="145" t="n"/>
      <c r="K858" s="145" t="n"/>
      <c r="L858" s="145" t="n"/>
      <c r="M858" s="145" t="n"/>
      <c r="N858" s="145" t="n"/>
      <c r="O858" s="140" t="n"/>
      <c r="P858" s="140" t="n"/>
      <c r="Q858" s="140" t="n"/>
      <c r="R858" s="140" t="n"/>
      <c r="S858" s="140" t="n"/>
      <c r="T858" s="141" t="n"/>
      <c r="U858" s="129" t="n"/>
      <c r="V858" s="129" t="n"/>
      <c r="W858" s="145" t="n"/>
      <c r="X858" s="145" t="n"/>
      <c r="Y858" s="145" t="n"/>
      <c r="Z858" s="145" t="n"/>
    </row>
    <row r="859" ht="45.75" customHeight="1" s="222">
      <c r="A859" s="145" t="n"/>
      <c r="B859" s="145" t="n"/>
      <c r="C859" s="145" t="n"/>
      <c r="D859" s="145" t="n"/>
      <c r="E859" s="145" t="n"/>
      <c r="F859" s="145" t="n"/>
      <c r="G859" s="145" t="n"/>
      <c r="H859" s="145" t="n"/>
      <c r="I859" s="145" t="n"/>
      <c r="J859" s="145" t="n"/>
      <c r="K859" s="145" t="n"/>
      <c r="L859" s="145" t="n"/>
      <c r="M859" s="145" t="n"/>
      <c r="N859" s="145" t="n"/>
      <c r="O859" s="140" t="n"/>
      <c r="P859" s="140" t="n"/>
      <c r="Q859" s="140" t="n"/>
      <c r="R859" s="140" t="n"/>
      <c r="S859" s="140" t="n"/>
      <c r="T859" s="141" t="n"/>
      <c r="U859" s="129" t="n"/>
      <c r="V859" s="129" t="n"/>
      <c r="W859" s="145" t="n"/>
      <c r="X859" s="145" t="n"/>
      <c r="Y859" s="145" t="n"/>
      <c r="Z859" s="145" t="n"/>
    </row>
    <row r="860" ht="45.75" customHeight="1" s="222">
      <c r="A860" s="145" t="n"/>
      <c r="B860" s="145" t="n"/>
      <c r="C860" s="145" t="n"/>
      <c r="D860" s="145" t="n"/>
      <c r="E860" s="145" t="n"/>
      <c r="F860" s="145" t="n"/>
      <c r="G860" s="145" t="n"/>
      <c r="H860" s="145" t="n"/>
      <c r="I860" s="145" t="n"/>
      <c r="J860" s="145" t="n"/>
      <c r="K860" s="145" t="n"/>
      <c r="L860" s="145" t="n"/>
      <c r="M860" s="145" t="n"/>
      <c r="N860" s="145" t="n"/>
      <c r="O860" s="140" t="n"/>
      <c r="P860" s="140" t="n"/>
      <c r="Q860" s="140" t="n"/>
      <c r="R860" s="140" t="n"/>
      <c r="S860" s="140" t="n"/>
      <c r="T860" s="141" t="n"/>
      <c r="U860" s="129" t="n"/>
      <c r="V860" s="129" t="n"/>
      <c r="W860" s="145" t="n"/>
      <c r="X860" s="145" t="n"/>
      <c r="Y860" s="145" t="n"/>
      <c r="Z860" s="145" t="n"/>
    </row>
    <row r="861" ht="45.75" customHeight="1" s="222">
      <c r="A861" s="145" t="n"/>
      <c r="B861" s="145" t="n"/>
      <c r="C861" s="145" t="n"/>
      <c r="D861" s="145" t="n"/>
      <c r="E861" s="145" t="n"/>
      <c r="F861" s="145" t="n"/>
      <c r="G861" s="145" t="n"/>
      <c r="H861" s="145" t="n"/>
      <c r="I861" s="145" t="n"/>
      <c r="J861" s="145" t="n"/>
      <c r="K861" s="145" t="n"/>
      <c r="L861" s="145" t="n"/>
      <c r="M861" s="145" t="n"/>
      <c r="N861" s="145" t="n"/>
      <c r="O861" s="140" t="n"/>
      <c r="P861" s="140" t="n"/>
      <c r="Q861" s="140" t="n"/>
      <c r="R861" s="140" t="n"/>
      <c r="S861" s="140" t="n"/>
      <c r="T861" s="141" t="n"/>
      <c r="U861" s="129" t="n"/>
      <c r="V861" s="129" t="n"/>
      <c r="W861" s="145" t="n"/>
      <c r="X861" s="145" t="n"/>
      <c r="Y861" s="145" t="n"/>
      <c r="Z861" s="145" t="n"/>
    </row>
    <row r="862" ht="45.75" customHeight="1" s="222">
      <c r="A862" s="145" t="n"/>
      <c r="B862" s="145" t="n"/>
      <c r="C862" s="145" t="n"/>
      <c r="D862" s="145" t="n"/>
      <c r="E862" s="145" t="n"/>
      <c r="F862" s="145" t="n"/>
      <c r="G862" s="145" t="n"/>
      <c r="H862" s="145" t="n"/>
      <c r="I862" s="145" t="n"/>
      <c r="J862" s="145" t="n"/>
      <c r="K862" s="145" t="n"/>
      <c r="L862" s="145" t="n"/>
      <c r="M862" s="145" t="n"/>
      <c r="N862" s="145" t="n"/>
      <c r="O862" s="140" t="n"/>
      <c r="P862" s="140" t="n"/>
      <c r="Q862" s="140" t="n"/>
      <c r="R862" s="140" t="n"/>
      <c r="S862" s="140" t="n"/>
      <c r="T862" s="141" t="n"/>
      <c r="U862" s="129" t="n"/>
      <c r="V862" s="129" t="n"/>
      <c r="W862" s="145" t="n"/>
      <c r="X862" s="145" t="n"/>
      <c r="Y862" s="145" t="n"/>
      <c r="Z862" s="145" t="n"/>
    </row>
    <row r="863" ht="45.75" customHeight="1" s="222">
      <c r="A863" s="145" t="n"/>
      <c r="B863" s="145" t="n"/>
      <c r="C863" s="145" t="n"/>
      <c r="D863" s="145" t="n"/>
      <c r="E863" s="145" t="n"/>
      <c r="F863" s="145" t="n"/>
      <c r="G863" s="145" t="n"/>
      <c r="H863" s="145" t="n"/>
      <c r="I863" s="145" t="n"/>
      <c r="J863" s="145" t="n"/>
      <c r="K863" s="145" t="n"/>
      <c r="L863" s="145" t="n"/>
      <c r="M863" s="145" t="n"/>
      <c r="N863" s="145" t="n"/>
      <c r="O863" s="140" t="n"/>
      <c r="P863" s="140" t="n"/>
      <c r="Q863" s="140" t="n"/>
      <c r="R863" s="140" t="n"/>
      <c r="S863" s="140" t="n"/>
      <c r="T863" s="141" t="n"/>
      <c r="U863" s="129" t="n"/>
      <c r="V863" s="129" t="n"/>
      <c r="W863" s="145" t="n"/>
      <c r="X863" s="145" t="n"/>
      <c r="Y863" s="145" t="n"/>
      <c r="Z863" s="145" t="n"/>
    </row>
    <row r="864" ht="45.75" customHeight="1" s="222">
      <c r="A864" s="145" t="n"/>
      <c r="B864" s="145" t="n"/>
      <c r="C864" s="145" t="n"/>
      <c r="D864" s="145" t="n"/>
      <c r="E864" s="145" t="n"/>
      <c r="F864" s="145" t="n"/>
      <c r="G864" s="145" t="n"/>
      <c r="H864" s="145" t="n"/>
      <c r="I864" s="145" t="n"/>
      <c r="J864" s="145" t="n"/>
      <c r="K864" s="145" t="n"/>
      <c r="L864" s="145" t="n"/>
      <c r="M864" s="145" t="n"/>
      <c r="N864" s="145" t="n"/>
      <c r="O864" s="140" t="n"/>
      <c r="P864" s="140" t="n"/>
      <c r="Q864" s="140" t="n"/>
      <c r="R864" s="140" t="n"/>
      <c r="S864" s="140" t="n"/>
      <c r="T864" s="141" t="n"/>
      <c r="U864" s="129" t="n"/>
      <c r="V864" s="129" t="n"/>
      <c r="W864" s="145" t="n"/>
      <c r="X864" s="145" t="n"/>
      <c r="Y864" s="145" t="n"/>
      <c r="Z864" s="145" t="n"/>
    </row>
    <row r="865" ht="45.75" customHeight="1" s="222">
      <c r="A865" s="145" t="n"/>
      <c r="B865" s="145" t="n"/>
      <c r="C865" s="145" t="n"/>
      <c r="D865" s="145" t="n"/>
      <c r="E865" s="145" t="n"/>
      <c r="F865" s="145" t="n"/>
      <c r="G865" s="145" t="n"/>
      <c r="H865" s="145" t="n"/>
      <c r="I865" s="145" t="n"/>
      <c r="J865" s="145" t="n"/>
      <c r="K865" s="145" t="n"/>
      <c r="L865" s="145" t="n"/>
      <c r="M865" s="145" t="n"/>
      <c r="N865" s="145" t="n"/>
      <c r="O865" s="140" t="n"/>
      <c r="P865" s="140" t="n"/>
      <c r="Q865" s="140" t="n"/>
      <c r="R865" s="140" t="n"/>
      <c r="S865" s="140" t="n"/>
      <c r="T865" s="141" t="n"/>
      <c r="U865" s="129" t="n"/>
      <c r="V865" s="129" t="n"/>
      <c r="W865" s="145" t="n"/>
      <c r="X865" s="145" t="n"/>
      <c r="Y865" s="145" t="n"/>
      <c r="Z865" s="145" t="n"/>
    </row>
    <row r="866" ht="45.75" customHeight="1" s="222">
      <c r="A866" s="145" t="n"/>
      <c r="B866" s="145" t="n"/>
      <c r="C866" s="145" t="n"/>
      <c r="D866" s="145" t="n"/>
      <c r="E866" s="145" t="n"/>
      <c r="F866" s="145" t="n"/>
      <c r="G866" s="145" t="n"/>
      <c r="H866" s="145" t="n"/>
      <c r="I866" s="145" t="n"/>
      <c r="J866" s="145" t="n"/>
      <c r="K866" s="145" t="n"/>
      <c r="L866" s="145" t="n"/>
      <c r="M866" s="145" t="n"/>
      <c r="N866" s="145" t="n"/>
      <c r="O866" s="140" t="n"/>
      <c r="P866" s="140" t="n"/>
      <c r="Q866" s="140" t="n"/>
      <c r="R866" s="140" t="n"/>
      <c r="S866" s="140" t="n"/>
      <c r="T866" s="141" t="n"/>
      <c r="U866" s="129" t="n"/>
      <c r="V866" s="129" t="n"/>
      <c r="W866" s="145" t="n"/>
      <c r="X866" s="145" t="n"/>
      <c r="Y866" s="145" t="n"/>
      <c r="Z866" s="145" t="n"/>
    </row>
    <row r="867" ht="45.75" customHeight="1" s="222">
      <c r="A867" s="145" t="n"/>
      <c r="B867" s="145" t="n"/>
      <c r="C867" s="145" t="n"/>
      <c r="D867" s="145" t="n"/>
      <c r="E867" s="145" t="n"/>
      <c r="F867" s="145" t="n"/>
      <c r="G867" s="145" t="n"/>
      <c r="H867" s="145" t="n"/>
      <c r="I867" s="145" t="n"/>
      <c r="J867" s="145" t="n"/>
      <c r="K867" s="145" t="n"/>
      <c r="L867" s="145" t="n"/>
      <c r="M867" s="145" t="n"/>
      <c r="N867" s="145" t="n"/>
      <c r="O867" s="140" t="n"/>
      <c r="P867" s="140" t="n"/>
      <c r="Q867" s="140" t="n"/>
      <c r="R867" s="140" t="n"/>
      <c r="S867" s="140" t="n"/>
      <c r="T867" s="141" t="n"/>
      <c r="U867" s="129" t="n"/>
      <c r="V867" s="129" t="n"/>
      <c r="W867" s="145" t="n"/>
      <c r="X867" s="145" t="n"/>
      <c r="Y867" s="145" t="n"/>
      <c r="Z867" s="145" t="n"/>
    </row>
    <row r="868" ht="45.75" customHeight="1" s="222">
      <c r="A868" s="145" t="n"/>
      <c r="B868" s="145" t="n"/>
      <c r="C868" s="145" t="n"/>
      <c r="D868" s="145" t="n"/>
      <c r="E868" s="145" t="n"/>
      <c r="F868" s="145" t="n"/>
      <c r="G868" s="145" t="n"/>
      <c r="H868" s="145" t="n"/>
      <c r="I868" s="145" t="n"/>
      <c r="J868" s="145" t="n"/>
      <c r="K868" s="145" t="n"/>
      <c r="L868" s="145" t="n"/>
      <c r="M868" s="145" t="n"/>
      <c r="N868" s="145" t="n"/>
      <c r="O868" s="140" t="n"/>
      <c r="P868" s="140" t="n"/>
      <c r="Q868" s="140" t="n"/>
      <c r="R868" s="140" t="n"/>
      <c r="S868" s="140" t="n"/>
      <c r="T868" s="141" t="n"/>
      <c r="U868" s="129" t="n"/>
      <c r="V868" s="129" t="n"/>
      <c r="W868" s="145" t="n"/>
      <c r="X868" s="145" t="n"/>
      <c r="Y868" s="145" t="n"/>
      <c r="Z868" s="145" t="n"/>
    </row>
    <row r="869" ht="45.75" customHeight="1" s="222">
      <c r="A869" s="145" t="n"/>
      <c r="B869" s="145" t="n"/>
      <c r="C869" s="145" t="n"/>
      <c r="D869" s="145" t="n"/>
      <c r="E869" s="145" t="n"/>
      <c r="F869" s="145" t="n"/>
      <c r="G869" s="145" t="n"/>
      <c r="H869" s="145" t="n"/>
      <c r="I869" s="145" t="n"/>
      <c r="J869" s="145" t="n"/>
      <c r="K869" s="145" t="n"/>
      <c r="L869" s="145" t="n"/>
      <c r="M869" s="145" t="n"/>
      <c r="N869" s="145" t="n"/>
      <c r="O869" s="140" t="n"/>
      <c r="P869" s="140" t="n"/>
      <c r="Q869" s="140" t="n"/>
      <c r="R869" s="140" t="n"/>
      <c r="S869" s="140" t="n"/>
      <c r="T869" s="141" t="n"/>
      <c r="U869" s="129" t="n"/>
      <c r="V869" s="129" t="n"/>
      <c r="W869" s="145" t="n"/>
      <c r="X869" s="145" t="n"/>
      <c r="Y869" s="145" t="n"/>
      <c r="Z869" s="145" t="n"/>
    </row>
    <row r="870" ht="45.75" customHeight="1" s="222">
      <c r="A870" s="145" t="n"/>
      <c r="B870" s="145" t="n"/>
      <c r="C870" s="145" t="n"/>
      <c r="D870" s="145" t="n"/>
      <c r="E870" s="145" t="n"/>
      <c r="F870" s="145" t="n"/>
      <c r="G870" s="145" t="n"/>
      <c r="H870" s="145" t="n"/>
      <c r="I870" s="145" t="n"/>
      <c r="J870" s="145" t="n"/>
      <c r="K870" s="145" t="n"/>
      <c r="L870" s="145" t="n"/>
      <c r="M870" s="145" t="n"/>
      <c r="N870" s="145" t="n"/>
      <c r="O870" s="140" t="n"/>
      <c r="P870" s="140" t="n"/>
      <c r="Q870" s="140" t="n"/>
      <c r="R870" s="140" t="n"/>
      <c r="S870" s="140" t="n"/>
      <c r="T870" s="141" t="n"/>
      <c r="U870" s="129" t="n"/>
      <c r="V870" s="129" t="n"/>
      <c r="W870" s="145" t="n"/>
      <c r="X870" s="145" t="n"/>
      <c r="Y870" s="145" t="n"/>
      <c r="Z870" s="145" t="n"/>
    </row>
    <row r="871" ht="45.75" customHeight="1" s="222">
      <c r="A871" s="145" t="n"/>
      <c r="B871" s="145" t="n"/>
      <c r="C871" s="145" t="n"/>
      <c r="D871" s="145" t="n"/>
      <c r="E871" s="145" t="n"/>
      <c r="F871" s="145" t="n"/>
      <c r="G871" s="145" t="n"/>
      <c r="H871" s="145" t="n"/>
      <c r="I871" s="145" t="n"/>
      <c r="J871" s="145" t="n"/>
      <c r="K871" s="145" t="n"/>
      <c r="L871" s="145" t="n"/>
      <c r="M871" s="145" t="n"/>
      <c r="N871" s="145" t="n"/>
      <c r="O871" s="140" t="n"/>
      <c r="P871" s="140" t="n"/>
      <c r="Q871" s="140" t="n"/>
      <c r="R871" s="140" t="n"/>
      <c r="S871" s="140" t="n"/>
      <c r="T871" s="141" t="n"/>
      <c r="U871" s="129" t="n"/>
      <c r="V871" s="129" t="n"/>
      <c r="W871" s="145" t="n"/>
      <c r="X871" s="145" t="n"/>
      <c r="Y871" s="145" t="n"/>
      <c r="Z871" s="145" t="n"/>
    </row>
    <row r="872" ht="45.75" customHeight="1" s="222">
      <c r="A872" s="145" t="n"/>
      <c r="B872" s="145" t="n"/>
      <c r="C872" s="145" t="n"/>
      <c r="D872" s="145" t="n"/>
      <c r="E872" s="145" t="n"/>
      <c r="F872" s="145" t="n"/>
      <c r="G872" s="145" t="n"/>
      <c r="H872" s="145" t="n"/>
      <c r="I872" s="145" t="n"/>
      <c r="J872" s="145" t="n"/>
      <c r="K872" s="145" t="n"/>
      <c r="L872" s="145" t="n"/>
      <c r="M872" s="145" t="n"/>
      <c r="N872" s="145" t="n"/>
      <c r="O872" s="140" t="n"/>
      <c r="P872" s="140" t="n"/>
      <c r="Q872" s="140" t="n"/>
      <c r="R872" s="140" t="n"/>
      <c r="S872" s="140" t="n"/>
      <c r="T872" s="141" t="n"/>
      <c r="U872" s="129" t="n"/>
      <c r="V872" s="129" t="n"/>
      <c r="W872" s="145" t="n"/>
      <c r="X872" s="145" t="n"/>
      <c r="Y872" s="145" t="n"/>
      <c r="Z872" s="145" t="n"/>
    </row>
    <row r="873" ht="45.75" customHeight="1" s="222">
      <c r="A873" s="145" t="n"/>
      <c r="B873" s="145" t="n"/>
      <c r="C873" s="145" t="n"/>
      <c r="D873" s="145" t="n"/>
      <c r="E873" s="145" t="n"/>
      <c r="F873" s="145" t="n"/>
      <c r="G873" s="145" t="n"/>
      <c r="H873" s="145" t="n"/>
      <c r="I873" s="145" t="n"/>
      <c r="J873" s="145" t="n"/>
      <c r="K873" s="145" t="n"/>
      <c r="L873" s="145" t="n"/>
      <c r="M873" s="145" t="n"/>
      <c r="N873" s="145" t="n"/>
      <c r="O873" s="140" t="n"/>
      <c r="P873" s="140" t="n"/>
      <c r="Q873" s="140" t="n"/>
      <c r="R873" s="140" t="n"/>
      <c r="S873" s="140" t="n"/>
      <c r="T873" s="141" t="n"/>
      <c r="U873" s="129" t="n"/>
      <c r="V873" s="129" t="n"/>
      <c r="W873" s="145" t="n"/>
      <c r="X873" s="145" t="n"/>
      <c r="Y873" s="145" t="n"/>
      <c r="Z873" s="145" t="n"/>
    </row>
    <row r="874" ht="45.75" customHeight="1" s="222">
      <c r="A874" s="145" t="n"/>
      <c r="B874" s="145" t="n"/>
      <c r="C874" s="145" t="n"/>
      <c r="D874" s="145" t="n"/>
      <c r="E874" s="145" t="n"/>
      <c r="F874" s="145" t="n"/>
      <c r="G874" s="145" t="n"/>
      <c r="H874" s="145" t="n"/>
      <c r="I874" s="145" t="n"/>
      <c r="J874" s="145" t="n"/>
      <c r="K874" s="145" t="n"/>
      <c r="L874" s="145" t="n"/>
      <c r="M874" s="145" t="n"/>
      <c r="N874" s="145" t="n"/>
      <c r="O874" s="140" t="n"/>
      <c r="P874" s="140" t="n"/>
      <c r="Q874" s="140" t="n"/>
      <c r="R874" s="140" t="n"/>
      <c r="S874" s="140" t="n"/>
      <c r="T874" s="141" t="n"/>
      <c r="U874" s="129" t="n"/>
      <c r="V874" s="129" t="n"/>
      <c r="W874" s="145" t="n"/>
      <c r="X874" s="145" t="n"/>
      <c r="Y874" s="145" t="n"/>
      <c r="Z874" s="145" t="n"/>
    </row>
    <row r="875" ht="45.75" customHeight="1" s="222">
      <c r="A875" s="145" t="n"/>
      <c r="B875" s="145" t="n"/>
      <c r="C875" s="145" t="n"/>
      <c r="D875" s="145" t="n"/>
      <c r="E875" s="145" t="n"/>
      <c r="F875" s="145" t="n"/>
      <c r="G875" s="145" t="n"/>
      <c r="H875" s="145" t="n"/>
      <c r="I875" s="145" t="n"/>
      <c r="J875" s="145" t="n"/>
      <c r="K875" s="145" t="n"/>
      <c r="L875" s="145" t="n"/>
      <c r="M875" s="145" t="n"/>
      <c r="N875" s="145" t="n"/>
      <c r="O875" s="140" t="n"/>
      <c r="P875" s="140" t="n"/>
      <c r="Q875" s="140" t="n"/>
      <c r="R875" s="140" t="n"/>
      <c r="S875" s="140" t="n"/>
      <c r="T875" s="141" t="n"/>
      <c r="U875" s="129" t="n"/>
      <c r="V875" s="129" t="n"/>
      <c r="W875" s="145" t="n"/>
      <c r="X875" s="145" t="n"/>
      <c r="Y875" s="145" t="n"/>
      <c r="Z875" s="145" t="n"/>
    </row>
    <row r="876" ht="45.75" customHeight="1" s="222">
      <c r="A876" s="145" t="n"/>
      <c r="B876" s="145" t="n"/>
      <c r="C876" s="145" t="n"/>
      <c r="D876" s="145" t="n"/>
      <c r="E876" s="145" t="n"/>
      <c r="F876" s="145" t="n"/>
      <c r="G876" s="145" t="n"/>
      <c r="H876" s="145" t="n"/>
      <c r="I876" s="145" t="n"/>
      <c r="J876" s="145" t="n"/>
      <c r="K876" s="145" t="n"/>
      <c r="L876" s="145" t="n"/>
      <c r="M876" s="145" t="n"/>
      <c r="N876" s="145" t="n"/>
      <c r="O876" s="140" t="n"/>
      <c r="P876" s="140" t="n"/>
      <c r="Q876" s="140" t="n"/>
      <c r="R876" s="140" t="n"/>
      <c r="S876" s="140" t="n"/>
      <c r="T876" s="141" t="n"/>
      <c r="U876" s="129" t="n"/>
      <c r="V876" s="129" t="n"/>
      <c r="W876" s="145" t="n"/>
      <c r="X876" s="145" t="n"/>
      <c r="Y876" s="145" t="n"/>
      <c r="Z876" s="145" t="n"/>
    </row>
    <row r="877" ht="45.75" customHeight="1" s="222">
      <c r="A877" s="145" t="n"/>
      <c r="B877" s="145" t="n"/>
      <c r="C877" s="145" t="n"/>
      <c r="D877" s="145" t="n"/>
      <c r="E877" s="145" t="n"/>
      <c r="F877" s="145" t="n"/>
      <c r="G877" s="145" t="n"/>
      <c r="H877" s="145" t="n"/>
      <c r="I877" s="145" t="n"/>
      <c r="J877" s="145" t="n"/>
      <c r="K877" s="145" t="n"/>
      <c r="L877" s="145" t="n"/>
      <c r="M877" s="145" t="n"/>
      <c r="N877" s="145" t="n"/>
      <c r="O877" s="140" t="n"/>
      <c r="P877" s="140" t="n"/>
      <c r="Q877" s="140" t="n"/>
      <c r="R877" s="140" t="n"/>
      <c r="S877" s="140" t="n"/>
      <c r="T877" s="141" t="n"/>
      <c r="U877" s="129" t="n"/>
      <c r="V877" s="129" t="n"/>
      <c r="W877" s="145" t="n"/>
      <c r="X877" s="145" t="n"/>
      <c r="Y877" s="145" t="n"/>
      <c r="Z877" s="145" t="n"/>
    </row>
    <row r="878" ht="45.75" customHeight="1" s="222">
      <c r="A878" s="145" t="n"/>
      <c r="B878" s="145" t="n"/>
      <c r="C878" s="145" t="n"/>
      <c r="D878" s="145" t="n"/>
      <c r="E878" s="145" t="n"/>
      <c r="F878" s="145" t="n"/>
      <c r="G878" s="145" t="n"/>
      <c r="H878" s="145" t="n"/>
      <c r="I878" s="145" t="n"/>
      <c r="J878" s="145" t="n"/>
      <c r="K878" s="145" t="n"/>
      <c r="L878" s="145" t="n"/>
      <c r="M878" s="145" t="n"/>
      <c r="N878" s="145" t="n"/>
      <c r="O878" s="140" t="n"/>
      <c r="P878" s="140" t="n"/>
      <c r="Q878" s="140" t="n"/>
      <c r="R878" s="140" t="n"/>
      <c r="S878" s="140" t="n"/>
      <c r="T878" s="141" t="n"/>
      <c r="U878" s="129" t="n"/>
      <c r="V878" s="129" t="n"/>
      <c r="W878" s="145" t="n"/>
      <c r="X878" s="145" t="n"/>
      <c r="Y878" s="145" t="n"/>
      <c r="Z878" s="145" t="n"/>
    </row>
    <row r="879" ht="45.75" customHeight="1" s="222">
      <c r="A879" s="145" t="n"/>
      <c r="B879" s="145" t="n"/>
      <c r="C879" s="145" t="n"/>
      <c r="D879" s="145" t="n"/>
      <c r="E879" s="145" t="n"/>
      <c r="F879" s="145" t="n"/>
      <c r="G879" s="145" t="n"/>
      <c r="H879" s="145" t="n"/>
      <c r="I879" s="145" t="n"/>
      <c r="J879" s="145" t="n"/>
      <c r="K879" s="145" t="n"/>
      <c r="L879" s="145" t="n"/>
      <c r="M879" s="145" t="n"/>
      <c r="N879" s="145" t="n"/>
      <c r="O879" s="140" t="n"/>
      <c r="P879" s="140" t="n"/>
      <c r="Q879" s="140" t="n"/>
      <c r="R879" s="140" t="n"/>
      <c r="S879" s="140" t="n"/>
      <c r="T879" s="141" t="n"/>
      <c r="U879" s="129" t="n"/>
      <c r="V879" s="129" t="n"/>
      <c r="W879" s="145" t="n"/>
      <c r="X879" s="145" t="n"/>
      <c r="Y879" s="145" t="n"/>
      <c r="Z879" s="145" t="n"/>
    </row>
    <row r="880" ht="45.75" customHeight="1" s="222">
      <c r="A880" s="145" t="n"/>
      <c r="B880" s="145" t="n"/>
      <c r="C880" s="145" t="n"/>
      <c r="D880" s="145" t="n"/>
      <c r="E880" s="145" t="n"/>
      <c r="F880" s="145" t="n"/>
      <c r="G880" s="145" t="n"/>
      <c r="H880" s="145" t="n"/>
      <c r="I880" s="145" t="n"/>
      <c r="J880" s="145" t="n"/>
      <c r="K880" s="145" t="n"/>
      <c r="L880" s="145" t="n"/>
      <c r="M880" s="145" t="n"/>
      <c r="N880" s="145" t="n"/>
      <c r="O880" s="140" t="n"/>
      <c r="P880" s="140" t="n"/>
      <c r="Q880" s="140" t="n"/>
      <c r="R880" s="140" t="n"/>
      <c r="S880" s="140" t="n"/>
      <c r="T880" s="141" t="n"/>
      <c r="U880" s="129" t="n"/>
      <c r="V880" s="129" t="n"/>
      <c r="W880" s="145" t="n"/>
      <c r="X880" s="145" t="n"/>
      <c r="Y880" s="145" t="n"/>
      <c r="Z880" s="145" t="n"/>
    </row>
    <row r="881" ht="45.75" customHeight="1" s="222">
      <c r="A881" s="145" t="n"/>
      <c r="B881" s="145" t="n"/>
      <c r="C881" s="145" t="n"/>
      <c r="D881" s="145" t="n"/>
      <c r="E881" s="145" t="n"/>
      <c r="F881" s="145" t="n"/>
      <c r="G881" s="145" t="n"/>
      <c r="H881" s="145" t="n"/>
      <c r="I881" s="145" t="n"/>
      <c r="J881" s="145" t="n"/>
      <c r="K881" s="145" t="n"/>
      <c r="L881" s="145" t="n"/>
      <c r="M881" s="145" t="n"/>
      <c r="N881" s="145" t="n"/>
      <c r="O881" s="140" t="n"/>
      <c r="P881" s="140" t="n"/>
      <c r="Q881" s="140" t="n"/>
      <c r="R881" s="140" t="n"/>
      <c r="S881" s="140" t="n"/>
      <c r="T881" s="141" t="n"/>
      <c r="U881" s="129" t="n"/>
      <c r="V881" s="129" t="n"/>
      <c r="W881" s="145" t="n"/>
      <c r="X881" s="145" t="n"/>
      <c r="Y881" s="145" t="n"/>
      <c r="Z881" s="145" t="n"/>
    </row>
    <row r="882" ht="45.75" customHeight="1" s="222">
      <c r="A882" s="145" t="n"/>
      <c r="B882" s="145" t="n"/>
      <c r="C882" s="145" t="n"/>
      <c r="D882" s="145" t="n"/>
      <c r="E882" s="145" t="n"/>
      <c r="F882" s="145" t="n"/>
      <c r="G882" s="145" t="n"/>
      <c r="H882" s="145" t="n"/>
      <c r="I882" s="145" t="n"/>
      <c r="J882" s="145" t="n"/>
      <c r="K882" s="145" t="n"/>
      <c r="L882" s="145" t="n"/>
      <c r="M882" s="145" t="n"/>
      <c r="N882" s="145" t="n"/>
      <c r="O882" s="140" t="n"/>
      <c r="P882" s="140" t="n"/>
      <c r="Q882" s="140" t="n"/>
      <c r="R882" s="140" t="n"/>
      <c r="S882" s="140" t="n"/>
      <c r="T882" s="141" t="n"/>
      <c r="U882" s="129" t="n"/>
      <c r="V882" s="129" t="n"/>
      <c r="W882" s="145" t="n"/>
      <c r="X882" s="145" t="n"/>
      <c r="Y882" s="145" t="n"/>
      <c r="Z882" s="145" t="n"/>
    </row>
    <row r="883" ht="45.75" customHeight="1" s="222">
      <c r="A883" s="145" t="n"/>
      <c r="B883" s="145" t="n"/>
      <c r="C883" s="145" t="n"/>
      <c r="D883" s="145" t="n"/>
      <c r="E883" s="145" t="n"/>
      <c r="F883" s="145" t="n"/>
      <c r="G883" s="145" t="n"/>
      <c r="H883" s="145" t="n"/>
      <c r="I883" s="145" t="n"/>
      <c r="J883" s="145" t="n"/>
      <c r="K883" s="145" t="n"/>
      <c r="L883" s="145" t="n"/>
      <c r="M883" s="145" t="n"/>
      <c r="N883" s="145" t="n"/>
      <c r="O883" s="140" t="n"/>
      <c r="P883" s="140" t="n"/>
      <c r="Q883" s="140" t="n"/>
      <c r="R883" s="140" t="n"/>
      <c r="S883" s="140" t="n"/>
      <c r="T883" s="141" t="n"/>
      <c r="U883" s="129" t="n"/>
      <c r="V883" s="129" t="n"/>
      <c r="W883" s="145" t="n"/>
      <c r="X883" s="145" t="n"/>
      <c r="Y883" s="145" t="n"/>
      <c r="Z883" s="145" t="n"/>
    </row>
    <row r="884" ht="45.75" customHeight="1" s="222">
      <c r="A884" s="145" t="n"/>
      <c r="B884" s="145" t="n"/>
      <c r="C884" s="145" t="n"/>
      <c r="D884" s="145" t="n"/>
      <c r="E884" s="145" t="n"/>
      <c r="F884" s="145" t="n"/>
      <c r="G884" s="145" t="n"/>
      <c r="H884" s="145" t="n"/>
      <c r="I884" s="145" t="n"/>
      <c r="J884" s="145" t="n"/>
      <c r="K884" s="145" t="n"/>
      <c r="L884" s="145" t="n"/>
      <c r="M884" s="145" t="n"/>
      <c r="N884" s="145" t="n"/>
      <c r="O884" s="140" t="n"/>
      <c r="P884" s="140" t="n"/>
      <c r="Q884" s="140" t="n"/>
      <c r="R884" s="140" t="n"/>
      <c r="S884" s="140" t="n"/>
      <c r="T884" s="141" t="n"/>
      <c r="U884" s="129" t="n"/>
      <c r="V884" s="129" t="n"/>
      <c r="W884" s="145" t="n"/>
      <c r="X884" s="145" t="n"/>
      <c r="Y884" s="145" t="n"/>
      <c r="Z884" s="145" t="n"/>
    </row>
    <row r="885" ht="45.75" customHeight="1" s="222">
      <c r="A885" s="145" t="n"/>
      <c r="B885" s="145" t="n"/>
      <c r="C885" s="145" t="n"/>
      <c r="D885" s="145" t="n"/>
      <c r="E885" s="145" t="n"/>
      <c r="F885" s="145" t="n"/>
      <c r="G885" s="145" t="n"/>
      <c r="H885" s="145" t="n"/>
      <c r="I885" s="145" t="n"/>
      <c r="J885" s="145" t="n"/>
      <c r="K885" s="145" t="n"/>
      <c r="L885" s="145" t="n"/>
      <c r="M885" s="145" t="n"/>
      <c r="N885" s="145" t="n"/>
      <c r="O885" s="140" t="n"/>
      <c r="P885" s="140" t="n"/>
      <c r="Q885" s="140" t="n"/>
      <c r="R885" s="140" t="n"/>
      <c r="S885" s="140" t="n"/>
      <c r="T885" s="141" t="n"/>
      <c r="U885" s="129" t="n"/>
      <c r="V885" s="129" t="n"/>
      <c r="W885" s="145" t="n"/>
      <c r="X885" s="145" t="n"/>
      <c r="Y885" s="145" t="n"/>
      <c r="Z885" s="145" t="n"/>
    </row>
    <row r="886" ht="45.75" customHeight="1" s="222">
      <c r="A886" s="145" t="n"/>
      <c r="B886" s="145" t="n"/>
      <c r="C886" s="145" t="n"/>
      <c r="D886" s="145" t="n"/>
      <c r="E886" s="145" t="n"/>
      <c r="F886" s="145" t="n"/>
      <c r="G886" s="145" t="n"/>
      <c r="H886" s="145" t="n"/>
      <c r="I886" s="145" t="n"/>
      <c r="J886" s="145" t="n"/>
      <c r="K886" s="145" t="n"/>
      <c r="L886" s="145" t="n"/>
      <c r="M886" s="145" t="n"/>
      <c r="N886" s="145" t="n"/>
      <c r="O886" s="140" t="n"/>
      <c r="P886" s="140" t="n"/>
      <c r="Q886" s="140" t="n"/>
      <c r="R886" s="140" t="n"/>
      <c r="S886" s="140" t="n"/>
      <c r="T886" s="141" t="n"/>
      <c r="U886" s="129" t="n"/>
      <c r="V886" s="129" t="n"/>
      <c r="W886" s="145" t="n"/>
      <c r="X886" s="145" t="n"/>
      <c r="Y886" s="145" t="n"/>
      <c r="Z886" s="145" t="n"/>
    </row>
    <row r="887" ht="45.75" customHeight="1" s="222">
      <c r="A887" s="145" t="n"/>
      <c r="B887" s="145" t="n"/>
      <c r="C887" s="145" t="n"/>
      <c r="D887" s="145" t="n"/>
      <c r="E887" s="145" t="n"/>
      <c r="F887" s="145" t="n"/>
      <c r="G887" s="145" t="n"/>
      <c r="H887" s="145" t="n"/>
      <c r="I887" s="145" t="n"/>
      <c r="J887" s="145" t="n"/>
      <c r="K887" s="145" t="n"/>
      <c r="L887" s="145" t="n"/>
      <c r="M887" s="145" t="n"/>
      <c r="N887" s="145" t="n"/>
      <c r="O887" s="140" t="n"/>
      <c r="P887" s="140" t="n"/>
      <c r="Q887" s="140" t="n"/>
      <c r="R887" s="140" t="n"/>
      <c r="S887" s="140" t="n"/>
      <c r="T887" s="141" t="n"/>
      <c r="U887" s="129" t="n"/>
      <c r="V887" s="129" t="n"/>
      <c r="W887" s="145" t="n"/>
      <c r="X887" s="145" t="n"/>
      <c r="Y887" s="145" t="n"/>
      <c r="Z887" s="145" t="n"/>
    </row>
    <row r="888" ht="45.75" customHeight="1" s="222">
      <c r="A888" s="145" t="n"/>
      <c r="B888" s="145" t="n"/>
      <c r="C888" s="145" t="n"/>
      <c r="D888" s="145" t="n"/>
      <c r="E888" s="145" t="n"/>
      <c r="F888" s="145" t="n"/>
      <c r="G888" s="145" t="n"/>
      <c r="H888" s="145" t="n"/>
      <c r="I888" s="145" t="n"/>
      <c r="J888" s="145" t="n"/>
      <c r="K888" s="145" t="n"/>
      <c r="L888" s="145" t="n"/>
      <c r="M888" s="145" t="n"/>
      <c r="N888" s="145" t="n"/>
      <c r="O888" s="140" t="n"/>
      <c r="P888" s="140" t="n"/>
      <c r="Q888" s="140" t="n"/>
      <c r="R888" s="140" t="n"/>
      <c r="S888" s="140" t="n"/>
      <c r="T888" s="141" t="n"/>
      <c r="U888" s="129" t="n"/>
      <c r="V888" s="129" t="n"/>
      <c r="W888" s="145" t="n"/>
      <c r="X888" s="145" t="n"/>
      <c r="Y888" s="145" t="n"/>
      <c r="Z888" s="145" t="n"/>
    </row>
    <row r="889" ht="45.75" customHeight="1" s="222">
      <c r="A889" s="145" t="n"/>
      <c r="B889" s="145" t="n"/>
      <c r="C889" s="145" t="n"/>
      <c r="D889" s="145" t="n"/>
      <c r="E889" s="145" t="n"/>
      <c r="F889" s="145" t="n"/>
      <c r="G889" s="145" t="n"/>
      <c r="H889" s="145" t="n"/>
      <c r="I889" s="145" t="n"/>
      <c r="J889" s="145" t="n"/>
      <c r="K889" s="145" t="n"/>
      <c r="L889" s="145" t="n"/>
      <c r="M889" s="145" t="n"/>
      <c r="N889" s="145" t="n"/>
      <c r="O889" s="140" t="n"/>
      <c r="P889" s="140" t="n"/>
      <c r="Q889" s="140" t="n"/>
      <c r="R889" s="140" t="n"/>
      <c r="S889" s="140" t="n"/>
      <c r="T889" s="141" t="n"/>
      <c r="U889" s="129" t="n"/>
      <c r="V889" s="129" t="n"/>
      <c r="W889" s="145" t="n"/>
      <c r="X889" s="145" t="n"/>
      <c r="Y889" s="145" t="n"/>
      <c r="Z889" s="145" t="n"/>
    </row>
    <row r="890" ht="45.75" customHeight="1" s="222">
      <c r="A890" s="145" t="n"/>
      <c r="B890" s="145" t="n"/>
      <c r="C890" s="145" t="n"/>
      <c r="D890" s="145" t="n"/>
      <c r="E890" s="145" t="n"/>
      <c r="F890" s="145" t="n"/>
      <c r="G890" s="145" t="n"/>
      <c r="H890" s="145" t="n"/>
      <c r="I890" s="145" t="n"/>
      <c r="J890" s="145" t="n"/>
      <c r="K890" s="145" t="n"/>
      <c r="L890" s="145" t="n"/>
      <c r="M890" s="145" t="n"/>
      <c r="N890" s="145" t="n"/>
      <c r="O890" s="140" t="n"/>
      <c r="P890" s="140" t="n"/>
      <c r="Q890" s="140" t="n"/>
      <c r="R890" s="140" t="n"/>
      <c r="S890" s="140" t="n"/>
      <c r="T890" s="141" t="n"/>
      <c r="U890" s="129" t="n"/>
      <c r="V890" s="129" t="n"/>
      <c r="W890" s="145" t="n"/>
      <c r="X890" s="145" t="n"/>
      <c r="Y890" s="145" t="n"/>
      <c r="Z890" s="145" t="n"/>
    </row>
    <row r="891" ht="45.75" customHeight="1" s="222">
      <c r="A891" s="145" t="n"/>
      <c r="B891" s="145" t="n"/>
      <c r="C891" s="145" t="n"/>
      <c r="D891" s="145" t="n"/>
      <c r="E891" s="145" t="n"/>
      <c r="F891" s="145" t="n"/>
      <c r="G891" s="145" t="n"/>
      <c r="H891" s="145" t="n"/>
      <c r="I891" s="145" t="n"/>
      <c r="J891" s="145" t="n"/>
      <c r="K891" s="145" t="n"/>
      <c r="L891" s="145" t="n"/>
      <c r="M891" s="145" t="n"/>
      <c r="N891" s="145" t="n"/>
      <c r="O891" s="140" t="n"/>
      <c r="P891" s="140" t="n"/>
      <c r="Q891" s="140" t="n"/>
      <c r="R891" s="140" t="n"/>
      <c r="S891" s="140" t="n"/>
      <c r="T891" s="141" t="n"/>
      <c r="U891" s="129" t="n"/>
      <c r="V891" s="129" t="n"/>
      <c r="W891" s="145" t="n"/>
      <c r="X891" s="145" t="n"/>
      <c r="Y891" s="145" t="n"/>
      <c r="Z891" s="145" t="n"/>
    </row>
    <row r="892" ht="45.75" customHeight="1" s="222">
      <c r="A892" s="145" t="n"/>
      <c r="B892" s="145" t="n"/>
      <c r="C892" s="145" t="n"/>
      <c r="D892" s="145" t="n"/>
      <c r="E892" s="145" t="n"/>
      <c r="F892" s="145" t="n"/>
      <c r="G892" s="145" t="n"/>
      <c r="H892" s="145" t="n"/>
      <c r="I892" s="145" t="n"/>
      <c r="J892" s="145" t="n"/>
      <c r="K892" s="145" t="n"/>
      <c r="L892" s="145" t="n"/>
      <c r="M892" s="145" t="n"/>
      <c r="N892" s="145" t="n"/>
      <c r="O892" s="140" t="n"/>
      <c r="P892" s="140" t="n"/>
      <c r="Q892" s="140" t="n"/>
      <c r="R892" s="140" t="n"/>
      <c r="S892" s="140" t="n"/>
      <c r="T892" s="141" t="n"/>
      <c r="U892" s="129" t="n"/>
      <c r="V892" s="129" t="n"/>
      <c r="W892" s="145" t="n"/>
      <c r="X892" s="145" t="n"/>
      <c r="Y892" s="145" t="n"/>
      <c r="Z892" s="145" t="n"/>
    </row>
    <row r="893" ht="45.75" customHeight="1" s="222">
      <c r="A893" s="145" t="n"/>
      <c r="B893" s="145" t="n"/>
      <c r="C893" s="145" t="n"/>
      <c r="D893" s="145" t="n"/>
      <c r="E893" s="145" t="n"/>
      <c r="F893" s="145" t="n"/>
      <c r="G893" s="145" t="n"/>
      <c r="H893" s="145" t="n"/>
      <c r="I893" s="145" t="n"/>
      <c r="J893" s="145" t="n"/>
      <c r="K893" s="145" t="n"/>
      <c r="L893" s="145" t="n"/>
      <c r="M893" s="145" t="n"/>
      <c r="N893" s="145" t="n"/>
      <c r="O893" s="140" t="n"/>
      <c r="P893" s="140" t="n"/>
      <c r="Q893" s="140" t="n"/>
      <c r="R893" s="140" t="n"/>
      <c r="S893" s="140" t="n"/>
      <c r="T893" s="141" t="n"/>
      <c r="U893" s="129" t="n"/>
      <c r="V893" s="129" t="n"/>
      <c r="W893" s="145" t="n"/>
      <c r="X893" s="145" t="n"/>
      <c r="Y893" s="145" t="n"/>
      <c r="Z893" s="145" t="n"/>
    </row>
    <row r="894" ht="45.75" customHeight="1" s="222">
      <c r="A894" s="145" t="n"/>
      <c r="B894" s="145" t="n"/>
      <c r="C894" s="145" t="n"/>
      <c r="D894" s="145" t="n"/>
      <c r="E894" s="145" t="n"/>
      <c r="F894" s="145" t="n"/>
      <c r="G894" s="145" t="n"/>
      <c r="H894" s="145" t="n"/>
      <c r="I894" s="145" t="n"/>
      <c r="J894" s="145" t="n"/>
      <c r="K894" s="145" t="n"/>
      <c r="L894" s="145" t="n"/>
      <c r="M894" s="145" t="n"/>
      <c r="N894" s="145" t="n"/>
      <c r="O894" s="140" t="n"/>
      <c r="P894" s="140" t="n"/>
      <c r="Q894" s="140" t="n"/>
      <c r="R894" s="140" t="n"/>
      <c r="S894" s="140" t="n"/>
      <c r="T894" s="141" t="n"/>
      <c r="U894" s="129" t="n"/>
      <c r="V894" s="129" t="n"/>
      <c r="W894" s="145" t="n"/>
      <c r="X894" s="145" t="n"/>
      <c r="Y894" s="145" t="n"/>
      <c r="Z894" s="145" t="n"/>
    </row>
    <row r="895" ht="45.75" customHeight="1" s="222">
      <c r="A895" s="145" t="n"/>
      <c r="B895" s="145" t="n"/>
      <c r="C895" s="145" t="n"/>
      <c r="D895" s="145" t="n"/>
      <c r="E895" s="145" t="n"/>
      <c r="F895" s="145" t="n"/>
      <c r="G895" s="145" t="n"/>
      <c r="H895" s="145" t="n"/>
      <c r="I895" s="145" t="n"/>
      <c r="J895" s="145" t="n"/>
      <c r="K895" s="145" t="n"/>
      <c r="L895" s="145" t="n"/>
      <c r="M895" s="145" t="n"/>
      <c r="N895" s="145" t="n"/>
      <c r="O895" s="140" t="n"/>
      <c r="P895" s="140" t="n"/>
      <c r="Q895" s="140" t="n"/>
      <c r="R895" s="140" t="n"/>
      <c r="S895" s="140" t="n"/>
      <c r="T895" s="141" t="n"/>
      <c r="U895" s="129" t="n"/>
      <c r="V895" s="129" t="n"/>
      <c r="W895" s="145" t="n"/>
      <c r="X895" s="145" t="n"/>
      <c r="Y895" s="145" t="n"/>
      <c r="Z895" s="145" t="n"/>
    </row>
    <row r="896" ht="45.75" customHeight="1" s="222">
      <c r="A896" s="145" t="n"/>
      <c r="B896" s="145" t="n"/>
      <c r="C896" s="145" t="n"/>
      <c r="D896" s="145" t="n"/>
      <c r="E896" s="145" t="n"/>
      <c r="F896" s="145" t="n"/>
      <c r="G896" s="145" t="n"/>
      <c r="H896" s="145" t="n"/>
      <c r="I896" s="145" t="n"/>
      <c r="J896" s="145" t="n"/>
      <c r="K896" s="145" t="n"/>
      <c r="L896" s="145" t="n"/>
      <c r="M896" s="145" t="n"/>
      <c r="N896" s="145" t="n"/>
      <c r="O896" s="140" t="n"/>
      <c r="P896" s="140" t="n"/>
      <c r="Q896" s="140" t="n"/>
      <c r="R896" s="140" t="n"/>
      <c r="S896" s="140" t="n"/>
      <c r="T896" s="141" t="n"/>
      <c r="U896" s="129" t="n"/>
      <c r="V896" s="129" t="n"/>
      <c r="W896" s="145" t="n"/>
      <c r="X896" s="145" t="n"/>
      <c r="Y896" s="145" t="n"/>
      <c r="Z896" s="145" t="n"/>
    </row>
    <row r="897" ht="45.75" customHeight="1" s="222">
      <c r="A897" s="145" t="n"/>
      <c r="B897" s="145" t="n"/>
      <c r="C897" s="145" t="n"/>
      <c r="D897" s="145" t="n"/>
      <c r="E897" s="145" t="n"/>
      <c r="F897" s="145" t="n"/>
      <c r="G897" s="145" t="n"/>
      <c r="H897" s="145" t="n"/>
      <c r="I897" s="145" t="n"/>
      <c r="J897" s="145" t="n"/>
      <c r="K897" s="145" t="n"/>
      <c r="L897" s="145" t="n"/>
      <c r="M897" s="145" t="n"/>
      <c r="N897" s="145" t="n"/>
      <c r="O897" s="140" t="n"/>
      <c r="P897" s="140" t="n"/>
      <c r="Q897" s="140" t="n"/>
      <c r="R897" s="140" t="n"/>
      <c r="S897" s="140" t="n"/>
      <c r="T897" s="141" t="n"/>
      <c r="U897" s="129" t="n"/>
      <c r="V897" s="129" t="n"/>
      <c r="W897" s="145" t="n"/>
      <c r="X897" s="145" t="n"/>
      <c r="Y897" s="145" t="n"/>
      <c r="Z897" s="145" t="n"/>
    </row>
    <row r="898" ht="45.75" customHeight="1" s="222">
      <c r="A898" s="145" t="n"/>
      <c r="B898" s="145" t="n"/>
      <c r="C898" s="145" t="n"/>
      <c r="D898" s="145" t="n"/>
      <c r="E898" s="145" t="n"/>
      <c r="F898" s="145" t="n"/>
      <c r="G898" s="145" t="n"/>
      <c r="H898" s="145" t="n"/>
      <c r="I898" s="145" t="n"/>
      <c r="J898" s="145" t="n"/>
      <c r="K898" s="145" t="n"/>
      <c r="L898" s="145" t="n"/>
      <c r="M898" s="145" t="n"/>
      <c r="N898" s="145" t="n"/>
      <c r="O898" s="140" t="n"/>
      <c r="P898" s="140" t="n"/>
      <c r="Q898" s="140" t="n"/>
      <c r="R898" s="140" t="n"/>
      <c r="S898" s="140" t="n"/>
      <c r="T898" s="141" t="n"/>
      <c r="U898" s="129" t="n"/>
      <c r="V898" s="129" t="n"/>
      <c r="W898" s="145" t="n"/>
      <c r="X898" s="145" t="n"/>
      <c r="Y898" s="145" t="n"/>
      <c r="Z898" s="145" t="n"/>
    </row>
    <row r="899" ht="45.75" customHeight="1" s="222">
      <c r="A899" s="145" t="n"/>
      <c r="B899" s="145" t="n"/>
      <c r="C899" s="145" t="n"/>
      <c r="D899" s="145" t="n"/>
      <c r="E899" s="145" t="n"/>
      <c r="F899" s="145" t="n"/>
      <c r="G899" s="145" t="n"/>
      <c r="H899" s="145" t="n"/>
      <c r="I899" s="145" t="n"/>
      <c r="J899" s="145" t="n"/>
      <c r="K899" s="145" t="n"/>
      <c r="L899" s="145" t="n"/>
      <c r="M899" s="145" t="n"/>
      <c r="N899" s="145" t="n"/>
      <c r="O899" s="140" t="n"/>
      <c r="P899" s="140" t="n"/>
      <c r="Q899" s="140" t="n"/>
      <c r="R899" s="140" t="n"/>
      <c r="S899" s="140" t="n"/>
      <c r="T899" s="141" t="n"/>
      <c r="U899" s="129" t="n"/>
      <c r="V899" s="129" t="n"/>
      <c r="W899" s="145" t="n"/>
      <c r="X899" s="145" t="n"/>
      <c r="Y899" s="145" t="n"/>
      <c r="Z899" s="145" t="n"/>
    </row>
    <row r="900" ht="45.75" customHeight="1" s="222">
      <c r="A900" s="145" t="n"/>
      <c r="B900" s="145" t="n"/>
      <c r="C900" s="145" t="n"/>
      <c r="D900" s="145" t="n"/>
      <c r="E900" s="145" t="n"/>
      <c r="F900" s="145" t="n"/>
      <c r="G900" s="145" t="n"/>
      <c r="H900" s="145" t="n"/>
      <c r="I900" s="145" t="n"/>
      <c r="J900" s="145" t="n"/>
      <c r="K900" s="145" t="n"/>
      <c r="L900" s="145" t="n"/>
      <c r="M900" s="145" t="n"/>
      <c r="N900" s="145" t="n"/>
      <c r="O900" s="140" t="n"/>
      <c r="P900" s="140" t="n"/>
      <c r="Q900" s="140" t="n"/>
      <c r="R900" s="140" t="n"/>
      <c r="S900" s="140" t="n"/>
      <c r="T900" s="141" t="n"/>
      <c r="U900" s="129" t="n"/>
      <c r="V900" s="129" t="n"/>
      <c r="W900" s="145" t="n"/>
      <c r="X900" s="145" t="n"/>
      <c r="Y900" s="145" t="n"/>
      <c r="Z900" s="145" t="n"/>
    </row>
    <row r="901" ht="45.75" customHeight="1" s="222">
      <c r="A901" s="145" t="n"/>
      <c r="B901" s="145" t="n"/>
      <c r="C901" s="145" t="n"/>
      <c r="D901" s="145" t="n"/>
      <c r="E901" s="145" t="n"/>
      <c r="F901" s="145" t="n"/>
      <c r="G901" s="145" t="n"/>
      <c r="H901" s="145" t="n"/>
      <c r="I901" s="145" t="n"/>
      <c r="J901" s="145" t="n"/>
      <c r="K901" s="145" t="n"/>
      <c r="L901" s="145" t="n"/>
      <c r="M901" s="145" t="n"/>
      <c r="N901" s="145" t="n"/>
      <c r="O901" s="140" t="n"/>
      <c r="P901" s="140" t="n"/>
      <c r="Q901" s="140" t="n"/>
      <c r="R901" s="140" t="n"/>
      <c r="S901" s="140" t="n"/>
      <c r="T901" s="141" t="n"/>
      <c r="U901" s="129" t="n"/>
      <c r="V901" s="129" t="n"/>
      <c r="W901" s="145" t="n"/>
      <c r="X901" s="145" t="n"/>
      <c r="Y901" s="145" t="n"/>
      <c r="Z901" s="145" t="n"/>
    </row>
    <row r="902" ht="45.75" customHeight="1" s="222">
      <c r="A902" s="145" t="n"/>
      <c r="B902" s="145" t="n"/>
      <c r="C902" s="145" t="n"/>
      <c r="D902" s="145" t="n"/>
      <c r="E902" s="145" t="n"/>
      <c r="F902" s="145" t="n"/>
      <c r="G902" s="145" t="n"/>
      <c r="H902" s="145" t="n"/>
      <c r="I902" s="145" t="n"/>
      <c r="J902" s="145" t="n"/>
      <c r="K902" s="145" t="n"/>
      <c r="L902" s="145" t="n"/>
      <c r="M902" s="145" t="n"/>
      <c r="N902" s="145" t="n"/>
      <c r="O902" s="140" t="n"/>
      <c r="P902" s="140" t="n"/>
      <c r="Q902" s="140" t="n"/>
      <c r="R902" s="140" t="n"/>
      <c r="S902" s="140" t="n"/>
      <c r="T902" s="141" t="n"/>
      <c r="U902" s="129" t="n"/>
      <c r="V902" s="129" t="n"/>
      <c r="W902" s="145" t="n"/>
      <c r="X902" s="145" t="n"/>
      <c r="Y902" s="145" t="n"/>
      <c r="Z902" s="145" t="n"/>
    </row>
    <row r="903" ht="45.75" customHeight="1" s="222">
      <c r="A903" s="145" t="n"/>
      <c r="B903" s="145" t="n"/>
      <c r="C903" s="145" t="n"/>
      <c r="D903" s="145" t="n"/>
      <c r="E903" s="145" t="n"/>
      <c r="F903" s="145" t="n"/>
      <c r="G903" s="145" t="n"/>
      <c r="H903" s="145" t="n"/>
      <c r="I903" s="145" t="n"/>
      <c r="J903" s="145" t="n"/>
      <c r="K903" s="145" t="n"/>
      <c r="L903" s="145" t="n"/>
      <c r="M903" s="145" t="n"/>
      <c r="N903" s="145" t="n"/>
      <c r="O903" s="140" t="n"/>
      <c r="P903" s="140" t="n"/>
      <c r="Q903" s="140" t="n"/>
      <c r="R903" s="140" t="n"/>
      <c r="S903" s="140" t="n"/>
      <c r="T903" s="141" t="n"/>
      <c r="U903" s="129" t="n"/>
      <c r="V903" s="129" t="n"/>
      <c r="W903" s="145" t="n"/>
      <c r="X903" s="145" t="n"/>
      <c r="Y903" s="145" t="n"/>
      <c r="Z903" s="145" t="n"/>
    </row>
    <row r="904" ht="45.75" customHeight="1" s="222">
      <c r="A904" s="145" t="n"/>
      <c r="B904" s="145" t="n"/>
      <c r="C904" s="145" t="n"/>
      <c r="D904" s="145" t="n"/>
      <c r="E904" s="145" t="n"/>
      <c r="F904" s="145" t="n"/>
      <c r="G904" s="145" t="n"/>
      <c r="H904" s="145" t="n"/>
      <c r="I904" s="145" t="n"/>
      <c r="J904" s="145" t="n"/>
      <c r="K904" s="145" t="n"/>
      <c r="L904" s="145" t="n"/>
      <c r="M904" s="145" t="n"/>
      <c r="N904" s="145" t="n"/>
      <c r="O904" s="140" t="n"/>
      <c r="P904" s="140" t="n"/>
      <c r="Q904" s="140" t="n"/>
      <c r="R904" s="140" t="n"/>
      <c r="S904" s="140" t="n"/>
      <c r="T904" s="141" t="n"/>
      <c r="U904" s="129" t="n"/>
      <c r="V904" s="129" t="n"/>
      <c r="W904" s="145" t="n"/>
      <c r="X904" s="145" t="n"/>
      <c r="Y904" s="145" t="n"/>
      <c r="Z904" s="145" t="n"/>
    </row>
    <row r="905" ht="45.75" customHeight="1" s="222">
      <c r="A905" s="145" t="n"/>
      <c r="B905" s="145" t="n"/>
      <c r="C905" s="145" t="n"/>
      <c r="D905" s="145" t="n"/>
      <c r="E905" s="145" t="n"/>
      <c r="F905" s="145" t="n"/>
      <c r="G905" s="145" t="n"/>
      <c r="H905" s="145" t="n"/>
      <c r="I905" s="145" t="n"/>
      <c r="J905" s="145" t="n"/>
      <c r="K905" s="145" t="n"/>
      <c r="L905" s="145" t="n"/>
      <c r="M905" s="145" t="n"/>
      <c r="N905" s="145" t="n"/>
      <c r="O905" s="140" t="n"/>
      <c r="P905" s="140" t="n"/>
      <c r="Q905" s="140" t="n"/>
      <c r="R905" s="140" t="n"/>
      <c r="S905" s="140" t="n"/>
      <c r="T905" s="141" t="n"/>
      <c r="U905" s="129" t="n"/>
      <c r="V905" s="129" t="n"/>
      <c r="W905" s="145" t="n"/>
      <c r="X905" s="145" t="n"/>
      <c r="Y905" s="145" t="n"/>
      <c r="Z905" s="145" t="n"/>
    </row>
    <row r="906" ht="45.75" customHeight="1" s="222">
      <c r="A906" s="145" t="n"/>
      <c r="B906" s="145" t="n"/>
      <c r="C906" s="145" t="n"/>
      <c r="D906" s="145" t="n"/>
      <c r="E906" s="145" t="n"/>
      <c r="F906" s="145" t="n"/>
      <c r="G906" s="145" t="n"/>
      <c r="H906" s="145" t="n"/>
      <c r="I906" s="145" t="n"/>
      <c r="J906" s="145" t="n"/>
      <c r="K906" s="145" t="n"/>
      <c r="L906" s="145" t="n"/>
      <c r="M906" s="145" t="n"/>
      <c r="N906" s="145" t="n"/>
      <c r="O906" s="140" t="n"/>
      <c r="P906" s="140" t="n"/>
      <c r="Q906" s="140" t="n"/>
      <c r="R906" s="140" t="n"/>
      <c r="S906" s="140" t="n"/>
      <c r="T906" s="141" t="n"/>
      <c r="U906" s="129" t="n"/>
      <c r="V906" s="129" t="n"/>
      <c r="W906" s="145" t="n"/>
      <c r="X906" s="145" t="n"/>
      <c r="Y906" s="145" t="n"/>
      <c r="Z906" s="145" t="n"/>
    </row>
    <row r="907" ht="45.75" customHeight="1" s="222">
      <c r="A907" s="145" t="n"/>
      <c r="B907" s="145" t="n"/>
      <c r="C907" s="145" t="n"/>
      <c r="D907" s="145" t="n"/>
      <c r="E907" s="145" t="n"/>
      <c r="F907" s="145" t="n"/>
      <c r="G907" s="145" t="n"/>
      <c r="H907" s="145" t="n"/>
      <c r="I907" s="145" t="n"/>
      <c r="J907" s="145" t="n"/>
      <c r="K907" s="145" t="n"/>
      <c r="L907" s="145" t="n"/>
      <c r="M907" s="145" t="n"/>
      <c r="N907" s="145" t="n"/>
      <c r="O907" s="140" t="n"/>
      <c r="P907" s="140" t="n"/>
      <c r="Q907" s="140" t="n"/>
      <c r="R907" s="140" t="n"/>
      <c r="S907" s="140" t="n"/>
      <c r="T907" s="141" t="n"/>
      <c r="U907" s="129" t="n"/>
      <c r="V907" s="129" t="n"/>
      <c r="W907" s="145" t="n"/>
      <c r="X907" s="145" t="n"/>
      <c r="Y907" s="145" t="n"/>
      <c r="Z907" s="145" t="n"/>
    </row>
    <row r="908" ht="45.75" customHeight="1" s="222">
      <c r="A908" s="145" t="n"/>
      <c r="B908" s="145" t="n"/>
      <c r="C908" s="145" t="n"/>
      <c r="D908" s="145" t="n"/>
      <c r="E908" s="145" t="n"/>
      <c r="F908" s="145" t="n"/>
      <c r="G908" s="145" t="n"/>
      <c r="H908" s="145" t="n"/>
      <c r="I908" s="145" t="n"/>
      <c r="J908" s="145" t="n"/>
      <c r="K908" s="145" t="n"/>
      <c r="L908" s="145" t="n"/>
      <c r="M908" s="145" t="n"/>
      <c r="N908" s="145" t="n"/>
      <c r="O908" s="140" t="n"/>
      <c r="P908" s="140" t="n"/>
      <c r="Q908" s="140" t="n"/>
      <c r="R908" s="140" t="n"/>
      <c r="S908" s="140" t="n"/>
      <c r="T908" s="141" t="n"/>
      <c r="U908" s="129" t="n"/>
      <c r="V908" s="129" t="n"/>
      <c r="W908" s="145" t="n"/>
      <c r="X908" s="145" t="n"/>
      <c r="Y908" s="145" t="n"/>
      <c r="Z908" s="145" t="n"/>
    </row>
    <row r="909" ht="45.75" customHeight="1" s="222">
      <c r="A909" s="145" t="n"/>
      <c r="B909" s="145" t="n"/>
      <c r="C909" s="145" t="n"/>
      <c r="D909" s="145" t="n"/>
      <c r="E909" s="145" t="n"/>
      <c r="F909" s="145" t="n"/>
      <c r="G909" s="145" t="n"/>
      <c r="H909" s="145" t="n"/>
      <c r="I909" s="145" t="n"/>
      <c r="J909" s="145" t="n"/>
      <c r="K909" s="145" t="n"/>
      <c r="L909" s="145" t="n"/>
      <c r="M909" s="145" t="n"/>
      <c r="N909" s="145" t="n"/>
      <c r="O909" s="140" t="n"/>
      <c r="P909" s="140" t="n"/>
      <c r="Q909" s="140" t="n"/>
      <c r="R909" s="140" t="n"/>
      <c r="S909" s="140" t="n"/>
      <c r="T909" s="141" t="n"/>
      <c r="U909" s="129" t="n"/>
      <c r="V909" s="129" t="n"/>
      <c r="W909" s="145" t="n"/>
      <c r="X909" s="145" t="n"/>
      <c r="Y909" s="145" t="n"/>
      <c r="Z909" s="145" t="n"/>
    </row>
    <row r="910" ht="45.75" customHeight="1" s="222">
      <c r="A910" s="145" t="n"/>
      <c r="B910" s="145" t="n"/>
      <c r="C910" s="145" t="n"/>
      <c r="D910" s="145" t="n"/>
      <c r="E910" s="145" t="n"/>
      <c r="F910" s="145" t="n"/>
      <c r="G910" s="145" t="n"/>
      <c r="H910" s="145" t="n"/>
      <c r="I910" s="145" t="n"/>
      <c r="J910" s="145" t="n"/>
      <c r="K910" s="145" t="n"/>
      <c r="L910" s="145" t="n"/>
      <c r="M910" s="145" t="n"/>
      <c r="N910" s="145" t="n"/>
      <c r="O910" s="140" t="n"/>
      <c r="P910" s="140" t="n"/>
      <c r="Q910" s="140" t="n"/>
      <c r="R910" s="140" t="n"/>
      <c r="S910" s="140" t="n"/>
      <c r="T910" s="141" t="n"/>
      <c r="U910" s="129" t="n"/>
      <c r="V910" s="129" t="n"/>
      <c r="W910" s="145" t="n"/>
      <c r="X910" s="145" t="n"/>
      <c r="Y910" s="145" t="n"/>
      <c r="Z910" s="145" t="n"/>
    </row>
    <row r="911" ht="45.75" customHeight="1" s="222">
      <c r="A911" s="145" t="n"/>
      <c r="B911" s="145" t="n"/>
      <c r="C911" s="145" t="n"/>
      <c r="D911" s="145" t="n"/>
      <c r="E911" s="145" t="n"/>
      <c r="F911" s="145" t="n"/>
      <c r="G911" s="145" t="n"/>
      <c r="H911" s="145" t="n"/>
      <c r="I911" s="145" t="n"/>
      <c r="J911" s="145" t="n"/>
      <c r="K911" s="145" t="n"/>
      <c r="L911" s="145" t="n"/>
      <c r="M911" s="145" t="n"/>
      <c r="N911" s="145" t="n"/>
      <c r="O911" s="140" t="n"/>
      <c r="P911" s="140" t="n"/>
      <c r="Q911" s="140" t="n"/>
      <c r="R911" s="140" t="n"/>
      <c r="S911" s="140" t="n"/>
      <c r="T911" s="141" t="n"/>
      <c r="U911" s="129" t="n"/>
      <c r="V911" s="129" t="n"/>
      <c r="W911" s="145" t="n"/>
      <c r="X911" s="145" t="n"/>
      <c r="Y911" s="145" t="n"/>
      <c r="Z911" s="145" t="n"/>
    </row>
    <row r="912" ht="45.75" customHeight="1" s="222">
      <c r="A912" s="145" t="n"/>
      <c r="B912" s="145" t="n"/>
      <c r="C912" s="145" t="n"/>
      <c r="D912" s="145" t="n"/>
      <c r="E912" s="145" t="n"/>
      <c r="F912" s="145" t="n"/>
      <c r="G912" s="145" t="n"/>
      <c r="H912" s="145" t="n"/>
      <c r="I912" s="145" t="n"/>
      <c r="J912" s="145" t="n"/>
      <c r="K912" s="145" t="n"/>
      <c r="L912" s="145" t="n"/>
      <c r="M912" s="145" t="n"/>
      <c r="N912" s="145" t="n"/>
      <c r="O912" s="140" t="n"/>
      <c r="P912" s="140" t="n"/>
      <c r="Q912" s="140" t="n"/>
      <c r="R912" s="140" t="n"/>
      <c r="S912" s="140" t="n"/>
      <c r="T912" s="141" t="n"/>
      <c r="U912" s="129" t="n"/>
      <c r="V912" s="129" t="n"/>
      <c r="W912" s="145" t="n"/>
      <c r="X912" s="145" t="n"/>
      <c r="Y912" s="145" t="n"/>
      <c r="Z912" s="145" t="n"/>
    </row>
    <row r="913" ht="45.75" customHeight="1" s="222">
      <c r="A913" s="145" t="n"/>
      <c r="B913" s="145" t="n"/>
      <c r="C913" s="145" t="n"/>
      <c r="D913" s="145" t="n"/>
      <c r="E913" s="145" t="n"/>
      <c r="F913" s="145" t="n"/>
      <c r="G913" s="145" t="n"/>
      <c r="H913" s="145" t="n"/>
      <c r="I913" s="145" t="n"/>
      <c r="J913" s="145" t="n"/>
      <c r="K913" s="145" t="n"/>
      <c r="L913" s="145" t="n"/>
      <c r="M913" s="145" t="n"/>
      <c r="N913" s="145" t="n"/>
      <c r="O913" s="140" t="n"/>
      <c r="P913" s="140" t="n"/>
      <c r="Q913" s="140" t="n"/>
      <c r="R913" s="140" t="n"/>
      <c r="S913" s="140" t="n"/>
      <c r="T913" s="141" t="n"/>
      <c r="U913" s="129" t="n"/>
      <c r="V913" s="129" t="n"/>
      <c r="W913" s="145" t="n"/>
      <c r="X913" s="145" t="n"/>
      <c r="Y913" s="145" t="n"/>
      <c r="Z913" s="145" t="n"/>
    </row>
    <row r="914" ht="45.75" customHeight="1" s="222">
      <c r="A914" s="145" t="n"/>
      <c r="B914" s="145" t="n"/>
      <c r="C914" s="145" t="n"/>
      <c r="D914" s="145" t="n"/>
      <c r="E914" s="145" t="n"/>
      <c r="F914" s="145" t="n"/>
      <c r="G914" s="145" t="n"/>
      <c r="H914" s="145" t="n"/>
      <c r="I914" s="145" t="n"/>
      <c r="J914" s="145" t="n"/>
      <c r="K914" s="145" t="n"/>
      <c r="L914" s="145" t="n"/>
      <c r="M914" s="145" t="n"/>
      <c r="N914" s="145" t="n"/>
      <c r="O914" s="140" t="n"/>
      <c r="P914" s="140" t="n"/>
      <c r="Q914" s="140" t="n"/>
      <c r="R914" s="140" t="n"/>
      <c r="S914" s="140" t="n"/>
      <c r="T914" s="141" t="n"/>
      <c r="U914" s="129" t="n"/>
      <c r="V914" s="129" t="n"/>
      <c r="W914" s="145" t="n"/>
      <c r="X914" s="145" t="n"/>
      <c r="Y914" s="145" t="n"/>
      <c r="Z914" s="145" t="n"/>
    </row>
    <row r="915" ht="45.75" customHeight="1" s="222">
      <c r="A915" s="145" t="n"/>
      <c r="B915" s="145" t="n"/>
      <c r="C915" s="145" t="n"/>
      <c r="D915" s="145" t="n"/>
      <c r="E915" s="145" t="n"/>
      <c r="F915" s="145" t="n"/>
      <c r="G915" s="145" t="n"/>
      <c r="H915" s="145" t="n"/>
      <c r="I915" s="145" t="n"/>
      <c r="J915" s="145" t="n"/>
      <c r="K915" s="145" t="n"/>
      <c r="L915" s="145" t="n"/>
      <c r="M915" s="145" t="n"/>
      <c r="N915" s="145" t="n"/>
      <c r="O915" s="140" t="n"/>
      <c r="P915" s="140" t="n"/>
      <c r="Q915" s="140" t="n"/>
      <c r="R915" s="140" t="n"/>
      <c r="S915" s="140" t="n"/>
      <c r="T915" s="141" t="n"/>
      <c r="U915" s="129" t="n"/>
      <c r="V915" s="129" t="n"/>
      <c r="W915" s="145" t="n"/>
      <c r="X915" s="145" t="n"/>
      <c r="Y915" s="145" t="n"/>
      <c r="Z915" s="145" t="n"/>
    </row>
    <row r="916" ht="45.75" customHeight="1" s="222">
      <c r="A916" s="145" t="n"/>
      <c r="B916" s="145" t="n"/>
      <c r="C916" s="145" t="n"/>
      <c r="D916" s="145" t="n"/>
      <c r="E916" s="145" t="n"/>
      <c r="F916" s="145" t="n"/>
      <c r="G916" s="145" t="n"/>
      <c r="H916" s="145" t="n"/>
      <c r="I916" s="145" t="n"/>
      <c r="J916" s="145" t="n"/>
      <c r="K916" s="145" t="n"/>
      <c r="L916" s="145" t="n"/>
      <c r="M916" s="145" t="n"/>
      <c r="N916" s="145" t="n"/>
      <c r="O916" s="140" t="n"/>
      <c r="P916" s="140" t="n"/>
      <c r="Q916" s="140" t="n"/>
      <c r="R916" s="140" t="n"/>
      <c r="S916" s="140" t="n"/>
      <c r="T916" s="141" t="n"/>
      <c r="U916" s="129" t="n"/>
      <c r="V916" s="129" t="n"/>
      <c r="W916" s="145" t="n"/>
      <c r="X916" s="145" t="n"/>
      <c r="Y916" s="145" t="n"/>
      <c r="Z916" s="145" t="n"/>
    </row>
    <row r="917" ht="45.75" customHeight="1" s="222">
      <c r="A917" s="145" t="n"/>
      <c r="B917" s="145" t="n"/>
      <c r="C917" s="145" t="n"/>
      <c r="D917" s="145" t="n"/>
      <c r="E917" s="145" t="n"/>
      <c r="F917" s="145" t="n"/>
      <c r="G917" s="145" t="n"/>
      <c r="H917" s="145" t="n"/>
      <c r="I917" s="145" t="n"/>
      <c r="J917" s="145" t="n"/>
      <c r="K917" s="145" t="n"/>
      <c r="L917" s="145" t="n"/>
      <c r="M917" s="145" t="n"/>
      <c r="N917" s="145" t="n"/>
      <c r="O917" s="140" t="n"/>
      <c r="P917" s="140" t="n"/>
      <c r="Q917" s="140" t="n"/>
      <c r="R917" s="140" t="n"/>
      <c r="S917" s="140" t="n"/>
      <c r="T917" s="141" t="n"/>
      <c r="U917" s="129" t="n"/>
      <c r="V917" s="129" t="n"/>
      <c r="W917" s="145" t="n"/>
      <c r="X917" s="145" t="n"/>
      <c r="Y917" s="145" t="n"/>
      <c r="Z917" s="145" t="n"/>
    </row>
    <row r="918" ht="45.75" customHeight="1" s="222">
      <c r="A918" s="145" t="n"/>
      <c r="B918" s="145" t="n"/>
      <c r="C918" s="145" t="n"/>
      <c r="D918" s="145" t="n"/>
      <c r="E918" s="145" t="n"/>
      <c r="F918" s="145" t="n"/>
      <c r="G918" s="145" t="n"/>
      <c r="H918" s="145" t="n"/>
      <c r="I918" s="145" t="n"/>
      <c r="J918" s="145" t="n"/>
      <c r="K918" s="145" t="n"/>
      <c r="L918" s="145" t="n"/>
      <c r="M918" s="145" t="n"/>
      <c r="N918" s="145" t="n"/>
      <c r="O918" s="140" t="n"/>
      <c r="P918" s="140" t="n"/>
      <c r="Q918" s="140" t="n"/>
      <c r="R918" s="140" t="n"/>
      <c r="S918" s="140" t="n"/>
      <c r="T918" s="141" t="n"/>
      <c r="U918" s="129" t="n"/>
      <c r="V918" s="129" t="n"/>
      <c r="W918" s="145" t="n"/>
      <c r="X918" s="145" t="n"/>
      <c r="Y918" s="145" t="n"/>
      <c r="Z918" s="145" t="n"/>
    </row>
    <row r="919" ht="45.75" customHeight="1" s="222">
      <c r="A919" s="145" t="n"/>
      <c r="B919" s="145" t="n"/>
      <c r="C919" s="145" t="n"/>
      <c r="D919" s="145" t="n"/>
      <c r="E919" s="145" t="n"/>
      <c r="F919" s="145" t="n"/>
      <c r="G919" s="145" t="n"/>
      <c r="H919" s="145" t="n"/>
      <c r="I919" s="145" t="n"/>
      <c r="J919" s="145" t="n"/>
      <c r="K919" s="145" t="n"/>
      <c r="L919" s="145" t="n"/>
      <c r="M919" s="145" t="n"/>
      <c r="N919" s="145" t="n"/>
      <c r="O919" s="140" t="n"/>
      <c r="P919" s="140" t="n"/>
      <c r="Q919" s="140" t="n"/>
      <c r="R919" s="140" t="n"/>
      <c r="S919" s="140" t="n"/>
      <c r="T919" s="141" t="n"/>
      <c r="U919" s="129" t="n"/>
      <c r="V919" s="129" t="n"/>
      <c r="W919" s="145" t="n"/>
      <c r="X919" s="145" t="n"/>
      <c r="Y919" s="145" t="n"/>
      <c r="Z919" s="145" t="n"/>
    </row>
    <row r="920" ht="45.75" customHeight="1" s="222">
      <c r="A920" s="145" t="n"/>
      <c r="B920" s="145" t="n"/>
      <c r="C920" s="145" t="n"/>
      <c r="D920" s="145" t="n"/>
      <c r="E920" s="145" t="n"/>
      <c r="F920" s="145" t="n"/>
      <c r="G920" s="145" t="n"/>
      <c r="H920" s="145" t="n"/>
      <c r="I920" s="145" t="n"/>
      <c r="J920" s="145" t="n"/>
      <c r="K920" s="145" t="n"/>
      <c r="L920" s="145" t="n"/>
      <c r="M920" s="145" t="n"/>
      <c r="N920" s="145" t="n"/>
      <c r="O920" s="140" t="n"/>
      <c r="P920" s="140" t="n"/>
      <c r="Q920" s="140" t="n"/>
      <c r="R920" s="140" t="n"/>
      <c r="S920" s="140" t="n"/>
      <c r="T920" s="141" t="n"/>
      <c r="U920" s="129" t="n"/>
      <c r="V920" s="129" t="n"/>
      <c r="W920" s="145" t="n"/>
      <c r="X920" s="145" t="n"/>
      <c r="Y920" s="145" t="n"/>
      <c r="Z920" s="145" t="n"/>
    </row>
    <row r="921" ht="45.75" customHeight="1" s="222">
      <c r="A921" s="145" t="n"/>
      <c r="B921" s="145" t="n"/>
      <c r="C921" s="145" t="n"/>
      <c r="D921" s="145" t="n"/>
      <c r="E921" s="145" t="n"/>
      <c r="F921" s="145" t="n"/>
      <c r="G921" s="145" t="n"/>
      <c r="H921" s="145" t="n"/>
      <c r="I921" s="145" t="n"/>
      <c r="J921" s="145" t="n"/>
      <c r="K921" s="145" t="n"/>
      <c r="L921" s="145" t="n"/>
      <c r="M921" s="145" t="n"/>
      <c r="N921" s="145" t="n"/>
      <c r="O921" s="140" t="n"/>
      <c r="P921" s="140" t="n"/>
      <c r="Q921" s="140" t="n"/>
      <c r="R921" s="140" t="n"/>
      <c r="S921" s="140" t="n"/>
      <c r="T921" s="141" t="n"/>
      <c r="U921" s="129" t="n"/>
      <c r="V921" s="129" t="n"/>
      <c r="W921" s="145" t="n"/>
      <c r="X921" s="145" t="n"/>
      <c r="Y921" s="145" t="n"/>
      <c r="Z921" s="145" t="n"/>
    </row>
    <row r="922" ht="45.75" customHeight="1" s="222">
      <c r="A922" s="145" t="n"/>
      <c r="B922" s="145" t="n"/>
      <c r="C922" s="145" t="n"/>
      <c r="D922" s="145" t="n"/>
      <c r="E922" s="145" t="n"/>
      <c r="F922" s="145" t="n"/>
      <c r="G922" s="145" t="n"/>
      <c r="H922" s="145" t="n"/>
      <c r="I922" s="145" t="n"/>
      <c r="J922" s="145" t="n"/>
      <c r="K922" s="145" t="n"/>
      <c r="L922" s="145" t="n"/>
      <c r="M922" s="145" t="n"/>
      <c r="N922" s="145" t="n"/>
      <c r="O922" s="140" t="n"/>
      <c r="P922" s="140" t="n"/>
      <c r="Q922" s="140" t="n"/>
      <c r="R922" s="140" t="n"/>
      <c r="S922" s="140" t="n"/>
      <c r="T922" s="141" t="n"/>
      <c r="U922" s="129" t="n"/>
      <c r="V922" s="129" t="n"/>
      <c r="W922" s="145" t="n"/>
      <c r="X922" s="145" t="n"/>
      <c r="Y922" s="145" t="n"/>
      <c r="Z922" s="145" t="n"/>
    </row>
    <row r="923" ht="45.75" customHeight="1" s="222">
      <c r="A923" s="145" t="n"/>
      <c r="B923" s="145" t="n"/>
      <c r="C923" s="145" t="n"/>
      <c r="D923" s="145" t="n"/>
      <c r="E923" s="145" t="n"/>
      <c r="F923" s="145" t="n"/>
      <c r="G923" s="145" t="n"/>
      <c r="H923" s="145" t="n"/>
      <c r="I923" s="145" t="n"/>
      <c r="J923" s="145" t="n"/>
      <c r="K923" s="145" t="n"/>
      <c r="L923" s="145" t="n"/>
      <c r="M923" s="145" t="n"/>
      <c r="N923" s="145" t="n"/>
      <c r="O923" s="140" t="n"/>
      <c r="P923" s="140" t="n"/>
      <c r="Q923" s="140" t="n"/>
      <c r="R923" s="140" t="n"/>
      <c r="S923" s="140" t="n"/>
      <c r="T923" s="141" t="n"/>
      <c r="U923" s="129" t="n"/>
      <c r="V923" s="129" t="n"/>
      <c r="W923" s="145" t="n"/>
      <c r="X923" s="145" t="n"/>
      <c r="Y923" s="145" t="n"/>
      <c r="Z923" s="145" t="n"/>
    </row>
    <row r="924" ht="45.75" customHeight="1" s="222">
      <c r="A924" s="145" t="n"/>
      <c r="B924" s="145" t="n"/>
      <c r="C924" s="145" t="n"/>
      <c r="D924" s="145" t="n"/>
      <c r="E924" s="145" t="n"/>
      <c r="F924" s="145" t="n"/>
      <c r="G924" s="145" t="n"/>
      <c r="H924" s="145" t="n"/>
      <c r="I924" s="145" t="n"/>
      <c r="J924" s="145" t="n"/>
      <c r="K924" s="145" t="n"/>
      <c r="L924" s="145" t="n"/>
      <c r="M924" s="145" t="n"/>
      <c r="N924" s="145" t="n"/>
      <c r="O924" s="140" t="n"/>
      <c r="P924" s="140" t="n"/>
      <c r="Q924" s="140" t="n"/>
      <c r="R924" s="140" t="n"/>
      <c r="S924" s="140" t="n"/>
      <c r="T924" s="141" t="n"/>
      <c r="U924" s="129" t="n"/>
      <c r="V924" s="129" t="n"/>
      <c r="W924" s="145" t="n"/>
      <c r="X924" s="145" t="n"/>
      <c r="Y924" s="145" t="n"/>
      <c r="Z924" s="145" t="n"/>
    </row>
    <row r="925" ht="45.75" customHeight="1" s="222">
      <c r="A925" s="145" t="n"/>
      <c r="B925" s="145" t="n"/>
      <c r="C925" s="145" t="n"/>
      <c r="D925" s="145" t="n"/>
      <c r="E925" s="145" t="n"/>
      <c r="F925" s="145" t="n"/>
      <c r="G925" s="145" t="n"/>
      <c r="H925" s="145" t="n"/>
      <c r="I925" s="145" t="n"/>
      <c r="J925" s="145" t="n"/>
      <c r="K925" s="145" t="n"/>
      <c r="L925" s="145" t="n"/>
      <c r="M925" s="145" t="n"/>
      <c r="N925" s="145" t="n"/>
      <c r="O925" s="140" t="n"/>
      <c r="P925" s="140" t="n"/>
      <c r="Q925" s="140" t="n"/>
      <c r="R925" s="140" t="n"/>
      <c r="S925" s="140" t="n"/>
      <c r="T925" s="141" t="n"/>
      <c r="U925" s="129" t="n"/>
      <c r="V925" s="129" t="n"/>
      <c r="W925" s="145" t="n"/>
      <c r="X925" s="145" t="n"/>
      <c r="Y925" s="145" t="n"/>
      <c r="Z925" s="145" t="n"/>
    </row>
    <row r="926" ht="45.75" customHeight="1" s="222">
      <c r="A926" s="145" t="n"/>
      <c r="B926" s="145" t="n"/>
      <c r="C926" s="145" t="n"/>
      <c r="D926" s="145" t="n"/>
      <c r="E926" s="145" t="n"/>
      <c r="F926" s="145" t="n"/>
      <c r="G926" s="145" t="n"/>
      <c r="H926" s="145" t="n"/>
      <c r="I926" s="145" t="n"/>
      <c r="J926" s="145" t="n"/>
      <c r="K926" s="145" t="n"/>
      <c r="L926" s="145" t="n"/>
      <c r="M926" s="145" t="n"/>
      <c r="N926" s="145" t="n"/>
      <c r="O926" s="140" t="n"/>
      <c r="P926" s="140" t="n"/>
      <c r="Q926" s="140" t="n"/>
      <c r="R926" s="140" t="n"/>
      <c r="S926" s="140" t="n"/>
      <c r="T926" s="141" t="n"/>
      <c r="U926" s="129" t="n"/>
      <c r="V926" s="129" t="n"/>
      <c r="W926" s="145" t="n"/>
      <c r="X926" s="145" t="n"/>
      <c r="Y926" s="145" t="n"/>
      <c r="Z926" s="145" t="n"/>
    </row>
    <row r="927" ht="45.75" customHeight="1" s="222">
      <c r="A927" s="145" t="n"/>
      <c r="B927" s="145" t="n"/>
      <c r="C927" s="145" t="n"/>
      <c r="D927" s="145" t="n"/>
      <c r="E927" s="145" t="n"/>
      <c r="F927" s="145" t="n"/>
      <c r="G927" s="145" t="n"/>
      <c r="H927" s="145" t="n"/>
      <c r="I927" s="145" t="n"/>
      <c r="J927" s="145" t="n"/>
      <c r="K927" s="145" t="n"/>
      <c r="L927" s="145" t="n"/>
      <c r="M927" s="145" t="n"/>
      <c r="N927" s="145" t="n"/>
      <c r="O927" s="140" t="n"/>
      <c r="P927" s="140" t="n"/>
      <c r="Q927" s="140" t="n"/>
      <c r="R927" s="140" t="n"/>
      <c r="S927" s="140" t="n"/>
      <c r="T927" s="141" t="n"/>
      <c r="U927" s="129" t="n"/>
      <c r="V927" s="129" t="n"/>
      <c r="W927" s="145" t="n"/>
      <c r="X927" s="145" t="n"/>
      <c r="Y927" s="145" t="n"/>
      <c r="Z927" s="145" t="n"/>
    </row>
    <row r="928" ht="45.75" customHeight="1" s="222">
      <c r="A928" s="145" t="n"/>
      <c r="B928" s="145" t="n"/>
      <c r="C928" s="145" t="n"/>
      <c r="D928" s="145" t="n"/>
      <c r="E928" s="145" t="n"/>
      <c r="F928" s="145" t="n"/>
      <c r="G928" s="145" t="n"/>
      <c r="H928" s="145" t="n"/>
      <c r="I928" s="145" t="n"/>
      <c r="J928" s="145" t="n"/>
      <c r="K928" s="145" t="n"/>
      <c r="L928" s="145" t="n"/>
      <c r="M928" s="145" t="n"/>
      <c r="N928" s="145" t="n"/>
      <c r="O928" s="140" t="n"/>
      <c r="P928" s="140" t="n"/>
      <c r="Q928" s="140" t="n"/>
      <c r="R928" s="140" t="n"/>
      <c r="S928" s="140" t="n"/>
      <c r="T928" s="141" t="n"/>
      <c r="U928" s="129" t="n"/>
      <c r="V928" s="129" t="n"/>
      <c r="W928" s="145" t="n"/>
      <c r="X928" s="145" t="n"/>
      <c r="Y928" s="145" t="n"/>
      <c r="Z928" s="145" t="n"/>
    </row>
    <row r="929" ht="45.75" customHeight="1" s="222">
      <c r="A929" s="145" t="n"/>
      <c r="B929" s="145" t="n"/>
      <c r="C929" s="145" t="n"/>
      <c r="D929" s="145" t="n"/>
      <c r="E929" s="145" t="n"/>
      <c r="F929" s="145" t="n"/>
      <c r="G929" s="145" t="n"/>
      <c r="H929" s="145" t="n"/>
      <c r="I929" s="145" t="n"/>
      <c r="J929" s="145" t="n"/>
      <c r="K929" s="145" t="n"/>
      <c r="L929" s="145" t="n"/>
      <c r="M929" s="145" t="n"/>
      <c r="N929" s="145" t="n"/>
      <c r="O929" s="140" t="n"/>
      <c r="P929" s="140" t="n"/>
      <c r="Q929" s="140" t="n"/>
      <c r="R929" s="140" t="n"/>
      <c r="S929" s="140" t="n"/>
      <c r="T929" s="141" t="n"/>
      <c r="U929" s="129" t="n"/>
      <c r="V929" s="129" t="n"/>
      <c r="W929" s="145" t="n"/>
      <c r="X929" s="145" t="n"/>
      <c r="Y929" s="145" t="n"/>
      <c r="Z929" s="145" t="n"/>
    </row>
    <row r="930" ht="45.75" customHeight="1" s="222">
      <c r="A930" s="145" t="n"/>
      <c r="B930" s="145" t="n"/>
      <c r="C930" s="145" t="n"/>
      <c r="D930" s="145" t="n"/>
      <c r="E930" s="145" t="n"/>
      <c r="F930" s="145" t="n"/>
      <c r="G930" s="145" t="n"/>
      <c r="H930" s="145" t="n"/>
      <c r="I930" s="145" t="n"/>
      <c r="J930" s="145" t="n"/>
      <c r="K930" s="145" t="n"/>
      <c r="L930" s="145" t="n"/>
      <c r="M930" s="145" t="n"/>
      <c r="N930" s="145" t="n"/>
      <c r="O930" s="140" t="n"/>
      <c r="P930" s="140" t="n"/>
      <c r="Q930" s="140" t="n"/>
      <c r="R930" s="140" t="n"/>
      <c r="S930" s="140" t="n"/>
      <c r="T930" s="141" t="n"/>
      <c r="U930" s="129" t="n"/>
      <c r="V930" s="129" t="n"/>
      <c r="W930" s="145" t="n"/>
      <c r="X930" s="145" t="n"/>
      <c r="Y930" s="145" t="n"/>
      <c r="Z930" s="145" t="n"/>
    </row>
    <row r="931" ht="45.75" customHeight="1" s="222">
      <c r="A931" s="145" t="n"/>
      <c r="B931" s="145" t="n"/>
      <c r="C931" s="145" t="n"/>
      <c r="D931" s="145" t="n"/>
      <c r="E931" s="145" t="n"/>
      <c r="F931" s="145" t="n"/>
      <c r="G931" s="145" t="n"/>
      <c r="H931" s="145" t="n"/>
      <c r="I931" s="145" t="n"/>
      <c r="J931" s="145" t="n"/>
      <c r="K931" s="145" t="n"/>
      <c r="L931" s="145" t="n"/>
      <c r="M931" s="145" t="n"/>
      <c r="N931" s="145" t="n"/>
      <c r="O931" s="140" t="n"/>
      <c r="P931" s="140" t="n"/>
      <c r="Q931" s="140" t="n"/>
      <c r="R931" s="140" t="n"/>
      <c r="S931" s="140" t="n"/>
      <c r="T931" s="141" t="n"/>
      <c r="U931" s="129" t="n"/>
      <c r="V931" s="129" t="n"/>
      <c r="W931" s="145" t="n"/>
      <c r="X931" s="145" t="n"/>
      <c r="Y931" s="145" t="n"/>
      <c r="Z931" s="145" t="n"/>
    </row>
    <row r="932" ht="45.75" customHeight="1" s="222">
      <c r="A932" s="145" t="n"/>
      <c r="B932" s="145" t="n"/>
      <c r="C932" s="145" t="n"/>
      <c r="D932" s="145" t="n"/>
      <c r="E932" s="145" t="n"/>
      <c r="F932" s="145" t="n"/>
      <c r="G932" s="145" t="n"/>
      <c r="H932" s="145" t="n"/>
      <c r="I932" s="145" t="n"/>
      <c r="J932" s="145" t="n"/>
      <c r="K932" s="145" t="n"/>
      <c r="L932" s="145" t="n"/>
      <c r="M932" s="145" t="n"/>
      <c r="N932" s="145" t="n"/>
      <c r="O932" s="140" t="n"/>
      <c r="P932" s="140" t="n"/>
      <c r="Q932" s="140" t="n"/>
      <c r="R932" s="140" t="n"/>
      <c r="S932" s="140" t="n"/>
      <c r="T932" s="141" t="n"/>
      <c r="U932" s="129" t="n"/>
      <c r="V932" s="129" t="n"/>
      <c r="W932" s="145" t="n"/>
      <c r="X932" s="145" t="n"/>
      <c r="Y932" s="145" t="n"/>
      <c r="Z932" s="145" t="n"/>
    </row>
    <row r="933" ht="45.75" customHeight="1" s="222">
      <c r="A933" s="145" t="n"/>
      <c r="B933" s="145" t="n"/>
      <c r="C933" s="145" t="n"/>
      <c r="D933" s="145" t="n"/>
      <c r="E933" s="145" t="n"/>
      <c r="F933" s="145" t="n"/>
      <c r="G933" s="145" t="n"/>
      <c r="H933" s="145" t="n"/>
      <c r="I933" s="145" t="n"/>
      <c r="J933" s="145" t="n"/>
      <c r="K933" s="145" t="n"/>
      <c r="L933" s="145" t="n"/>
      <c r="M933" s="145" t="n"/>
      <c r="N933" s="145" t="n"/>
      <c r="O933" s="140" t="n"/>
      <c r="P933" s="140" t="n"/>
      <c r="Q933" s="140" t="n"/>
      <c r="R933" s="140" t="n"/>
      <c r="S933" s="140" t="n"/>
      <c r="T933" s="141" t="n"/>
      <c r="U933" s="129" t="n"/>
      <c r="V933" s="129" t="n"/>
      <c r="W933" s="145" t="n"/>
      <c r="X933" s="145" t="n"/>
      <c r="Y933" s="145" t="n"/>
      <c r="Z933" s="145" t="n"/>
    </row>
    <row r="934" ht="45.75" customHeight="1" s="222">
      <c r="A934" s="145" t="n"/>
      <c r="B934" s="145" t="n"/>
      <c r="C934" s="145" t="n"/>
      <c r="D934" s="145" t="n"/>
      <c r="E934" s="145" t="n"/>
      <c r="F934" s="145" t="n"/>
      <c r="G934" s="145" t="n"/>
      <c r="H934" s="145" t="n"/>
      <c r="I934" s="145" t="n"/>
      <c r="J934" s="145" t="n"/>
      <c r="K934" s="145" t="n"/>
      <c r="L934" s="145" t="n"/>
      <c r="M934" s="145" t="n"/>
      <c r="N934" s="145" t="n"/>
      <c r="O934" s="140" t="n"/>
      <c r="P934" s="140" t="n"/>
      <c r="Q934" s="140" t="n"/>
      <c r="R934" s="140" t="n"/>
      <c r="S934" s="140" t="n"/>
      <c r="T934" s="141" t="n"/>
      <c r="U934" s="129" t="n"/>
      <c r="V934" s="129" t="n"/>
      <c r="W934" s="145" t="n"/>
      <c r="X934" s="145" t="n"/>
      <c r="Y934" s="145" t="n"/>
      <c r="Z934" s="145" t="n"/>
    </row>
    <row r="935" ht="45.75" customHeight="1" s="222">
      <c r="A935" s="145" t="n"/>
      <c r="B935" s="145" t="n"/>
      <c r="C935" s="145" t="n"/>
      <c r="D935" s="145" t="n"/>
      <c r="E935" s="145" t="n"/>
      <c r="F935" s="145" t="n"/>
      <c r="G935" s="145" t="n"/>
      <c r="H935" s="145" t="n"/>
      <c r="I935" s="145" t="n"/>
      <c r="J935" s="145" t="n"/>
      <c r="K935" s="145" t="n"/>
      <c r="L935" s="145" t="n"/>
      <c r="M935" s="145" t="n"/>
      <c r="N935" s="145" t="n"/>
      <c r="O935" s="140" t="n"/>
      <c r="P935" s="140" t="n"/>
      <c r="Q935" s="140" t="n"/>
      <c r="R935" s="140" t="n"/>
      <c r="S935" s="140" t="n"/>
      <c r="T935" s="141" t="n"/>
      <c r="U935" s="129" t="n"/>
      <c r="V935" s="129" t="n"/>
      <c r="W935" s="145" t="n"/>
      <c r="X935" s="145" t="n"/>
      <c r="Y935" s="145" t="n"/>
      <c r="Z935" s="145" t="n"/>
    </row>
    <row r="936" ht="45.75" customHeight="1" s="222">
      <c r="A936" s="145" t="n"/>
      <c r="B936" s="145" t="n"/>
      <c r="C936" s="145" t="n"/>
      <c r="D936" s="145" t="n"/>
      <c r="E936" s="145" t="n"/>
      <c r="F936" s="145" t="n"/>
      <c r="G936" s="145" t="n"/>
      <c r="H936" s="145" t="n"/>
      <c r="I936" s="145" t="n"/>
      <c r="J936" s="145" t="n"/>
      <c r="K936" s="145" t="n"/>
      <c r="L936" s="145" t="n"/>
      <c r="M936" s="145" t="n"/>
      <c r="N936" s="145" t="n"/>
      <c r="O936" s="140" t="n"/>
      <c r="P936" s="140" t="n"/>
      <c r="Q936" s="140" t="n"/>
      <c r="R936" s="140" t="n"/>
      <c r="S936" s="140" t="n"/>
      <c r="T936" s="141" t="n"/>
      <c r="U936" s="129" t="n"/>
      <c r="V936" s="129" t="n"/>
      <c r="W936" s="145" t="n"/>
      <c r="X936" s="145" t="n"/>
      <c r="Y936" s="145" t="n"/>
      <c r="Z936" s="145" t="n"/>
    </row>
    <row r="937" ht="45.75" customHeight="1" s="222">
      <c r="A937" s="145" t="n"/>
      <c r="B937" s="145" t="n"/>
      <c r="C937" s="145" t="n"/>
      <c r="D937" s="145" t="n"/>
      <c r="E937" s="145" t="n"/>
      <c r="F937" s="145" t="n"/>
      <c r="G937" s="145" t="n"/>
      <c r="H937" s="145" t="n"/>
      <c r="I937" s="145" t="n"/>
      <c r="J937" s="145" t="n"/>
      <c r="K937" s="145" t="n"/>
      <c r="L937" s="145" t="n"/>
      <c r="M937" s="145" t="n"/>
      <c r="N937" s="145" t="n"/>
      <c r="O937" s="140" t="n"/>
      <c r="P937" s="140" t="n"/>
      <c r="Q937" s="140" t="n"/>
      <c r="R937" s="140" t="n"/>
      <c r="S937" s="140" t="n"/>
      <c r="T937" s="141" t="n"/>
      <c r="U937" s="129" t="n"/>
      <c r="V937" s="129" t="n"/>
      <c r="W937" s="145" t="n"/>
      <c r="X937" s="145" t="n"/>
      <c r="Y937" s="145" t="n"/>
      <c r="Z937" s="145" t="n"/>
    </row>
    <row r="938" ht="45.75" customHeight="1" s="222">
      <c r="A938" s="145" t="n"/>
      <c r="B938" s="145" t="n"/>
      <c r="C938" s="145" t="n"/>
      <c r="D938" s="145" t="n"/>
      <c r="E938" s="145" t="n"/>
      <c r="F938" s="145" t="n"/>
      <c r="G938" s="145" t="n"/>
      <c r="H938" s="145" t="n"/>
      <c r="I938" s="145" t="n"/>
      <c r="J938" s="145" t="n"/>
      <c r="K938" s="145" t="n"/>
      <c r="L938" s="145" t="n"/>
      <c r="M938" s="145" t="n"/>
      <c r="N938" s="145" t="n"/>
      <c r="O938" s="140" t="n"/>
      <c r="P938" s="140" t="n"/>
      <c r="Q938" s="140" t="n"/>
      <c r="R938" s="140" t="n"/>
      <c r="S938" s="140" t="n"/>
      <c r="T938" s="141" t="n"/>
      <c r="U938" s="129" t="n"/>
      <c r="V938" s="129" t="n"/>
      <c r="W938" s="145" t="n"/>
      <c r="X938" s="145" t="n"/>
      <c r="Y938" s="145" t="n"/>
      <c r="Z938" s="145" t="n"/>
    </row>
    <row r="939" ht="45.75" customHeight="1" s="222">
      <c r="A939" s="145" t="n"/>
      <c r="B939" s="145" t="n"/>
      <c r="C939" s="145" t="n"/>
      <c r="D939" s="145" t="n"/>
      <c r="E939" s="145" t="n"/>
      <c r="F939" s="145" t="n"/>
      <c r="G939" s="145" t="n"/>
      <c r="H939" s="145" t="n"/>
      <c r="I939" s="145" t="n"/>
      <c r="J939" s="145" t="n"/>
      <c r="K939" s="145" t="n"/>
      <c r="L939" s="145" t="n"/>
      <c r="M939" s="145" t="n"/>
      <c r="N939" s="145" t="n"/>
      <c r="O939" s="140" t="n"/>
      <c r="P939" s="140" t="n"/>
      <c r="Q939" s="140" t="n"/>
      <c r="R939" s="140" t="n"/>
      <c r="S939" s="140" t="n"/>
      <c r="T939" s="141" t="n"/>
      <c r="U939" s="129" t="n"/>
      <c r="V939" s="129" t="n"/>
      <c r="W939" s="145" t="n"/>
      <c r="X939" s="145" t="n"/>
      <c r="Y939" s="145" t="n"/>
      <c r="Z939" s="145" t="n"/>
    </row>
    <row r="940" ht="45.75" customHeight="1" s="222">
      <c r="A940" s="145" t="n"/>
      <c r="B940" s="145" t="n"/>
      <c r="C940" s="145" t="n"/>
      <c r="D940" s="145" t="n"/>
      <c r="E940" s="145" t="n"/>
      <c r="F940" s="145" t="n"/>
      <c r="G940" s="145" t="n"/>
      <c r="H940" s="145" t="n"/>
      <c r="I940" s="145" t="n"/>
      <c r="J940" s="145" t="n"/>
      <c r="K940" s="145" t="n"/>
      <c r="L940" s="145" t="n"/>
      <c r="M940" s="145" t="n"/>
      <c r="N940" s="145" t="n"/>
      <c r="O940" s="140" t="n"/>
      <c r="P940" s="140" t="n"/>
      <c r="Q940" s="140" t="n"/>
      <c r="R940" s="140" t="n"/>
      <c r="S940" s="140" t="n"/>
      <c r="T940" s="141" t="n"/>
      <c r="U940" s="129" t="n"/>
      <c r="V940" s="129" t="n"/>
      <c r="W940" s="145" t="n"/>
      <c r="X940" s="145" t="n"/>
      <c r="Y940" s="145" t="n"/>
      <c r="Z940" s="145" t="n"/>
    </row>
    <row r="941" ht="45.75" customHeight="1" s="222">
      <c r="A941" s="145" t="n"/>
      <c r="B941" s="145" t="n"/>
      <c r="C941" s="145" t="n"/>
      <c r="D941" s="145" t="n"/>
      <c r="E941" s="145" t="n"/>
      <c r="F941" s="145" t="n"/>
      <c r="G941" s="145" t="n"/>
      <c r="H941" s="145" t="n"/>
      <c r="I941" s="145" t="n"/>
      <c r="J941" s="145" t="n"/>
      <c r="K941" s="145" t="n"/>
      <c r="L941" s="145" t="n"/>
      <c r="M941" s="145" t="n"/>
      <c r="N941" s="145" t="n"/>
      <c r="O941" s="140" t="n"/>
      <c r="P941" s="140" t="n"/>
      <c r="Q941" s="140" t="n"/>
      <c r="R941" s="140" t="n"/>
      <c r="S941" s="140" t="n"/>
      <c r="T941" s="141" t="n"/>
      <c r="U941" s="129" t="n"/>
      <c r="V941" s="129" t="n"/>
      <c r="W941" s="145" t="n"/>
      <c r="X941" s="145" t="n"/>
      <c r="Y941" s="145" t="n"/>
      <c r="Z941" s="145" t="n"/>
    </row>
    <row r="942" ht="45.75" customHeight="1" s="222">
      <c r="A942" s="145" t="n"/>
      <c r="B942" s="145" t="n"/>
      <c r="C942" s="145" t="n"/>
      <c r="D942" s="145" t="n"/>
      <c r="E942" s="145" t="n"/>
      <c r="F942" s="145" t="n"/>
      <c r="G942" s="145" t="n"/>
      <c r="H942" s="145" t="n"/>
      <c r="I942" s="145" t="n"/>
      <c r="J942" s="145" t="n"/>
      <c r="K942" s="145" t="n"/>
      <c r="L942" s="145" t="n"/>
      <c r="M942" s="145" t="n"/>
      <c r="N942" s="145" t="n"/>
      <c r="O942" s="140" t="n"/>
      <c r="P942" s="140" t="n"/>
      <c r="Q942" s="140" t="n"/>
      <c r="R942" s="140" t="n"/>
      <c r="S942" s="140" t="n"/>
      <c r="T942" s="141" t="n"/>
      <c r="U942" s="129" t="n"/>
      <c r="V942" s="129" t="n"/>
      <c r="W942" s="145" t="n"/>
      <c r="X942" s="145" t="n"/>
      <c r="Y942" s="145" t="n"/>
      <c r="Z942" s="145" t="n"/>
    </row>
    <row r="943" ht="45.75" customHeight="1" s="222">
      <c r="A943" s="145" t="n"/>
      <c r="B943" s="145" t="n"/>
      <c r="C943" s="145" t="n"/>
      <c r="D943" s="145" t="n"/>
      <c r="E943" s="145" t="n"/>
      <c r="F943" s="145" t="n"/>
      <c r="G943" s="145" t="n"/>
      <c r="H943" s="145" t="n"/>
      <c r="I943" s="145" t="n"/>
      <c r="J943" s="145" t="n"/>
      <c r="K943" s="145" t="n"/>
      <c r="L943" s="145" t="n"/>
      <c r="M943" s="145" t="n"/>
      <c r="N943" s="145" t="n"/>
      <c r="O943" s="140" t="n"/>
      <c r="P943" s="140" t="n"/>
      <c r="Q943" s="140" t="n"/>
      <c r="R943" s="140" t="n"/>
      <c r="S943" s="140" t="n"/>
      <c r="T943" s="141" t="n"/>
      <c r="U943" s="129" t="n"/>
      <c r="V943" s="129" t="n"/>
      <c r="W943" s="145" t="n"/>
      <c r="X943" s="145" t="n"/>
      <c r="Y943" s="145" t="n"/>
      <c r="Z943" s="145" t="n"/>
    </row>
    <row r="944" ht="45.75" customHeight="1" s="222">
      <c r="A944" s="145" t="n"/>
      <c r="B944" s="145" t="n"/>
      <c r="C944" s="145" t="n"/>
      <c r="D944" s="145" t="n"/>
      <c r="E944" s="145" t="n"/>
      <c r="F944" s="145" t="n"/>
      <c r="G944" s="145" t="n"/>
      <c r="H944" s="145" t="n"/>
      <c r="I944" s="145" t="n"/>
      <c r="J944" s="145" t="n"/>
      <c r="K944" s="145" t="n"/>
      <c r="L944" s="145" t="n"/>
      <c r="M944" s="145" t="n"/>
      <c r="N944" s="145" t="n"/>
      <c r="O944" s="140" t="n"/>
      <c r="P944" s="140" t="n"/>
      <c r="Q944" s="140" t="n"/>
      <c r="R944" s="140" t="n"/>
      <c r="S944" s="140" t="n"/>
      <c r="T944" s="141" t="n"/>
      <c r="U944" s="129" t="n"/>
      <c r="V944" s="129" t="n"/>
      <c r="W944" s="145" t="n"/>
      <c r="X944" s="145" t="n"/>
      <c r="Y944" s="145" t="n"/>
      <c r="Z944" s="145" t="n"/>
    </row>
    <row r="945" ht="45.75" customHeight="1" s="222">
      <c r="A945" s="145" t="n"/>
      <c r="B945" s="145" t="n"/>
      <c r="C945" s="145" t="n"/>
      <c r="D945" s="145" t="n"/>
      <c r="E945" s="145" t="n"/>
      <c r="F945" s="145" t="n"/>
      <c r="G945" s="145" t="n"/>
      <c r="H945" s="145" t="n"/>
      <c r="I945" s="145" t="n"/>
      <c r="J945" s="145" t="n"/>
      <c r="K945" s="145" t="n"/>
      <c r="L945" s="145" t="n"/>
      <c r="M945" s="145" t="n"/>
      <c r="N945" s="145" t="n"/>
      <c r="O945" s="140" t="n"/>
      <c r="P945" s="140" t="n"/>
      <c r="Q945" s="140" t="n"/>
      <c r="R945" s="140" t="n"/>
      <c r="S945" s="140" t="n"/>
      <c r="T945" s="141" t="n"/>
      <c r="U945" s="129" t="n"/>
      <c r="V945" s="129" t="n"/>
      <c r="W945" s="145" t="n"/>
      <c r="X945" s="145" t="n"/>
      <c r="Y945" s="145" t="n"/>
      <c r="Z945" s="145" t="n"/>
    </row>
    <row r="946" ht="45.75" customHeight="1" s="222">
      <c r="A946" s="145" t="n"/>
      <c r="B946" s="145" t="n"/>
      <c r="C946" s="145" t="n"/>
      <c r="D946" s="145" t="n"/>
      <c r="E946" s="145" t="n"/>
      <c r="F946" s="145" t="n"/>
      <c r="G946" s="145" t="n"/>
      <c r="H946" s="145" t="n"/>
      <c r="I946" s="145" t="n"/>
      <c r="J946" s="145" t="n"/>
      <c r="K946" s="145" t="n"/>
      <c r="L946" s="145" t="n"/>
      <c r="M946" s="145" t="n"/>
      <c r="N946" s="145" t="n"/>
      <c r="O946" s="140" t="n"/>
      <c r="P946" s="140" t="n"/>
      <c r="Q946" s="140" t="n"/>
      <c r="R946" s="140" t="n"/>
      <c r="S946" s="140" t="n"/>
      <c r="T946" s="141" t="n"/>
      <c r="U946" s="129" t="n"/>
      <c r="V946" s="129" t="n"/>
      <c r="W946" s="145" t="n"/>
      <c r="X946" s="145" t="n"/>
      <c r="Y946" s="145" t="n"/>
      <c r="Z946" s="145" t="n"/>
    </row>
    <row r="947" ht="45.75" customHeight="1" s="222">
      <c r="A947" s="145" t="n"/>
      <c r="B947" s="145" t="n"/>
      <c r="C947" s="145" t="n"/>
      <c r="D947" s="145" t="n"/>
      <c r="E947" s="145" t="n"/>
      <c r="F947" s="145" t="n"/>
      <c r="G947" s="145" t="n"/>
      <c r="H947" s="145" t="n"/>
      <c r="I947" s="145" t="n"/>
      <c r="J947" s="145" t="n"/>
      <c r="K947" s="145" t="n"/>
      <c r="L947" s="145" t="n"/>
      <c r="M947" s="145" t="n"/>
      <c r="N947" s="145" t="n"/>
      <c r="O947" s="140" t="n"/>
      <c r="P947" s="140" t="n"/>
      <c r="Q947" s="140" t="n"/>
      <c r="R947" s="140" t="n"/>
      <c r="S947" s="140" t="n"/>
      <c r="T947" s="141" t="n"/>
      <c r="U947" s="129" t="n"/>
      <c r="V947" s="129" t="n"/>
      <c r="W947" s="145" t="n"/>
      <c r="X947" s="145" t="n"/>
      <c r="Y947" s="145" t="n"/>
      <c r="Z947" s="145" t="n"/>
    </row>
    <row r="948" ht="45.75" customHeight="1" s="222">
      <c r="A948" s="145" t="n"/>
      <c r="B948" s="145" t="n"/>
      <c r="C948" s="145" t="n"/>
      <c r="D948" s="145" t="n"/>
      <c r="E948" s="145" t="n"/>
      <c r="F948" s="145" t="n"/>
      <c r="G948" s="145" t="n"/>
      <c r="H948" s="145" t="n"/>
      <c r="I948" s="145" t="n"/>
      <c r="J948" s="145" t="n"/>
      <c r="K948" s="145" t="n"/>
      <c r="L948" s="145" t="n"/>
      <c r="M948" s="145" t="n"/>
      <c r="N948" s="145" t="n"/>
      <c r="O948" s="140" t="n"/>
      <c r="P948" s="140" t="n"/>
      <c r="Q948" s="140" t="n"/>
      <c r="R948" s="140" t="n"/>
      <c r="S948" s="140" t="n"/>
      <c r="T948" s="141" t="n"/>
      <c r="U948" s="129" t="n"/>
      <c r="V948" s="129" t="n"/>
      <c r="W948" s="145" t="n"/>
      <c r="X948" s="145" t="n"/>
      <c r="Y948" s="145" t="n"/>
      <c r="Z948" s="145" t="n"/>
    </row>
    <row r="949" ht="45.75" customHeight="1" s="222">
      <c r="A949" s="145" t="n"/>
      <c r="B949" s="145" t="n"/>
      <c r="C949" s="145" t="n"/>
      <c r="D949" s="145" t="n"/>
      <c r="E949" s="145" t="n"/>
      <c r="F949" s="145" t="n"/>
      <c r="G949" s="145" t="n"/>
      <c r="H949" s="145" t="n"/>
      <c r="I949" s="145" t="n"/>
      <c r="J949" s="145" t="n"/>
      <c r="K949" s="145" t="n"/>
      <c r="L949" s="145" t="n"/>
      <c r="M949" s="145" t="n"/>
      <c r="N949" s="145" t="n"/>
      <c r="O949" s="140" t="n"/>
      <c r="P949" s="140" t="n"/>
      <c r="Q949" s="140" t="n"/>
      <c r="R949" s="140" t="n"/>
      <c r="S949" s="140" t="n"/>
      <c r="T949" s="141" t="n"/>
      <c r="U949" s="129" t="n"/>
      <c r="V949" s="129" t="n"/>
      <c r="W949" s="145" t="n"/>
      <c r="X949" s="145" t="n"/>
      <c r="Y949" s="145" t="n"/>
      <c r="Z949" s="145" t="n"/>
    </row>
    <row r="950" ht="45.75" customHeight="1" s="222">
      <c r="A950" s="145" t="n"/>
      <c r="B950" s="145" t="n"/>
      <c r="C950" s="145" t="n"/>
      <c r="D950" s="145" t="n"/>
      <c r="E950" s="145" t="n"/>
      <c r="F950" s="145" t="n"/>
      <c r="G950" s="145" t="n"/>
      <c r="H950" s="145" t="n"/>
      <c r="I950" s="145" t="n"/>
      <c r="J950" s="145" t="n"/>
      <c r="K950" s="145" t="n"/>
      <c r="L950" s="145" t="n"/>
      <c r="M950" s="145" t="n"/>
      <c r="N950" s="145" t="n"/>
      <c r="O950" s="140" t="n"/>
      <c r="P950" s="140" t="n"/>
      <c r="Q950" s="140" t="n"/>
      <c r="R950" s="140" t="n"/>
      <c r="S950" s="140" t="n"/>
      <c r="T950" s="141" t="n"/>
      <c r="U950" s="129" t="n"/>
      <c r="V950" s="129" t="n"/>
      <c r="W950" s="145" t="n"/>
      <c r="X950" s="145" t="n"/>
      <c r="Y950" s="145" t="n"/>
      <c r="Z950" s="145" t="n"/>
    </row>
    <row r="951" ht="45.75" customHeight="1" s="222">
      <c r="A951" s="145" t="n"/>
      <c r="B951" s="145" t="n"/>
      <c r="C951" s="145" t="n"/>
      <c r="D951" s="145" t="n"/>
      <c r="E951" s="145" t="n"/>
      <c r="F951" s="145" t="n"/>
      <c r="G951" s="145" t="n"/>
      <c r="H951" s="145" t="n"/>
      <c r="I951" s="145" t="n"/>
      <c r="J951" s="145" t="n"/>
      <c r="K951" s="145" t="n"/>
      <c r="L951" s="145" t="n"/>
      <c r="M951" s="145" t="n"/>
      <c r="N951" s="145" t="n"/>
      <c r="O951" s="140" t="n"/>
      <c r="P951" s="140" t="n"/>
      <c r="Q951" s="140" t="n"/>
      <c r="R951" s="140" t="n"/>
      <c r="S951" s="140" t="n"/>
      <c r="T951" s="141" t="n"/>
      <c r="U951" s="129" t="n"/>
      <c r="V951" s="129" t="n"/>
      <c r="W951" s="145" t="n"/>
      <c r="X951" s="145" t="n"/>
      <c r="Y951" s="145" t="n"/>
      <c r="Z951" s="145" t="n"/>
    </row>
    <row r="952" ht="45.75" customHeight="1" s="222">
      <c r="A952" s="145" t="n"/>
      <c r="B952" s="145" t="n"/>
      <c r="C952" s="145" t="n"/>
      <c r="D952" s="145" t="n"/>
      <c r="E952" s="145" t="n"/>
      <c r="F952" s="145" t="n"/>
      <c r="G952" s="145" t="n"/>
      <c r="H952" s="145" t="n"/>
      <c r="I952" s="145" t="n"/>
      <c r="J952" s="145" t="n"/>
      <c r="K952" s="145" t="n"/>
      <c r="L952" s="145" t="n"/>
      <c r="M952" s="145" t="n"/>
      <c r="N952" s="145" t="n"/>
      <c r="O952" s="140" t="n"/>
      <c r="P952" s="140" t="n"/>
      <c r="Q952" s="140" t="n"/>
      <c r="R952" s="140" t="n"/>
      <c r="S952" s="140" t="n"/>
      <c r="T952" s="141" t="n"/>
      <c r="U952" s="129" t="n"/>
      <c r="V952" s="129" t="n"/>
      <c r="W952" s="145" t="n"/>
      <c r="X952" s="145" t="n"/>
      <c r="Y952" s="145" t="n"/>
      <c r="Z952" s="145" t="n"/>
    </row>
    <row r="953" ht="45.75" customHeight="1" s="222">
      <c r="A953" s="145" t="n"/>
      <c r="B953" s="145" t="n"/>
      <c r="C953" s="145" t="n"/>
      <c r="D953" s="145" t="n"/>
      <c r="E953" s="145" t="n"/>
      <c r="F953" s="145" t="n"/>
      <c r="G953" s="145" t="n"/>
      <c r="H953" s="145" t="n"/>
      <c r="I953" s="145" t="n"/>
      <c r="J953" s="145" t="n"/>
      <c r="K953" s="145" t="n"/>
      <c r="L953" s="145" t="n"/>
      <c r="M953" s="145" t="n"/>
      <c r="N953" s="145" t="n"/>
      <c r="O953" s="140" t="n"/>
      <c r="P953" s="140" t="n"/>
      <c r="Q953" s="140" t="n"/>
      <c r="R953" s="140" t="n"/>
      <c r="S953" s="140" t="n"/>
      <c r="T953" s="141" t="n"/>
      <c r="U953" s="129" t="n"/>
      <c r="V953" s="129" t="n"/>
      <c r="W953" s="145" t="n"/>
      <c r="X953" s="145" t="n"/>
      <c r="Y953" s="145" t="n"/>
      <c r="Z953" s="145" t="n"/>
    </row>
    <row r="954" ht="45.75" customHeight="1" s="222">
      <c r="A954" s="145" t="n"/>
      <c r="B954" s="145" t="n"/>
      <c r="C954" s="145" t="n"/>
      <c r="D954" s="145" t="n"/>
      <c r="E954" s="145" t="n"/>
      <c r="F954" s="145" t="n"/>
      <c r="G954" s="145" t="n"/>
      <c r="H954" s="145" t="n"/>
      <c r="I954" s="145" t="n"/>
      <c r="J954" s="145" t="n"/>
      <c r="K954" s="145" t="n"/>
      <c r="L954" s="145" t="n"/>
      <c r="M954" s="145" t="n"/>
      <c r="N954" s="145" t="n"/>
      <c r="O954" s="140" t="n"/>
      <c r="P954" s="140" t="n"/>
      <c r="Q954" s="140" t="n"/>
      <c r="R954" s="140" t="n"/>
      <c r="S954" s="140" t="n"/>
      <c r="T954" s="141" t="n"/>
      <c r="U954" s="129" t="n"/>
      <c r="V954" s="129" t="n"/>
      <c r="W954" s="145" t="n"/>
      <c r="X954" s="145" t="n"/>
      <c r="Y954" s="145" t="n"/>
      <c r="Z954" s="145" t="n"/>
    </row>
    <row r="955" ht="45.75" customHeight="1" s="222">
      <c r="A955" s="145" t="n"/>
      <c r="B955" s="145" t="n"/>
      <c r="C955" s="145" t="n"/>
      <c r="D955" s="145" t="n"/>
      <c r="E955" s="145" t="n"/>
      <c r="F955" s="145" t="n"/>
      <c r="G955" s="145" t="n"/>
      <c r="H955" s="145" t="n"/>
      <c r="I955" s="145" t="n"/>
      <c r="J955" s="145" t="n"/>
      <c r="K955" s="145" t="n"/>
      <c r="L955" s="145" t="n"/>
      <c r="M955" s="145" t="n"/>
      <c r="N955" s="145" t="n"/>
      <c r="O955" s="140" t="n"/>
      <c r="P955" s="140" t="n"/>
      <c r="Q955" s="140" t="n"/>
      <c r="R955" s="140" t="n"/>
      <c r="S955" s="140" t="n"/>
      <c r="T955" s="141" t="n"/>
      <c r="U955" s="129" t="n"/>
      <c r="V955" s="129" t="n"/>
      <c r="W955" s="145" t="n"/>
      <c r="X955" s="145" t="n"/>
      <c r="Y955" s="145" t="n"/>
      <c r="Z955" s="145" t="n"/>
    </row>
    <row r="956" ht="45.75" customHeight="1" s="222">
      <c r="A956" s="145" t="n"/>
      <c r="B956" s="145" t="n"/>
      <c r="C956" s="145" t="n"/>
      <c r="D956" s="145" t="n"/>
      <c r="E956" s="145" t="n"/>
      <c r="F956" s="145" t="n"/>
      <c r="G956" s="145" t="n"/>
      <c r="H956" s="145" t="n"/>
      <c r="I956" s="145" t="n"/>
      <c r="J956" s="145" t="n"/>
      <c r="K956" s="145" t="n"/>
      <c r="L956" s="145" t="n"/>
      <c r="M956" s="145" t="n"/>
      <c r="N956" s="145" t="n"/>
      <c r="O956" s="140" t="n"/>
      <c r="P956" s="140" t="n"/>
      <c r="Q956" s="140" t="n"/>
      <c r="R956" s="140" t="n"/>
      <c r="S956" s="140" t="n"/>
      <c r="T956" s="141" t="n"/>
      <c r="U956" s="129" t="n"/>
      <c r="V956" s="129" t="n"/>
      <c r="W956" s="145" t="n"/>
      <c r="X956" s="145" t="n"/>
      <c r="Y956" s="145" t="n"/>
      <c r="Z956" s="145" t="n"/>
    </row>
    <row r="957" ht="45.75" customHeight="1" s="222">
      <c r="A957" s="145" t="n"/>
      <c r="B957" s="145" t="n"/>
      <c r="C957" s="145" t="n"/>
      <c r="D957" s="145" t="n"/>
      <c r="E957" s="145" t="n"/>
      <c r="F957" s="145" t="n"/>
      <c r="G957" s="145" t="n"/>
      <c r="H957" s="145" t="n"/>
      <c r="I957" s="145" t="n"/>
      <c r="J957" s="145" t="n"/>
      <c r="K957" s="145" t="n"/>
      <c r="L957" s="145" t="n"/>
      <c r="M957" s="145" t="n"/>
      <c r="N957" s="145" t="n"/>
      <c r="O957" s="140" t="n"/>
      <c r="P957" s="140" t="n"/>
      <c r="Q957" s="140" t="n"/>
      <c r="R957" s="140" t="n"/>
      <c r="S957" s="140" t="n"/>
      <c r="T957" s="141" t="n"/>
      <c r="U957" s="129" t="n"/>
      <c r="V957" s="129" t="n"/>
      <c r="W957" s="145" t="n"/>
      <c r="X957" s="145" t="n"/>
      <c r="Y957" s="145" t="n"/>
      <c r="Z957" s="145" t="n"/>
    </row>
    <row r="958" ht="45.75" customHeight="1" s="222">
      <c r="A958" s="145" t="n"/>
      <c r="B958" s="145" t="n"/>
      <c r="C958" s="145" t="n"/>
      <c r="D958" s="145" t="n"/>
      <c r="E958" s="145" t="n"/>
      <c r="F958" s="145" t="n"/>
      <c r="G958" s="145" t="n"/>
      <c r="H958" s="145" t="n"/>
      <c r="I958" s="145" t="n"/>
      <c r="J958" s="145" t="n"/>
      <c r="K958" s="145" t="n"/>
      <c r="L958" s="145" t="n"/>
      <c r="M958" s="145" t="n"/>
      <c r="N958" s="145" t="n"/>
      <c r="O958" s="140" t="n"/>
      <c r="P958" s="140" t="n"/>
      <c r="Q958" s="140" t="n"/>
      <c r="R958" s="140" t="n"/>
      <c r="S958" s="140" t="n"/>
      <c r="T958" s="141" t="n"/>
      <c r="U958" s="129" t="n"/>
      <c r="V958" s="129" t="n"/>
      <c r="W958" s="145" t="n"/>
      <c r="X958" s="145" t="n"/>
      <c r="Y958" s="145" t="n"/>
      <c r="Z958" s="145" t="n"/>
    </row>
    <row r="959" ht="45.75" customHeight="1" s="222">
      <c r="A959" s="145" t="n"/>
      <c r="B959" s="145" t="n"/>
      <c r="C959" s="145" t="n"/>
      <c r="D959" s="145" t="n"/>
      <c r="E959" s="145" t="n"/>
      <c r="F959" s="145" t="n"/>
      <c r="G959" s="145" t="n"/>
      <c r="H959" s="145" t="n"/>
      <c r="I959" s="145" t="n"/>
      <c r="J959" s="145" t="n"/>
      <c r="K959" s="145" t="n"/>
      <c r="L959" s="145" t="n"/>
      <c r="M959" s="145" t="n"/>
      <c r="N959" s="145" t="n"/>
      <c r="O959" s="140" t="n"/>
      <c r="P959" s="140" t="n"/>
      <c r="Q959" s="140" t="n"/>
      <c r="R959" s="140" t="n"/>
      <c r="S959" s="140" t="n"/>
      <c r="T959" s="141" t="n"/>
      <c r="U959" s="129" t="n"/>
      <c r="V959" s="129" t="n"/>
      <c r="W959" s="145" t="n"/>
      <c r="X959" s="145" t="n"/>
      <c r="Y959" s="145" t="n"/>
      <c r="Z959" s="145" t="n"/>
    </row>
    <row r="960" ht="45.75" customHeight="1" s="222">
      <c r="A960" s="145" t="n"/>
      <c r="B960" s="145" t="n"/>
      <c r="C960" s="145" t="n"/>
      <c r="D960" s="145" t="n"/>
      <c r="E960" s="145" t="n"/>
      <c r="F960" s="145" t="n"/>
      <c r="G960" s="145" t="n"/>
      <c r="H960" s="145" t="n"/>
      <c r="I960" s="145" t="n"/>
      <c r="J960" s="145" t="n"/>
      <c r="K960" s="145" t="n"/>
      <c r="L960" s="145" t="n"/>
      <c r="M960" s="145" t="n"/>
      <c r="N960" s="145" t="n"/>
      <c r="O960" s="140" t="n"/>
      <c r="P960" s="140" t="n"/>
      <c r="Q960" s="140" t="n"/>
      <c r="R960" s="140" t="n"/>
      <c r="S960" s="140" t="n"/>
      <c r="T960" s="141" t="n"/>
      <c r="U960" s="129" t="n"/>
      <c r="V960" s="129" t="n"/>
      <c r="W960" s="145" t="n"/>
      <c r="X960" s="145" t="n"/>
      <c r="Y960" s="145" t="n"/>
      <c r="Z960" s="145" t="n"/>
    </row>
    <row r="961" ht="45.75" customHeight="1" s="222">
      <c r="A961" s="145" t="n"/>
      <c r="B961" s="145" t="n"/>
      <c r="C961" s="145" t="n"/>
      <c r="D961" s="145" t="n"/>
      <c r="E961" s="145" t="n"/>
      <c r="F961" s="145" t="n"/>
      <c r="G961" s="145" t="n"/>
      <c r="H961" s="145" t="n"/>
      <c r="I961" s="145" t="n"/>
      <c r="J961" s="145" t="n"/>
      <c r="K961" s="145" t="n"/>
      <c r="L961" s="145" t="n"/>
      <c r="M961" s="145" t="n"/>
      <c r="N961" s="145" t="n"/>
      <c r="O961" s="140" t="n"/>
      <c r="P961" s="140" t="n"/>
      <c r="Q961" s="140" t="n"/>
      <c r="R961" s="140" t="n"/>
      <c r="S961" s="140" t="n"/>
      <c r="T961" s="141" t="n"/>
      <c r="U961" s="129" t="n"/>
      <c r="V961" s="129" t="n"/>
      <c r="W961" s="145" t="n"/>
      <c r="X961" s="145" t="n"/>
      <c r="Y961" s="145" t="n"/>
      <c r="Z961" s="145" t="n"/>
    </row>
    <row r="962" ht="45.75" customHeight="1" s="222">
      <c r="A962" s="145" t="n"/>
      <c r="B962" s="145" t="n"/>
      <c r="C962" s="145" t="n"/>
      <c r="D962" s="145" t="n"/>
      <c r="E962" s="145" t="n"/>
      <c r="F962" s="145" t="n"/>
      <c r="G962" s="145" t="n"/>
      <c r="H962" s="145" t="n"/>
      <c r="I962" s="145" t="n"/>
      <c r="J962" s="145" t="n"/>
      <c r="K962" s="145" t="n"/>
      <c r="L962" s="145" t="n"/>
      <c r="M962" s="145" t="n"/>
      <c r="N962" s="145" t="n"/>
      <c r="O962" s="140" t="n"/>
      <c r="P962" s="140" t="n"/>
      <c r="Q962" s="140" t="n"/>
      <c r="R962" s="140" t="n"/>
      <c r="S962" s="140" t="n"/>
      <c r="T962" s="141" t="n"/>
      <c r="U962" s="129" t="n"/>
      <c r="V962" s="129" t="n"/>
      <c r="W962" s="145" t="n"/>
      <c r="X962" s="145" t="n"/>
      <c r="Y962" s="145" t="n"/>
      <c r="Z962" s="145" t="n"/>
    </row>
    <row r="963" ht="45.75" customHeight="1" s="222">
      <c r="A963" s="145" t="n"/>
      <c r="B963" s="145" t="n"/>
      <c r="C963" s="145" t="n"/>
      <c r="D963" s="145" t="n"/>
      <c r="E963" s="145" t="n"/>
      <c r="F963" s="145" t="n"/>
      <c r="G963" s="145" t="n"/>
      <c r="H963" s="145" t="n"/>
      <c r="I963" s="145" t="n"/>
      <c r="J963" s="145" t="n"/>
      <c r="K963" s="145" t="n"/>
      <c r="L963" s="145" t="n"/>
      <c r="M963" s="145" t="n"/>
      <c r="N963" s="145" t="n"/>
      <c r="O963" s="140" t="n"/>
      <c r="P963" s="140" t="n"/>
      <c r="Q963" s="140" t="n"/>
      <c r="R963" s="140" t="n"/>
      <c r="S963" s="140" t="n"/>
      <c r="T963" s="141" t="n"/>
      <c r="U963" s="129" t="n"/>
      <c r="V963" s="129" t="n"/>
      <c r="W963" s="145" t="n"/>
      <c r="X963" s="145" t="n"/>
      <c r="Y963" s="145" t="n"/>
      <c r="Z963" s="145" t="n"/>
    </row>
    <row r="964" ht="45.75" customHeight="1" s="222">
      <c r="A964" s="145" t="n"/>
      <c r="B964" s="145" t="n"/>
      <c r="C964" s="145" t="n"/>
      <c r="D964" s="145" t="n"/>
      <c r="E964" s="145" t="n"/>
      <c r="F964" s="145" t="n"/>
      <c r="G964" s="145" t="n"/>
      <c r="H964" s="145" t="n"/>
      <c r="I964" s="145" t="n"/>
      <c r="J964" s="145" t="n"/>
      <c r="K964" s="145" t="n"/>
      <c r="L964" s="145" t="n"/>
      <c r="M964" s="145" t="n"/>
      <c r="N964" s="145" t="n"/>
      <c r="O964" s="140" t="n"/>
      <c r="P964" s="140" t="n"/>
      <c r="Q964" s="140" t="n"/>
      <c r="R964" s="140" t="n"/>
      <c r="S964" s="140" t="n"/>
      <c r="T964" s="141" t="n"/>
      <c r="U964" s="129" t="n"/>
      <c r="V964" s="129" t="n"/>
      <c r="W964" s="145" t="n"/>
      <c r="X964" s="145" t="n"/>
      <c r="Y964" s="145" t="n"/>
      <c r="Z964" s="145" t="n"/>
    </row>
    <row r="965" ht="45.75" customHeight="1" s="222">
      <c r="A965" s="145" t="n"/>
      <c r="B965" s="145" t="n"/>
      <c r="C965" s="145" t="n"/>
      <c r="D965" s="145" t="n"/>
      <c r="E965" s="145" t="n"/>
      <c r="F965" s="145" t="n"/>
      <c r="G965" s="145" t="n"/>
      <c r="H965" s="145" t="n"/>
      <c r="I965" s="145" t="n"/>
      <c r="J965" s="145" t="n"/>
      <c r="K965" s="145" t="n"/>
      <c r="L965" s="145" t="n"/>
      <c r="M965" s="145" t="n"/>
      <c r="N965" s="145" t="n"/>
      <c r="O965" s="140" t="n"/>
      <c r="P965" s="140" t="n"/>
      <c r="Q965" s="140" t="n"/>
      <c r="R965" s="140" t="n"/>
      <c r="S965" s="140" t="n"/>
      <c r="T965" s="141" t="n"/>
      <c r="U965" s="129" t="n"/>
      <c r="V965" s="129" t="n"/>
      <c r="W965" s="145" t="n"/>
      <c r="X965" s="145" t="n"/>
      <c r="Y965" s="145" t="n"/>
      <c r="Z965" s="145" t="n"/>
    </row>
    <row r="966" ht="45.75" customHeight="1" s="222">
      <c r="A966" s="145" t="n"/>
      <c r="B966" s="145" t="n"/>
      <c r="C966" s="145" t="n"/>
      <c r="D966" s="145" t="n"/>
      <c r="E966" s="145" t="n"/>
      <c r="F966" s="145" t="n"/>
      <c r="G966" s="145" t="n"/>
      <c r="H966" s="145" t="n"/>
      <c r="I966" s="145" t="n"/>
      <c r="J966" s="145" t="n"/>
      <c r="K966" s="145" t="n"/>
      <c r="L966" s="145" t="n"/>
      <c r="M966" s="145" t="n"/>
      <c r="N966" s="145" t="n"/>
      <c r="O966" s="140" t="n"/>
      <c r="P966" s="140" t="n"/>
      <c r="Q966" s="140" t="n"/>
      <c r="R966" s="140" t="n"/>
      <c r="S966" s="140" t="n"/>
      <c r="T966" s="141" t="n"/>
      <c r="U966" s="129" t="n"/>
      <c r="V966" s="129" t="n"/>
      <c r="W966" s="145" t="n"/>
      <c r="X966" s="145" t="n"/>
      <c r="Y966" s="145" t="n"/>
      <c r="Z966" s="145" t="n"/>
    </row>
    <row r="967" ht="45.75" customHeight="1" s="222">
      <c r="A967" s="145" t="n"/>
      <c r="B967" s="145" t="n"/>
      <c r="C967" s="145" t="n"/>
      <c r="D967" s="145" t="n"/>
      <c r="E967" s="145" t="n"/>
      <c r="F967" s="145" t="n"/>
      <c r="G967" s="145" t="n"/>
      <c r="H967" s="145" t="n"/>
      <c r="I967" s="145" t="n"/>
      <c r="J967" s="145" t="n"/>
      <c r="K967" s="145" t="n"/>
      <c r="L967" s="145" t="n"/>
      <c r="M967" s="145" t="n"/>
      <c r="N967" s="145" t="n"/>
      <c r="O967" s="140" t="n"/>
      <c r="P967" s="140" t="n"/>
      <c r="Q967" s="140" t="n"/>
      <c r="R967" s="140" t="n"/>
      <c r="S967" s="140" t="n"/>
      <c r="T967" s="141" t="n"/>
      <c r="U967" s="129" t="n"/>
      <c r="V967" s="129" t="n"/>
      <c r="W967" s="145" t="n"/>
      <c r="X967" s="145" t="n"/>
      <c r="Y967" s="145" t="n"/>
      <c r="Z967" s="145" t="n"/>
    </row>
    <row r="968" ht="45.75" customHeight="1" s="222">
      <c r="A968" s="145" t="n"/>
      <c r="B968" s="145" t="n"/>
      <c r="C968" s="145" t="n"/>
      <c r="D968" s="145" t="n"/>
      <c r="E968" s="145" t="n"/>
      <c r="F968" s="145" t="n"/>
      <c r="G968" s="145" t="n"/>
      <c r="H968" s="145" t="n"/>
      <c r="I968" s="145" t="n"/>
      <c r="J968" s="145" t="n"/>
      <c r="K968" s="145" t="n"/>
      <c r="L968" s="145" t="n"/>
      <c r="M968" s="145" t="n"/>
      <c r="N968" s="145" t="n"/>
      <c r="O968" s="140" t="n"/>
      <c r="P968" s="140" t="n"/>
      <c r="Q968" s="140" t="n"/>
      <c r="R968" s="140" t="n"/>
      <c r="S968" s="140" t="n"/>
      <c r="T968" s="141" t="n"/>
      <c r="U968" s="129" t="n"/>
      <c r="V968" s="129" t="n"/>
      <c r="W968" s="145" t="n"/>
      <c r="X968" s="145" t="n"/>
      <c r="Y968" s="145" t="n"/>
      <c r="Z968" s="145" t="n"/>
    </row>
    <row r="969" ht="45.75" customHeight="1" s="222">
      <c r="A969" s="145" t="n"/>
      <c r="B969" s="145" t="n"/>
      <c r="C969" s="145" t="n"/>
      <c r="D969" s="145" t="n"/>
      <c r="E969" s="145" t="n"/>
      <c r="F969" s="145" t="n"/>
      <c r="G969" s="145" t="n"/>
      <c r="H969" s="145" t="n"/>
      <c r="I969" s="145" t="n"/>
      <c r="J969" s="145" t="n"/>
      <c r="K969" s="145" t="n"/>
      <c r="L969" s="145" t="n"/>
      <c r="M969" s="145" t="n"/>
      <c r="N969" s="145" t="n"/>
      <c r="O969" s="140" t="n"/>
      <c r="P969" s="140" t="n"/>
      <c r="Q969" s="140" t="n"/>
      <c r="R969" s="140" t="n"/>
      <c r="S969" s="140" t="n"/>
      <c r="T969" s="141" t="n"/>
      <c r="U969" s="129" t="n"/>
      <c r="V969" s="129" t="n"/>
      <c r="W969" s="145" t="n"/>
      <c r="X969" s="145" t="n"/>
      <c r="Y969" s="145" t="n"/>
      <c r="Z969" s="145" t="n"/>
    </row>
    <row r="970" ht="45.75" customHeight="1" s="222">
      <c r="A970" s="145" t="n"/>
      <c r="B970" s="145" t="n"/>
      <c r="C970" s="145" t="n"/>
      <c r="D970" s="145" t="n"/>
      <c r="E970" s="145" t="n"/>
      <c r="F970" s="145" t="n"/>
      <c r="G970" s="145" t="n"/>
      <c r="H970" s="145" t="n"/>
      <c r="I970" s="145" t="n"/>
      <c r="J970" s="145" t="n"/>
      <c r="K970" s="145" t="n"/>
      <c r="L970" s="145" t="n"/>
      <c r="M970" s="145" t="n"/>
      <c r="N970" s="145" t="n"/>
      <c r="O970" s="140" t="n"/>
      <c r="P970" s="140" t="n"/>
      <c r="Q970" s="140" t="n"/>
      <c r="R970" s="140" t="n"/>
      <c r="S970" s="140" t="n"/>
      <c r="T970" s="141" t="n"/>
      <c r="U970" s="129" t="n"/>
      <c r="V970" s="129" t="n"/>
      <c r="W970" s="145" t="n"/>
      <c r="X970" s="145" t="n"/>
      <c r="Y970" s="145" t="n"/>
      <c r="Z970" s="145" t="n"/>
    </row>
    <row r="971" ht="45.75" customHeight="1" s="222">
      <c r="A971" s="145" t="n"/>
      <c r="B971" s="145" t="n"/>
      <c r="C971" s="145" t="n"/>
      <c r="D971" s="145" t="n"/>
      <c r="E971" s="145" t="n"/>
      <c r="F971" s="145" t="n"/>
      <c r="G971" s="145" t="n"/>
      <c r="H971" s="145" t="n"/>
      <c r="I971" s="145" t="n"/>
      <c r="J971" s="145" t="n"/>
      <c r="K971" s="145" t="n"/>
      <c r="L971" s="145" t="n"/>
      <c r="M971" s="145" t="n"/>
      <c r="N971" s="145" t="n"/>
      <c r="O971" s="140" t="n"/>
      <c r="P971" s="140" t="n"/>
      <c r="Q971" s="140" t="n"/>
      <c r="R971" s="140" t="n"/>
      <c r="S971" s="140" t="n"/>
      <c r="T971" s="141" t="n"/>
      <c r="U971" s="129" t="n"/>
      <c r="V971" s="129" t="n"/>
      <c r="W971" s="145" t="n"/>
      <c r="X971" s="145" t="n"/>
      <c r="Y971" s="145" t="n"/>
      <c r="Z971" s="145" t="n"/>
    </row>
    <row r="972" ht="45.75" customHeight="1" s="222">
      <c r="A972" s="145" t="n"/>
      <c r="B972" s="145" t="n"/>
      <c r="C972" s="145" t="n"/>
      <c r="D972" s="145" t="n"/>
      <c r="E972" s="145" t="n"/>
      <c r="F972" s="145" t="n"/>
      <c r="G972" s="145" t="n"/>
      <c r="H972" s="145" t="n"/>
      <c r="I972" s="145" t="n"/>
      <c r="J972" s="145" t="n"/>
      <c r="K972" s="145" t="n"/>
      <c r="L972" s="145" t="n"/>
      <c r="M972" s="145" t="n"/>
      <c r="N972" s="145" t="n"/>
      <c r="O972" s="140" t="n"/>
      <c r="P972" s="140" t="n"/>
      <c r="Q972" s="140" t="n"/>
      <c r="R972" s="140" t="n"/>
      <c r="S972" s="140" t="n"/>
      <c r="T972" s="141" t="n"/>
      <c r="U972" s="129" t="n"/>
      <c r="V972" s="129" t="n"/>
      <c r="W972" s="145" t="n"/>
      <c r="X972" s="145" t="n"/>
      <c r="Y972" s="145" t="n"/>
      <c r="Z972" s="145" t="n"/>
    </row>
    <row r="973" ht="45.75" customHeight="1" s="222">
      <c r="A973" s="145" t="n"/>
      <c r="B973" s="145" t="n"/>
      <c r="C973" s="145" t="n"/>
      <c r="D973" s="145" t="n"/>
      <c r="E973" s="145" t="n"/>
      <c r="F973" s="145" t="n"/>
      <c r="G973" s="145" t="n"/>
      <c r="H973" s="145" t="n"/>
      <c r="I973" s="145" t="n"/>
      <c r="J973" s="145" t="n"/>
      <c r="K973" s="145" t="n"/>
      <c r="L973" s="145" t="n"/>
      <c r="M973" s="145" t="n"/>
      <c r="N973" s="145" t="n"/>
      <c r="O973" s="140" t="n"/>
      <c r="P973" s="140" t="n"/>
      <c r="Q973" s="140" t="n"/>
      <c r="R973" s="140" t="n"/>
      <c r="S973" s="140" t="n"/>
      <c r="T973" s="141" t="n"/>
      <c r="U973" s="129" t="n"/>
      <c r="V973" s="129" t="n"/>
      <c r="W973" s="145" t="n"/>
      <c r="X973" s="145" t="n"/>
      <c r="Y973" s="145" t="n"/>
      <c r="Z973" s="145" t="n"/>
    </row>
    <row r="974" ht="45.75" customHeight="1" s="222">
      <c r="A974" s="145" t="n"/>
      <c r="B974" s="145" t="n"/>
      <c r="C974" s="145" t="n"/>
      <c r="D974" s="145" t="n"/>
      <c r="E974" s="145" t="n"/>
      <c r="F974" s="145" t="n"/>
      <c r="G974" s="145" t="n"/>
      <c r="H974" s="145" t="n"/>
      <c r="I974" s="145" t="n"/>
      <c r="J974" s="145" t="n"/>
      <c r="K974" s="145" t="n"/>
      <c r="L974" s="145" t="n"/>
      <c r="M974" s="145" t="n"/>
      <c r="N974" s="145" t="n"/>
      <c r="O974" s="140" t="n"/>
      <c r="P974" s="140" t="n"/>
      <c r="Q974" s="140" t="n"/>
      <c r="R974" s="140" t="n"/>
      <c r="S974" s="140" t="n"/>
      <c r="T974" s="141" t="n"/>
      <c r="U974" s="129" t="n"/>
      <c r="V974" s="129" t="n"/>
      <c r="W974" s="145" t="n"/>
      <c r="X974" s="145" t="n"/>
      <c r="Y974" s="145" t="n"/>
      <c r="Z974" s="145" t="n"/>
    </row>
    <row r="975" ht="45.75" customHeight="1" s="222">
      <c r="A975" s="145" t="n"/>
      <c r="B975" s="145" t="n"/>
      <c r="C975" s="145" t="n"/>
      <c r="D975" s="145" t="n"/>
      <c r="E975" s="145" t="n"/>
      <c r="F975" s="145" t="n"/>
      <c r="G975" s="145" t="n"/>
      <c r="H975" s="145" t="n"/>
      <c r="I975" s="145" t="n"/>
      <c r="J975" s="145" t="n"/>
      <c r="K975" s="145" t="n"/>
      <c r="L975" s="145" t="n"/>
      <c r="M975" s="145" t="n"/>
      <c r="N975" s="145" t="n"/>
      <c r="O975" s="140" t="n"/>
      <c r="P975" s="140" t="n"/>
      <c r="Q975" s="140" t="n"/>
      <c r="R975" s="140" t="n"/>
      <c r="S975" s="140" t="n"/>
      <c r="T975" s="141" t="n"/>
      <c r="U975" s="129" t="n"/>
      <c r="V975" s="129" t="n"/>
      <c r="W975" s="145" t="n"/>
      <c r="X975" s="145" t="n"/>
      <c r="Y975" s="145" t="n"/>
      <c r="Z975" s="145" t="n"/>
    </row>
    <row r="976" ht="45.75" customHeight="1" s="222">
      <c r="A976" s="145" t="n"/>
      <c r="B976" s="145" t="n"/>
      <c r="C976" s="145" t="n"/>
      <c r="D976" s="145" t="n"/>
      <c r="E976" s="145" t="n"/>
      <c r="F976" s="145" t="n"/>
      <c r="G976" s="145" t="n"/>
      <c r="H976" s="145" t="n"/>
      <c r="I976" s="145" t="n"/>
      <c r="J976" s="145" t="n"/>
      <c r="K976" s="145" t="n"/>
      <c r="L976" s="145" t="n"/>
      <c r="M976" s="145" t="n"/>
      <c r="N976" s="145" t="n"/>
      <c r="O976" s="140" t="n"/>
      <c r="P976" s="140" t="n"/>
      <c r="Q976" s="140" t="n"/>
      <c r="R976" s="140" t="n"/>
      <c r="S976" s="140" t="n"/>
      <c r="T976" s="141" t="n"/>
      <c r="U976" s="129" t="n"/>
      <c r="V976" s="129" t="n"/>
      <c r="W976" s="145" t="n"/>
      <c r="X976" s="145" t="n"/>
      <c r="Y976" s="145" t="n"/>
      <c r="Z976" s="145" t="n"/>
    </row>
    <row r="977" ht="45.75" customHeight="1" s="222">
      <c r="A977" s="145" t="n"/>
      <c r="B977" s="145" t="n"/>
      <c r="C977" s="145" t="n"/>
      <c r="D977" s="145" t="n"/>
      <c r="E977" s="145" t="n"/>
      <c r="F977" s="145" t="n"/>
      <c r="G977" s="145" t="n"/>
      <c r="H977" s="145" t="n"/>
      <c r="I977" s="145" t="n"/>
      <c r="J977" s="145" t="n"/>
      <c r="K977" s="145" t="n"/>
      <c r="L977" s="145" t="n"/>
      <c r="M977" s="145" t="n"/>
      <c r="N977" s="145" t="n"/>
      <c r="O977" s="140" t="n"/>
      <c r="P977" s="140" t="n"/>
      <c r="Q977" s="140" t="n"/>
      <c r="R977" s="140" t="n"/>
      <c r="S977" s="140" t="n"/>
      <c r="T977" s="141" t="n"/>
      <c r="U977" s="129" t="n"/>
      <c r="V977" s="129" t="n"/>
      <c r="W977" s="145" t="n"/>
      <c r="X977" s="145" t="n"/>
      <c r="Y977" s="145" t="n"/>
      <c r="Z977" s="145" t="n"/>
    </row>
    <row r="978" ht="45.75" customHeight="1" s="222">
      <c r="A978" s="145" t="n"/>
      <c r="B978" s="145" t="n"/>
      <c r="C978" s="145" t="n"/>
      <c r="D978" s="145" t="n"/>
      <c r="E978" s="145" t="n"/>
      <c r="F978" s="145" t="n"/>
      <c r="G978" s="145" t="n"/>
      <c r="H978" s="145" t="n"/>
      <c r="I978" s="145" t="n"/>
      <c r="J978" s="145" t="n"/>
      <c r="K978" s="145" t="n"/>
      <c r="L978" s="145" t="n"/>
      <c r="M978" s="145" t="n"/>
      <c r="N978" s="145" t="n"/>
      <c r="O978" s="140" t="n"/>
      <c r="P978" s="140" t="n"/>
      <c r="Q978" s="140" t="n"/>
      <c r="R978" s="140" t="n"/>
      <c r="S978" s="140" t="n"/>
      <c r="T978" s="141" t="n"/>
      <c r="U978" s="129" t="n"/>
      <c r="V978" s="129" t="n"/>
      <c r="W978" s="145" t="n"/>
      <c r="X978" s="145" t="n"/>
      <c r="Y978" s="145" t="n"/>
      <c r="Z978" s="145" t="n"/>
    </row>
    <row r="979" ht="45.75" customHeight="1" s="222">
      <c r="A979" s="145" t="n"/>
      <c r="B979" s="145" t="n"/>
      <c r="C979" s="145" t="n"/>
      <c r="D979" s="145" t="n"/>
      <c r="E979" s="145" t="n"/>
      <c r="F979" s="145" t="n"/>
      <c r="G979" s="145" t="n"/>
      <c r="H979" s="145" t="n"/>
      <c r="I979" s="145" t="n"/>
      <c r="J979" s="145" t="n"/>
      <c r="K979" s="145" t="n"/>
      <c r="L979" s="145" t="n"/>
      <c r="M979" s="145" t="n"/>
      <c r="N979" s="145" t="n"/>
      <c r="O979" s="140" t="n"/>
      <c r="P979" s="140" t="n"/>
      <c r="Q979" s="140" t="n"/>
      <c r="R979" s="140" t="n"/>
      <c r="S979" s="140" t="n"/>
      <c r="T979" s="141" t="n"/>
      <c r="U979" s="129" t="n"/>
      <c r="V979" s="129" t="n"/>
      <c r="W979" s="145" t="n"/>
      <c r="X979" s="145" t="n"/>
      <c r="Y979" s="145" t="n"/>
      <c r="Z979" s="145" t="n"/>
    </row>
    <row r="980" ht="45.75" customHeight="1" s="222">
      <c r="A980" s="145" t="n"/>
      <c r="B980" s="145" t="n"/>
      <c r="C980" s="145" t="n"/>
      <c r="D980" s="145" t="n"/>
      <c r="E980" s="145" t="n"/>
      <c r="F980" s="145" t="n"/>
      <c r="G980" s="145" t="n"/>
      <c r="H980" s="145" t="n"/>
      <c r="I980" s="145" t="n"/>
      <c r="J980" s="145" t="n"/>
      <c r="K980" s="145" t="n"/>
      <c r="L980" s="145" t="n"/>
      <c r="M980" s="145" t="n"/>
      <c r="N980" s="145" t="n"/>
      <c r="O980" s="140" t="n"/>
      <c r="P980" s="140" t="n"/>
      <c r="Q980" s="140" t="n"/>
      <c r="R980" s="140" t="n"/>
      <c r="S980" s="140" t="n"/>
      <c r="T980" s="141" t="n"/>
      <c r="U980" s="129" t="n"/>
      <c r="V980" s="129" t="n"/>
      <c r="W980" s="145" t="n"/>
      <c r="X980" s="145" t="n"/>
      <c r="Y980" s="145" t="n"/>
      <c r="Z980" s="145" t="n"/>
    </row>
    <row r="981" ht="45.75" customHeight="1" s="222">
      <c r="A981" s="145" t="n"/>
      <c r="B981" s="145" t="n"/>
      <c r="C981" s="145" t="n"/>
      <c r="D981" s="145" t="n"/>
      <c r="E981" s="145" t="n"/>
      <c r="F981" s="145" t="n"/>
      <c r="G981" s="145" t="n"/>
      <c r="H981" s="145" t="n"/>
      <c r="I981" s="145" t="n"/>
      <c r="J981" s="145" t="n"/>
      <c r="K981" s="145" t="n"/>
      <c r="L981" s="145" t="n"/>
      <c r="M981" s="145" t="n"/>
      <c r="N981" s="145" t="n"/>
      <c r="O981" s="140" t="n"/>
      <c r="P981" s="140" t="n"/>
      <c r="Q981" s="140" t="n"/>
      <c r="R981" s="140" t="n"/>
      <c r="S981" s="140" t="n"/>
      <c r="T981" s="141" t="n"/>
      <c r="U981" s="129" t="n"/>
      <c r="V981" s="129" t="n"/>
      <c r="W981" s="145" t="n"/>
      <c r="X981" s="145" t="n"/>
      <c r="Y981" s="145" t="n"/>
      <c r="Z981" s="145" t="n"/>
    </row>
    <row r="982" ht="45.75" customHeight="1" s="222">
      <c r="A982" s="145" t="n"/>
      <c r="B982" s="145" t="n"/>
      <c r="C982" s="145" t="n"/>
      <c r="D982" s="145" t="n"/>
      <c r="E982" s="145" t="n"/>
      <c r="F982" s="145" t="n"/>
      <c r="G982" s="145" t="n"/>
      <c r="H982" s="145" t="n"/>
      <c r="I982" s="145" t="n"/>
      <c r="J982" s="145" t="n"/>
      <c r="K982" s="145" t="n"/>
      <c r="L982" s="145" t="n"/>
      <c r="M982" s="145" t="n"/>
      <c r="N982" s="145" t="n"/>
      <c r="O982" s="140" t="n"/>
      <c r="P982" s="140" t="n"/>
      <c r="Q982" s="140" t="n"/>
      <c r="R982" s="140" t="n"/>
      <c r="S982" s="140" t="n"/>
      <c r="T982" s="141" t="n"/>
      <c r="U982" s="129" t="n"/>
      <c r="V982" s="129" t="n"/>
      <c r="W982" s="145" t="n"/>
      <c r="X982" s="145" t="n"/>
      <c r="Y982" s="145" t="n"/>
      <c r="Z982" s="145" t="n"/>
    </row>
    <row r="983" ht="45.75" customHeight="1" s="222">
      <c r="A983" s="145" t="n"/>
      <c r="B983" s="145" t="n"/>
      <c r="C983" s="145" t="n"/>
      <c r="D983" s="145" t="n"/>
      <c r="E983" s="145" t="n"/>
      <c r="F983" s="145" t="n"/>
      <c r="G983" s="145" t="n"/>
      <c r="H983" s="145" t="n"/>
      <c r="I983" s="145" t="n"/>
      <c r="J983" s="145" t="n"/>
      <c r="K983" s="145" t="n"/>
      <c r="L983" s="145" t="n"/>
      <c r="M983" s="145" t="n"/>
      <c r="N983" s="145" t="n"/>
      <c r="O983" s="140" t="n"/>
      <c r="P983" s="140" t="n"/>
      <c r="Q983" s="140" t="n"/>
      <c r="R983" s="140" t="n"/>
      <c r="S983" s="140" t="n"/>
      <c r="T983" s="141" t="n"/>
      <c r="U983" s="129" t="n"/>
      <c r="V983" s="129" t="n"/>
      <c r="W983" s="145" t="n"/>
      <c r="X983" s="145" t="n"/>
      <c r="Y983" s="145" t="n"/>
      <c r="Z983" s="145" t="n"/>
    </row>
    <row r="984" ht="45.75" customHeight="1" s="222">
      <c r="A984" s="145" t="n"/>
      <c r="B984" s="145" t="n"/>
      <c r="C984" s="145" t="n"/>
      <c r="D984" s="145" t="n"/>
      <c r="E984" s="145" t="n"/>
      <c r="F984" s="145" t="n"/>
      <c r="G984" s="145" t="n"/>
      <c r="H984" s="145" t="n"/>
      <c r="I984" s="145" t="n"/>
      <c r="J984" s="145" t="n"/>
      <c r="K984" s="145" t="n"/>
      <c r="L984" s="145" t="n"/>
      <c r="M984" s="145" t="n"/>
      <c r="N984" s="145" t="n"/>
      <c r="O984" s="140" t="n"/>
      <c r="P984" s="140" t="n"/>
      <c r="Q984" s="140" t="n"/>
      <c r="R984" s="140" t="n"/>
      <c r="S984" s="140" t="n"/>
      <c r="T984" s="141" t="n"/>
      <c r="U984" s="129" t="n"/>
      <c r="V984" s="129" t="n"/>
      <c r="W984" s="145" t="n"/>
      <c r="X984" s="145" t="n"/>
      <c r="Y984" s="145" t="n"/>
      <c r="Z984" s="145" t="n"/>
    </row>
    <row r="985" ht="45.75" customHeight="1" s="222">
      <c r="A985" s="145" t="n"/>
      <c r="B985" s="145" t="n"/>
      <c r="C985" s="145" t="n"/>
      <c r="D985" s="145" t="n"/>
      <c r="E985" s="145" t="n"/>
      <c r="F985" s="145" t="n"/>
      <c r="G985" s="145" t="n"/>
      <c r="H985" s="145" t="n"/>
      <c r="I985" s="145" t="n"/>
      <c r="J985" s="145" t="n"/>
      <c r="K985" s="145" t="n"/>
      <c r="L985" s="145" t="n"/>
      <c r="M985" s="145" t="n"/>
      <c r="N985" s="145" t="n"/>
      <c r="O985" s="140" t="n"/>
      <c r="P985" s="140" t="n"/>
      <c r="Q985" s="140" t="n"/>
      <c r="R985" s="140" t="n"/>
      <c r="S985" s="140" t="n"/>
      <c r="T985" s="141" t="n"/>
      <c r="U985" s="129" t="n"/>
      <c r="V985" s="129" t="n"/>
      <c r="W985" s="145" t="n"/>
      <c r="X985" s="145" t="n"/>
      <c r="Y985" s="145" t="n"/>
      <c r="Z985" s="145" t="n"/>
    </row>
    <row r="986" ht="45.75" customHeight="1" s="222">
      <c r="A986" s="145" t="n"/>
      <c r="B986" s="145" t="n"/>
      <c r="C986" s="145" t="n"/>
      <c r="D986" s="145" t="n"/>
      <c r="E986" s="145" t="n"/>
      <c r="F986" s="145" t="n"/>
      <c r="G986" s="145" t="n"/>
      <c r="H986" s="145" t="n"/>
      <c r="I986" s="145" t="n"/>
      <c r="J986" s="145" t="n"/>
      <c r="K986" s="145" t="n"/>
      <c r="L986" s="145" t="n"/>
      <c r="M986" s="145" t="n"/>
      <c r="N986" s="145" t="n"/>
      <c r="O986" s="140" t="n"/>
      <c r="P986" s="140" t="n"/>
      <c r="Q986" s="140" t="n"/>
      <c r="R986" s="140" t="n"/>
      <c r="S986" s="140" t="n"/>
      <c r="T986" s="141" t="n"/>
      <c r="U986" s="129" t="n"/>
      <c r="V986" s="129" t="n"/>
      <c r="W986" s="145" t="n"/>
      <c r="X986" s="145" t="n"/>
      <c r="Y986" s="145" t="n"/>
      <c r="Z986" s="145" t="n"/>
    </row>
    <row r="987" ht="45.75" customHeight="1" s="222">
      <c r="A987" s="145" t="n"/>
      <c r="B987" s="145" t="n"/>
      <c r="C987" s="145" t="n"/>
      <c r="D987" s="145" t="n"/>
      <c r="E987" s="145" t="n"/>
      <c r="F987" s="145" t="n"/>
      <c r="G987" s="145" t="n"/>
      <c r="H987" s="145" t="n"/>
      <c r="I987" s="145" t="n"/>
      <c r="J987" s="145" t="n"/>
      <c r="K987" s="145" t="n"/>
      <c r="L987" s="145" t="n"/>
      <c r="M987" s="145" t="n"/>
      <c r="N987" s="145" t="n"/>
      <c r="O987" s="140" t="n"/>
      <c r="P987" s="140" t="n"/>
      <c r="Q987" s="140" t="n"/>
      <c r="R987" s="140" t="n"/>
      <c r="S987" s="140" t="n"/>
      <c r="T987" s="141" t="n"/>
      <c r="U987" s="129" t="n"/>
      <c r="V987" s="129" t="n"/>
      <c r="W987" s="145" t="n"/>
      <c r="X987" s="145" t="n"/>
      <c r="Y987" s="145" t="n"/>
      <c r="Z987" s="145" t="n"/>
    </row>
    <row r="988" ht="45.75" customHeight="1" s="222">
      <c r="A988" s="145" t="n"/>
      <c r="B988" s="145" t="n"/>
      <c r="C988" s="145" t="n"/>
      <c r="D988" s="145" t="n"/>
      <c r="E988" s="145" t="n"/>
      <c r="F988" s="145" t="n"/>
      <c r="G988" s="145" t="n"/>
      <c r="H988" s="145" t="n"/>
      <c r="I988" s="145" t="n"/>
      <c r="J988" s="145" t="n"/>
      <c r="K988" s="145" t="n"/>
      <c r="L988" s="145" t="n"/>
      <c r="M988" s="145" t="n"/>
      <c r="N988" s="145" t="n"/>
      <c r="O988" s="140" t="n"/>
      <c r="P988" s="140" t="n"/>
      <c r="Q988" s="140" t="n"/>
      <c r="R988" s="140" t="n"/>
      <c r="S988" s="140" t="n"/>
      <c r="T988" s="141" t="n"/>
      <c r="U988" s="129" t="n"/>
      <c r="V988" s="129" t="n"/>
      <c r="W988" s="145" t="n"/>
      <c r="X988" s="145" t="n"/>
      <c r="Y988" s="145" t="n"/>
      <c r="Z988" s="145" t="n"/>
    </row>
    <row r="989" ht="45.75" customHeight="1" s="222">
      <c r="A989" s="145" t="n"/>
      <c r="B989" s="145" t="n"/>
      <c r="C989" s="145" t="n"/>
      <c r="D989" s="145" t="n"/>
      <c r="E989" s="145" t="n"/>
      <c r="F989" s="145" t="n"/>
      <c r="G989" s="145" t="n"/>
      <c r="H989" s="145" t="n"/>
      <c r="I989" s="145" t="n"/>
      <c r="J989" s="145" t="n"/>
      <c r="K989" s="145" t="n"/>
      <c r="L989" s="145" t="n"/>
      <c r="M989" s="145" t="n"/>
      <c r="N989" s="145" t="n"/>
      <c r="O989" s="140" t="n"/>
      <c r="P989" s="140" t="n"/>
      <c r="Q989" s="140" t="n"/>
      <c r="R989" s="140" t="n"/>
      <c r="S989" s="140" t="n"/>
      <c r="T989" s="141" t="n"/>
      <c r="U989" s="129" t="n"/>
      <c r="V989" s="129" t="n"/>
      <c r="W989" s="145" t="n"/>
      <c r="X989" s="145" t="n"/>
      <c r="Y989" s="145" t="n"/>
      <c r="Z989" s="145" t="n"/>
    </row>
    <row r="990" ht="45.75" customHeight="1" s="222">
      <c r="A990" s="145" t="n"/>
      <c r="B990" s="145" t="n"/>
      <c r="C990" s="145" t="n"/>
      <c r="D990" s="145" t="n"/>
      <c r="E990" s="145" t="n"/>
      <c r="F990" s="145" t="n"/>
      <c r="G990" s="145" t="n"/>
      <c r="H990" s="145" t="n"/>
      <c r="I990" s="145" t="n"/>
      <c r="J990" s="145" t="n"/>
      <c r="K990" s="145" t="n"/>
      <c r="L990" s="145" t="n"/>
      <c r="M990" s="145" t="n"/>
      <c r="N990" s="145" t="n"/>
      <c r="O990" s="140" t="n"/>
      <c r="P990" s="140" t="n"/>
      <c r="Q990" s="140" t="n"/>
      <c r="R990" s="140" t="n"/>
      <c r="S990" s="140" t="n"/>
      <c r="T990" s="141" t="n"/>
      <c r="U990" s="129" t="n"/>
      <c r="V990" s="129" t="n"/>
      <c r="W990" s="145" t="n"/>
      <c r="X990" s="145" t="n"/>
      <c r="Y990" s="145" t="n"/>
      <c r="Z990" s="145" t="n"/>
    </row>
    <row r="991" ht="45.75" customHeight="1" s="222">
      <c r="A991" s="145" t="n"/>
      <c r="B991" s="145" t="n"/>
      <c r="C991" s="145" t="n"/>
      <c r="D991" s="145" t="n"/>
      <c r="E991" s="145" t="n"/>
      <c r="F991" s="145" t="n"/>
      <c r="G991" s="145" t="n"/>
      <c r="H991" s="145" t="n"/>
      <c r="I991" s="145" t="n"/>
      <c r="J991" s="145" t="n"/>
      <c r="K991" s="145" t="n"/>
      <c r="L991" s="145" t="n"/>
      <c r="M991" s="145" t="n"/>
      <c r="N991" s="145" t="n"/>
      <c r="O991" s="140" t="n"/>
      <c r="P991" s="140" t="n"/>
      <c r="Q991" s="140" t="n"/>
      <c r="R991" s="140" t="n"/>
      <c r="S991" s="140" t="n"/>
      <c r="T991" s="141" t="n"/>
      <c r="U991" s="129" t="n"/>
      <c r="V991" s="129" t="n"/>
      <c r="W991" s="145" t="n"/>
      <c r="X991" s="145" t="n"/>
      <c r="Y991" s="145" t="n"/>
      <c r="Z991" s="145" t="n"/>
    </row>
    <row r="992" ht="45.75" customHeight="1" s="222">
      <c r="A992" s="145" t="n"/>
      <c r="B992" s="145" t="n"/>
      <c r="C992" s="145" t="n"/>
      <c r="D992" s="145" t="n"/>
      <c r="E992" s="145" t="n"/>
      <c r="F992" s="145" t="n"/>
      <c r="G992" s="145" t="n"/>
      <c r="H992" s="145" t="n"/>
      <c r="I992" s="145" t="n"/>
      <c r="J992" s="145" t="n"/>
      <c r="K992" s="145" t="n"/>
      <c r="L992" s="145" t="n"/>
      <c r="M992" s="145" t="n"/>
      <c r="N992" s="145" t="n"/>
      <c r="O992" s="140" t="n"/>
      <c r="P992" s="140" t="n"/>
      <c r="Q992" s="140" t="n"/>
      <c r="R992" s="140" t="n"/>
      <c r="S992" s="140" t="n"/>
      <c r="T992" s="141" t="n"/>
      <c r="U992" s="129" t="n"/>
      <c r="V992" s="129" t="n"/>
      <c r="W992" s="145" t="n"/>
      <c r="X992" s="145" t="n"/>
      <c r="Y992" s="145" t="n"/>
      <c r="Z992" s="145" t="n"/>
    </row>
    <row r="993" ht="45.75" customHeight="1" s="222">
      <c r="A993" s="145" t="n"/>
      <c r="B993" s="145" t="n"/>
      <c r="C993" s="145" t="n"/>
      <c r="D993" s="145" t="n"/>
      <c r="E993" s="145" t="n"/>
      <c r="F993" s="145" t="n"/>
      <c r="G993" s="145" t="n"/>
      <c r="H993" s="145" t="n"/>
      <c r="I993" s="145" t="n"/>
      <c r="J993" s="145" t="n"/>
      <c r="K993" s="145" t="n"/>
      <c r="L993" s="145" t="n"/>
      <c r="M993" s="145" t="n"/>
      <c r="N993" s="145" t="n"/>
      <c r="O993" s="140" t="n"/>
      <c r="P993" s="140" t="n"/>
      <c r="Q993" s="140" t="n"/>
      <c r="R993" s="140" t="n"/>
      <c r="S993" s="140" t="n"/>
      <c r="T993" s="141" t="n"/>
      <c r="U993" s="129" t="n"/>
      <c r="V993" s="129" t="n"/>
      <c r="W993" s="145" t="n"/>
      <c r="X993" s="145" t="n"/>
      <c r="Y993" s="145" t="n"/>
      <c r="Z993" s="145" t="n"/>
    </row>
    <row r="994" ht="45.75" customHeight="1" s="222">
      <c r="A994" s="145" t="n"/>
      <c r="B994" s="145" t="n"/>
      <c r="C994" s="145" t="n"/>
      <c r="D994" s="145" t="n"/>
      <c r="E994" s="145" t="n"/>
      <c r="F994" s="145" t="n"/>
      <c r="G994" s="145" t="n"/>
      <c r="H994" s="145" t="n"/>
      <c r="I994" s="145" t="n"/>
      <c r="J994" s="145" t="n"/>
      <c r="K994" s="145" t="n"/>
      <c r="L994" s="145" t="n"/>
      <c r="M994" s="145" t="n"/>
      <c r="N994" s="145" t="n"/>
      <c r="O994" s="140" t="n"/>
      <c r="P994" s="140" t="n"/>
      <c r="Q994" s="140" t="n"/>
      <c r="R994" s="140" t="n"/>
      <c r="S994" s="140" t="n"/>
      <c r="T994" s="141" t="n"/>
      <c r="U994" s="129" t="n"/>
      <c r="V994" s="129" t="n"/>
      <c r="W994" s="145" t="n"/>
      <c r="X994" s="145" t="n"/>
      <c r="Y994" s="145" t="n"/>
      <c r="Z994" s="145" t="n"/>
    </row>
    <row r="995" ht="45.75" customHeight="1" s="222">
      <c r="A995" s="145" t="n"/>
      <c r="B995" s="145" t="n"/>
      <c r="C995" s="145" t="n"/>
      <c r="D995" s="145" t="n"/>
      <c r="E995" s="145" t="n"/>
      <c r="F995" s="145" t="n"/>
      <c r="G995" s="145" t="n"/>
      <c r="H995" s="145" t="n"/>
      <c r="I995" s="145" t="n"/>
      <c r="J995" s="145" t="n"/>
      <c r="K995" s="145" t="n"/>
      <c r="L995" s="145" t="n"/>
      <c r="M995" s="145" t="n"/>
      <c r="N995" s="145" t="n"/>
      <c r="O995" s="140" t="n"/>
      <c r="P995" s="140" t="n"/>
      <c r="Q995" s="140" t="n"/>
      <c r="R995" s="140" t="n"/>
      <c r="S995" s="140" t="n"/>
      <c r="T995" s="141" t="n"/>
      <c r="U995" s="129" t="n"/>
      <c r="V995" s="129" t="n"/>
      <c r="W995" s="145" t="n"/>
      <c r="X995" s="145" t="n"/>
      <c r="Y995" s="145" t="n"/>
      <c r="Z995" s="145" t="n"/>
    </row>
    <row r="996" ht="45.75" customHeight="1" s="222">
      <c r="A996" s="145" t="n"/>
      <c r="B996" s="145" t="n"/>
      <c r="C996" s="145" t="n"/>
      <c r="D996" s="145" t="n"/>
      <c r="E996" s="145" t="n"/>
      <c r="F996" s="145" t="n"/>
      <c r="G996" s="145" t="n"/>
      <c r="H996" s="145" t="n"/>
      <c r="I996" s="145" t="n"/>
      <c r="J996" s="145" t="n"/>
      <c r="K996" s="145" t="n"/>
      <c r="L996" s="145" t="n"/>
      <c r="M996" s="145" t="n"/>
      <c r="N996" s="145" t="n"/>
      <c r="O996" s="140" t="n"/>
      <c r="P996" s="140" t="n"/>
      <c r="Q996" s="140" t="n"/>
      <c r="R996" s="140" t="n"/>
      <c r="S996" s="140" t="n"/>
      <c r="T996" s="141" t="n"/>
      <c r="U996" s="129" t="n"/>
      <c r="V996" s="129" t="n"/>
      <c r="W996" s="145" t="n"/>
      <c r="X996" s="145" t="n"/>
      <c r="Y996" s="145" t="n"/>
      <c r="Z996" s="145" t="n"/>
    </row>
    <row r="997" ht="45.75" customHeight="1" s="222">
      <c r="A997" s="145" t="n"/>
      <c r="B997" s="145" t="n"/>
      <c r="C997" s="145" t="n"/>
      <c r="D997" s="145" t="n"/>
      <c r="E997" s="145" t="n"/>
      <c r="F997" s="145" t="n"/>
      <c r="G997" s="145" t="n"/>
      <c r="H997" s="145" t="n"/>
      <c r="I997" s="145" t="n"/>
      <c r="J997" s="145" t="n"/>
      <c r="K997" s="145" t="n"/>
      <c r="L997" s="145" t="n"/>
      <c r="M997" s="145" t="n"/>
      <c r="N997" s="145" t="n"/>
      <c r="O997" s="140" t="n"/>
      <c r="P997" s="140" t="n"/>
      <c r="Q997" s="140" t="n"/>
      <c r="R997" s="140" t="n"/>
      <c r="S997" s="140" t="n"/>
      <c r="T997" s="141" t="n"/>
      <c r="U997" s="129" t="n"/>
      <c r="V997" s="129" t="n"/>
      <c r="W997" s="145" t="n"/>
      <c r="X997" s="145" t="n"/>
      <c r="Y997" s="145" t="n"/>
      <c r="Z997" s="145" t="n"/>
    </row>
    <row r="998" ht="45.75" customHeight="1" s="222">
      <c r="A998" s="145" t="n"/>
      <c r="B998" s="145" t="n"/>
      <c r="C998" s="145" t="n"/>
      <c r="D998" s="145" t="n"/>
      <c r="E998" s="145" t="n"/>
      <c r="F998" s="145" t="n"/>
      <c r="G998" s="145" t="n"/>
      <c r="H998" s="145" t="n"/>
      <c r="I998" s="145" t="n"/>
      <c r="J998" s="145" t="n"/>
      <c r="K998" s="145" t="n"/>
      <c r="L998" s="145" t="n"/>
      <c r="M998" s="145" t="n"/>
      <c r="N998" s="145" t="n"/>
      <c r="O998" s="140" t="n"/>
      <c r="P998" s="140" t="n"/>
      <c r="Q998" s="140" t="n"/>
      <c r="R998" s="140" t="n"/>
      <c r="S998" s="140" t="n"/>
      <c r="T998" s="141" t="n"/>
      <c r="U998" s="129" t="n"/>
      <c r="V998" s="129" t="n"/>
      <c r="W998" s="145" t="n"/>
      <c r="X998" s="145" t="n"/>
      <c r="Y998" s="145" t="n"/>
      <c r="Z998" s="145" t="n"/>
    </row>
    <row r="999" ht="45.75" customHeight="1" s="222">
      <c r="A999" s="145" t="n"/>
      <c r="B999" s="145" t="n"/>
      <c r="C999" s="145" t="n"/>
      <c r="D999" s="145" t="n"/>
      <c r="E999" s="145" t="n"/>
      <c r="F999" s="145" t="n"/>
      <c r="G999" s="145" t="n"/>
      <c r="H999" s="145" t="n"/>
      <c r="I999" s="145" t="n"/>
      <c r="J999" s="145" t="n"/>
      <c r="K999" s="145" t="n"/>
      <c r="L999" s="145" t="n"/>
      <c r="M999" s="145" t="n"/>
      <c r="N999" s="145" t="n"/>
      <c r="O999" s="140" t="n"/>
      <c r="P999" s="140" t="n"/>
      <c r="Q999" s="140" t="n"/>
      <c r="R999" s="140" t="n"/>
      <c r="S999" s="140" t="n"/>
      <c r="T999" s="141" t="n"/>
      <c r="U999" s="129" t="n"/>
      <c r="V999" s="129" t="n"/>
      <c r="W999" s="145" t="n"/>
      <c r="X999" s="145" t="n"/>
      <c r="Y999" s="145" t="n"/>
      <c r="Z999" s="145" t="n"/>
    </row>
    <row r="1000" ht="45.75" customHeight="1" s="222">
      <c r="A1000" s="145" t="n"/>
      <c r="B1000" s="145" t="n"/>
      <c r="C1000" s="145" t="n"/>
      <c r="D1000" s="145" t="n"/>
      <c r="E1000" s="145" t="n"/>
      <c r="F1000" s="145" t="n"/>
      <c r="G1000" s="145" t="n"/>
      <c r="H1000" s="145" t="n"/>
      <c r="I1000" s="145" t="n"/>
      <c r="J1000" s="145" t="n"/>
      <c r="K1000" s="145" t="n"/>
      <c r="L1000" s="145" t="n"/>
      <c r="M1000" s="145" t="n"/>
      <c r="N1000" s="145" t="n"/>
      <c r="O1000" s="140" t="n"/>
      <c r="P1000" s="140" t="n"/>
      <c r="Q1000" s="140" t="n"/>
      <c r="R1000" s="140" t="n"/>
      <c r="S1000" s="140" t="n"/>
      <c r="T1000" s="141" t="n"/>
      <c r="U1000" s="129" t="n"/>
      <c r="V1000" s="129" t="n"/>
      <c r="W1000" s="145" t="n"/>
      <c r="X1000" s="145" t="n"/>
      <c r="Y1000" s="145" t="n"/>
      <c r="Z1000" s="145" t="n"/>
    </row>
    <row r="1001" ht="45.75" customHeight="1" s="222">
      <c r="A1001" s="145" t="n"/>
      <c r="B1001" s="145" t="n"/>
      <c r="C1001" s="145" t="n"/>
      <c r="D1001" s="145" t="n"/>
      <c r="E1001" s="145" t="n"/>
      <c r="F1001" s="145" t="n"/>
      <c r="G1001" s="145" t="n"/>
      <c r="H1001" s="145" t="n"/>
      <c r="I1001" s="145" t="n"/>
      <c r="J1001" s="145" t="n"/>
      <c r="K1001" s="145" t="n"/>
      <c r="L1001" s="145" t="n"/>
      <c r="M1001" s="145" t="n"/>
      <c r="N1001" s="145" t="n"/>
      <c r="O1001" s="140" t="n"/>
      <c r="P1001" s="140" t="n"/>
      <c r="Q1001" s="140" t="n"/>
      <c r="R1001" s="140" t="n"/>
      <c r="S1001" s="140" t="n"/>
      <c r="T1001" s="141" t="n"/>
      <c r="U1001" s="129" t="n"/>
      <c r="V1001" s="129" t="n"/>
      <c r="W1001" s="145" t="n"/>
      <c r="X1001" s="145" t="n"/>
      <c r="Y1001" s="145" t="n"/>
      <c r="Z1001" s="145" t="n"/>
    </row>
    <row r="1002" ht="45.75" customHeight="1" s="222">
      <c r="A1002" s="145" t="n"/>
      <c r="B1002" s="145" t="n"/>
      <c r="C1002" s="145" t="n"/>
      <c r="D1002" s="145" t="n"/>
      <c r="E1002" s="145" t="n"/>
      <c r="F1002" s="145" t="n"/>
      <c r="G1002" s="145" t="n"/>
      <c r="H1002" s="145" t="n"/>
      <c r="I1002" s="145" t="n"/>
      <c r="J1002" s="145" t="n"/>
      <c r="K1002" s="145" t="n"/>
      <c r="L1002" s="145" t="n"/>
      <c r="M1002" s="145" t="n"/>
      <c r="N1002" s="145" t="n"/>
      <c r="O1002" s="140" t="n"/>
      <c r="P1002" s="140" t="n"/>
      <c r="Q1002" s="140" t="n"/>
      <c r="R1002" s="140" t="n"/>
      <c r="S1002" s="140" t="n"/>
      <c r="T1002" s="141" t="n"/>
      <c r="U1002" s="129" t="n"/>
      <c r="V1002" s="129" t="n"/>
      <c r="W1002" s="145" t="n"/>
      <c r="X1002" s="145" t="n"/>
      <c r="Y1002" s="145" t="n"/>
      <c r="Z1002" s="145" t="n"/>
    </row>
    <row r="1003" ht="45.75" customHeight="1" s="222">
      <c r="A1003" s="145" t="n"/>
      <c r="B1003" s="145" t="n"/>
      <c r="C1003" s="145" t="n"/>
      <c r="D1003" s="145" t="n"/>
      <c r="E1003" s="145" t="n"/>
      <c r="F1003" s="145" t="n"/>
      <c r="G1003" s="145" t="n"/>
      <c r="H1003" s="145" t="n"/>
      <c r="I1003" s="145" t="n"/>
      <c r="J1003" s="145" t="n"/>
      <c r="K1003" s="145" t="n"/>
      <c r="L1003" s="145" t="n"/>
      <c r="M1003" s="145" t="n"/>
      <c r="N1003" s="145" t="n"/>
      <c r="O1003" s="140" t="n"/>
      <c r="P1003" s="140" t="n"/>
      <c r="Q1003" s="140" t="n"/>
      <c r="R1003" s="140" t="n"/>
      <c r="S1003" s="140" t="n"/>
      <c r="T1003" s="141" t="n"/>
      <c r="U1003" s="129" t="n"/>
      <c r="V1003" s="129" t="n"/>
      <c r="W1003" s="145" t="n"/>
      <c r="X1003" s="145" t="n"/>
      <c r="Y1003" s="145" t="n"/>
      <c r="Z1003" s="145" t="n"/>
    </row>
    <row r="1004" ht="45.75" customHeight="1" s="222">
      <c r="A1004" s="145" t="n"/>
      <c r="B1004" s="145" t="n"/>
      <c r="C1004" s="145" t="n"/>
      <c r="D1004" s="145" t="n"/>
      <c r="E1004" s="145" t="n"/>
      <c r="F1004" s="145" t="n"/>
      <c r="G1004" s="145" t="n"/>
      <c r="H1004" s="145" t="n"/>
      <c r="I1004" s="145" t="n"/>
      <c r="J1004" s="145" t="n"/>
      <c r="K1004" s="145" t="n"/>
      <c r="L1004" s="145" t="n"/>
      <c r="M1004" s="145" t="n"/>
      <c r="N1004" s="145" t="n"/>
      <c r="O1004" s="140" t="n"/>
      <c r="P1004" s="140" t="n"/>
      <c r="Q1004" s="140" t="n"/>
      <c r="R1004" s="140" t="n"/>
      <c r="S1004" s="140" t="n"/>
      <c r="T1004" s="141" t="n"/>
      <c r="U1004" s="129" t="n"/>
      <c r="V1004" s="129" t="n"/>
      <c r="W1004" s="145" t="n"/>
      <c r="X1004" s="145" t="n"/>
      <c r="Y1004" s="145" t="n"/>
      <c r="Z1004" s="145" t="n"/>
    </row>
    <row r="1005" ht="45.75" customHeight="1" s="222">
      <c r="A1005" s="145" t="n"/>
      <c r="B1005" s="145" t="n"/>
      <c r="C1005" s="145" t="n"/>
      <c r="D1005" s="145" t="n"/>
      <c r="E1005" s="145" t="n"/>
      <c r="F1005" s="145" t="n"/>
      <c r="G1005" s="145" t="n"/>
      <c r="H1005" s="145" t="n"/>
      <c r="I1005" s="145" t="n"/>
      <c r="J1005" s="145" t="n"/>
      <c r="K1005" s="145" t="n"/>
      <c r="L1005" s="145" t="n"/>
      <c r="M1005" s="145" t="n"/>
      <c r="N1005" s="145" t="n"/>
      <c r="O1005" s="140" t="n"/>
      <c r="P1005" s="140" t="n"/>
      <c r="Q1005" s="140" t="n"/>
      <c r="R1005" s="140" t="n"/>
      <c r="S1005" s="140" t="n"/>
      <c r="T1005" s="141" t="n"/>
      <c r="U1005" s="129" t="n"/>
      <c r="V1005" s="129" t="n"/>
      <c r="W1005" s="145" t="n"/>
      <c r="X1005" s="145" t="n"/>
      <c r="Y1005" s="145" t="n"/>
      <c r="Z1005" s="145" t="n"/>
    </row>
    <row r="1006" ht="45.75" customHeight="1" s="222">
      <c r="A1006" s="145" t="n"/>
      <c r="B1006" s="145" t="n"/>
      <c r="C1006" s="145" t="n"/>
      <c r="D1006" s="145" t="n"/>
      <c r="E1006" s="145" t="n"/>
      <c r="F1006" s="145" t="n"/>
      <c r="G1006" s="145" t="n"/>
      <c r="H1006" s="145" t="n"/>
      <c r="I1006" s="145" t="n"/>
      <c r="J1006" s="145" t="n"/>
      <c r="K1006" s="145" t="n"/>
      <c r="L1006" s="145" t="n"/>
      <c r="M1006" s="145" t="n"/>
      <c r="N1006" s="145" t="n"/>
      <c r="O1006" s="140" t="n"/>
      <c r="P1006" s="140" t="n"/>
      <c r="Q1006" s="140" t="n"/>
      <c r="R1006" s="140" t="n"/>
      <c r="S1006" s="140" t="n"/>
      <c r="T1006" s="141" t="n"/>
      <c r="U1006" s="129" t="n"/>
      <c r="V1006" s="129" t="n"/>
      <c r="W1006" s="145" t="n"/>
      <c r="X1006" s="145" t="n"/>
      <c r="Y1006" s="145" t="n"/>
      <c r="Z1006" s="145" t="n"/>
    </row>
    <row r="1007" ht="45.75" customHeight="1" s="222">
      <c r="A1007" s="145" t="n"/>
      <c r="B1007" s="145" t="n"/>
      <c r="C1007" s="145" t="n"/>
      <c r="D1007" s="145" t="n"/>
      <c r="E1007" s="145" t="n"/>
      <c r="F1007" s="145" t="n"/>
      <c r="G1007" s="145" t="n"/>
      <c r="H1007" s="145" t="n"/>
      <c r="I1007" s="145" t="n"/>
      <c r="J1007" s="145" t="n"/>
      <c r="K1007" s="145" t="n"/>
      <c r="L1007" s="145" t="n"/>
      <c r="M1007" s="145" t="n"/>
      <c r="N1007" s="145" t="n"/>
      <c r="O1007" s="140" t="n"/>
      <c r="P1007" s="140" t="n"/>
      <c r="Q1007" s="140" t="n"/>
      <c r="R1007" s="140" t="n"/>
      <c r="S1007" s="140" t="n"/>
      <c r="T1007" s="141" t="n"/>
      <c r="U1007" s="129" t="n"/>
      <c r="V1007" s="129" t="n"/>
      <c r="W1007" s="145" t="n"/>
      <c r="X1007" s="145" t="n"/>
      <c r="Y1007" s="145" t="n"/>
      <c r="Z1007" s="145" t="n"/>
    </row>
    <row r="1008" ht="45.75" customHeight="1" s="222">
      <c r="A1008" s="145" t="n"/>
      <c r="B1008" s="145" t="n"/>
      <c r="C1008" s="145" t="n"/>
      <c r="D1008" s="145" t="n"/>
      <c r="E1008" s="145" t="n"/>
      <c r="F1008" s="145" t="n"/>
      <c r="G1008" s="145" t="n"/>
      <c r="H1008" s="145" t="n"/>
      <c r="I1008" s="145" t="n"/>
      <c r="J1008" s="145" t="n"/>
      <c r="K1008" s="145" t="n"/>
      <c r="L1008" s="145" t="n"/>
      <c r="M1008" s="145" t="n"/>
      <c r="N1008" s="145" t="n"/>
      <c r="O1008" s="140" t="n"/>
      <c r="P1008" s="140" t="n"/>
      <c r="Q1008" s="140" t="n"/>
      <c r="R1008" s="140" t="n"/>
      <c r="S1008" s="140" t="n"/>
      <c r="T1008" s="141" t="n"/>
      <c r="U1008" s="129" t="n"/>
      <c r="V1008" s="129" t="n"/>
      <c r="W1008" s="145" t="n"/>
      <c r="X1008" s="145" t="n"/>
      <c r="Y1008" s="145" t="n"/>
      <c r="Z1008" s="145" t="n"/>
    </row>
    <row r="1009" ht="45.75" customHeight="1" s="222">
      <c r="A1009" s="145" t="n"/>
      <c r="B1009" s="145" t="n"/>
      <c r="C1009" s="145" t="n"/>
      <c r="D1009" s="145" t="n"/>
      <c r="E1009" s="145" t="n"/>
      <c r="F1009" s="145" t="n"/>
      <c r="G1009" s="145" t="n"/>
      <c r="H1009" s="145" t="n"/>
      <c r="I1009" s="145" t="n"/>
      <c r="J1009" s="145" t="n"/>
      <c r="K1009" s="145" t="n"/>
      <c r="L1009" s="145" t="n"/>
      <c r="M1009" s="145" t="n"/>
      <c r="N1009" s="145" t="n"/>
      <c r="O1009" s="140" t="n"/>
      <c r="P1009" s="140" t="n"/>
      <c r="Q1009" s="140" t="n"/>
      <c r="R1009" s="140" t="n"/>
      <c r="S1009" s="140" t="n"/>
      <c r="T1009" s="141" t="n"/>
      <c r="U1009" s="129" t="n"/>
      <c r="V1009" s="129" t="n"/>
      <c r="W1009" s="145" t="n"/>
      <c r="X1009" s="145" t="n"/>
      <c r="Y1009" s="145" t="n"/>
      <c r="Z1009" s="145" t="n"/>
    </row>
    <row r="1010" ht="45.75" customHeight="1" s="222">
      <c r="A1010" s="145" t="n"/>
      <c r="B1010" s="145" t="n"/>
      <c r="C1010" s="145" t="n"/>
      <c r="D1010" s="145" t="n"/>
      <c r="E1010" s="145" t="n"/>
      <c r="F1010" s="145" t="n"/>
      <c r="G1010" s="145" t="n"/>
      <c r="H1010" s="145" t="n"/>
      <c r="I1010" s="145" t="n"/>
      <c r="J1010" s="145" t="n"/>
      <c r="K1010" s="145" t="n"/>
      <c r="L1010" s="145" t="n"/>
      <c r="M1010" s="145" t="n"/>
      <c r="N1010" s="145" t="n"/>
      <c r="O1010" s="140" t="n"/>
      <c r="P1010" s="140" t="n"/>
      <c r="Q1010" s="140" t="n"/>
      <c r="R1010" s="140" t="n"/>
      <c r="S1010" s="140" t="n"/>
      <c r="T1010" s="141" t="n"/>
      <c r="U1010" s="129" t="n"/>
      <c r="V1010" s="129" t="n"/>
      <c r="W1010" s="145" t="n"/>
      <c r="X1010" s="145" t="n"/>
      <c r="Y1010" s="145" t="n"/>
      <c r="Z1010" s="145" t="n"/>
    </row>
    <row r="1011" ht="45.75" customHeight="1" s="222">
      <c r="A1011" s="145" t="n"/>
      <c r="B1011" s="145" t="n"/>
      <c r="C1011" s="145" t="n"/>
      <c r="D1011" s="145" t="n"/>
      <c r="E1011" s="145" t="n"/>
      <c r="F1011" s="145" t="n"/>
      <c r="G1011" s="145" t="n"/>
      <c r="H1011" s="145" t="n"/>
      <c r="I1011" s="145" t="n"/>
      <c r="J1011" s="145" t="n"/>
      <c r="K1011" s="145" t="n"/>
      <c r="L1011" s="145" t="n"/>
      <c r="M1011" s="145" t="n"/>
      <c r="N1011" s="145" t="n"/>
      <c r="O1011" s="140" t="n"/>
      <c r="P1011" s="140" t="n"/>
      <c r="Q1011" s="140" t="n"/>
      <c r="R1011" s="140" t="n"/>
      <c r="S1011" s="140" t="n"/>
      <c r="T1011" s="141" t="n"/>
      <c r="U1011" s="129" t="n"/>
      <c r="V1011" s="129" t="n"/>
      <c r="W1011" s="145" t="n"/>
      <c r="X1011" s="145" t="n"/>
      <c r="Y1011" s="145" t="n"/>
      <c r="Z1011" s="145" t="n"/>
    </row>
    <row r="1012" ht="45.75" customHeight="1" s="222">
      <c r="A1012" s="145" t="n"/>
      <c r="B1012" s="145" t="n"/>
      <c r="C1012" s="145" t="n"/>
      <c r="D1012" s="145" t="n"/>
      <c r="E1012" s="145" t="n"/>
      <c r="F1012" s="145" t="n"/>
      <c r="G1012" s="145" t="n"/>
      <c r="H1012" s="145" t="n"/>
      <c r="I1012" s="145" t="n"/>
      <c r="J1012" s="145" t="n"/>
      <c r="K1012" s="145" t="n"/>
      <c r="L1012" s="145" t="n"/>
      <c r="M1012" s="145" t="n"/>
      <c r="N1012" s="145" t="n"/>
      <c r="O1012" s="140" t="n"/>
      <c r="P1012" s="140" t="n"/>
      <c r="Q1012" s="140" t="n"/>
      <c r="R1012" s="140" t="n"/>
      <c r="S1012" s="140" t="n"/>
      <c r="T1012" s="141" t="n"/>
      <c r="U1012" s="129" t="n"/>
      <c r="V1012" s="129" t="n"/>
      <c r="W1012" s="145" t="n"/>
      <c r="X1012" s="145" t="n"/>
      <c r="Y1012" s="145" t="n"/>
      <c r="Z1012" s="145" t="n"/>
    </row>
    <row r="1013" ht="45.75" customHeight="1" s="222">
      <c r="A1013" s="145" t="n"/>
      <c r="B1013" s="145" t="n"/>
      <c r="C1013" s="145" t="n"/>
      <c r="D1013" s="145" t="n"/>
      <c r="E1013" s="145" t="n"/>
      <c r="F1013" s="145" t="n"/>
      <c r="G1013" s="145" t="n"/>
      <c r="H1013" s="145" t="n"/>
      <c r="I1013" s="145" t="n"/>
      <c r="J1013" s="145" t="n"/>
      <c r="K1013" s="145" t="n"/>
      <c r="L1013" s="145" t="n"/>
      <c r="M1013" s="145" t="n"/>
      <c r="N1013" s="145" t="n"/>
      <c r="O1013" s="140" t="n"/>
      <c r="P1013" s="140" t="n"/>
      <c r="Q1013" s="140" t="n"/>
      <c r="R1013" s="140" t="n"/>
      <c r="S1013" s="140" t="n"/>
      <c r="T1013" s="141" t="n"/>
      <c r="U1013" s="129" t="n"/>
      <c r="V1013" s="129" t="n"/>
      <c r="W1013" s="145" t="n"/>
      <c r="X1013" s="145" t="n"/>
      <c r="Y1013" s="145" t="n"/>
      <c r="Z1013" s="145" t="n"/>
    </row>
    <row r="1014" ht="45.75" customHeight="1" s="222">
      <c r="A1014" s="145" t="n"/>
      <c r="B1014" s="145" t="n"/>
      <c r="C1014" s="145" t="n"/>
      <c r="D1014" s="145" t="n"/>
      <c r="E1014" s="145" t="n"/>
      <c r="F1014" s="145" t="n"/>
      <c r="G1014" s="145" t="n"/>
      <c r="H1014" s="145" t="n"/>
      <c r="I1014" s="145" t="n"/>
      <c r="J1014" s="145" t="n"/>
      <c r="K1014" s="145" t="n"/>
      <c r="L1014" s="145" t="n"/>
      <c r="M1014" s="145" t="n"/>
      <c r="N1014" s="145" t="n"/>
      <c r="O1014" s="140" t="n"/>
      <c r="P1014" s="140" t="n"/>
      <c r="Q1014" s="140" t="n"/>
      <c r="R1014" s="140" t="n"/>
      <c r="S1014" s="140" t="n"/>
      <c r="T1014" s="141" t="n"/>
      <c r="U1014" s="129" t="n"/>
      <c r="V1014" s="129" t="n"/>
      <c r="W1014" s="145" t="n"/>
      <c r="X1014" s="145" t="n"/>
      <c r="Y1014" s="145" t="n"/>
      <c r="Z1014" s="145" t="n"/>
    </row>
    <row r="1015" ht="45.75" customHeight="1" s="222">
      <c r="A1015" s="145" t="n"/>
      <c r="B1015" s="145" t="n"/>
      <c r="C1015" s="145" t="n"/>
      <c r="D1015" s="145" t="n"/>
      <c r="E1015" s="145" t="n"/>
      <c r="F1015" s="145" t="n"/>
      <c r="G1015" s="145" t="n"/>
      <c r="H1015" s="145" t="n"/>
      <c r="I1015" s="145" t="n"/>
      <c r="J1015" s="145" t="n"/>
      <c r="K1015" s="145" t="n"/>
      <c r="L1015" s="145" t="n"/>
      <c r="M1015" s="145" t="n"/>
      <c r="N1015" s="145" t="n"/>
      <c r="O1015" s="140" t="n"/>
      <c r="P1015" s="140" t="n"/>
      <c r="Q1015" s="140" t="n"/>
      <c r="R1015" s="140" t="n"/>
      <c r="S1015" s="140" t="n"/>
      <c r="T1015" s="141" t="n"/>
      <c r="U1015" s="129" t="n"/>
      <c r="V1015" s="129" t="n"/>
      <c r="W1015" s="145" t="n"/>
      <c r="X1015" s="145" t="n"/>
      <c r="Y1015" s="145" t="n"/>
      <c r="Z1015" s="145" t="n"/>
    </row>
    <row r="1016" ht="45.75" customHeight="1" s="222">
      <c r="A1016" s="145" t="n"/>
      <c r="B1016" s="145" t="n"/>
      <c r="C1016" s="145" t="n"/>
      <c r="D1016" s="145" t="n"/>
      <c r="E1016" s="145" t="n"/>
      <c r="F1016" s="145" t="n"/>
      <c r="G1016" s="145" t="n"/>
      <c r="H1016" s="145" t="n"/>
      <c r="I1016" s="145" t="n"/>
      <c r="J1016" s="145" t="n"/>
      <c r="K1016" s="145" t="n"/>
      <c r="L1016" s="145" t="n"/>
      <c r="M1016" s="145" t="n"/>
      <c r="N1016" s="145" t="n"/>
      <c r="O1016" s="140" t="n"/>
      <c r="P1016" s="140" t="n"/>
      <c r="Q1016" s="140" t="n"/>
      <c r="R1016" s="140" t="n"/>
      <c r="S1016" s="140" t="n"/>
      <c r="T1016" s="141" t="n"/>
      <c r="U1016" s="129" t="n"/>
      <c r="V1016" s="129" t="n"/>
      <c r="W1016" s="145" t="n"/>
      <c r="X1016" s="145" t="n"/>
      <c r="Y1016" s="145" t="n"/>
      <c r="Z1016" s="145" t="n"/>
    </row>
    <row r="1017" ht="45.75" customHeight="1" s="222">
      <c r="A1017" s="145" t="n"/>
      <c r="B1017" s="145" t="n"/>
      <c r="C1017" s="145" t="n"/>
      <c r="D1017" s="145" t="n"/>
      <c r="E1017" s="145" t="n"/>
      <c r="F1017" s="145" t="n"/>
      <c r="G1017" s="145" t="n"/>
      <c r="H1017" s="145" t="n"/>
      <c r="I1017" s="145" t="n"/>
      <c r="J1017" s="145" t="n"/>
      <c r="K1017" s="145" t="n"/>
      <c r="L1017" s="145" t="n"/>
      <c r="M1017" s="145" t="n"/>
      <c r="N1017" s="145" t="n"/>
      <c r="O1017" s="140" t="n"/>
      <c r="P1017" s="140" t="n"/>
      <c r="Q1017" s="140" t="n"/>
      <c r="R1017" s="140" t="n"/>
      <c r="S1017" s="140" t="n"/>
      <c r="T1017" s="141" t="n"/>
      <c r="U1017" s="129" t="n"/>
      <c r="V1017" s="129" t="n"/>
      <c r="W1017" s="145" t="n"/>
      <c r="X1017" s="145" t="n"/>
      <c r="Y1017" s="145" t="n"/>
      <c r="Z1017" s="145" t="n"/>
    </row>
    <row r="1018" ht="45.75" customHeight="1" s="222">
      <c r="A1018" s="145" t="n"/>
      <c r="B1018" s="145" t="n"/>
      <c r="C1018" s="145" t="n"/>
      <c r="D1018" s="145" t="n"/>
      <c r="E1018" s="145" t="n"/>
      <c r="F1018" s="145" t="n"/>
      <c r="G1018" s="145" t="n"/>
      <c r="H1018" s="145" t="n"/>
      <c r="I1018" s="145" t="n"/>
      <c r="J1018" s="145" t="n"/>
      <c r="K1018" s="145" t="n"/>
      <c r="L1018" s="145" t="n"/>
      <c r="M1018" s="145" t="n"/>
      <c r="N1018" s="145" t="n"/>
      <c r="O1018" s="140" t="n"/>
      <c r="P1018" s="140" t="n"/>
      <c r="Q1018" s="140" t="n"/>
      <c r="R1018" s="140" t="n"/>
      <c r="S1018" s="140" t="n"/>
      <c r="T1018" s="141" t="n"/>
      <c r="U1018" s="129" t="n"/>
      <c r="V1018" s="129" t="n"/>
      <c r="W1018" s="145" t="n"/>
      <c r="X1018" s="145" t="n"/>
      <c r="Y1018" s="145" t="n"/>
      <c r="Z1018" s="145" t="n"/>
    </row>
    <row r="1019" ht="45.75" customHeight="1" s="222">
      <c r="A1019" s="145" t="n"/>
      <c r="B1019" s="145" t="n"/>
      <c r="C1019" s="145" t="n"/>
      <c r="D1019" s="145" t="n"/>
      <c r="E1019" s="145" t="n"/>
      <c r="F1019" s="145" t="n"/>
      <c r="G1019" s="145" t="n"/>
      <c r="H1019" s="145" t="n"/>
      <c r="I1019" s="145" t="n"/>
      <c r="J1019" s="145" t="n"/>
      <c r="K1019" s="145" t="n"/>
      <c r="L1019" s="145" t="n"/>
      <c r="M1019" s="145" t="n"/>
      <c r="N1019" s="145" t="n"/>
      <c r="O1019" s="140" t="n"/>
      <c r="P1019" s="140" t="n"/>
      <c r="Q1019" s="140" t="n"/>
      <c r="R1019" s="140" t="n"/>
      <c r="S1019" s="140" t="n"/>
      <c r="T1019" s="141" t="n"/>
      <c r="U1019" s="129" t="n"/>
      <c r="V1019" s="129" t="n"/>
      <c r="W1019" s="145" t="n"/>
      <c r="X1019" s="145" t="n"/>
      <c r="Y1019" s="145" t="n"/>
      <c r="Z1019" s="145" t="n"/>
    </row>
    <row r="1020" ht="45.75" customHeight="1" s="222">
      <c r="A1020" s="145" t="n"/>
      <c r="B1020" s="145" t="n"/>
      <c r="C1020" s="145" t="n"/>
      <c r="D1020" s="145" t="n"/>
      <c r="E1020" s="145" t="n"/>
      <c r="F1020" s="145" t="n"/>
      <c r="G1020" s="145" t="n"/>
      <c r="H1020" s="145" t="n"/>
      <c r="I1020" s="145" t="n"/>
      <c r="J1020" s="145" t="n"/>
      <c r="K1020" s="145" t="n"/>
      <c r="L1020" s="145" t="n"/>
      <c r="M1020" s="145" t="n"/>
      <c r="N1020" s="145" t="n"/>
      <c r="O1020" s="140" t="n"/>
      <c r="P1020" s="140" t="n"/>
      <c r="Q1020" s="140" t="n"/>
      <c r="R1020" s="140" t="n"/>
      <c r="S1020" s="140" t="n"/>
      <c r="T1020" s="141" t="n"/>
      <c r="U1020" s="129" t="n"/>
      <c r="V1020" s="129" t="n"/>
      <c r="W1020" s="145" t="n"/>
      <c r="X1020" s="145" t="n"/>
      <c r="Y1020" s="145" t="n"/>
      <c r="Z1020" s="145" t="n"/>
    </row>
    <row r="1021" ht="45.75" customHeight="1" s="222">
      <c r="A1021" s="145" t="n"/>
      <c r="B1021" s="145" t="n"/>
      <c r="C1021" s="145" t="n"/>
      <c r="D1021" s="145" t="n"/>
      <c r="E1021" s="145" t="n"/>
      <c r="F1021" s="145" t="n"/>
      <c r="G1021" s="145" t="n"/>
      <c r="H1021" s="145" t="n"/>
      <c r="I1021" s="145" t="n"/>
      <c r="J1021" s="145" t="n"/>
      <c r="K1021" s="145" t="n"/>
      <c r="L1021" s="145" t="n"/>
      <c r="M1021" s="145" t="n"/>
      <c r="N1021" s="145" t="n"/>
      <c r="O1021" s="140" t="n"/>
      <c r="P1021" s="140" t="n"/>
      <c r="Q1021" s="140" t="n"/>
      <c r="R1021" s="140" t="n"/>
      <c r="S1021" s="140" t="n"/>
      <c r="T1021" s="141" t="n"/>
      <c r="U1021" s="129" t="n"/>
      <c r="V1021" s="129" t="n"/>
      <c r="W1021" s="145" t="n"/>
      <c r="X1021" s="145" t="n"/>
      <c r="Y1021" s="145" t="n"/>
      <c r="Z1021" s="145" t="n"/>
    </row>
    <row r="1022" ht="45.75" customHeight="1" s="222">
      <c r="A1022" s="145" t="n"/>
      <c r="B1022" s="145" t="n"/>
      <c r="C1022" s="145" t="n"/>
      <c r="D1022" s="145" t="n"/>
      <c r="E1022" s="145" t="n"/>
      <c r="F1022" s="145" t="n"/>
      <c r="G1022" s="145" t="n"/>
      <c r="H1022" s="145" t="n"/>
      <c r="I1022" s="145" t="n"/>
      <c r="J1022" s="145" t="n"/>
      <c r="K1022" s="145" t="n"/>
      <c r="L1022" s="145" t="n"/>
      <c r="M1022" s="145" t="n"/>
      <c r="N1022" s="145" t="n"/>
      <c r="O1022" s="140" t="n"/>
      <c r="P1022" s="140" t="n"/>
      <c r="Q1022" s="140" t="n"/>
      <c r="R1022" s="140" t="n"/>
      <c r="S1022" s="140" t="n"/>
      <c r="T1022" s="141" t="n"/>
      <c r="U1022" s="129" t="n"/>
      <c r="V1022" s="129" t="n"/>
      <c r="W1022" s="145" t="n"/>
      <c r="X1022" s="145" t="n"/>
      <c r="Y1022" s="145" t="n"/>
      <c r="Z1022" s="145" t="n"/>
    </row>
    <row r="1023" ht="45.75" customHeight="1" s="222">
      <c r="A1023" s="145" t="n"/>
      <c r="B1023" s="145" t="n"/>
      <c r="C1023" s="145" t="n"/>
      <c r="D1023" s="145" t="n"/>
      <c r="E1023" s="145" t="n"/>
      <c r="F1023" s="145" t="n"/>
      <c r="G1023" s="145" t="n"/>
      <c r="H1023" s="145" t="n"/>
      <c r="I1023" s="145" t="n"/>
      <c r="J1023" s="145" t="n"/>
      <c r="K1023" s="145" t="n"/>
      <c r="L1023" s="145" t="n"/>
      <c r="M1023" s="145" t="n"/>
      <c r="N1023" s="145" t="n"/>
      <c r="O1023" s="140" t="n"/>
      <c r="P1023" s="140" t="n"/>
      <c r="Q1023" s="140" t="n"/>
      <c r="R1023" s="140" t="n"/>
      <c r="S1023" s="140" t="n"/>
      <c r="T1023" s="141" t="n"/>
      <c r="U1023" s="129" t="n"/>
      <c r="V1023" s="129" t="n"/>
      <c r="W1023" s="145" t="n"/>
      <c r="X1023" s="145" t="n"/>
      <c r="Y1023" s="145" t="n"/>
      <c r="Z1023" s="145" t="n"/>
    </row>
    <row r="1024" ht="45.75" customHeight="1" s="222">
      <c r="A1024" s="145" t="n"/>
      <c r="B1024" s="145" t="n"/>
      <c r="C1024" s="145" t="n"/>
      <c r="D1024" s="145" t="n"/>
      <c r="E1024" s="145" t="n"/>
      <c r="F1024" s="145" t="n"/>
      <c r="G1024" s="145" t="n"/>
      <c r="H1024" s="145" t="n"/>
      <c r="I1024" s="145" t="n"/>
      <c r="J1024" s="145" t="n"/>
      <c r="K1024" s="145" t="n"/>
      <c r="L1024" s="145" t="n"/>
      <c r="M1024" s="145" t="n"/>
      <c r="N1024" s="145" t="n"/>
      <c r="O1024" s="140" t="n"/>
      <c r="P1024" s="140" t="n"/>
      <c r="Q1024" s="140" t="n"/>
      <c r="R1024" s="140" t="n"/>
      <c r="S1024" s="140" t="n"/>
      <c r="T1024" s="141" t="n"/>
      <c r="U1024" s="129" t="n"/>
      <c r="V1024" s="129" t="n"/>
      <c r="W1024" s="145" t="n"/>
      <c r="X1024" s="145" t="n"/>
      <c r="Y1024" s="145" t="n"/>
      <c r="Z1024" s="145" t="n"/>
    </row>
    <row r="1025" ht="45.75" customHeight="1" s="222">
      <c r="A1025" s="145" t="n"/>
      <c r="B1025" s="145" t="n"/>
      <c r="C1025" s="145" t="n"/>
      <c r="D1025" s="145" t="n"/>
      <c r="E1025" s="145" t="n"/>
      <c r="F1025" s="145" t="n"/>
      <c r="G1025" s="145" t="n"/>
      <c r="H1025" s="145" t="n"/>
      <c r="I1025" s="145" t="n"/>
      <c r="J1025" s="145" t="n"/>
      <c r="K1025" s="145" t="n"/>
      <c r="L1025" s="145" t="n"/>
      <c r="M1025" s="145" t="n"/>
      <c r="N1025" s="145" t="n"/>
      <c r="O1025" s="140" t="n"/>
      <c r="P1025" s="140" t="n"/>
      <c r="Q1025" s="140" t="n"/>
      <c r="R1025" s="140" t="n"/>
      <c r="S1025" s="140" t="n"/>
      <c r="T1025" s="141" t="n"/>
      <c r="U1025" s="129" t="n"/>
      <c r="V1025" s="129" t="n"/>
      <c r="W1025" s="145" t="n"/>
      <c r="X1025" s="145" t="n"/>
      <c r="Y1025" s="145" t="n"/>
      <c r="Z1025" s="145" t="n"/>
    </row>
    <row r="1026" ht="45.75" customHeight="1" s="222">
      <c r="A1026" s="145" t="n"/>
      <c r="B1026" s="145" t="n"/>
      <c r="C1026" s="145" t="n"/>
      <c r="D1026" s="145" t="n"/>
      <c r="E1026" s="145" t="n"/>
      <c r="F1026" s="145" t="n"/>
      <c r="G1026" s="145" t="n"/>
      <c r="H1026" s="145" t="n"/>
      <c r="I1026" s="145" t="n"/>
      <c r="J1026" s="145" t="n"/>
      <c r="K1026" s="145" t="n"/>
      <c r="L1026" s="145" t="n"/>
      <c r="M1026" s="145" t="n"/>
      <c r="N1026" s="145" t="n"/>
      <c r="O1026" s="140" t="n"/>
      <c r="P1026" s="140" t="n"/>
      <c r="Q1026" s="140" t="n"/>
      <c r="R1026" s="140" t="n"/>
      <c r="S1026" s="140" t="n"/>
      <c r="T1026" s="141" t="n"/>
      <c r="U1026" s="129" t="n"/>
      <c r="V1026" s="129" t="n"/>
      <c r="W1026" s="145" t="n"/>
      <c r="X1026" s="145" t="n"/>
      <c r="Y1026" s="145" t="n"/>
      <c r="Z1026" s="145" t="n"/>
    </row>
    <row r="1027" ht="45.75" customHeight="1" s="222">
      <c r="A1027" s="145" t="n"/>
      <c r="B1027" s="145" t="n"/>
      <c r="C1027" s="145" t="n"/>
      <c r="D1027" s="145" t="n"/>
      <c r="E1027" s="145" t="n"/>
      <c r="F1027" s="145" t="n"/>
      <c r="G1027" s="145" t="n"/>
      <c r="H1027" s="145" t="n"/>
      <c r="I1027" s="145" t="n"/>
      <c r="J1027" s="145" t="n"/>
      <c r="K1027" s="145" t="n"/>
      <c r="L1027" s="145" t="n"/>
      <c r="M1027" s="145" t="n"/>
      <c r="N1027" s="145" t="n"/>
      <c r="O1027" s="140" t="n"/>
      <c r="P1027" s="140" t="n"/>
      <c r="Q1027" s="140" t="n"/>
      <c r="R1027" s="140" t="n"/>
      <c r="S1027" s="140" t="n"/>
      <c r="T1027" s="141" t="n"/>
      <c r="U1027" s="129" t="n"/>
      <c r="V1027" s="129" t="n"/>
      <c r="W1027" s="145" t="n"/>
      <c r="X1027" s="145" t="n"/>
      <c r="Y1027" s="145" t="n"/>
      <c r="Z1027" s="145" t="n"/>
    </row>
    <row r="1028" ht="45.75" customHeight="1" s="222">
      <c r="A1028" s="145" t="n"/>
      <c r="B1028" s="145" t="n"/>
      <c r="C1028" s="145" t="n"/>
      <c r="D1028" s="145" t="n"/>
      <c r="E1028" s="145" t="n"/>
      <c r="F1028" s="145" t="n"/>
      <c r="G1028" s="145" t="n"/>
      <c r="H1028" s="145" t="n"/>
      <c r="I1028" s="145" t="n"/>
      <c r="J1028" s="145" t="n"/>
      <c r="K1028" s="145" t="n"/>
      <c r="L1028" s="145" t="n"/>
      <c r="M1028" s="145" t="n"/>
      <c r="N1028" s="145" t="n"/>
      <c r="O1028" s="140" t="n"/>
      <c r="P1028" s="140" t="n"/>
      <c r="Q1028" s="140" t="n"/>
      <c r="R1028" s="140" t="n"/>
      <c r="S1028" s="140" t="n"/>
      <c r="T1028" s="141" t="n"/>
      <c r="U1028" s="129" t="n"/>
      <c r="V1028" s="129" t="n"/>
      <c r="W1028" s="145" t="n"/>
      <c r="X1028" s="145" t="n"/>
      <c r="Y1028" s="145" t="n"/>
      <c r="Z1028" s="145" t="n"/>
    </row>
    <row r="1029" ht="45.75" customHeight="1" s="222">
      <c r="A1029" s="145" t="n"/>
      <c r="B1029" s="145" t="n"/>
      <c r="C1029" s="145" t="n"/>
      <c r="D1029" s="145" t="n"/>
      <c r="E1029" s="145" t="n"/>
      <c r="F1029" s="145" t="n"/>
      <c r="G1029" s="145" t="n"/>
      <c r="H1029" s="145" t="n"/>
      <c r="I1029" s="145" t="n"/>
      <c r="J1029" s="145" t="n"/>
      <c r="K1029" s="145" t="n"/>
      <c r="L1029" s="145" t="n"/>
      <c r="M1029" s="145" t="n"/>
      <c r="N1029" s="145" t="n"/>
      <c r="O1029" s="140" t="n"/>
      <c r="P1029" s="140" t="n"/>
      <c r="Q1029" s="140" t="n"/>
      <c r="R1029" s="140" t="n"/>
      <c r="S1029" s="140" t="n"/>
      <c r="T1029" s="141" t="n"/>
      <c r="U1029" s="129" t="n"/>
      <c r="V1029" s="129" t="n"/>
      <c r="W1029" s="145" t="n"/>
      <c r="X1029" s="145" t="n"/>
      <c r="Y1029" s="145" t="n"/>
      <c r="Z1029" s="145" t="n"/>
    </row>
    <row r="1030" ht="45.75" customHeight="1" s="222">
      <c r="A1030" s="145" t="n"/>
      <c r="B1030" s="145" t="n"/>
      <c r="C1030" s="145" t="n"/>
      <c r="D1030" s="145" t="n"/>
      <c r="E1030" s="145" t="n"/>
      <c r="F1030" s="145" t="n"/>
      <c r="G1030" s="145" t="n"/>
      <c r="H1030" s="145" t="n"/>
      <c r="I1030" s="145" t="n"/>
      <c r="J1030" s="145" t="n"/>
      <c r="K1030" s="145" t="n"/>
      <c r="L1030" s="145" t="n"/>
      <c r="M1030" s="145" t="n"/>
      <c r="N1030" s="145" t="n"/>
      <c r="O1030" s="140" t="n"/>
      <c r="P1030" s="140" t="n"/>
      <c r="Q1030" s="140" t="n"/>
      <c r="R1030" s="140" t="n"/>
      <c r="S1030" s="140" t="n"/>
      <c r="T1030" s="141" t="n"/>
      <c r="U1030" s="129" t="n"/>
      <c r="V1030" s="129" t="n"/>
      <c r="W1030" s="145" t="n"/>
      <c r="X1030" s="145" t="n"/>
      <c r="Y1030" s="145" t="n"/>
      <c r="Z1030" s="145" t="n"/>
    </row>
    <row r="1031" ht="45.75" customHeight="1" s="222">
      <c r="A1031" s="145" t="n"/>
      <c r="B1031" s="145" t="n"/>
      <c r="C1031" s="145" t="n"/>
      <c r="D1031" s="145" t="n"/>
      <c r="E1031" s="145" t="n"/>
      <c r="F1031" s="145" t="n"/>
      <c r="G1031" s="145" t="n"/>
      <c r="H1031" s="145" t="n"/>
      <c r="I1031" s="145" t="n"/>
      <c r="J1031" s="145" t="n"/>
      <c r="K1031" s="145" t="n"/>
      <c r="L1031" s="145" t="n"/>
      <c r="M1031" s="145" t="n"/>
      <c r="N1031" s="145" t="n"/>
      <c r="O1031" s="140" t="n"/>
      <c r="P1031" s="140" t="n"/>
      <c r="Q1031" s="140" t="n"/>
      <c r="R1031" s="140" t="n"/>
      <c r="S1031" s="140" t="n"/>
      <c r="T1031" s="141" t="n"/>
      <c r="U1031" s="129" t="n"/>
      <c r="V1031" s="129" t="n"/>
      <c r="W1031" s="145" t="n"/>
      <c r="X1031" s="145" t="n"/>
      <c r="Y1031" s="145" t="n"/>
      <c r="Z1031" s="145" t="n"/>
    </row>
    <row r="1032" ht="45.75" customHeight="1" s="222">
      <c r="A1032" s="145" t="n"/>
      <c r="B1032" s="145" t="n"/>
      <c r="C1032" s="145" t="n"/>
      <c r="D1032" s="145" t="n"/>
      <c r="E1032" s="145" t="n"/>
      <c r="F1032" s="145" t="n"/>
      <c r="G1032" s="145" t="n"/>
      <c r="H1032" s="145" t="n"/>
      <c r="I1032" s="145" t="n"/>
      <c r="J1032" s="145" t="n"/>
      <c r="K1032" s="145" t="n"/>
      <c r="L1032" s="145" t="n"/>
      <c r="M1032" s="145" t="n"/>
      <c r="N1032" s="145" t="n"/>
      <c r="O1032" s="140" t="n"/>
      <c r="P1032" s="140" t="n"/>
      <c r="Q1032" s="140" t="n"/>
      <c r="R1032" s="140" t="n"/>
      <c r="S1032" s="140" t="n"/>
      <c r="T1032" s="141" t="n"/>
      <c r="U1032" s="129" t="n"/>
      <c r="V1032" s="129" t="n"/>
      <c r="W1032" s="145" t="n"/>
      <c r="X1032" s="145" t="n"/>
      <c r="Y1032" s="145" t="n"/>
      <c r="Z1032" s="145" t="n"/>
    </row>
    <row r="1033" ht="45.75" customHeight="1" s="222">
      <c r="A1033" s="145" t="n"/>
      <c r="B1033" s="145" t="n"/>
      <c r="C1033" s="145" t="n"/>
      <c r="D1033" s="145" t="n"/>
      <c r="E1033" s="145" t="n"/>
      <c r="F1033" s="145" t="n"/>
      <c r="G1033" s="145" t="n"/>
      <c r="H1033" s="145" t="n"/>
      <c r="I1033" s="145" t="n"/>
      <c r="J1033" s="145" t="n"/>
      <c r="K1033" s="145" t="n"/>
      <c r="L1033" s="145" t="n"/>
      <c r="M1033" s="145" t="n"/>
      <c r="N1033" s="145" t="n"/>
      <c r="O1033" s="140" t="n"/>
      <c r="P1033" s="140" t="n"/>
      <c r="Q1033" s="140" t="n"/>
      <c r="R1033" s="140" t="n"/>
      <c r="S1033" s="140" t="n"/>
      <c r="T1033" s="141" t="n"/>
      <c r="U1033" s="129" t="n"/>
      <c r="V1033" s="129" t="n"/>
      <c r="W1033" s="145" t="n"/>
      <c r="X1033" s="145" t="n"/>
      <c r="Y1033" s="145" t="n"/>
      <c r="Z1033" s="145" t="n"/>
    </row>
    <row r="1034" ht="45.75" customHeight="1" s="222">
      <c r="A1034" s="145" t="n"/>
      <c r="B1034" s="145" t="n"/>
      <c r="C1034" s="145" t="n"/>
      <c r="D1034" s="145" t="n"/>
      <c r="E1034" s="145" t="n"/>
      <c r="F1034" s="145" t="n"/>
      <c r="G1034" s="145" t="n"/>
      <c r="H1034" s="145" t="n"/>
      <c r="I1034" s="145" t="n"/>
      <c r="J1034" s="145" t="n"/>
      <c r="K1034" s="145" t="n"/>
      <c r="L1034" s="145" t="n"/>
      <c r="M1034" s="145" t="n"/>
      <c r="N1034" s="145" t="n"/>
      <c r="O1034" s="140" t="n"/>
      <c r="P1034" s="140" t="n"/>
      <c r="Q1034" s="140" t="n"/>
      <c r="R1034" s="140" t="n"/>
      <c r="S1034" s="140" t="n"/>
      <c r="T1034" s="141" t="n"/>
      <c r="U1034" s="129" t="n"/>
      <c r="V1034" s="129" t="n"/>
      <c r="W1034" s="145" t="n"/>
      <c r="X1034" s="145" t="n"/>
      <c r="Y1034" s="145" t="n"/>
      <c r="Z1034" s="145" t="n"/>
    </row>
    <row r="1035" ht="45.75" customHeight="1" s="222">
      <c r="A1035" s="145" t="n"/>
      <c r="B1035" s="145" t="n"/>
      <c r="C1035" s="145" t="n"/>
      <c r="D1035" s="145" t="n"/>
      <c r="E1035" s="145" t="n"/>
      <c r="F1035" s="145" t="n"/>
      <c r="G1035" s="145" t="n"/>
      <c r="H1035" s="145" t="n"/>
      <c r="I1035" s="145" t="n"/>
      <c r="J1035" s="145" t="n"/>
      <c r="K1035" s="145" t="n"/>
      <c r="L1035" s="145" t="n"/>
      <c r="M1035" s="145" t="n"/>
      <c r="N1035" s="145" t="n"/>
      <c r="O1035" s="140" t="n"/>
      <c r="P1035" s="140" t="n"/>
      <c r="Q1035" s="140" t="n"/>
      <c r="R1035" s="140" t="n"/>
      <c r="S1035" s="140" t="n"/>
      <c r="T1035" s="141" t="n"/>
      <c r="U1035" s="129" t="n"/>
      <c r="V1035" s="129" t="n"/>
      <c r="W1035" s="145" t="n"/>
      <c r="X1035" s="145" t="n"/>
      <c r="Y1035" s="145" t="n"/>
      <c r="Z1035" s="145" t="n"/>
    </row>
    <row r="1036" ht="45.75" customHeight="1" s="222">
      <c r="A1036" s="145" t="n"/>
      <c r="B1036" s="145" t="n"/>
      <c r="C1036" s="145" t="n"/>
      <c r="D1036" s="145" t="n"/>
      <c r="E1036" s="145" t="n"/>
      <c r="F1036" s="145" t="n"/>
      <c r="G1036" s="145" t="n"/>
      <c r="H1036" s="145" t="n"/>
      <c r="I1036" s="145" t="n"/>
      <c r="J1036" s="145" t="n"/>
      <c r="K1036" s="145" t="n"/>
      <c r="L1036" s="145" t="n"/>
      <c r="M1036" s="145" t="n"/>
      <c r="N1036" s="145" t="n"/>
      <c r="O1036" s="140" t="n"/>
      <c r="P1036" s="140" t="n"/>
      <c r="Q1036" s="140" t="n"/>
      <c r="R1036" s="140" t="n"/>
      <c r="S1036" s="140" t="n"/>
      <c r="T1036" s="141" t="n"/>
      <c r="U1036" s="129" t="n"/>
      <c r="V1036" s="129" t="n"/>
      <c r="W1036" s="145" t="n"/>
      <c r="X1036" s="145" t="n"/>
      <c r="Y1036" s="145" t="n"/>
      <c r="Z1036" s="145" t="n"/>
    </row>
    <row r="1037" ht="45.75" customHeight="1" s="222">
      <c r="A1037" s="145" t="n"/>
      <c r="B1037" s="145" t="n"/>
      <c r="C1037" s="145" t="n"/>
      <c r="D1037" s="145" t="n"/>
      <c r="E1037" s="145" t="n"/>
      <c r="F1037" s="145" t="n"/>
      <c r="G1037" s="145" t="n"/>
      <c r="H1037" s="145" t="n"/>
      <c r="I1037" s="145" t="n"/>
      <c r="J1037" s="145" t="n"/>
      <c r="K1037" s="145" t="n"/>
      <c r="L1037" s="145" t="n"/>
      <c r="M1037" s="145" t="n"/>
      <c r="N1037" s="145" t="n"/>
      <c r="O1037" s="140" t="n"/>
      <c r="P1037" s="140" t="n"/>
      <c r="Q1037" s="140" t="n"/>
      <c r="R1037" s="140" t="n"/>
      <c r="S1037" s="140" t="n"/>
      <c r="T1037" s="141" t="n"/>
      <c r="U1037" s="129" t="n"/>
      <c r="V1037" s="129" t="n"/>
      <c r="W1037" s="145" t="n"/>
      <c r="X1037" s="145" t="n"/>
      <c r="Y1037" s="145" t="n"/>
      <c r="Z1037" s="145" t="n"/>
    </row>
    <row r="1038" ht="45.75" customHeight="1" s="222">
      <c r="A1038" s="145" t="n"/>
      <c r="B1038" s="145" t="n"/>
      <c r="C1038" s="145" t="n"/>
      <c r="D1038" s="145" t="n"/>
      <c r="E1038" s="145" t="n"/>
      <c r="F1038" s="145" t="n"/>
      <c r="G1038" s="145" t="n"/>
      <c r="H1038" s="145" t="n"/>
      <c r="I1038" s="145" t="n"/>
      <c r="J1038" s="145" t="n"/>
      <c r="K1038" s="145" t="n"/>
      <c r="L1038" s="145" t="n"/>
      <c r="M1038" s="145" t="n"/>
      <c r="N1038" s="145" t="n"/>
      <c r="O1038" s="140" t="n"/>
      <c r="P1038" s="140" t="n"/>
      <c r="Q1038" s="140" t="n"/>
      <c r="R1038" s="140" t="n"/>
      <c r="S1038" s="140" t="n"/>
      <c r="T1038" s="141" t="n"/>
      <c r="U1038" s="129" t="n"/>
      <c r="V1038" s="129" t="n"/>
      <c r="W1038" s="145" t="n"/>
      <c r="X1038" s="145" t="n"/>
      <c r="Y1038" s="145" t="n"/>
      <c r="Z1038" s="145" t="n"/>
    </row>
    <row r="1039" ht="45.75" customHeight="1" s="222">
      <c r="A1039" s="145" t="n"/>
      <c r="B1039" s="145" t="n"/>
      <c r="C1039" s="145" t="n"/>
      <c r="D1039" s="145" t="n"/>
      <c r="E1039" s="145" t="n"/>
      <c r="F1039" s="145" t="n"/>
      <c r="G1039" s="145" t="n"/>
      <c r="H1039" s="145" t="n"/>
      <c r="I1039" s="145" t="n"/>
      <c r="J1039" s="145" t="n"/>
      <c r="K1039" s="145" t="n"/>
      <c r="L1039" s="145" t="n"/>
      <c r="M1039" s="145" t="n"/>
      <c r="N1039" s="145" t="n"/>
      <c r="O1039" s="140" t="n"/>
      <c r="P1039" s="140" t="n"/>
      <c r="Q1039" s="140" t="n"/>
      <c r="R1039" s="140" t="n"/>
      <c r="S1039" s="140" t="n"/>
      <c r="T1039" s="141" t="n"/>
      <c r="U1039" s="129" t="n"/>
      <c r="V1039" s="129" t="n"/>
      <c r="W1039" s="145" t="n"/>
      <c r="X1039" s="145" t="n"/>
      <c r="Y1039" s="145" t="n"/>
      <c r="Z1039" s="145" t="n"/>
    </row>
    <row r="1040" ht="45.75" customHeight="1" s="222">
      <c r="A1040" s="145" t="n"/>
      <c r="B1040" s="145" t="n"/>
      <c r="C1040" s="145" t="n"/>
      <c r="D1040" s="145" t="n"/>
      <c r="E1040" s="145" t="n"/>
      <c r="F1040" s="145" t="n"/>
      <c r="G1040" s="145" t="n"/>
      <c r="H1040" s="145" t="n"/>
      <c r="I1040" s="145" t="n"/>
      <c r="J1040" s="145" t="n"/>
      <c r="K1040" s="145" t="n"/>
      <c r="L1040" s="145" t="n"/>
      <c r="M1040" s="145" t="n"/>
      <c r="N1040" s="145" t="n"/>
      <c r="O1040" s="140" t="n"/>
      <c r="P1040" s="140" t="n"/>
      <c r="Q1040" s="140" t="n"/>
      <c r="R1040" s="140" t="n"/>
      <c r="S1040" s="140" t="n"/>
      <c r="T1040" s="141" t="n"/>
      <c r="U1040" s="129" t="n"/>
      <c r="V1040" s="129" t="n"/>
      <c r="W1040" s="145" t="n"/>
      <c r="X1040" s="145" t="n"/>
      <c r="Y1040" s="145" t="n"/>
      <c r="Z1040" s="145" t="n"/>
    </row>
    <row r="1041" ht="45.75" customHeight="1" s="222">
      <c r="A1041" s="145" t="n"/>
      <c r="B1041" s="145" t="n"/>
      <c r="C1041" s="145" t="n"/>
      <c r="D1041" s="145" t="n"/>
      <c r="E1041" s="145" t="n"/>
      <c r="F1041" s="145" t="n"/>
      <c r="G1041" s="145" t="n"/>
      <c r="H1041" s="145" t="n"/>
      <c r="I1041" s="145" t="n"/>
      <c r="J1041" s="145" t="n"/>
      <c r="K1041" s="145" t="n"/>
      <c r="L1041" s="145" t="n"/>
      <c r="M1041" s="145" t="n"/>
      <c r="N1041" s="145" t="n"/>
      <c r="O1041" s="140" t="n"/>
      <c r="P1041" s="140" t="n"/>
      <c r="Q1041" s="140" t="n"/>
      <c r="R1041" s="140" t="n"/>
      <c r="S1041" s="140" t="n"/>
      <c r="T1041" s="141" t="n"/>
      <c r="U1041" s="129" t="n"/>
      <c r="V1041" s="129" t="n"/>
      <c r="W1041" s="145" t="n"/>
      <c r="X1041" s="145" t="n"/>
      <c r="Y1041" s="145" t="n"/>
      <c r="Z1041" s="145" t="n"/>
    </row>
    <row r="1042" ht="45.75" customHeight="1" s="222">
      <c r="A1042" s="145" t="n"/>
      <c r="B1042" s="145" t="n"/>
      <c r="C1042" s="145" t="n"/>
      <c r="D1042" s="145" t="n"/>
      <c r="E1042" s="145" t="n"/>
      <c r="F1042" s="145" t="n"/>
      <c r="G1042" s="145" t="n"/>
      <c r="H1042" s="145" t="n"/>
      <c r="I1042" s="145" t="n"/>
      <c r="J1042" s="145" t="n"/>
      <c r="K1042" s="145" t="n"/>
      <c r="L1042" s="145" t="n"/>
      <c r="M1042" s="145" t="n"/>
      <c r="N1042" s="145" t="n"/>
      <c r="O1042" s="140" t="n"/>
      <c r="P1042" s="140" t="n"/>
      <c r="Q1042" s="140" t="n"/>
      <c r="R1042" s="140" t="n"/>
      <c r="S1042" s="140" t="n"/>
      <c r="T1042" s="141" t="n"/>
      <c r="U1042" s="129" t="n"/>
      <c r="V1042" s="129" t="n"/>
      <c r="W1042" s="145" t="n"/>
      <c r="X1042" s="145" t="n"/>
      <c r="Y1042" s="145" t="n"/>
      <c r="Z1042" s="145" t="n"/>
    </row>
    <row r="1043" ht="45.75" customHeight="1" s="222">
      <c r="A1043" s="145" t="n"/>
      <c r="B1043" s="145" t="n"/>
      <c r="C1043" s="145" t="n"/>
      <c r="D1043" s="145" t="n"/>
      <c r="E1043" s="145" t="n"/>
      <c r="F1043" s="145" t="n"/>
      <c r="G1043" s="145" t="n"/>
      <c r="H1043" s="145" t="n"/>
      <c r="I1043" s="145" t="n"/>
      <c r="J1043" s="145" t="n"/>
      <c r="K1043" s="145" t="n"/>
      <c r="L1043" s="145" t="n"/>
      <c r="M1043" s="145" t="n"/>
      <c r="N1043" s="145" t="n"/>
      <c r="O1043" s="140" t="n"/>
      <c r="P1043" s="140" t="n"/>
      <c r="Q1043" s="140" t="n"/>
      <c r="R1043" s="140" t="n"/>
      <c r="S1043" s="140" t="n"/>
      <c r="T1043" s="141" t="n"/>
      <c r="U1043" s="129" t="n"/>
      <c r="V1043" s="129" t="n"/>
      <c r="W1043" s="145" t="n"/>
      <c r="X1043" s="145" t="n"/>
      <c r="Y1043" s="145" t="n"/>
      <c r="Z1043" s="145" t="n"/>
    </row>
    <row r="1044" ht="45.75" customHeight="1" s="222">
      <c r="A1044" s="145" t="n"/>
      <c r="B1044" s="145" t="n"/>
      <c r="C1044" s="145" t="n"/>
      <c r="D1044" s="145" t="n"/>
      <c r="E1044" s="145" t="n"/>
      <c r="F1044" s="145" t="n"/>
      <c r="G1044" s="145" t="n"/>
      <c r="H1044" s="145" t="n"/>
      <c r="I1044" s="145" t="n"/>
      <c r="J1044" s="145" t="n"/>
      <c r="K1044" s="145" t="n"/>
      <c r="L1044" s="145" t="n"/>
      <c r="M1044" s="145" t="n"/>
      <c r="N1044" s="145" t="n"/>
      <c r="O1044" s="140" t="n"/>
      <c r="P1044" s="140" t="n"/>
      <c r="Q1044" s="140" t="n"/>
      <c r="R1044" s="140" t="n"/>
      <c r="S1044" s="140" t="n"/>
      <c r="T1044" s="141" t="n"/>
      <c r="U1044" s="129" t="n"/>
      <c r="V1044" s="129" t="n"/>
      <c r="W1044" s="145" t="n"/>
      <c r="X1044" s="145" t="n"/>
      <c r="Y1044" s="145" t="n"/>
      <c r="Z1044" s="145" t="n"/>
    </row>
    <row r="1045" ht="45.75" customHeight="1" s="222">
      <c r="A1045" s="145" t="n"/>
      <c r="B1045" s="145" t="n"/>
      <c r="C1045" s="145" t="n"/>
      <c r="D1045" s="145" t="n"/>
      <c r="E1045" s="145" t="n"/>
      <c r="F1045" s="145" t="n"/>
      <c r="G1045" s="145" t="n"/>
      <c r="H1045" s="145" t="n"/>
      <c r="I1045" s="145" t="n"/>
      <c r="J1045" s="145" t="n"/>
      <c r="K1045" s="145" t="n"/>
      <c r="L1045" s="145" t="n"/>
      <c r="M1045" s="145" t="n"/>
      <c r="N1045" s="145" t="n"/>
      <c r="O1045" s="140" t="n"/>
      <c r="P1045" s="140" t="n"/>
      <c r="Q1045" s="140" t="n"/>
      <c r="R1045" s="140" t="n"/>
      <c r="S1045" s="140" t="n"/>
      <c r="T1045" s="141" t="n"/>
      <c r="U1045" s="129" t="n"/>
      <c r="V1045" s="129" t="n"/>
      <c r="W1045" s="145" t="n"/>
      <c r="X1045" s="145" t="n"/>
      <c r="Y1045" s="145" t="n"/>
      <c r="Z1045" s="145" t="n"/>
    </row>
    <row r="1046" ht="45.75" customHeight="1" s="222">
      <c r="A1046" s="145" t="n"/>
      <c r="B1046" s="145" t="n"/>
      <c r="C1046" s="145" t="n"/>
      <c r="D1046" s="145" t="n"/>
      <c r="E1046" s="145" t="n"/>
      <c r="F1046" s="145" t="n"/>
      <c r="G1046" s="145" t="n"/>
      <c r="H1046" s="145" t="n"/>
      <c r="I1046" s="145" t="n"/>
      <c r="J1046" s="145" t="n"/>
      <c r="K1046" s="145" t="n"/>
      <c r="L1046" s="145" t="n"/>
      <c r="M1046" s="145" t="n"/>
      <c r="N1046" s="145" t="n"/>
      <c r="O1046" s="140" t="n"/>
      <c r="P1046" s="140" t="n"/>
      <c r="Q1046" s="140" t="n"/>
      <c r="R1046" s="140" t="n"/>
      <c r="S1046" s="140" t="n"/>
      <c r="T1046" s="141" t="n"/>
      <c r="U1046" s="129" t="n"/>
      <c r="V1046" s="129" t="n"/>
      <c r="W1046" s="145" t="n"/>
      <c r="X1046" s="145" t="n"/>
      <c r="Y1046" s="145" t="n"/>
      <c r="Z1046" s="145" t="n"/>
    </row>
    <row r="1047" ht="45.75" customHeight="1" s="222">
      <c r="A1047" s="145" t="n"/>
      <c r="B1047" s="145" t="n"/>
      <c r="C1047" s="145" t="n"/>
      <c r="D1047" s="145" t="n"/>
      <c r="E1047" s="145" t="n"/>
      <c r="F1047" s="145" t="n"/>
      <c r="G1047" s="145" t="n"/>
      <c r="H1047" s="145" t="n"/>
      <c r="I1047" s="145" t="n"/>
      <c r="J1047" s="145" t="n"/>
      <c r="K1047" s="145" t="n"/>
      <c r="L1047" s="145" t="n"/>
      <c r="M1047" s="145" t="n"/>
      <c r="N1047" s="145" t="n"/>
      <c r="O1047" s="140" t="n"/>
      <c r="P1047" s="140" t="n"/>
      <c r="Q1047" s="140" t="n"/>
      <c r="R1047" s="140" t="n"/>
      <c r="S1047" s="140" t="n"/>
      <c r="T1047" s="141" t="n"/>
      <c r="U1047" s="129" t="n"/>
      <c r="V1047" s="129" t="n"/>
      <c r="W1047" s="145" t="n"/>
      <c r="X1047" s="145" t="n"/>
      <c r="Y1047" s="145" t="n"/>
      <c r="Z1047" s="145" t="n"/>
    </row>
    <row r="1048" ht="45.75" customHeight="1" s="222">
      <c r="A1048" s="145" t="n"/>
      <c r="B1048" s="145" t="n"/>
      <c r="C1048" s="145" t="n"/>
      <c r="D1048" s="145" t="n"/>
      <c r="E1048" s="145" t="n"/>
      <c r="F1048" s="145" t="n"/>
      <c r="G1048" s="145" t="n"/>
      <c r="H1048" s="145" t="n"/>
      <c r="I1048" s="145" t="n"/>
      <c r="J1048" s="145" t="n"/>
      <c r="K1048" s="145" t="n"/>
      <c r="L1048" s="145" t="n"/>
      <c r="M1048" s="145" t="n"/>
      <c r="N1048" s="145" t="n"/>
      <c r="O1048" s="140" t="n"/>
      <c r="P1048" s="140" t="n"/>
      <c r="Q1048" s="140" t="n"/>
      <c r="R1048" s="140" t="n"/>
      <c r="S1048" s="140" t="n"/>
      <c r="T1048" s="141" t="n"/>
      <c r="U1048" s="129" t="n"/>
      <c r="V1048" s="129" t="n"/>
      <c r="W1048" s="145" t="n"/>
      <c r="X1048" s="145" t="n"/>
      <c r="Y1048" s="145" t="n"/>
      <c r="Z1048" s="145" t="n"/>
    </row>
    <row r="1049" ht="45.75" customHeight="1" s="222">
      <c r="A1049" s="145" t="n"/>
      <c r="B1049" s="145" t="n"/>
      <c r="C1049" s="145" t="n"/>
      <c r="D1049" s="145" t="n"/>
      <c r="E1049" s="145" t="n"/>
      <c r="F1049" s="145" t="n"/>
      <c r="G1049" s="145" t="n"/>
      <c r="H1049" s="145" t="n"/>
      <c r="I1049" s="145" t="n"/>
      <c r="J1049" s="145" t="n"/>
      <c r="K1049" s="145" t="n"/>
      <c r="L1049" s="145" t="n"/>
      <c r="M1049" s="145" t="n"/>
      <c r="N1049" s="145" t="n"/>
      <c r="O1049" s="140" t="n"/>
      <c r="P1049" s="140" t="n"/>
      <c r="Q1049" s="140" t="n"/>
      <c r="R1049" s="140" t="n"/>
      <c r="S1049" s="140" t="n"/>
      <c r="T1049" s="141" t="n"/>
      <c r="U1049" s="129" t="n"/>
      <c r="V1049" s="129" t="n"/>
      <c r="W1049" s="145" t="n"/>
      <c r="X1049" s="145" t="n"/>
      <c r="Y1049" s="145" t="n"/>
      <c r="Z1049" s="145" t="n"/>
    </row>
    <row r="1050" ht="45.75" customHeight="1" s="222">
      <c r="A1050" s="145" t="n"/>
      <c r="B1050" s="145" t="n"/>
      <c r="C1050" s="145" t="n"/>
      <c r="D1050" s="145" t="n"/>
      <c r="E1050" s="145" t="n"/>
      <c r="F1050" s="145" t="n"/>
      <c r="G1050" s="145" t="n"/>
      <c r="H1050" s="145" t="n"/>
      <c r="I1050" s="145" t="n"/>
      <c r="J1050" s="145" t="n"/>
      <c r="K1050" s="145" t="n"/>
      <c r="L1050" s="145" t="n"/>
      <c r="M1050" s="145" t="n"/>
      <c r="N1050" s="145" t="n"/>
      <c r="O1050" s="140" t="n"/>
      <c r="P1050" s="140" t="n"/>
      <c r="Q1050" s="140" t="n"/>
      <c r="R1050" s="140" t="n"/>
      <c r="S1050" s="140" t="n"/>
      <c r="T1050" s="141" t="n"/>
      <c r="U1050" s="129" t="n"/>
      <c r="V1050" s="129" t="n"/>
      <c r="W1050" s="145" t="n"/>
      <c r="X1050" s="145" t="n"/>
      <c r="Y1050" s="145" t="n"/>
      <c r="Z1050" s="145" t="n"/>
    </row>
    <row r="1051" ht="45.75" customHeight="1" s="222">
      <c r="A1051" s="145" t="n"/>
      <c r="B1051" s="145" t="n"/>
      <c r="C1051" s="145" t="n"/>
      <c r="D1051" s="145" t="n"/>
      <c r="E1051" s="145" t="n"/>
      <c r="F1051" s="145" t="n"/>
      <c r="G1051" s="145" t="n"/>
      <c r="H1051" s="145" t="n"/>
      <c r="I1051" s="145" t="n"/>
      <c r="J1051" s="145" t="n"/>
      <c r="K1051" s="145" t="n"/>
      <c r="L1051" s="145" t="n"/>
      <c r="M1051" s="145" t="n"/>
      <c r="N1051" s="145" t="n"/>
      <c r="O1051" s="140" t="n"/>
      <c r="P1051" s="140" t="n"/>
      <c r="Q1051" s="140" t="n"/>
      <c r="R1051" s="140" t="n"/>
      <c r="S1051" s="140" t="n"/>
      <c r="T1051" s="141" t="n"/>
      <c r="U1051" s="129" t="n"/>
      <c r="V1051" s="129" t="n"/>
      <c r="W1051" s="145" t="n"/>
      <c r="X1051" s="145" t="n"/>
      <c r="Y1051" s="145" t="n"/>
      <c r="Z1051" s="145" t="n"/>
    </row>
    <row r="1052" ht="45.75" customHeight="1" s="222">
      <c r="A1052" s="145" t="n"/>
      <c r="B1052" s="145" t="n"/>
      <c r="C1052" s="145" t="n"/>
      <c r="D1052" s="145" t="n"/>
      <c r="E1052" s="145" t="n"/>
      <c r="F1052" s="145" t="n"/>
      <c r="G1052" s="145" t="n"/>
      <c r="H1052" s="145" t="n"/>
      <c r="I1052" s="145" t="n"/>
      <c r="J1052" s="145" t="n"/>
      <c r="K1052" s="145" t="n"/>
      <c r="L1052" s="145" t="n"/>
      <c r="M1052" s="145" t="n"/>
      <c r="N1052" s="145" t="n"/>
      <c r="O1052" s="140" t="n"/>
      <c r="P1052" s="140" t="n"/>
      <c r="Q1052" s="140" t="n"/>
      <c r="R1052" s="140" t="n"/>
      <c r="S1052" s="140" t="n"/>
      <c r="T1052" s="141" t="n"/>
      <c r="U1052" s="129" t="n"/>
      <c r="V1052" s="129" t="n"/>
      <c r="W1052" s="145" t="n"/>
      <c r="X1052" s="145" t="n"/>
      <c r="Y1052" s="145" t="n"/>
      <c r="Z1052" s="145" t="n"/>
    </row>
    <row r="1053" ht="45.75" customHeight="1" s="222">
      <c r="A1053" s="145" t="n"/>
      <c r="B1053" s="145" t="n"/>
      <c r="C1053" s="145" t="n"/>
      <c r="D1053" s="145" t="n"/>
      <c r="E1053" s="145" t="n"/>
      <c r="F1053" s="145" t="n"/>
      <c r="G1053" s="145" t="n"/>
      <c r="H1053" s="145" t="n"/>
      <c r="I1053" s="145" t="n"/>
      <c r="J1053" s="145" t="n"/>
      <c r="K1053" s="145" t="n"/>
      <c r="L1053" s="145" t="n"/>
      <c r="M1053" s="145" t="n"/>
      <c r="N1053" s="145" t="n"/>
      <c r="O1053" s="140" t="n"/>
      <c r="P1053" s="140" t="n"/>
      <c r="Q1053" s="140" t="n"/>
      <c r="R1053" s="140" t="n"/>
      <c r="S1053" s="140" t="n"/>
      <c r="T1053" s="141" t="n"/>
      <c r="U1053" s="129" t="n"/>
      <c r="V1053" s="129" t="n"/>
      <c r="W1053" s="145" t="n"/>
      <c r="X1053" s="145" t="n"/>
      <c r="Y1053" s="145" t="n"/>
      <c r="Z1053" s="145" t="n"/>
    </row>
    <row r="1054" ht="45.75" customHeight="1" s="222">
      <c r="A1054" s="145" t="n"/>
      <c r="B1054" s="145" t="n"/>
      <c r="C1054" s="145" t="n"/>
      <c r="D1054" s="145" t="n"/>
      <c r="E1054" s="145" t="n"/>
      <c r="F1054" s="145" t="n"/>
      <c r="G1054" s="145" t="n"/>
      <c r="H1054" s="145" t="n"/>
      <c r="I1054" s="145" t="n"/>
      <c r="J1054" s="145" t="n"/>
      <c r="K1054" s="145" t="n"/>
      <c r="L1054" s="145" t="n"/>
      <c r="M1054" s="145" t="n"/>
      <c r="N1054" s="145" t="n"/>
      <c r="O1054" s="140" t="n"/>
      <c r="P1054" s="140" t="n"/>
      <c r="Q1054" s="140" t="n"/>
      <c r="R1054" s="140" t="n"/>
      <c r="S1054" s="140" t="n"/>
      <c r="T1054" s="141" t="n"/>
      <c r="U1054" s="129" t="n"/>
      <c r="V1054" s="129" t="n"/>
      <c r="W1054" s="145" t="n"/>
      <c r="X1054" s="145" t="n"/>
      <c r="Y1054" s="145" t="n"/>
      <c r="Z1054" s="145" t="n"/>
    </row>
    <row r="1055" ht="45.75" customHeight="1" s="222">
      <c r="A1055" s="145" t="n"/>
      <c r="B1055" s="145" t="n"/>
      <c r="C1055" s="145" t="n"/>
      <c r="D1055" s="145" t="n"/>
      <c r="E1055" s="145" t="n"/>
      <c r="F1055" s="145" t="n"/>
      <c r="G1055" s="145" t="n"/>
      <c r="H1055" s="145" t="n"/>
      <c r="I1055" s="145" t="n"/>
      <c r="J1055" s="145" t="n"/>
      <c r="K1055" s="145" t="n"/>
      <c r="L1055" s="145" t="n"/>
      <c r="M1055" s="145" t="n"/>
      <c r="N1055" s="145" t="n"/>
      <c r="O1055" s="140" t="n"/>
      <c r="P1055" s="140" t="n"/>
      <c r="Q1055" s="140" t="n"/>
      <c r="R1055" s="140" t="n"/>
      <c r="S1055" s="140" t="n"/>
      <c r="T1055" s="141" t="n"/>
      <c r="U1055" s="129" t="n"/>
      <c r="V1055" s="129" t="n"/>
      <c r="W1055" s="145" t="n"/>
      <c r="X1055" s="145" t="n"/>
      <c r="Y1055" s="145" t="n"/>
      <c r="Z1055" s="145" t="n"/>
    </row>
    <row r="1056" ht="45.75" customHeight="1" s="222">
      <c r="A1056" s="145" t="n"/>
      <c r="B1056" s="145" t="n"/>
      <c r="C1056" s="145" t="n"/>
      <c r="D1056" s="145" t="n"/>
      <c r="E1056" s="145" t="n"/>
      <c r="F1056" s="145" t="n"/>
      <c r="G1056" s="145" t="n"/>
      <c r="H1056" s="145" t="n"/>
      <c r="I1056" s="145" t="n"/>
      <c r="J1056" s="145" t="n"/>
      <c r="K1056" s="145" t="n"/>
      <c r="L1056" s="145" t="n"/>
      <c r="M1056" s="145" t="n"/>
      <c r="N1056" s="145" t="n"/>
      <c r="O1056" s="140" t="n"/>
      <c r="P1056" s="140" t="n"/>
      <c r="Q1056" s="140" t="n"/>
      <c r="R1056" s="140" t="n"/>
      <c r="S1056" s="140" t="n"/>
      <c r="T1056" s="141" t="n"/>
      <c r="U1056" s="129" t="n"/>
      <c r="V1056" s="129" t="n"/>
      <c r="W1056" s="145" t="n"/>
      <c r="X1056" s="145" t="n"/>
      <c r="Y1056" s="145" t="n"/>
      <c r="Z1056" s="145" t="n"/>
    </row>
    <row r="1057" ht="45.75" customHeight="1" s="222">
      <c r="A1057" s="145" t="n"/>
      <c r="B1057" s="145" t="n"/>
      <c r="C1057" s="145" t="n"/>
      <c r="D1057" s="145" t="n"/>
      <c r="E1057" s="145" t="n"/>
      <c r="F1057" s="145" t="n"/>
      <c r="G1057" s="145" t="n"/>
      <c r="H1057" s="145" t="n"/>
      <c r="I1057" s="145" t="n"/>
      <c r="J1057" s="145" t="n"/>
      <c r="K1057" s="145" t="n"/>
      <c r="L1057" s="145" t="n"/>
      <c r="M1057" s="145" t="n"/>
      <c r="N1057" s="145" t="n"/>
      <c r="O1057" s="140" t="n"/>
      <c r="P1057" s="140" t="n"/>
      <c r="Q1057" s="140" t="n"/>
      <c r="R1057" s="140" t="n"/>
      <c r="S1057" s="140" t="n"/>
      <c r="T1057" s="141" t="n"/>
      <c r="U1057" s="129" t="n"/>
      <c r="V1057" s="129" t="n"/>
      <c r="W1057" s="145" t="n"/>
      <c r="X1057" s="145" t="n"/>
      <c r="Y1057" s="145" t="n"/>
      <c r="Z1057" s="145" t="n"/>
    </row>
    <row r="1058" ht="45.75" customHeight="1" s="222">
      <c r="A1058" s="145" t="n"/>
      <c r="B1058" s="145" t="n"/>
      <c r="C1058" s="145" t="n"/>
      <c r="D1058" s="145" t="n"/>
      <c r="E1058" s="145" t="n"/>
      <c r="F1058" s="145" t="n"/>
      <c r="G1058" s="145" t="n"/>
      <c r="H1058" s="145" t="n"/>
      <c r="I1058" s="145" t="n"/>
      <c r="J1058" s="145" t="n"/>
      <c r="K1058" s="145" t="n"/>
      <c r="L1058" s="145" t="n"/>
      <c r="M1058" s="145" t="n"/>
      <c r="N1058" s="145" t="n"/>
      <c r="O1058" s="140" t="n"/>
      <c r="P1058" s="140" t="n"/>
      <c r="Q1058" s="140" t="n"/>
      <c r="R1058" s="140" t="n"/>
      <c r="S1058" s="140" t="n"/>
      <c r="T1058" s="141" t="n"/>
      <c r="U1058" s="129" t="n"/>
      <c r="V1058" s="129" t="n"/>
      <c r="W1058" s="145" t="n"/>
      <c r="X1058" s="145" t="n"/>
      <c r="Y1058" s="145" t="n"/>
      <c r="Z1058" s="145" t="n"/>
    </row>
    <row r="1059" ht="45.75" customHeight="1" s="222">
      <c r="A1059" s="145" t="n"/>
      <c r="B1059" s="145" t="n"/>
      <c r="C1059" s="145" t="n"/>
      <c r="D1059" s="145" t="n"/>
      <c r="E1059" s="145" t="n"/>
      <c r="F1059" s="145" t="n"/>
      <c r="G1059" s="145" t="n"/>
      <c r="H1059" s="145" t="n"/>
      <c r="I1059" s="145" t="n"/>
      <c r="J1059" s="145" t="n"/>
      <c r="K1059" s="145" t="n"/>
      <c r="L1059" s="145" t="n"/>
      <c r="M1059" s="145" t="n"/>
      <c r="N1059" s="145" t="n"/>
      <c r="O1059" s="140" t="n"/>
      <c r="P1059" s="140" t="n"/>
      <c r="Q1059" s="140" t="n"/>
      <c r="R1059" s="140" t="n"/>
      <c r="S1059" s="140" t="n"/>
      <c r="T1059" s="141" t="n"/>
      <c r="U1059" s="129" t="n"/>
      <c r="V1059" s="129" t="n"/>
      <c r="W1059" s="145" t="n"/>
      <c r="X1059" s="145" t="n"/>
      <c r="Y1059" s="145" t="n"/>
      <c r="Z1059" s="145" t="n"/>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0" summaryRight="0"/>
    <pageSetUpPr/>
  </sheetPr>
  <dimension ref="A1:X1059"/>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 customHeight="1"/>
  <cols>
    <col width="27.5" customWidth="1" style="222" min="1" max="1"/>
    <col width="13.13" customWidth="1" style="222" min="2" max="2"/>
    <col collapsed="1" width="27.5" customWidth="1" style="222" min="3" max="3"/>
    <col hidden="1" outlineLevel="1" width="27.5" customWidth="1" style="222" min="4" max="5"/>
    <col hidden="1" outlineLevel="1" width="25.63" customWidth="1" style="222" min="6" max="6"/>
    <col hidden="1" outlineLevel="1" width="27.5" customWidth="1" style="222" min="7" max="10"/>
    <col hidden="1" outlineLevel="1" width="42.25" customWidth="1" style="222" min="11" max="11"/>
    <col width="71.75" customWidth="1" style="222" min="12" max="12"/>
    <col width="1.88" customWidth="1" style="222" min="13" max="13"/>
    <col width="27.5" customWidth="1" style="222" min="14" max="36"/>
  </cols>
  <sheetData>
    <row r="1" ht="69" customHeight="1" s="222">
      <c r="A1" s="157">
        <f>Accounts!A1</f>
        <v/>
      </c>
      <c r="B1" s="157" t="inlineStr">
        <is>
          <t>Contact Created?</t>
        </is>
      </c>
      <c r="C1" s="158">
        <f>Accounts!T1</f>
        <v/>
      </c>
      <c r="D1" s="160" t="inlineStr">
        <is>
          <t>Ideal method of contact</t>
        </is>
      </c>
      <c r="E1" s="160" t="inlineStr">
        <is>
          <t>GM Contact Info</t>
        </is>
      </c>
      <c r="F1" s="160">
        <f>Accounts!F1</f>
        <v/>
      </c>
      <c r="G1" s="160">
        <f>Accounts!O1</f>
        <v/>
      </c>
      <c r="H1" s="160">
        <f>Accounts!P1</f>
        <v/>
      </c>
      <c r="I1" s="160">
        <f>Accounts!H1</f>
        <v/>
      </c>
      <c r="J1" s="160">
        <f>Accounts!I1</f>
        <v/>
      </c>
      <c r="K1" s="158">
        <f>#REF!</f>
        <v/>
      </c>
      <c r="L1" s="161" t="inlineStr">
        <is>
          <t>SALES NOTES</t>
        </is>
      </c>
      <c r="M1" s="157" t="n"/>
      <c r="N1" s="163" t="inlineStr">
        <is>
          <t>1. Linked In</t>
        </is>
      </c>
      <c r="O1" s="163" t="inlineStr">
        <is>
          <t>2. Cold Call</t>
        </is>
      </c>
      <c r="P1" s="163" t="inlineStr">
        <is>
          <t>3. In person visit</t>
        </is>
      </c>
      <c r="Q1" s="163" t="inlineStr">
        <is>
          <t>4. First Email</t>
        </is>
      </c>
      <c r="R1" s="163" t="inlineStr">
        <is>
          <t>5. Cold Call</t>
        </is>
      </c>
      <c r="S1" s="163" t="inlineStr">
        <is>
          <t>6. Second follow up email  (Cusom video email if top)</t>
        </is>
      </c>
      <c r="T1" s="163" t="inlineStr">
        <is>
          <t>7. Cold Call</t>
        </is>
      </c>
      <c r="U1" s="163" t="inlineStr">
        <is>
          <t xml:space="preserve">8. 2nd in person visit </t>
        </is>
      </c>
      <c r="V1" s="163" t="inlineStr">
        <is>
          <t xml:space="preserve">9. Cold Call and leave a voicemail </t>
        </is>
      </c>
      <c r="W1" s="163" t="inlineStr">
        <is>
          <t xml:space="preserve">10. video email - owner </t>
        </is>
      </c>
      <c r="X1" s="163" t="inlineStr">
        <is>
          <t xml:space="preserve">11. 3rd email - temp check </t>
        </is>
      </c>
    </row>
    <row r="2" ht="69" customHeight="1" s="222">
      <c r="A2" s="164">
        <f>Accounts!A2</f>
        <v/>
      </c>
      <c r="B2" s="28" t="b">
        <v>0</v>
      </c>
      <c r="C2" s="176">
        <f>Accounts!T2</f>
        <v/>
      </c>
      <c r="D2" s="174" t="n"/>
      <c r="E2" s="174" t="inlineStr">
        <is>
          <t>jack.miller@fairmont.com</t>
        </is>
      </c>
      <c r="F2" s="176">
        <f>Accounts!F2</f>
        <v/>
      </c>
      <c r="G2" s="174">
        <f>Accounts!O2</f>
        <v/>
      </c>
      <c r="H2" s="174">
        <f>Accounts!P2</f>
        <v/>
      </c>
      <c r="I2" s="174">
        <f>Accounts!H2</f>
        <v/>
      </c>
      <c r="J2" s="174">
        <f>Accounts!I2</f>
        <v/>
      </c>
      <c r="K2" s="176">
        <f>#REF!</f>
        <v/>
      </c>
      <c r="L2" s="173" t="inlineStr">
        <is>
          <t>Wasn't able to connect to anyone worth the time, need to try and ping jack miller on indeed</t>
        </is>
      </c>
      <c r="M2" s="9" t="n"/>
      <c r="N2" s="28" t="b">
        <v>1</v>
      </c>
      <c r="O2" s="172" t="b">
        <v>1</v>
      </c>
      <c r="P2" s="28" t="b">
        <v>0</v>
      </c>
      <c r="Q2" s="28" t="b">
        <v>1</v>
      </c>
      <c r="R2" s="28" t="b">
        <v>0</v>
      </c>
      <c r="S2" s="28" t="b">
        <v>0</v>
      </c>
      <c r="T2" s="28" t="b">
        <v>0</v>
      </c>
      <c r="U2" s="28" t="b">
        <v>0</v>
      </c>
      <c r="V2" s="28" t="b">
        <v>0</v>
      </c>
      <c r="W2" s="28" t="b">
        <v>0</v>
      </c>
    </row>
    <row r="3" ht="69" customHeight="1" s="222">
      <c r="A3" s="164">
        <f>Accounts!A3</f>
        <v/>
      </c>
      <c r="B3" s="28" t="b">
        <v>0</v>
      </c>
      <c r="C3" s="176">
        <f>Accounts!T3</f>
        <v/>
      </c>
      <c r="D3" s="174" t="n"/>
      <c r="E3" s="174" t="inlineStr">
        <is>
          <t>connie.ogden@marriott.com</t>
        </is>
      </c>
      <c r="F3" s="176">
        <f>Accounts!F3</f>
        <v/>
      </c>
      <c r="G3" s="174">
        <f>Accounts!O3</f>
        <v/>
      </c>
      <c r="H3" s="174">
        <f>Accounts!P3</f>
        <v/>
      </c>
      <c r="I3" s="174">
        <f>Accounts!H3</f>
        <v/>
      </c>
      <c r="J3" s="174">
        <f>Accounts!I3</f>
        <v/>
      </c>
      <c r="K3" s="176">
        <f>#REF!</f>
        <v/>
      </c>
      <c r="L3" s="173" t="inlineStr">
        <is>
          <t>Going to Connies vm paiges exec assistant- left a voicemail</t>
        </is>
      </c>
      <c r="M3" s="9" t="n"/>
      <c r="N3" s="28" t="b">
        <v>1</v>
      </c>
      <c r="O3" s="172" t="b">
        <v>1</v>
      </c>
      <c r="P3" s="28" t="b">
        <v>0</v>
      </c>
      <c r="Q3" s="28" t="b">
        <v>1</v>
      </c>
      <c r="R3" s="28" t="b">
        <v>0</v>
      </c>
      <c r="S3" s="28" t="b">
        <v>0</v>
      </c>
      <c r="T3" s="28" t="b">
        <v>0</v>
      </c>
      <c r="U3" s="28" t="b">
        <v>0</v>
      </c>
      <c r="V3" s="28" t="b">
        <v>0</v>
      </c>
      <c r="W3" s="28" t="b">
        <v>0</v>
      </c>
    </row>
    <row r="4" ht="69" customHeight="1" s="222">
      <c r="A4" s="164">
        <f>#REF!</f>
        <v/>
      </c>
      <c r="B4" s="28" t="b">
        <v>0</v>
      </c>
      <c r="C4" s="176">
        <f>#REF!</f>
        <v/>
      </c>
      <c r="D4" s="174" t="n"/>
      <c r="E4" s="174" t="n"/>
      <c r="F4" s="176">
        <f>#REF!</f>
        <v/>
      </c>
      <c r="G4" s="174">
        <f>#REF!</f>
        <v/>
      </c>
      <c r="H4" s="174">
        <f>#REF!</f>
        <v/>
      </c>
      <c r="I4" s="174">
        <f>#REF!</f>
        <v/>
      </c>
      <c r="J4" s="174">
        <f>#REF!</f>
        <v/>
      </c>
      <c r="K4" s="176">
        <f>#REF!</f>
        <v/>
      </c>
      <c r="L4" s="173" t="inlineStr">
        <is>
          <t>Front desk stopped me and wouldn't push me to the voicemail, took a note down and explained to her all that we do so she could notorize it, left another message</t>
        </is>
      </c>
      <c r="M4" s="9" t="n"/>
      <c r="N4" s="28" t="b">
        <v>1</v>
      </c>
      <c r="O4" s="172" t="b">
        <v>1</v>
      </c>
      <c r="P4" s="28" t="b">
        <v>0</v>
      </c>
      <c r="Q4" s="28" t="b">
        <v>1</v>
      </c>
      <c r="R4" s="28" t="b">
        <v>0</v>
      </c>
      <c r="S4" s="28" t="b">
        <v>0</v>
      </c>
      <c r="T4" s="28" t="b">
        <v>0</v>
      </c>
      <c r="U4" s="28" t="b">
        <v>0</v>
      </c>
      <c r="V4" s="28" t="b">
        <v>0</v>
      </c>
      <c r="W4" s="28" t="b">
        <v>0</v>
      </c>
    </row>
    <row r="5" ht="69" customHeight="1" s="222">
      <c r="A5" s="164">
        <f>Accounts!A4</f>
        <v/>
      </c>
      <c r="B5" s="28" t="b">
        <v>0</v>
      </c>
      <c r="C5" s="176">
        <f>Accounts!T4</f>
        <v/>
      </c>
      <c r="D5" s="174" t="n"/>
      <c r="E5" s="174" t="n"/>
      <c r="F5" s="170">
        <f>Accounts!F4</f>
        <v/>
      </c>
      <c r="G5" s="174">
        <f>Accounts!O4</f>
        <v/>
      </c>
      <c r="H5" s="174">
        <f>Accounts!P4</f>
        <v/>
      </c>
      <c r="I5" s="174">
        <f>Accounts!H4</f>
        <v/>
      </c>
      <c r="J5" s="174">
        <f>Accounts!I4</f>
        <v/>
      </c>
      <c r="K5" s="176">
        <f>#REF!</f>
        <v/>
      </c>
      <c r="L5" s="173" t="inlineStr">
        <is>
          <t>Going to Marie vm Derek's exec assistant- left a voicemail</t>
        </is>
      </c>
      <c r="M5" s="9" t="n"/>
      <c r="N5" s="28" t="b">
        <v>1</v>
      </c>
      <c r="O5" s="172" t="b">
        <v>1</v>
      </c>
      <c r="P5" s="28" t="b">
        <v>0</v>
      </c>
      <c r="Q5" s="28" t="b">
        <v>0</v>
      </c>
      <c r="R5" s="28" t="b">
        <v>0</v>
      </c>
      <c r="S5" s="28" t="b">
        <v>0</v>
      </c>
      <c r="T5" s="28" t="b">
        <v>0</v>
      </c>
      <c r="U5" s="28" t="b">
        <v>0</v>
      </c>
      <c r="V5" s="28" t="b">
        <v>0</v>
      </c>
      <c r="W5" s="28" t="b">
        <v>0</v>
      </c>
    </row>
    <row r="6" ht="69" customHeight="1" s="222">
      <c r="A6" s="164">
        <f>Accounts!A5</f>
        <v/>
      </c>
      <c r="B6" s="28" t="b">
        <v>0</v>
      </c>
      <c r="C6" s="176">
        <f>Accounts!T5</f>
        <v/>
      </c>
      <c r="D6" s="174" t="n"/>
      <c r="E6" s="174" t="n"/>
      <c r="F6" s="176">
        <f>Accounts!F5</f>
        <v/>
      </c>
      <c r="G6" s="174">
        <f>Accounts!O5</f>
        <v/>
      </c>
      <c r="H6" s="174">
        <f>Accounts!P5</f>
        <v/>
      </c>
      <c r="I6" s="174" t="inlineStr">
        <is>
          <t>free</t>
        </is>
      </c>
      <c r="J6" s="174" t="n">
        <v>25</v>
      </c>
      <c r="K6" s="176">
        <f>#REF!</f>
        <v/>
      </c>
      <c r="L6" s="173" t="inlineStr">
        <is>
          <t>Left voicemail on Sally's voicemail</t>
        </is>
      </c>
      <c r="M6" s="9" t="n"/>
      <c r="N6" s="28" t="b">
        <v>1</v>
      </c>
      <c r="O6" s="172" t="b">
        <v>1</v>
      </c>
      <c r="P6" s="28" t="b">
        <v>0</v>
      </c>
      <c r="Q6" s="28" t="b">
        <v>0</v>
      </c>
      <c r="R6" s="28" t="b">
        <v>0</v>
      </c>
      <c r="S6" s="28" t="b">
        <v>0</v>
      </c>
      <c r="T6" s="28" t="b">
        <v>0</v>
      </c>
      <c r="U6" s="28" t="b">
        <v>0</v>
      </c>
      <c r="V6" s="28" t="b">
        <v>0</v>
      </c>
      <c r="W6" s="28" t="b">
        <v>0</v>
      </c>
    </row>
    <row r="7" ht="69" customHeight="1" s="222">
      <c r="A7" s="164">
        <f>Accounts!A6</f>
        <v/>
      </c>
      <c r="B7" s="28" t="b">
        <v>0</v>
      </c>
      <c r="C7" s="176">
        <f>Accounts!T6</f>
        <v/>
      </c>
      <c r="D7" s="174" t="n"/>
      <c r="E7" s="174" t="n"/>
      <c r="F7" s="176">
        <f>Accounts!F6</f>
        <v/>
      </c>
      <c r="G7" s="174">
        <f>Accounts!O6</f>
        <v/>
      </c>
      <c r="H7" s="174">
        <f>Accounts!P6</f>
        <v/>
      </c>
      <c r="I7" s="174">
        <f>Accounts!H6</f>
        <v/>
      </c>
      <c r="J7" s="174">
        <f>Accounts!I6</f>
        <v/>
      </c>
      <c r="K7" s="176">
        <f>#REF!</f>
        <v/>
      </c>
      <c r="L7" s="173" t="inlineStr">
        <is>
          <t>Left a voicemail on Donalei Smiths phone</t>
        </is>
      </c>
      <c r="M7" s="9" t="n"/>
      <c r="N7" s="28" t="b">
        <v>1</v>
      </c>
      <c r="O7" s="172" t="b">
        <v>1</v>
      </c>
      <c r="P7" s="28" t="b">
        <v>0</v>
      </c>
      <c r="Q7" s="28" t="b">
        <v>0</v>
      </c>
      <c r="R7" s="28" t="b">
        <v>0</v>
      </c>
      <c r="S7" s="28" t="b">
        <v>0</v>
      </c>
      <c r="T7" s="28" t="b">
        <v>0</v>
      </c>
      <c r="U7" s="28" t="b">
        <v>0</v>
      </c>
      <c r="V7" s="28" t="b">
        <v>0</v>
      </c>
      <c r="W7" s="28" t="b">
        <v>0</v>
      </c>
    </row>
    <row r="8" ht="69" customHeight="1" s="222">
      <c r="A8" s="164">
        <f>Accounts!A7</f>
        <v/>
      </c>
      <c r="B8" s="28" t="b">
        <v>0</v>
      </c>
      <c r="C8" s="176">
        <f>Accounts!T7</f>
        <v/>
      </c>
      <c r="D8" s="174" t="n"/>
      <c r="E8" s="174" t="inlineStr">
        <is>
          <t>Sue.tan@vacationclub.com</t>
        </is>
      </c>
      <c r="F8" s="176">
        <f>Accounts!F7</f>
        <v/>
      </c>
      <c r="G8" s="174">
        <f>Accounts!O7</f>
        <v/>
      </c>
      <c r="H8" s="174">
        <f>Accounts!P7</f>
        <v/>
      </c>
      <c r="I8" s="174">
        <f>Accounts!H7</f>
        <v/>
      </c>
      <c r="J8" s="174">
        <f>Accounts!I7</f>
        <v/>
      </c>
      <c r="K8" s="176" t="n"/>
      <c r="L8" s="173" t="inlineStr">
        <is>
          <t>Got emails, Sue.tan@vacationclub.com, Lane.palma@vacationclub.com</t>
        </is>
      </c>
      <c r="M8" s="9" t="n"/>
      <c r="N8" s="28" t="b">
        <v>1</v>
      </c>
      <c r="O8" s="172" t="b">
        <v>1</v>
      </c>
      <c r="P8" s="28" t="b">
        <v>0</v>
      </c>
      <c r="Q8" s="28" t="b">
        <v>0</v>
      </c>
      <c r="R8" s="28" t="b">
        <v>0</v>
      </c>
      <c r="S8" s="28" t="b">
        <v>0</v>
      </c>
      <c r="T8" s="28" t="b">
        <v>0</v>
      </c>
      <c r="U8" s="28" t="b">
        <v>0</v>
      </c>
      <c r="V8" s="28" t="b">
        <v>0</v>
      </c>
      <c r="W8" s="28" t="b">
        <v>0</v>
      </c>
    </row>
    <row r="9" ht="69" customHeight="1" s="222">
      <c r="A9" s="164">
        <f>Accounts!A8</f>
        <v/>
      </c>
      <c r="B9" s="28" t="b">
        <v>0</v>
      </c>
      <c r="C9" s="176">
        <f>Accounts!T8</f>
        <v/>
      </c>
      <c r="D9" s="174" t="n"/>
      <c r="E9" s="175" t="n"/>
      <c r="F9" s="176">
        <f>Accounts!F8</f>
        <v/>
      </c>
      <c r="G9" s="175">
        <f>Accounts!O8</f>
        <v/>
      </c>
      <c r="H9" s="174">
        <f>Accounts!P8</f>
        <v/>
      </c>
      <c r="I9" s="174">
        <f>Accounts!H8</f>
        <v/>
      </c>
      <c r="J9" s="174">
        <f>Accounts!I8</f>
        <v/>
      </c>
      <c r="K9" s="176">
        <f>#REF!</f>
        <v/>
      </c>
      <c r="L9" s="173" t="n"/>
      <c r="M9" s="9" t="n"/>
      <c r="N9" s="28" t="b">
        <v>0</v>
      </c>
      <c r="O9" s="172" t="b">
        <v>0</v>
      </c>
      <c r="P9" s="28" t="b">
        <v>0</v>
      </c>
      <c r="Q9" s="28" t="b">
        <v>0</v>
      </c>
      <c r="R9" s="28" t="b">
        <v>0</v>
      </c>
      <c r="S9" s="28" t="b">
        <v>0</v>
      </c>
      <c r="T9" s="28" t="b">
        <v>0</v>
      </c>
      <c r="U9" s="28" t="b">
        <v>0</v>
      </c>
      <c r="V9" s="28" t="b">
        <v>0</v>
      </c>
      <c r="W9" s="28" t="b">
        <v>0</v>
      </c>
    </row>
    <row r="10" ht="69" customHeight="1" s="222">
      <c r="A10" s="164">
        <f>Accounts!A9</f>
        <v/>
      </c>
      <c r="B10" s="28" t="b">
        <v>0</v>
      </c>
      <c r="C10" s="176">
        <f>Accounts!T9</f>
        <v/>
      </c>
      <c r="D10" s="174" t="n"/>
      <c r="E10" s="174" t="n"/>
      <c r="F10" s="176">
        <f>Accounts!F9</f>
        <v/>
      </c>
      <c r="G10" s="174">
        <f>Accounts!O9</f>
        <v/>
      </c>
      <c r="H10" s="174">
        <f>Accounts!P9</f>
        <v/>
      </c>
      <c r="I10" s="174">
        <f>Accounts!H9</f>
        <v/>
      </c>
      <c r="J10" s="174">
        <f>Accounts!I9</f>
        <v/>
      </c>
      <c r="K10" s="176">
        <f>#REF!</f>
        <v/>
      </c>
      <c r="L10" s="173" t="n"/>
      <c r="M10" s="9" t="n"/>
      <c r="N10" s="28" t="b">
        <v>0</v>
      </c>
      <c r="O10" s="172" t="b">
        <v>0</v>
      </c>
      <c r="P10" s="28" t="b">
        <v>0</v>
      </c>
      <c r="Q10" s="28" t="b">
        <v>0</v>
      </c>
      <c r="R10" s="28" t="b">
        <v>0</v>
      </c>
      <c r="S10" s="28" t="b">
        <v>0</v>
      </c>
      <c r="T10" s="28" t="b">
        <v>0</v>
      </c>
      <c r="U10" s="28" t="b">
        <v>0</v>
      </c>
      <c r="V10" s="28" t="b">
        <v>0</v>
      </c>
      <c r="W10" s="28" t="b">
        <v>0</v>
      </c>
    </row>
    <row r="11" ht="69" customHeight="1" s="222">
      <c r="A11" s="164">
        <f>Accounts!A10</f>
        <v/>
      </c>
      <c r="B11" s="28" t="b">
        <v>0</v>
      </c>
      <c r="C11" s="176">
        <f>#REF!</f>
        <v/>
      </c>
      <c r="D11" s="174" t="n"/>
      <c r="E11" s="175" t="n"/>
      <c r="F11" s="176">
        <f>Accounts!F10</f>
        <v/>
      </c>
      <c r="G11" s="175">
        <f>Accounts!O10</f>
        <v/>
      </c>
      <c r="H11" s="174">
        <f>Accounts!P10</f>
        <v/>
      </c>
      <c r="I11" s="174">
        <f>Accounts!H10</f>
        <v/>
      </c>
      <c r="J11" s="174">
        <f>Accounts!I10</f>
        <v/>
      </c>
      <c r="K11" s="176">
        <f>#REF!</f>
        <v/>
      </c>
      <c r="L11" s="173" t="n"/>
      <c r="M11" s="9" t="n"/>
      <c r="N11" s="28" t="b">
        <v>0</v>
      </c>
      <c r="O11" s="172" t="b">
        <v>0</v>
      </c>
      <c r="P11" s="28" t="b">
        <v>0</v>
      </c>
      <c r="Q11" s="28" t="b">
        <v>0</v>
      </c>
      <c r="R11" s="28" t="b">
        <v>0</v>
      </c>
      <c r="S11" s="28" t="b">
        <v>0</v>
      </c>
      <c r="T11" s="28" t="b">
        <v>0</v>
      </c>
      <c r="U11" s="28" t="b">
        <v>0</v>
      </c>
      <c r="V11" s="28" t="b">
        <v>0</v>
      </c>
      <c r="W11" s="28" t="b">
        <v>0</v>
      </c>
    </row>
    <row r="12" ht="69" customHeight="1" s="222">
      <c r="A12" s="164">
        <f>Accounts!A11</f>
        <v/>
      </c>
      <c r="B12" s="28" t="b">
        <v>0</v>
      </c>
      <c r="C12" s="176">
        <f>Accounts!T11</f>
        <v/>
      </c>
      <c r="D12" s="174" t="n"/>
      <c r="E12" s="174" t="n"/>
      <c r="F12" s="176">
        <f>Accounts!F11</f>
        <v/>
      </c>
      <c r="G12" s="174">
        <f>Accounts!O11</f>
        <v/>
      </c>
      <c r="H12" s="174">
        <f>Accounts!P11</f>
        <v/>
      </c>
      <c r="I12" s="174">
        <f>Accounts!H11</f>
        <v/>
      </c>
      <c r="J12" s="174">
        <f>Accounts!I11</f>
        <v/>
      </c>
      <c r="K12" s="176">
        <f>#REF!</f>
        <v/>
      </c>
      <c r="L12" s="173" t="n"/>
      <c r="M12" s="9" t="n"/>
      <c r="N12" s="28" t="b">
        <v>0</v>
      </c>
      <c r="O12" s="172" t="b">
        <v>0</v>
      </c>
      <c r="P12" s="28" t="b">
        <v>0</v>
      </c>
      <c r="Q12" s="28" t="b">
        <v>0</v>
      </c>
      <c r="R12" s="28" t="b">
        <v>0</v>
      </c>
      <c r="S12" s="28" t="b">
        <v>0</v>
      </c>
      <c r="T12" s="28" t="b">
        <v>0</v>
      </c>
      <c r="U12" s="28" t="b">
        <v>0</v>
      </c>
      <c r="V12" s="28" t="b">
        <v>0</v>
      </c>
      <c r="W12" s="28" t="b">
        <v>0</v>
      </c>
    </row>
    <row r="13" ht="69" customHeight="1" s="222">
      <c r="A13" s="164">
        <f>Accounts!A12</f>
        <v/>
      </c>
      <c r="B13" s="28" t="b">
        <v>0</v>
      </c>
      <c r="C13" s="176">
        <f>Accounts!T12</f>
        <v/>
      </c>
      <c r="D13" s="174" t="n"/>
      <c r="E13" s="174" t="n"/>
      <c r="F13" s="176">
        <f>Accounts!F12</f>
        <v/>
      </c>
      <c r="G13" s="174">
        <f>Accounts!O12</f>
        <v/>
      </c>
      <c r="H13" s="174">
        <f>Accounts!P12</f>
        <v/>
      </c>
      <c r="I13" s="174">
        <f>Accounts!H12</f>
        <v/>
      </c>
      <c r="J13" s="174">
        <f>Accounts!I12</f>
        <v/>
      </c>
      <c r="K13" s="176">
        <f>#REF!</f>
        <v/>
      </c>
      <c r="L13" s="173" t="n"/>
      <c r="M13" s="9" t="n"/>
      <c r="N13" s="28" t="b">
        <v>0</v>
      </c>
      <c r="O13" s="172" t="b">
        <v>0</v>
      </c>
      <c r="P13" s="28" t="b">
        <v>0</v>
      </c>
      <c r="Q13" s="28" t="b">
        <v>0</v>
      </c>
      <c r="R13" s="28" t="b">
        <v>0</v>
      </c>
      <c r="S13" s="28" t="b">
        <v>0</v>
      </c>
      <c r="T13" s="28" t="b">
        <v>0</v>
      </c>
      <c r="U13" s="28" t="b">
        <v>0</v>
      </c>
      <c r="V13" s="28" t="b">
        <v>0</v>
      </c>
      <c r="W13" s="28" t="b">
        <v>0</v>
      </c>
    </row>
    <row r="14" ht="69" customHeight="1" s="222">
      <c r="A14" s="164">
        <f>Accounts!A13</f>
        <v/>
      </c>
      <c r="B14" s="28" t="b">
        <v>0</v>
      </c>
      <c r="C14" s="176">
        <f>Accounts!T13</f>
        <v/>
      </c>
      <c r="D14" s="174" t="n"/>
      <c r="E14" s="175" t="n"/>
      <c r="F14" s="176">
        <f>Accounts!F13</f>
        <v/>
      </c>
      <c r="G14" s="175">
        <f>Accounts!O13</f>
        <v/>
      </c>
      <c r="H14" s="174">
        <f>Accounts!P13</f>
        <v/>
      </c>
      <c r="I14" s="174">
        <f>Accounts!H13</f>
        <v/>
      </c>
      <c r="J14" s="174">
        <f>Accounts!I13</f>
        <v/>
      </c>
      <c r="K14" s="176">
        <f>#REF!</f>
        <v/>
      </c>
      <c r="L14" s="173" t="n"/>
      <c r="M14" s="9" t="n"/>
      <c r="N14" s="28" t="b">
        <v>0</v>
      </c>
      <c r="O14" s="172" t="b">
        <v>0</v>
      </c>
      <c r="P14" s="28" t="b">
        <v>0</v>
      </c>
      <c r="Q14" s="28" t="b">
        <v>0</v>
      </c>
      <c r="R14" s="28" t="b">
        <v>0</v>
      </c>
      <c r="S14" s="28" t="b">
        <v>0</v>
      </c>
      <c r="T14" s="28" t="b">
        <v>0</v>
      </c>
      <c r="U14" s="28" t="b">
        <v>0</v>
      </c>
      <c r="V14" s="28" t="b">
        <v>0</v>
      </c>
      <c r="W14" s="28" t="b">
        <v>0</v>
      </c>
    </row>
    <row r="15" ht="69" customHeight="1" s="222">
      <c r="A15" s="164">
        <f>#REF!</f>
        <v/>
      </c>
      <c r="B15" s="28" t="b">
        <v>0</v>
      </c>
      <c r="C15" s="176">
        <f>#REF!</f>
        <v/>
      </c>
      <c r="D15" s="174" t="n"/>
      <c r="E15" s="174" t="n"/>
      <c r="F15" s="176">
        <f>#REF!</f>
        <v/>
      </c>
      <c r="G15" s="174">
        <f>#REF!</f>
        <v/>
      </c>
      <c r="H15" s="174">
        <f>#REF!</f>
        <v/>
      </c>
      <c r="I15" s="176">
        <f>#REF!</f>
        <v/>
      </c>
      <c r="J15" s="174">
        <f>#REF!</f>
        <v/>
      </c>
      <c r="K15" s="176">
        <f>#REF!</f>
        <v/>
      </c>
      <c r="L15" s="173" t="n"/>
      <c r="M15" s="9" t="n"/>
      <c r="N15" s="28" t="b">
        <v>0</v>
      </c>
      <c r="O15" s="172" t="b">
        <v>0</v>
      </c>
      <c r="P15" s="28" t="b">
        <v>0</v>
      </c>
      <c r="Q15" s="28" t="b">
        <v>0</v>
      </c>
      <c r="R15" s="28" t="b">
        <v>0</v>
      </c>
      <c r="S15" s="28" t="b">
        <v>0</v>
      </c>
      <c r="T15" s="28" t="b">
        <v>0</v>
      </c>
      <c r="U15" s="28" t="b">
        <v>0</v>
      </c>
      <c r="V15" s="28" t="b">
        <v>0</v>
      </c>
      <c r="W15" s="28" t="b">
        <v>0</v>
      </c>
    </row>
    <row r="16" ht="69" customHeight="1" s="222">
      <c r="A16" s="164">
        <f>Accounts!A14</f>
        <v/>
      </c>
      <c r="B16" s="28" t="b">
        <v>0</v>
      </c>
      <c r="C16" s="176">
        <f>Accounts!T14</f>
        <v/>
      </c>
      <c r="D16" s="174" t="n"/>
      <c r="E16" s="174" t="n"/>
      <c r="F16" s="176">
        <f>Accounts!F14</f>
        <v/>
      </c>
      <c r="G16" s="174">
        <f>Accounts!O14</f>
        <v/>
      </c>
      <c r="H16" s="174">
        <f>Accounts!P14</f>
        <v/>
      </c>
      <c r="I16" s="174">
        <f>Accounts!H14</f>
        <v/>
      </c>
      <c r="J16" s="174">
        <f>Accounts!I14</f>
        <v/>
      </c>
      <c r="K16" s="176">
        <f>#REF!</f>
        <v/>
      </c>
      <c r="L16" s="173" t="inlineStr">
        <is>
          <t>Left voicemail, POC is sexy</t>
        </is>
      </c>
      <c r="M16" s="9" t="n"/>
      <c r="N16" s="28" t="b">
        <v>1</v>
      </c>
      <c r="O16" s="172" t="b">
        <v>0</v>
      </c>
      <c r="P16" s="28" t="b">
        <v>0</v>
      </c>
      <c r="Q16" s="28" t="b">
        <v>0</v>
      </c>
      <c r="R16" s="28" t="b">
        <v>0</v>
      </c>
      <c r="S16" s="28" t="b">
        <v>0</v>
      </c>
      <c r="T16" s="28" t="b">
        <v>0</v>
      </c>
      <c r="U16" s="28" t="b">
        <v>0</v>
      </c>
      <c r="V16" s="28" t="b">
        <v>0</v>
      </c>
      <c r="W16" s="28" t="b">
        <v>0</v>
      </c>
    </row>
    <row r="17" ht="69" customHeight="1" s="222">
      <c r="A17" s="164">
        <f>Accounts!A15</f>
        <v/>
      </c>
      <c r="B17" s="28" t="b">
        <v>0</v>
      </c>
      <c r="C17" s="176">
        <f>Accounts!T15</f>
        <v/>
      </c>
      <c r="D17" s="174" t="n"/>
      <c r="E17" s="174" t="n"/>
      <c r="F17" s="176">
        <f>Accounts!F15</f>
        <v/>
      </c>
      <c r="G17" s="174">
        <f>#REF!</f>
        <v/>
      </c>
      <c r="H17" s="174">
        <f>Accounts!P15</f>
        <v/>
      </c>
      <c r="I17" s="174">
        <f>Accounts!H15</f>
        <v/>
      </c>
      <c r="J17" s="174">
        <f>Accounts!I15</f>
        <v/>
      </c>
      <c r="K17" s="176">
        <f>#REF!</f>
        <v/>
      </c>
      <c r="L17" s="173" t="n"/>
      <c r="M17" s="9" t="n"/>
      <c r="N17" s="28" t="b">
        <v>0</v>
      </c>
      <c r="O17" s="172" t="b">
        <v>0</v>
      </c>
      <c r="P17" s="28" t="b">
        <v>0</v>
      </c>
      <c r="Q17" s="28" t="b">
        <v>0</v>
      </c>
      <c r="R17" s="28" t="b">
        <v>0</v>
      </c>
      <c r="S17" s="28" t="b">
        <v>0</v>
      </c>
      <c r="T17" s="28" t="b">
        <v>0</v>
      </c>
      <c r="U17" s="28" t="b">
        <v>0</v>
      </c>
      <c r="V17" s="28" t="b">
        <v>0</v>
      </c>
      <c r="W17" s="28" t="b">
        <v>0</v>
      </c>
    </row>
    <row r="18" ht="69" customHeight="1" s="222">
      <c r="A18" s="164">
        <f>Accounts!A16</f>
        <v/>
      </c>
      <c r="B18" s="28" t="b">
        <v>0</v>
      </c>
      <c r="C18" s="176">
        <f>Accounts!T16</f>
        <v/>
      </c>
      <c r="D18" s="174" t="n"/>
      <c r="E18" s="174" t="n"/>
      <c r="F18" s="176">
        <f>Accounts!F16</f>
        <v/>
      </c>
      <c r="G18" s="174">
        <f>Accounts!O16</f>
        <v/>
      </c>
      <c r="H18" s="174">
        <f>Accounts!P16</f>
        <v/>
      </c>
      <c r="I18" s="174">
        <f>Accounts!H16</f>
        <v/>
      </c>
      <c r="J18" s="174">
        <f>Accounts!I16</f>
        <v/>
      </c>
      <c r="K18" s="176">
        <f>#REF!</f>
        <v/>
      </c>
      <c r="L18" s="173" t="n"/>
      <c r="M18" s="9" t="n"/>
      <c r="N18" s="28" t="b">
        <v>0</v>
      </c>
      <c r="O18" s="172" t="b">
        <v>0</v>
      </c>
      <c r="P18" s="28" t="b">
        <v>0</v>
      </c>
      <c r="Q18" s="28" t="b">
        <v>0</v>
      </c>
      <c r="R18" s="28" t="b">
        <v>0</v>
      </c>
      <c r="S18" s="28" t="b">
        <v>0</v>
      </c>
      <c r="T18" s="28" t="b">
        <v>0</v>
      </c>
      <c r="U18" s="28" t="b">
        <v>0</v>
      </c>
      <c r="V18" s="28" t="b">
        <v>0</v>
      </c>
      <c r="W18" s="28" t="b">
        <v>0</v>
      </c>
    </row>
    <row r="19" ht="69" customHeight="1" s="222">
      <c r="A19" s="164">
        <f>Accounts!A17</f>
        <v/>
      </c>
      <c r="B19" s="28" t="b">
        <v>0</v>
      </c>
      <c r="C19" s="176">
        <f>Accounts!T17</f>
        <v/>
      </c>
      <c r="D19" s="174" t="n"/>
      <c r="E19" s="175" t="n"/>
      <c r="F19" s="176">
        <f>Accounts!F17</f>
        <v/>
      </c>
      <c r="G19" s="175">
        <f>Accounts!O17</f>
        <v/>
      </c>
      <c r="H19" s="174">
        <f>Accounts!P17</f>
        <v/>
      </c>
      <c r="I19" s="174">
        <f>Accounts!H17</f>
        <v/>
      </c>
      <c r="J19" s="174">
        <f>Accounts!I17</f>
        <v/>
      </c>
      <c r="K19" s="176">
        <f>#REF!</f>
        <v/>
      </c>
      <c r="L19" s="173" t="n"/>
      <c r="M19" s="9" t="n"/>
      <c r="N19" s="28" t="b">
        <v>0</v>
      </c>
      <c r="O19" s="172" t="b">
        <v>0</v>
      </c>
      <c r="P19" s="28" t="b">
        <v>0</v>
      </c>
      <c r="Q19" s="28" t="b">
        <v>0</v>
      </c>
      <c r="R19" s="28" t="b">
        <v>0</v>
      </c>
      <c r="S19" s="28" t="b">
        <v>0</v>
      </c>
      <c r="T19" s="28" t="b">
        <v>0</v>
      </c>
      <c r="U19" s="28" t="b">
        <v>0</v>
      </c>
      <c r="V19" s="28" t="b">
        <v>0</v>
      </c>
      <c r="W19" s="28" t="b">
        <v>0</v>
      </c>
    </row>
    <row r="20" ht="69" customHeight="1" s="222">
      <c r="A20" s="164">
        <f>Accounts!A18</f>
        <v/>
      </c>
      <c r="B20" s="28" t="b">
        <v>0</v>
      </c>
      <c r="C20" s="176">
        <f>Accounts!T18</f>
        <v/>
      </c>
      <c r="D20" s="174" t="n"/>
      <c r="E20" s="174" t="n"/>
      <c r="F20" s="176">
        <f>Accounts!F18</f>
        <v/>
      </c>
      <c r="G20" s="174">
        <f>Accounts!O18</f>
        <v/>
      </c>
      <c r="H20" s="174">
        <f>Accounts!P18</f>
        <v/>
      </c>
      <c r="I20" s="174">
        <f>Accounts!H18</f>
        <v/>
      </c>
      <c r="J20" s="174">
        <f>Accounts!I18</f>
        <v/>
      </c>
      <c r="K20" s="176">
        <f>#REF!</f>
        <v/>
      </c>
      <c r="L20" s="173" t="n"/>
      <c r="M20" s="9" t="n"/>
      <c r="N20" s="28" t="b">
        <v>0</v>
      </c>
      <c r="O20" s="172" t="b">
        <v>0</v>
      </c>
      <c r="P20" s="28" t="b">
        <v>0</v>
      </c>
      <c r="Q20" s="28" t="b">
        <v>0</v>
      </c>
      <c r="R20" s="28" t="b">
        <v>0</v>
      </c>
      <c r="S20" s="28" t="b">
        <v>0</v>
      </c>
      <c r="T20" s="28" t="b">
        <v>0</v>
      </c>
      <c r="U20" s="28" t="b">
        <v>0</v>
      </c>
      <c r="V20" s="28" t="b">
        <v>0</v>
      </c>
      <c r="W20" s="28" t="b">
        <v>0</v>
      </c>
    </row>
    <row r="21" ht="69" customHeight="1" s="222">
      <c r="A21" s="164">
        <f>Accounts!A19</f>
        <v/>
      </c>
      <c r="B21" s="28" t="b">
        <v>0</v>
      </c>
      <c r="C21" s="176">
        <f>Accounts!T19</f>
        <v/>
      </c>
      <c r="D21" s="174" t="n"/>
      <c r="E21" s="174" t="inlineStr">
        <is>
          <t>Brigitte.tueros@westin.com</t>
        </is>
      </c>
      <c r="F21" s="176">
        <f>Accounts!F19</f>
        <v/>
      </c>
      <c r="G21" s="174">
        <f>Accounts!O19</f>
        <v/>
      </c>
      <c r="H21" s="174">
        <f>Accounts!P19</f>
        <v/>
      </c>
      <c r="I21" s="174">
        <f>Accounts!H19</f>
        <v/>
      </c>
      <c r="J21" s="174">
        <f>Accounts!I19</f>
        <v/>
      </c>
      <c r="K21" s="176">
        <f>#REF!</f>
        <v/>
      </c>
      <c r="L21" s="173" t="inlineStr">
        <is>
          <t>Not interested in valet but wanted to showcase sophi and sent to brigitte</t>
        </is>
      </c>
      <c r="M21" s="9" t="n"/>
      <c r="N21" s="28" t="b">
        <v>0</v>
      </c>
      <c r="O21" s="172" t="b">
        <v>0</v>
      </c>
      <c r="P21" s="28" t="b">
        <v>0</v>
      </c>
      <c r="Q21" s="28" t="b">
        <v>0</v>
      </c>
      <c r="R21" s="28" t="b">
        <v>0</v>
      </c>
      <c r="S21" s="28" t="b">
        <v>0</v>
      </c>
      <c r="T21" s="28" t="b">
        <v>0</v>
      </c>
      <c r="U21" s="28" t="b">
        <v>0</v>
      </c>
      <c r="V21" s="28" t="b">
        <v>0</v>
      </c>
      <c r="W21" s="28" t="b">
        <v>0</v>
      </c>
    </row>
    <row r="22" ht="69" customHeight="1" s="222">
      <c r="A22" s="164">
        <f>Accounts!A20</f>
        <v/>
      </c>
      <c r="B22" s="28" t="b">
        <v>0</v>
      </c>
      <c r="C22" s="176">
        <f>Accounts!T20</f>
        <v/>
      </c>
      <c r="D22" s="174" t="n"/>
      <c r="E22" s="174" t="n"/>
      <c r="F22" s="176">
        <f>Accounts!F20</f>
        <v/>
      </c>
      <c r="G22" s="174">
        <f>Accounts!O20</f>
        <v/>
      </c>
      <c r="H22" s="174">
        <f>Accounts!P20</f>
        <v/>
      </c>
      <c r="I22" s="174">
        <f>Accounts!H20</f>
        <v/>
      </c>
      <c r="J22" s="174">
        <f>Accounts!I20</f>
        <v/>
      </c>
      <c r="K22" s="176">
        <f>#REF!</f>
        <v/>
      </c>
      <c r="L22" s="173" t="inlineStr">
        <is>
          <t>Left voicemail for Adam, mutual connection with Linsday on linked inn. Called and they are happy with current service and I left my contact info</t>
        </is>
      </c>
      <c r="M22" s="9" t="n"/>
      <c r="N22" s="28" t="b">
        <v>1</v>
      </c>
      <c r="O22" s="172" t="b">
        <v>1</v>
      </c>
      <c r="P22" s="28" t="b">
        <v>0</v>
      </c>
      <c r="Q22" s="28" t="b">
        <v>1</v>
      </c>
      <c r="R22" s="28" t="b">
        <v>0</v>
      </c>
      <c r="S22" s="28" t="b">
        <v>0</v>
      </c>
      <c r="T22" s="28" t="b">
        <v>0</v>
      </c>
      <c r="U22" s="28" t="b">
        <v>0</v>
      </c>
      <c r="V22" s="28" t="b">
        <v>0</v>
      </c>
      <c r="W22" s="28" t="b">
        <v>0</v>
      </c>
    </row>
    <row r="23" ht="69" customHeight="1" s="222">
      <c r="A23" s="164">
        <f>Accounts!A21</f>
        <v/>
      </c>
      <c r="B23" s="28" t="b">
        <v>0</v>
      </c>
      <c r="C23" s="176">
        <f>Accounts!T21</f>
        <v/>
      </c>
      <c r="D23" s="174" t="n"/>
      <c r="E23" s="175" t="inlineStr">
        <is>
          <t>4802144601-direct</t>
        </is>
      </c>
      <c r="F23" s="176">
        <f>Accounts!F21</f>
        <v/>
      </c>
      <c r="G23" s="174">
        <f>Accounts!O21</f>
        <v/>
      </c>
      <c r="H23" s="174">
        <f>Accounts!P21</f>
        <v/>
      </c>
      <c r="I23" s="174">
        <f>Accounts!H21</f>
        <v/>
      </c>
      <c r="J23" s="174">
        <f>Accounts!I21</f>
        <v/>
      </c>
      <c r="K23" s="176">
        <f>#REF!</f>
        <v/>
      </c>
      <c r="L23" s="173" t="inlineStr">
        <is>
          <t xml:space="preserve">DOO-Amy.donovan@andaz.com Left a voicemail for carlos, will follow up with emails this week, left vm for carlos </t>
        </is>
      </c>
      <c r="M23" s="9" t="n"/>
      <c r="N23" s="28" t="b">
        <v>1</v>
      </c>
      <c r="O23" s="172" t="b">
        <v>1</v>
      </c>
      <c r="P23" s="28" t="b">
        <v>0</v>
      </c>
      <c r="Q23" s="28" t="b">
        <v>1</v>
      </c>
      <c r="R23" s="28" t="b">
        <v>0</v>
      </c>
      <c r="S23" s="28" t="b">
        <v>0</v>
      </c>
      <c r="T23" s="28" t="b">
        <v>0</v>
      </c>
      <c r="U23" s="28" t="b">
        <v>0</v>
      </c>
      <c r="V23" s="28" t="b">
        <v>0</v>
      </c>
      <c r="W23" s="28" t="b">
        <v>0</v>
      </c>
    </row>
    <row r="24" ht="69" customHeight="1" s="222">
      <c r="A24" s="164">
        <f>Accounts!A22</f>
        <v/>
      </c>
      <c r="B24" s="28" t="b">
        <v>0</v>
      </c>
      <c r="C24" s="176">
        <f>Accounts!T22</f>
        <v/>
      </c>
      <c r="D24" s="174" t="n"/>
      <c r="E24" s="174" t="n"/>
      <c r="F24" s="176">
        <f>Accounts!F22</f>
        <v/>
      </c>
      <c r="G24" s="174">
        <f>Accounts!O22</f>
        <v/>
      </c>
      <c r="H24" s="174">
        <f>Accounts!P22</f>
        <v/>
      </c>
      <c r="I24" s="174">
        <f>Accounts!H22</f>
        <v/>
      </c>
      <c r="J24" s="174">
        <f>Accounts!I22</f>
        <v/>
      </c>
      <c r="K24" s="176">
        <f>#REF!</f>
        <v/>
      </c>
      <c r="L24" s="173" t="inlineStr">
        <is>
          <t>Left a voicemail with Director of Rooms Leo Gianulis- Leo.gianulis@hyatt.com</t>
        </is>
      </c>
      <c r="M24" s="9" t="n"/>
      <c r="N24" s="28" t="b">
        <v>1</v>
      </c>
      <c r="O24" s="172" t="b">
        <v>1</v>
      </c>
      <c r="P24" s="28" t="b">
        <v>0</v>
      </c>
      <c r="Q24" s="28" t="b">
        <v>0</v>
      </c>
      <c r="R24" s="28" t="b">
        <v>0</v>
      </c>
      <c r="S24" s="28" t="b">
        <v>0</v>
      </c>
      <c r="T24" s="28" t="b">
        <v>0</v>
      </c>
      <c r="U24" s="28" t="b">
        <v>0</v>
      </c>
      <c r="V24" s="28" t="b">
        <v>0</v>
      </c>
      <c r="W24" s="28" t="b">
        <v>0</v>
      </c>
    </row>
    <row r="25" ht="69" customHeight="1" s="222">
      <c r="A25" s="164">
        <f>Accounts!A23</f>
        <v/>
      </c>
      <c r="B25" s="28" t="b">
        <v>0</v>
      </c>
      <c r="C25" s="176">
        <f>Accounts!T23</f>
        <v/>
      </c>
      <c r="D25" s="174" t="n"/>
      <c r="E25" s="174" t="inlineStr">
        <is>
          <t>Jeffrey.Herz@casinoaz.com</t>
        </is>
      </c>
      <c r="F25" s="176">
        <f>Accounts!F23</f>
        <v/>
      </c>
      <c r="G25" s="174">
        <f>Accounts!O23</f>
        <v/>
      </c>
      <c r="H25" s="174">
        <f>Accounts!P23</f>
        <v/>
      </c>
      <c r="I25" s="174">
        <f>Accounts!H23</f>
        <v/>
      </c>
      <c r="J25" s="174">
        <f>Accounts!I23</f>
        <v/>
      </c>
      <c r="K25" s="176">
        <f>#REF!</f>
        <v/>
      </c>
      <c r="L25" s="173" t="inlineStr">
        <is>
          <t>Sent connect message on Linked Inn, Jeffrey is the contact for vendor partnerships</t>
        </is>
      </c>
      <c r="M25" s="9" t="n"/>
      <c r="N25" s="28" t="b">
        <v>1</v>
      </c>
      <c r="O25" s="172" t="b">
        <v>1</v>
      </c>
      <c r="P25" s="28" t="b">
        <v>0</v>
      </c>
      <c r="Q25" s="28" t="b">
        <v>0</v>
      </c>
      <c r="R25" s="28" t="b">
        <v>0</v>
      </c>
      <c r="S25" s="28" t="b">
        <v>0</v>
      </c>
      <c r="T25" s="28" t="b">
        <v>0</v>
      </c>
      <c r="U25" s="28" t="b">
        <v>0</v>
      </c>
      <c r="V25" s="28" t="b">
        <v>0</v>
      </c>
      <c r="W25" s="28" t="b">
        <v>0</v>
      </c>
    </row>
    <row r="26" ht="69" customHeight="1" s="222">
      <c r="A26" s="164">
        <f>Accounts!A24</f>
        <v/>
      </c>
      <c r="B26" s="28" t="b">
        <v>0</v>
      </c>
      <c r="C26" s="176">
        <f>Accounts!T24</f>
        <v/>
      </c>
      <c r="D26" s="174" t="n"/>
      <c r="E26" s="174" t="n"/>
      <c r="F26" s="176">
        <f>Accounts!F24</f>
        <v/>
      </c>
      <c r="G26" s="174">
        <f>Accounts!O24</f>
        <v/>
      </c>
      <c r="H26" s="174">
        <f>Accounts!P24</f>
        <v/>
      </c>
      <c r="I26" s="174">
        <f>Accounts!H24</f>
        <v/>
      </c>
      <c r="J26" s="174">
        <f>Accounts!I24</f>
        <v/>
      </c>
      <c r="K26" s="176">
        <f>#REF!</f>
        <v/>
      </c>
      <c r="L26" s="173" t="inlineStr">
        <is>
          <t>Connected with nicholas on linked in, messaged him, and left a voicemail</t>
        </is>
      </c>
      <c r="M26" s="9" t="n"/>
      <c r="N26" s="28" t="b">
        <v>1</v>
      </c>
      <c r="O26" s="172" t="b">
        <v>0</v>
      </c>
      <c r="P26" s="28" t="b">
        <v>0</v>
      </c>
      <c r="Q26" s="28" t="b">
        <v>0</v>
      </c>
      <c r="R26" s="28" t="b">
        <v>0</v>
      </c>
      <c r="S26" s="28" t="b">
        <v>0</v>
      </c>
      <c r="T26" s="28" t="b">
        <v>0</v>
      </c>
      <c r="U26" s="28" t="b">
        <v>0</v>
      </c>
      <c r="V26" s="28" t="b">
        <v>0</v>
      </c>
      <c r="W26" s="28" t="b">
        <v>0</v>
      </c>
    </row>
    <row r="27" ht="69" customHeight="1" s="222">
      <c r="A27" s="164">
        <f>Accounts!A25</f>
        <v/>
      </c>
      <c r="B27" s="28" t="b">
        <v>0</v>
      </c>
      <c r="C27" s="176">
        <f>Accounts!T25</f>
        <v/>
      </c>
      <c r="D27" s="174" t="n"/>
      <c r="E27" s="174" t="n"/>
      <c r="F27" s="176">
        <f>Accounts!F25</f>
        <v/>
      </c>
      <c r="G27" s="174">
        <f>Accounts!O25</f>
        <v/>
      </c>
      <c r="H27" s="174">
        <f>Accounts!P25</f>
        <v/>
      </c>
      <c r="I27" s="174">
        <f>Accounts!H25</f>
        <v/>
      </c>
      <c r="J27" s="174">
        <f>Accounts!I25</f>
        <v/>
      </c>
      <c r="K27" s="176">
        <f>#REF!</f>
        <v/>
      </c>
      <c r="L27" s="173" t="n"/>
      <c r="M27" s="9" t="n"/>
      <c r="N27" s="28" t="b">
        <v>0</v>
      </c>
      <c r="O27" s="172" t="b">
        <v>0</v>
      </c>
      <c r="P27" s="28" t="b">
        <v>0</v>
      </c>
      <c r="Q27" s="28" t="b">
        <v>0</v>
      </c>
      <c r="R27" s="28" t="b">
        <v>0</v>
      </c>
      <c r="S27" s="28" t="b">
        <v>0</v>
      </c>
      <c r="T27" s="28" t="b">
        <v>0</v>
      </c>
      <c r="U27" s="28" t="b">
        <v>0</v>
      </c>
      <c r="V27" s="28" t="b">
        <v>0</v>
      </c>
      <c r="W27" s="28" t="b">
        <v>0</v>
      </c>
    </row>
    <row r="28" ht="69" customHeight="1" s="222">
      <c r="A28" s="164">
        <f>Accounts!A26</f>
        <v/>
      </c>
      <c r="B28" s="28" t="b">
        <v>0</v>
      </c>
      <c r="C28" s="176">
        <f>Accounts!T26</f>
        <v/>
      </c>
      <c r="D28" s="174" t="n"/>
      <c r="E28" s="174" t="n"/>
      <c r="F28" s="176">
        <f>Accounts!F26</f>
        <v/>
      </c>
      <c r="G28" s="174">
        <f>Accounts!O26</f>
        <v/>
      </c>
      <c r="H28" s="174">
        <f>Accounts!P26</f>
        <v/>
      </c>
      <c r="I28" s="174">
        <f>Accounts!H26</f>
        <v/>
      </c>
      <c r="J28" s="174">
        <f>Accounts!I26</f>
        <v/>
      </c>
      <c r="K28" s="176">
        <f>#REF!</f>
        <v/>
      </c>
      <c r="L28" s="173" t="n"/>
      <c r="M28" s="9" t="n"/>
      <c r="N28" s="28" t="b">
        <v>0</v>
      </c>
      <c r="O28" s="172" t="b">
        <v>0</v>
      </c>
      <c r="P28" s="28" t="b">
        <v>0</v>
      </c>
      <c r="Q28" s="28" t="b">
        <v>0</v>
      </c>
      <c r="R28" s="28" t="b">
        <v>0</v>
      </c>
      <c r="S28" s="28" t="b">
        <v>0</v>
      </c>
      <c r="T28" s="28" t="b">
        <v>0</v>
      </c>
      <c r="U28" s="28" t="b">
        <v>0</v>
      </c>
      <c r="V28" s="28" t="b">
        <v>0</v>
      </c>
      <c r="W28" s="28" t="b">
        <v>0</v>
      </c>
    </row>
    <row r="29" ht="69" customHeight="1" s="222">
      <c r="A29" s="164">
        <f>Accounts!A27</f>
        <v/>
      </c>
      <c r="B29" s="28" t="b">
        <v>0</v>
      </c>
      <c r="C29" s="176">
        <f>Accounts!T27</f>
        <v/>
      </c>
      <c r="D29" s="174" t="n"/>
      <c r="E29" s="175" t="n"/>
      <c r="F29" s="176">
        <f>Accounts!F27</f>
        <v/>
      </c>
      <c r="G29" s="175">
        <f>Accounts!O27</f>
        <v/>
      </c>
      <c r="H29" s="174">
        <f>Accounts!P27</f>
        <v/>
      </c>
      <c r="I29" s="174">
        <f>Accounts!H27</f>
        <v/>
      </c>
      <c r="J29" s="174">
        <f>Accounts!I27</f>
        <v/>
      </c>
      <c r="K29" s="176">
        <f>#REF!</f>
        <v/>
      </c>
      <c r="L29" s="173" t="n"/>
      <c r="M29" s="9" t="n"/>
      <c r="N29" s="28" t="b">
        <v>0</v>
      </c>
      <c r="O29" s="172" t="b">
        <v>0</v>
      </c>
      <c r="P29" s="28" t="b">
        <v>0</v>
      </c>
      <c r="Q29" s="28" t="b">
        <v>0</v>
      </c>
      <c r="R29" s="28" t="b">
        <v>0</v>
      </c>
      <c r="S29" s="28" t="b">
        <v>0</v>
      </c>
      <c r="T29" s="28" t="b">
        <v>0</v>
      </c>
      <c r="U29" s="28" t="b">
        <v>0</v>
      </c>
      <c r="V29" s="28" t="b">
        <v>0</v>
      </c>
      <c r="W29" s="28" t="b">
        <v>0</v>
      </c>
    </row>
    <row r="30" ht="69" customHeight="1" s="222">
      <c r="A30" s="164">
        <f>Accounts!A28</f>
        <v/>
      </c>
      <c r="B30" s="28" t="b">
        <v>0</v>
      </c>
      <c r="C30" s="176">
        <f>Accounts!T28</f>
        <v/>
      </c>
      <c r="D30" s="174" t="n"/>
      <c r="E30" s="174" t="n"/>
      <c r="F30" s="176">
        <f>Accounts!F28</f>
        <v/>
      </c>
      <c r="G30" s="174">
        <f>Accounts!O28</f>
        <v/>
      </c>
      <c r="H30" s="174">
        <f>Accounts!P28</f>
        <v/>
      </c>
      <c r="I30" s="174">
        <f>Accounts!H28</f>
        <v/>
      </c>
      <c r="J30" s="174">
        <f>Accounts!I28</f>
        <v/>
      </c>
      <c r="K30" s="176">
        <f>#REF!</f>
        <v/>
      </c>
      <c r="L30" s="173" t="n"/>
      <c r="M30" s="9" t="n"/>
      <c r="N30" s="28" t="b">
        <v>0</v>
      </c>
      <c r="O30" s="172" t="b">
        <v>0</v>
      </c>
      <c r="P30" s="28" t="b">
        <v>0</v>
      </c>
      <c r="Q30" s="28" t="b">
        <v>0</v>
      </c>
      <c r="R30" s="28" t="b">
        <v>0</v>
      </c>
      <c r="S30" s="28" t="b">
        <v>0</v>
      </c>
      <c r="T30" s="28" t="b">
        <v>0</v>
      </c>
      <c r="U30" s="28" t="b">
        <v>0</v>
      </c>
      <c r="V30" s="28" t="b">
        <v>0</v>
      </c>
      <c r="W30" s="28" t="b">
        <v>0</v>
      </c>
    </row>
    <row r="31" ht="69" customHeight="1" s="222">
      <c r="A31" s="164">
        <f>Accounts!A29</f>
        <v/>
      </c>
      <c r="B31" s="28" t="b">
        <v>0</v>
      </c>
      <c r="C31" s="176">
        <f>Accounts!T29</f>
        <v/>
      </c>
      <c r="D31" s="174" t="n"/>
      <c r="E31" s="174" t="n"/>
      <c r="F31" s="176">
        <f>Accounts!F29</f>
        <v/>
      </c>
      <c r="G31" s="174">
        <f>Accounts!O29</f>
        <v/>
      </c>
      <c r="H31" s="174">
        <f>Accounts!P29</f>
        <v/>
      </c>
      <c r="I31" s="174">
        <f>Accounts!H29</f>
        <v/>
      </c>
      <c r="J31" s="174">
        <f>Accounts!I29</f>
        <v/>
      </c>
      <c r="K31" s="176">
        <f>#REF!</f>
        <v/>
      </c>
      <c r="L31" s="173" t="n"/>
      <c r="M31" s="9" t="n"/>
      <c r="N31" s="28" t="b">
        <v>0</v>
      </c>
      <c r="O31" s="172" t="b">
        <v>0</v>
      </c>
      <c r="P31" s="28" t="b">
        <v>0</v>
      </c>
      <c r="Q31" s="28" t="b">
        <v>0</v>
      </c>
      <c r="R31" s="28" t="b">
        <v>0</v>
      </c>
      <c r="S31" s="28" t="b">
        <v>0</v>
      </c>
      <c r="T31" s="28" t="b">
        <v>0</v>
      </c>
      <c r="U31" s="28" t="b">
        <v>0</v>
      </c>
      <c r="V31" s="28" t="b">
        <v>0</v>
      </c>
      <c r="W31" s="28" t="b">
        <v>0</v>
      </c>
    </row>
    <row r="32" ht="69" customHeight="1" s="222">
      <c r="A32" s="164">
        <f>Accounts!A30</f>
        <v/>
      </c>
      <c r="B32" s="28" t="b">
        <v>0</v>
      </c>
      <c r="C32" s="176">
        <f>Accounts!T30</f>
        <v/>
      </c>
      <c r="D32" s="174" t="n"/>
      <c r="E32" s="174" t="n"/>
      <c r="F32" s="176">
        <f>Accounts!F30</f>
        <v/>
      </c>
      <c r="G32" s="174">
        <f>Accounts!O30</f>
        <v/>
      </c>
      <c r="H32" s="174">
        <f>Accounts!P30</f>
        <v/>
      </c>
      <c r="I32" s="174">
        <f>Accounts!H30</f>
        <v/>
      </c>
      <c r="J32" s="174">
        <f>Accounts!I30</f>
        <v/>
      </c>
      <c r="K32" s="176">
        <f>#REF!</f>
        <v/>
      </c>
      <c r="L32" s="173" t="n"/>
      <c r="M32" s="9" t="n"/>
      <c r="N32" s="28" t="b">
        <v>0</v>
      </c>
      <c r="O32" s="172" t="b">
        <v>0</v>
      </c>
      <c r="P32" s="28" t="b">
        <v>0</v>
      </c>
      <c r="Q32" s="28" t="b">
        <v>0</v>
      </c>
      <c r="R32" s="28" t="b">
        <v>0</v>
      </c>
      <c r="S32" s="28" t="b">
        <v>0</v>
      </c>
      <c r="T32" s="28" t="b">
        <v>0</v>
      </c>
      <c r="U32" s="28" t="b">
        <v>0</v>
      </c>
      <c r="V32" s="28" t="b">
        <v>0</v>
      </c>
      <c r="W32" s="28" t="b">
        <v>0</v>
      </c>
    </row>
    <row r="33" ht="69" customHeight="1" s="222">
      <c r="A33" s="164">
        <f>Accounts!A31</f>
        <v/>
      </c>
      <c r="B33" s="28" t="b">
        <v>0</v>
      </c>
      <c r="C33" s="176">
        <f>Accounts!T31</f>
        <v/>
      </c>
      <c r="D33" s="174" t="n"/>
      <c r="E33" s="174" t="n"/>
      <c r="F33" s="176">
        <f>Accounts!F31</f>
        <v/>
      </c>
      <c r="G33" s="174">
        <f>Accounts!O31</f>
        <v/>
      </c>
      <c r="H33" s="174">
        <f>Accounts!P31</f>
        <v/>
      </c>
      <c r="I33" s="174">
        <f>Accounts!H31</f>
        <v/>
      </c>
      <c r="J33" s="174">
        <f>Accounts!I31</f>
        <v/>
      </c>
      <c r="K33" s="176">
        <f>#REF!</f>
        <v/>
      </c>
      <c r="L33" s="173" t="n"/>
      <c r="M33" s="9" t="n"/>
      <c r="N33" s="28" t="b">
        <v>0</v>
      </c>
      <c r="O33" s="172" t="b">
        <v>0</v>
      </c>
      <c r="P33" s="28" t="b">
        <v>0</v>
      </c>
      <c r="Q33" s="28" t="b">
        <v>0</v>
      </c>
      <c r="R33" s="28" t="b">
        <v>0</v>
      </c>
      <c r="S33" s="28" t="b">
        <v>0</v>
      </c>
      <c r="T33" s="28" t="b">
        <v>0</v>
      </c>
      <c r="U33" s="28" t="b">
        <v>0</v>
      </c>
      <c r="V33" s="28" t="b">
        <v>0</v>
      </c>
      <c r="W33" s="28" t="b">
        <v>0</v>
      </c>
    </row>
    <row r="34" ht="69" customHeight="1" s="222">
      <c r="A34" s="164">
        <f>Accounts!A32</f>
        <v/>
      </c>
      <c r="B34" s="28" t="b">
        <v>0</v>
      </c>
      <c r="C34" s="176">
        <f>Accounts!T32</f>
        <v/>
      </c>
      <c r="D34" s="174" t="n"/>
      <c r="E34" s="174" t="n"/>
      <c r="F34" s="176">
        <f>Accounts!F32</f>
        <v/>
      </c>
      <c r="G34" s="174">
        <f>Accounts!O32</f>
        <v/>
      </c>
      <c r="H34" s="174">
        <f>Accounts!P32</f>
        <v/>
      </c>
      <c r="I34" s="174">
        <f>Accounts!H32</f>
        <v/>
      </c>
      <c r="J34" s="174">
        <f>Accounts!I32</f>
        <v/>
      </c>
      <c r="K34" s="176">
        <f>#REF!</f>
        <v/>
      </c>
      <c r="L34" s="173" t="n"/>
      <c r="M34" s="9" t="n"/>
      <c r="N34" s="28" t="b">
        <v>0</v>
      </c>
      <c r="O34" s="172" t="b">
        <v>0</v>
      </c>
      <c r="P34" s="28" t="b">
        <v>0</v>
      </c>
      <c r="Q34" s="28" t="b">
        <v>0</v>
      </c>
      <c r="R34" s="28" t="b">
        <v>0</v>
      </c>
      <c r="S34" s="28" t="b">
        <v>0</v>
      </c>
      <c r="T34" s="28" t="b">
        <v>0</v>
      </c>
      <c r="U34" s="28" t="b">
        <v>0</v>
      </c>
      <c r="V34" s="28" t="b">
        <v>0</v>
      </c>
      <c r="W34" s="28" t="b">
        <v>0</v>
      </c>
    </row>
    <row r="35" ht="69" customHeight="1" s="222">
      <c r="A35" s="164">
        <f>Accounts!A33</f>
        <v/>
      </c>
      <c r="B35" s="28" t="b">
        <v>0</v>
      </c>
      <c r="C35" s="176">
        <f>Accounts!T33</f>
        <v/>
      </c>
      <c r="D35" s="174" t="n"/>
      <c r="E35" s="174" t="n"/>
      <c r="F35" s="176">
        <f>Accounts!F33</f>
        <v/>
      </c>
      <c r="G35" s="174">
        <f>Accounts!O33</f>
        <v/>
      </c>
      <c r="H35" s="174">
        <f>Accounts!P33</f>
        <v/>
      </c>
      <c r="I35" s="174">
        <f>Accounts!H33</f>
        <v/>
      </c>
      <c r="J35" s="174">
        <f>Accounts!I33</f>
        <v/>
      </c>
      <c r="K35" s="176">
        <f>#REF!</f>
        <v/>
      </c>
      <c r="L35" s="173" t="n"/>
      <c r="M35" s="9" t="n"/>
      <c r="N35" s="28" t="b">
        <v>0</v>
      </c>
      <c r="O35" s="172" t="b">
        <v>0</v>
      </c>
      <c r="P35" s="28" t="b">
        <v>0</v>
      </c>
      <c r="Q35" s="28" t="b">
        <v>0</v>
      </c>
      <c r="R35" s="28" t="b">
        <v>0</v>
      </c>
      <c r="S35" s="28" t="b">
        <v>0</v>
      </c>
      <c r="T35" s="28" t="b">
        <v>0</v>
      </c>
      <c r="U35" s="28" t="b">
        <v>0</v>
      </c>
      <c r="V35" s="28" t="b">
        <v>0</v>
      </c>
      <c r="W35" s="28" t="b">
        <v>0</v>
      </c>
    </row>
    <row r="36" ht="69" customHeight="1" s="222">
      <c r="A36" s="164">
        <f>Accounts!A34</f>
        <v/>
      </c>
      <c r="B36" s="28" t="b">
        <v>0</v>
      </c>
      <c r="C36" s="176">
        <f>Accounts!T34</f>
        <v/>
      </c>
      <c r="D36" s="174" t="n"/>
      <c r="E36" s="174" t="n"/>
      <c r="F36" s="176">
        <f>Accounts!F34</f>
        <v/>
      </c>
      <c r="G36" s="174">
        <f>Accounts!O34</f>
        <v/>
      </c>
      <c r="H36" s="174">
        <f>Accounts!P34</f>
        <v/>
      </c>
      <c r="I36" s="174">
        <f>Accounts!H34</f>
        <v/>
      </c>
      <c r="J36" s="174">
        <f>Accounts!I34</f>
        <v/>
      </c>
      <c r="K36" s="176">
        <f>#REF!</f>
        <v/>
      </c>
      <c r="L36" s="173" t="n"/>
      <c r="M36" s="9" t="n"/>
      <c r="N36" s="28" t="b">
        <v>0</v>
      </c>
      <c r="O36" s="172" t="b">
        <v>0</v>
      </c>
      <c r="P36" s="28" t="b">
        <v>0</v>
      </c>
      <c r="Q36" s="28" t="b">
        <v>0</v>
      </c>
      <c r="R36" s="28" t="b">
        <v>0</v>
      </c>
      <c r="S36" s="28" t="b">
        <v>0</v>
      </c>
      <c r="T36" s="28" t="b">
        <v>0</v>
      </c>
      <c r="U36" s="28" t="b">
        <v>0</v>
      </c>
      <c r="V36" s="28" t="b">
        <v>0</v>
      </c>
      <c r="W36" s="28" t="b">
        <v>0</v>
      </c>
    </row>
    <row r="37" ht="69" customHeight="1" s="222">
      <c r="A37" s="74">
        <f>Accounts!A35</f>
        <v/>
      </c>
      <c r="B37" s="28" t="b">
        <v>0</v>
      </c>
      <c r="C37" s="176">
        <f>Accounts!T35</f>
        <v/>
      </c>
      <c r="D37" s="174" t="n"/>
      <c r="E37" s="174" t="n"/>
      <c r="F37" s="176">
        <f>Accounts!F35</f>
        <v/>
      </c>
      <c r="G37" s="174">
        <f>Accounts!O35</f>
        <v/>
      </c>
      <c r="H37" s="174">
        <f>Accounts!P35</f>
        <v/>
      </c>
      <c r="I37" s="174">
        <f>Accounts!H35</f>
        <v/>
      </c>
      <c r="J37" s="174">
        <f>Accounts!I35</f>
        <v/>
      </c>
      <c r="K37" s="176">
        <f>#REF!</f>
        <v/>
      </c>
      <c r="L37" s="173" t="inlineStr">
        <is>
          <t>Left a voicemail for rebecca, reviews seem okay, they might be inhouse it seems if they are only charging $15</t>
        </is>
      </c>
      <c r="M37" s="9" t="n"/>
      <c r="N37" s="28" t="b">
        <v>0</v>
      </c>
      <c r="O37" s="172" t="b">
        <v>0</v>
      </c>
      <c r="P37" s="28" t="b">
        <v>0</v>
      </c>
      <c r="Q37" s="28" t="b">
        <v>0</v>
      </c>
      <c r="R37" s="28" t="b">
        <v>0</v>
      </c>
      <c r="S37" s="28" t="b">
        <v>0</v>
      </c>
      <c r="T37" s="28" t="b">
        <v>0</v>
      </c>
      <c r="U37" s="28" t="b">
        <v>0</v>
      </c>
      <c r="V37" s="28" t="b">
        <v>0</v>
      </c>
      <c r="W37" s="28" t="b">
        <v>0</v>
      </c>
    </row>
    <row r="38" ht="69" customHeight="1" s="222">
      <c r="A38" s="164">
        <f>Accounts!A36</f>
        <v/>
      </c>
      <c r="B38" s="28" t="b">
        <v>0</v>
      </c>
      <c r="C38" s="176">
        <f>Accounts!T36</f>
        <v/>
      </c>
      <c r="D38" s="174" t="n"/>
      <c r="E38" s="174" t="inlineStr">
        <is>
          <t>Katy Powers</t>
        </is>
      </c>
      <c r="F38" s="170">
        <f>Accounts!F36</f>
        <v/>
      </c>
      <c r="G38" s="174">
        <f>Accounts!O36</f>
        <v/>
      </c>
      <c r="H38" s="174">
        <f>Accounts!P36</f>
        <v/>
      </c>
      <c r="I38" s="174">
        <f>Accounts!H36</f>
        <v/>
      </c>
      <c r="J38" s="174">
        <f>Accounts!I36</f>
        <v/>
      </c>
      <c r="K38" s="176">
        <f>#REF!</f>
        <v/>
      </c>
      <c r="L38" s="173" t="inlineStr">
        <is>
          <t>Left voicemail for Katy</t>
        </is>
      </c>
      <c r="M38" s="9" t="n"/>
      <c r="N38" s="28" t="b">
        <v>1</v>
      </c>
      <c r="O38" s="172" t="b">
        <v>1</v>
      </c>
      <c r="P38" s="28" t="b">
        <v>0</v>
      </c>
      <c r="Q38" s="28" t="b">
        <v>0</v>
      </c>
      <c r="R38" s="28" t="b">
        <v>0</v>
      </c>
      <c r="S38" s="28" t="b">
        <v>0</v>
      </c>
      <c r="T38" s="28" t="b">
        <v>0</v>
      </c>
      <c r="U38" s="28" t="b">
        <v>0</v>
      </c>
      <c r="V38" s="28" t="b">
        <v>0</v>
      </c>
      <c r="W38" s="28" t="b">
        <v>0</v>
      </c>
    </row>
    <row r="39" ht="69" customHeight="1" s="222">
      <c r="A39" s="164">
        <f>Accounts!A37</f>
        <v/>
      </c>
      <c r="B39" s="28" t="b">
        <v>0</v>
      </c>
      <c r="C39" s="176">
        <f>Accounts!T37</f>
        <v/>
      </c>
      <c r="D39" s="174" t="n"/>
      <c r="E39" s="174" t="inlineStr">
        <is>
          <t>teri.owens@atriumhotels.com</t>
        </is>
      </c>
      <c r="F39" s="176">
        <f>Accounts!F37</f>
        <v/>
      </c>
      <c r="G39" s="174">
        <f>Accounts!O37</f>
        <v/>
      </c>
      <c r="H39" s="174">
        <f>Accounts!P37</f>
        <v/>
      </c>
      <c r="I39" s="174">
        <f>Accounts!H37</f>
        <v/>
      </c>
      <c r="J39" s="174">
        <f>Accounts!I37</f>
        <v/>
      </c>
      <c r="K39" s="176">
        <f>#REF!</f>
        <v/>
      </c>
      <c r="L39" s="173" t="inlineStr">
        <is>
          <t xml:space="preserve">Actually talked to the GM Teri, said things are going well! Emailing her my contact incase </t>
        </is>
      </c>
      <c r="M39" s="9" t="n"/>
      <c r="N39" s="28" t="b">
        <v>1</v>
      </c>
      <c r="O39" s="172" t="b">
        <v>1</v>
      </c>
      <c r="P39" s="28" t="b">
        <v>0</v>
      </c>
      <c r="Q39" s="28" t="b">
        <v>1</v>
      </c>
      <c r="R39" s="28" t="b">
        <v>0</v>
      </c>
      <c r="S39" s="28" t="b">
        <v>0</v>
      </c>
      <c r="T39" s="28" t="b">
        <v>0</v>
      </c>
      <c r="U39" s="28" t="b">
        <v>0</v>
      </c>
      <c r="V39" s="28" t="b">
        <v>0</v>
      </c>
      <c r="W39" s="28" t="b">
        <v>0</v>
      </c>
    </row>
    <row r="40" ht="69" customHeight="1" s="222">
      <c r="A40" s="164">
        <f>Accounts!A38</f>
        <v/>
      </c>
      <c r="B40" s="28" t="b">
        <v>0</v>
      </c>
      <c r="C40" s="176">
        <f>Accounts!T38</f>
        <v/>
      </c>
      <c r="D40" s="174" t="n"/>
      <c r="E40" s="174" t="n"/>
      <c r="F40" s="174">
        <f>Accounts!F38</f>
        <v/>
      </c>
      <c r="G40" s="174">
        <f>Accounts!O38</f>
        <v/>
      </c>
      <c r="H40" s="174">
        <f>Accounts!P38</f>
        <v/>
      </c>
      <c r="I40" s="174">
        <f>Accounts!H38</f>
        <v/>
      </c>
      <c r="J40" s="174">
        <f>Accounts!I38</f>
        <v/>
      </c>
      <c r="K40" s="176">
        <f>#REF!</f>
        <v/>
      </c>
      <c r="L40" s="173" t="n"/>
      <c r="M40" s="9" t="n"/>
      <c r="N40" s="28" t="b">
        <v>0</v>
      </c>
      <c r="O40" s="172" t="b">
        <v>0</v>
      </c>
      <c r="P40" s="28" t="b">
        <v>0</v>
      </c>
      <c r="Q40" s="28" t="b">
        <v>0</v>
      </c>
      <c r="R40" s="28" t="b">
        <v>0</v>
      </c>
      <c r="S40" s="28" t="b">
        <v>0</v>
      </c>
      <c r="T40" s="28" t="b">
        <v>0</v>
      </c>
      <c r="U40" s="28" t="b">
        <v>0</v>
      </c>
      <c r="V40" s="28" t="b">
        <v>0</v>
      </c>
      <c r="W40" s="28" t="b">
        <v>0</v>
      </c>
    </row>
    <row r="41" ht="69" customHeight="1" s="222">
      <c r="A41" s="164">
        <f>Accounts!A39</f>
        <v/>
      </c>
      <c r="B41" s="28" t="b">
        <v>0</v>
      </c>
      <c r="C41" s="175">
        <f>Accounts!T39</f>
        <v/>
      </c>
      <c r="D41" s="174" t="n"/>
      <c r="E41" s="174" t="n"/>
      <c r="F41" s="176">
        <f>#REF!</f>
        <v/>
      </c>
      <c r="G41" s="174">
        <f>Accounts!O39</f>
        <v/>
      </c>
      <c r="H41" s="174">
        <f>Accounts!P39</f>
        <v/>
      </c>
      <c r="I41" s="174">
        <f>#REF!</f>
        <v/>
      </c>
      <c r="J41" s="174">
        <f>#REF!</f>
        <v/>
      </c>
      <c r="K41" s="176">
        <f>#REF!</f>
        <v/>
      </c>
      <c r="L41" s="173" t="n"/>
      <c r="M41" s="9" t="n"/>
      <c r="N41" s="28" t="b">
        <v>0</v>
      </c>
      <c r="O41" s="172" t="b">
        <v>0</v>
      </c>
      <c r="P41" s="28" t="b">
        <v>0</v>
      </c>
      <c r="Q41" s="28" t="b">
        <v>0</v>
      </c>
      <c r="R41" s="28" t="b">
        <v>0</v>
      </c>
      <c r="S41" s="28" t="b">
        <v>0</v>
      </c>
      <c r="T41" s="28" t="b">
        <v>0</v>
      </c>
      <c r="U41" s="28" t="b">
        <v>0</v>
      </c>
      <c r="V41" s="28" t="b">
        <v>0</v>
      </c>
      <c r="W41" s="28" t="b">
        <v>0</v>
      </c>
    </row>
    <row r="42" ht="69" customHeight="1" s="222">
      <c r="A42" s="164">
        <f>Accounts!A40</f>
        <v/>
      </c>
      <c r="B42" s="28" t="b">
        <v>0</v>
      </c>
      <c r="C42" s="176">
        <f>Accounts!T40</f>
        <v/>
      </c>
      <c r="D42" s="174" t="n"/>
      <c r="E42" s="174" t="n"/>
      <c r="F42" s="176">
        <f>Accounts!F39</f>
        <v/>
      </c>
      <c r="G42" s="174">
        <f>Accounts!O40</f>
        <v/>
      </c>
      <c r="H42" s="174">
        <f>Accounts!P40</f>
        <v/>
      </c>
      <c r="I42" s="174">
        <f>Accounts!H39</f>
        <v/>
      </c>
      <c r="J42" s="174">
        <f>Accounts!I39</f>
        <v/>
      </c>
      <c r="K42" s="176">
        <f>#REF!</f>
        <v/>
      </c>
      <c r="L42" s="173" t="n"/>
      <c r="M42" s="9" t="n"/>
      <c r="N42" s="28" t="b">
        <v>0</v>
      </c>
      <c r="O42" s="172" t="b">
        <v>0</v>
      </c>
      <c r="P42" s="28" t="b">
        <v>0</v>
      </c>
      <c r="Q42" s="28" t="b">
        <v>0</v>
      </c>
      <c r="R42" s="28" t="b">
        <v>0</v>
      </c>
      <c r="S42" s="28" t="b">
        <v>0</v>
      </c>
      <c r="T42" s="28" t="b">
        <v>0</v>
      </c>
      <c r="U42" s="28" t="b">
        <v>0</v>
      </c>
      <c r="V42" s="28" t="b">
        <v>0</v>
      </c>
      <c r="W42" s="28" t="b">
        <v>0</v>
      </c>
    </row>
    <row r="43" ht="69" customHeight="1" s="222">
      <c r="A43" s="164">
        <f>Accounts!A41</f>
        <v/>
      </c>
      <c r="B43" s="28" t="b">
        <v>0</v>
      </c>
      <c r="C43" s="175">
        <f>Accounts!T41</f>
        <v/>
      </c>
      <c r="D43" s="174" t="n"/>
      <c r="E43" s="174" t="n"/>
      <c r="F43" s="176">
        <f>Accounts!F40</f>
        <v/>
      </c>
      <c r="G43" s="174">
        <f>Accounts!O41</f>
        <v/>
      </c>
      <c r="H43" s="174">
        <f>Accounts!P41</f>
        <v/>
      </c>
      <c r="I43" s="174">
        <f>Accounts!H40</f>
        <v/>
      </c>
      <c r="J43" s="174">
        <f>Accounts!I40</f>
        <v/>
      </c>
      <c r="K43" s="176">
        <f>#REF!</f>
        <v/>
      </c>
      <c r="L43" s="173" t="n"/>
      <c r="M43" s="9" t="n"/>
      <c r="N43" s="28" t="b">
        <v>0</v>
      </c>
      <c r="O43" s="172" t="b">
        <v>0</v>
      </c>
      <c r="P43" s="28" t="b">
        <v>0</v>
      </c>
      <c r="Q43" s="28" t="b">
        <v>0</v>
      </c>
      <c r="R43" s="28" t="b">
        <v>0</v>
      </c>
      <c r="S43" s="28" t="b">
        <v>0</v>
      </c>
      <c r="T43" s="28" t="b">
        <v>0</v>
      </c>
      <c r="U43" s="28" t="b">
        <v>0</v>
      </c>
      <c r="V43" s="28" t="b">
        <v>0</v>
      </c>
      <c r="W43" s="28" t="b">
        <v>0</v>
      </c>
    </row>
    <row r="44" ht="69" customHeight="1" s="222">
      <c r="A44" s="164">
        <f>Accounts!A42</f>
        <v/>
      </c>
      <c r="B44" s="28" t="b">
        <v>0</v>
      </c>
      <c r="C44" s="176">
        <f>Accounts!T42</f>
        <v/>
      </c>
      <c r="D44" s="174" t="n"/>
      <c r="E44" s="174" t="inlineStr">
        <is>
          <t>Rueben FOM</t>
        </is>
      </c>
      <c r="F44" s="176">
        <f>Accounts!F41</f>
        <v/>
      </c>
      <c r="G44" s="174">
        <f>#REF!</f>
        <v/>
      </c>
      <c r="H44" s="174">
        <f>#REF!</f>
        <v/>
      </c>
      <c r="I44" s="174">
        <f>Accounts!H41</f>
        <v/>
      </c>
      <c r="J44" s="174">
        <f>Accounts!I41</f>
        <v/>
      </c>
      <c r="K44" s="176">
        <f>#REF!</f>
        <v/>
      </c>
      <c r="L44" s="173" t="n"/>
      <c r="M44" s="9" t="n"/>
      <c r="N44" s="28" t="b">
        <v>1</v>
      </c>
      <c r="O44" s="172" t="b">
        <v>0</v>
      </c>
      <c r="P44" s="28" t="b">
        <v>0</v>
      </c>
      <c r="Q44" s="28" t="b">
        <v>0</v>
      </c>
      <c r="R44" s="28" t="b">
        <v>0</v>
      </c>
      <c r="S44" s="28" t="b">
        <v>0</v>
      </c>
      <c r="T44" s="28" t="b">
        <v>0</v>
      </c>
      <c r="U44" s="28" t="b">
        <v>0</v>
      </c>
      <c r="V44" s="28" t="b">
        <v>0</v>
      </c>
      <c r="W44" s="28" t="b">
        <v>0</v>
      </c>
    </row>
    <row r="45" ht="69" customHeight="1" s="222">
      <c r="A45" s="164">
        <f>Accounts!A43</f>
        <v/>
      </c>
      <c r="B45" s="28" t="b">
        <v>0</v>
      </c>
      <c r="C45" s="176">
        <f>Accounts!T43</f>
        <v/>
      </c>
      <c r="D45" s="174" t="n"/>
      <c r="E45" s="174" t="n"/>
      <c r="F45" s="176">
        <f>Accounts!F42</f>
        <v/>
      </c>
      <c r="G45" s="174">
        <f>Accounts!O42</f>
        <v/>
      </c>
      <c r="H45" s="174">
        <f>Accounts!P42</f>
        <v/>
      </c>
      <c r="I45" s="174">
        <f>Accounts!H42</f>
        <v/>
      </c>
      <c r="J45" s="174">
        <f>Accounts!I42</f>
        <v/>
      </c>
      <c r="K45" s="176">
        <f>#REF!</f>
        <v/>
      </c>
      <c r="L45" s="173" t="n"/>
      <c r="M45" s="9" t="n"/>
      <c r="N45" s="28" t="b">
        <v>0</v>
      </c>
      <c r="O45" s="172" t="b">
        <v>0</v>
      </c>
      <c r="P45" s="28" t="b">
        <v>0</v>
      </c>
      <c r="Q45" s="28" t="b">
        <v>0</v>
      </c>
      <c r="R45" s="28" t="b">
        <v>0</v>
      </c>
      <c r="S45" s="28" t="b">
        <v>0</v>
      </c>
      <c r="T45" s="28" t="b">
        <v>0</v>
      </c>
      <c r="U45" s="28" t="b">
        <v>0</v>
      </c>
      <c r="V45" s="28" t="b">
        <v>0</v>
      </c>
      <c r="W45" s="28" t="b">
        <v>0</v>
      </c>
    </row>
    <row r="46" ht="69" customHeight="1" s="222">
      <c r="A46" s="164">
        <f>Accounts!A44</f>
        <v/>
      </c>
      <c r="B46" s="28" t="b">
        <v>0</v>
      </c>
      <c r="C46" s="176" t="inlineStr">
        <is>
          <t>Kelly Sterling</t>
        </is>
      </c>
      <c r="D46" s="174" t="n"/>
      <c r="E46" s="174" t="inlineStr">
        <is>
          <t>Kelly Gm assistant, kelly.osterling@renhotels.com</t>
        </is>
      </c>
      <c r="F46" s="176">
        <f>Accounts!F43</f>
        <v/>
      </c>
      <c r="G46" s="174">
        <f>Accounts!O43</f>
        <v/>
      </c>
      <c r="H46" s="174">
        <f>Accounts!P43</f>
        <v/>
      </c>
      <c r="I46" s="174">
        <f>Accounts!H43</f>
        <v/>
      </c>
      <c r="J46" s="174">
        <f>Accounts!I43</f>
        <v/>
      </c>
      <c r="K46" s="176">
        <f>#REF!</f>
        <v/>
      </c>
      <c r="L46" s="173" t="inlineStr">
        <is>
          <t>Got informatio from the hotel front desk, currently doesn't have a shuttle service and feels like its lacking from that front, emailed kelly video and intro deck</t>
        </is>
      </c>
      <c r="M46" s="9" t="n"/>
      <c r="N46" s="28" t="b">
        <v>1</v>
      </c>
      <c r="O46" s="172" t="b">
        <v>1</v>
      </c>
      <c r="P46" s="28" t="b">
        <v>1</v>
      </c>
      <c r="Q46" s="28" t="b">
        <v>1</v>
      </c>
      <c r="R46" s="28" t="b">
        <v>1</v>
      </c>
      <c r="S46" s="28" t="b">
        <v>1</v>
      </c>
      <c r="T46" s="28" t="b">
        <v>0</v>
      </c>
      <c r="U46" s="28" t="b">
        <v>0</v>
      </c>
      <c r="V46" s="28" t="b">
        <v>0</v>
      </c>
      <c r="W46" s="28" t="b">
        <v>0</v>
      </c>
    </row>
    <row r="47" ht="69" customHeight="1" s="222">
      <c r="A47" s="164">
        <f>Accounts!A45</f>
        <v/>
      </c>
      <c r="B47" s="28" t="b">
        <v>1</v>
      </c>
      <c r="C47" s="176" t="inlineStr">
        <is>
          <t>Carlos Zavala</t>
        </is>
      </c>
      <c r="D47" s="174" t="n"/>
      <c r="E47" s="174" t="n"/>
      <c r="F47" s="170">
        <f>Accounts!F44</f>
        <v/>
      </c>
      <c r="G47" s="174">
        <f>Accounts!O44</f>
        <v/>
      </c>
      <c r="H47" s="174">
        <f>Accounts!P44</f>
        <v/>
      </c>
      <c r="I47" s="174">
        <f>Accounts!H44</f>
        <v/>
      </c>
      <c r="J47" s="174">
        <f>Accounts!I44</f>
        <v/>
      </c>
      <c r="K47" s="176">
        <f>#REF!</f>
        <v/>
      </c>
      <c r="L47" s="173" t="inlineStr">
        <is>
          <t xml:space="preserve">Talked with Carlos, they were in the talks with adding valet services. Sent him an email in hopes to connect soon. Will follow up Friday. </t>
        </is>
      </c>
      <c r="M47" s="9" t="n"/>
      <c r="N47" s="28" t="b">
        <v>1</v>
      </c>
      <c r="O47" s="172" t="b">
        <v>1</v>
      </c>
      <c r="P47" s="28" t="b">
        <v>1</v>
      </c>
      <c r="Q47" s="28" t="b">
        <v>0</v>
      </c>
      <c r="R47" s="28" t="b">
        <v>0</v>
      </c>
      <c r="S47" s="28" t="b">
        <v>0</v>
      </c>
      <c r="T47" s="28" t="b">
        <v>0</v>
      </c>
      <c r="U47" s="28" t="b">
        <v>0</v>
      </c>
      <c r="V47" s="28" t="b">
        <v>0</v>
      </c>
      <c r="W47" s="28" t="b">
        <v>0</v>
      </c>
    </row>
    <row r="48" ht="69" customHeight="1" s="222">
      <c r="A48" s="164">
        <f>Accounts!A46</f>
        <v/>
      </c>
      <c r="B48" s="28" t="b">
        <v>0</v>
      </c>
      <c r="C48" s="176">
        <f>Accounts!T46</f>
        <v/>
      </c>
      <c r="D48" s="174" t="n"/>
      <c r="E48" s="174" t="n"/>
      <c r="F48" s="174">
        <f>Accounts!F45</f>
        <v/>
      </c>
      <c r="G48" s="174">
        <f>Accounts!O45</f>
        <v/>
      </c>
      <c r="H48" s="174">
        <f>Accounts!P45</f>
        <v/>
      </c>
      <c r="I48" s="174">
        <f>Accounts!H44</f>
        <v/>
      </c>
      <c r="J48" s="174">
        <f>Accounts!I44</f>
        <v/>
      </c>
      <c r="K48" s="176">
        <f>#REF!</f>
        <v/>
      </c>
      <c r="L48" s="173" t="inlineStr">
        <is>
          <t>Tried to call and waited 15 min, moving on will call again next time</t>
        </is>
      </c>
      <c r="M48" s="9" t="n"/>
      <c r="N48" s="28" t="b">
        <v>1</v>
      </c>
      <c r="O48" s="172" t="b">
        <v>1</v>
      </c>
      <c r="P48" s="28" t="b">
        <v>1</v>
      </c>
      <c r="Q48" s="28" t="b">
        <v>1</v>
      </c>
      <c r="R48" s="28" t="b">
        <v>1</v>
      </c>
      <c r="S48" s="28" t="b">
        <v>1</v>
      </c>
      <c r="T48" s="28" t="b">
        <v>0</v>
      </c>
      <c r="U48" s="28" t="b">
        <v>0</v>
      </c>
      <c r="V48" s="28" t="b">
        <v>0</v>
      </c>
      <c r="W48" s="28" t="b">
        <v>0</v>
      </c>
    </row>
    <row r="49" ht="69" customHeight="1" s="222">
      <c r="A49" s="164">
        <f>Accounts!A47</f>
        <v/>
      </c>
      <c r="B49" s="28" t="b">
        <v>0</v>
      </c>
      <c r="C49" s="176" t="inlineStr">
        <is>
          <t>Erin Bicaki</t>
        </is>
      </c>
      <c r="D49" s="174" t="n"/>
      <c r="E49" s="174" t="n"/>
      <c r="F49" s="176">
        <f>#REF!</f>
        <v/>
      </c>
      <c r="G49" s="174">
        <f>#REF!</f>
        <v/>
      </c>
      <c r="H49" s="174">
        <f>#REF!</f>
        <v/>
      </c>
      <c r="I49" s="174">
        <f>#REF!</f>
        <v/>
      </c>
      <c r="J49" s="174">
        <f>#REF!</f>
        <v/>
      </c>
      <c r="K49" s="176">
        <f>#REF!</f>
        <v/>
      </c>
      <c r="L49" s="173" t="inlineStr">
        <is>
          <t>Left a voicemail, reviews are unfavorable Erin is confirmed still the GM</t>
        </is>
      </c>
      <c r="M49" s="9" t="n"/>
      <c r="N49" s="28" t="b">
        <v>1</v>
      </c>
      <c r="O49" s="172" t="b">
        <v>1</v>
      </c>
      <c r="P49" s="28" t="b">
        <v>0</v>
      </c>
      <c r="Q49" s="28" t="b">
        <v>0</v>
      </c>
      <c r="R49" s="28" t="b">
        <v>0</v>
      </c>
      <c r="S49" s="28" t="b">
        <v>0</v>
      </c>
      <c r="T49" s="28" t="b">
        <v>0</v>
      </c>
      <c r="U49" s="28" t="b">
        <v>0</v>
      </c>
      <c r="V49" s="28" t="b">
        <v>0</v>
      </c>
      <c r="W49" s="28" t="b">
        <v>0</v>
      </c>
    </row>
    <row r="50" ht="69" customHeight="1" s="222">
      <c r="A50" s="164">
        <f>Accounts!A48</f>
        <v/>
      </c>
      <c r="B50" s="28" t="b">
        <v>0</v>
      </c>
      <c r="C50" s="176" t="inlineStr">
        <is>
          <t xml:space="preserve">Trent Collicott </t>
        </is>
      </c>
      <c r="D50" s="174" t="n"/>
      <c r="E50" s="174" t="n"/>
      <c r="F50" s="176">
        <f>#REF!</f>
        <v/>
      </c>
      <c r="G50" s="174">
        <f>#REF!</f>
        <v/>
      </c>
      <c r="H50" s="174">
        <f>#REF!</f>
        <v/>
      </c>
      <c r="I50" s="176">
        <f>#REF!</f>
        <v/>
      </c>
      <c r="J50" s="174">
        <f>#REF!</f>
        <v/>
      </c>
      <c r="K50" s="176">
        <f>#REF!</f>
        <v/>
      </c>
      <c r="L50" s="173" t="inlineStr">
        <is>
          <t>Left a voicemail, Parking reviews are VERY unfavorable Trent is confirmed still the GM</t>
        </is>
      </c>
      <c r="M50" s="9" t="n"/>
      <c r="N50" s="28" t="b">
        <v>1</v>
      </c>
      <c r="O50" s="172" t="b">
        <v>1</v>
      </c>
      <c r="P50" s="28" t="b">
        <v>0</v>
      </c>
      <c r="Q50" s="28" t="b">
        <v>0</v>
      </c>
      <c r="R50" s="28" t="b">
        <v>0</v>
      </c>
      <c r="S50" s="28" t="b">
        <v>0</v>
      </c>
      <c r="T50" s="28" t="b">
        <v>0</v>
      </c>
      <c r="U50" s="28" t="b">
        <v>0</v>
      </c>
      <c r="V50" s="28" t="b">
        <v>0</v>
      </c>
      <c r="W50" s="28" t="b">
        <v>0</v>
      </c>
    </row>
    <row r="51" ht="69" customHeight="1" s="222">
      <c r="A51" s="164">
        <f>Accounts!A49</f>
        <v/>
      </c>
      <c r="B51" s="28" t="b">
        <v>1</v>
      </c>
      <c r="C51" s="176" t="inlineStr">
        <is>
          <t>Kevin Shipman</t>
        </is>
      </c>
      <c r="D51" s="174" t="n"/>
      <c r="E51" s="174" t="n"/>
      <c r="F51" s="176">
        <f>Accounts!F46</f>
        <v/>
      </c>
      <c r="G51" s="174">
        <f>Accounts!O46</f>
        <v/>
      </c>
      <c r="H51" s="174">
        <f>Accounts!P46</f>
        <v/>
      </c>
      <c r="I51" s="174">
        <f>Accounts!H46</f>
        <v/>
      </c>
      <c r="J51" s="174">
        <f>Accounts!I46</f>
        <v/>
      </c>
      <c r="K51" s="176">
        <f>#REF!</f>
        <v/>
      </c>
      <c r="L51" s="173" t="inlineStr">
        <is>
          <t>Kshipman@ih-corp.com</t>
        </is>
      </c>
      <c r="M51" s="9" t="n"/>
      <c r="N51" s="28" t="b">
        <v>0</v>
      </c>
      <c r="O51" s="172" t="b">
        <v>1</v>
      </c>
      <c r="P51" s="28" t="b">
        <v>0</v>
      </c>
      <c r="Q51" s="28" t="b">
        <v>0</v>
      </c>
      <c r="R51" s="28" t="b">
        <v>0</v>
      </c>
      <c r="S51" s="28" t="b">
        <v>0</v>
      </c>
      <c r="T51" s="28" t="b">
        <v>0</v>
      </c>
      <c r="U51" s="28" t="b">
        <v>0</v>
      </c>
      <c r="V51" s="28" t="b">
        <v>0</v>
      </c>
      <c r="W51" s="28" t="b">
        <v>0</v>
      </c>
    </row>
    <row r="52" ht="69" customHeight="1" s="222">
      <c r="A52" s="164">
        <f>Accounts!A50</f>
        <v/>
      </c>
      <c r="B52" s="28" t="b">
        <v>0</v>
      </c>
      <c r="C52" s="176" t="inlineStr">
        <is>
          <t>Collin Walls</t>
        </is>
      </c>
      <c r="D52" s="174" t="n"/>
      <c r="E52" s="174" t="n"/>
      <c r="F52" s="176">
        <f>Accounts!F47</f>
        <v/>
      </c>
      <c r="G52" s="174">
        <f>Accounts!O47</f>
        <v/>
      </c>
      <c r="H52" s="174">
        <f>Accounts!P47</f>
        <v/>
      </c>
      <c r="I52" s="174">
        <f>Accounts!H47</f>
        <v/>
      </c>
      <c r="J52" s="174">
        <f>Accounts!I47</f>
        <v/>
      </c>
      <c r="K52" s="176">
        <f>#REF!</f>
        <v/>
      </c>
      <c r="L52" s="173" t="inlineStr">
        <is>
          <t xml:space="preserve">Left message with collin walls </t>
        </is>
      </c>
      <c r="M52" s="9" t="n"/>
      <c r="N52" s="28" t="b">
        <v>1</v>
      </c>
      <c r="O52" s="172" t="b">
        <v>1</v>
      </c>
      <c r="P52" s="28" t="b">
        <v>0</v>
      </c>
      <c r="Q52" s="28" t="b">
        <v>0</v>
      </c>
      <c r="R52" s="28" t="b">
        <v>0</v>
      </c>
      <c r="S52" s="28" t="b">
        <v>0</v>
      </c>
      <c r="T52" s="28" t="b">
        <v>0</v>
      </c>
      <c r="U52" s="28" t="b">
        <v>0</v>
      </c>
      <c r="V52" s="28" t="b">
        <v>0</v>
      </c>
      <c r="W52" s="28" t="b">
        <v>0</v>
      </c>
    </row>
    <row r="53" ht="69" customHeight="1" s="222">
      <c r="A53" s="28">
        <f>Accounts!A51</f>
        <v/>
      </c>
      <c r="B53" s="28" t="b">
        <v>0</v>
      </c>
      <c r="C53" s="176">
        <f>Accounts!T51</f>
        <v/>
      </c>
      <c r="D53" s="174" t="n"/>
      <c r="E53" s="174" t="n"/>
      <c r="F53" s="176">
        <f>Accounts!F48</f>
        <v/>
      </c>
      <c r="G53" s="174">
        <f>Accounts!O48</f>
        <v/>
      </c>
      <c r="H53" s="174">
        <f>Accounts!P48</f>
        <v/>
      </c>
      <c r="I53" s="174">
        <f>Accounts!H48</f>
        <v/>
      </c>
      <c r="J53" s="174">
        <f>Accounts!I48</f>
        <v/>
      </c>
      <c r="K53" s="176">
        <f>#REF!</f>
        <v/>
      </c>
      <c r="L53" s="173" t="inlineStr">
        <is>
          <t xml:space="preserve">Left detailed voicemail </t>
        </is>
      </c>
      <c r="M53" s="9" t="n"/>
      <c r="N53" s="28" t="b">
        <v>1</v>
      </c>
      <c r="O53" s="172" t="b">
        <v>1</v>
      </c>
      <c r="P53" s="28" t="b">
        <v>0</v>
      </c>
      <c r="Q53" s="28" t="b">
        <v>1</v>
      </c>
      <c r="R53" s="28" t="b">
        <v>0</v>
      </c>
      <c r="S53" s="28" t="b">
        <v>0</v>
      </c>
      <c r="T53" s="28" t="b">
        <v>0</v>
      </c>
      <c r="U53" s="28" t="b">
        <v>0</v>
      </c>
      <c r="V53" s="28" t="b">
        <v>0</v>
      </c>
      <c r="W53" s="28" t="b">
        <v>0</v>
      </c>
    </row>
    <row r="54" ht="69" customHeight="1" s="222">
      <c r="A54" s="28">
        <f>Accounts!A52</f>
        <v/>
      </c>
      <c r="B54" s="28" t="b">
        <v>1</v>
      </c>
      <c r="C54" s="176">
        <f>Accounts!T52</f>
        <v/>
      </c>
      <c r="D54" s="174" t="n"/>
      <c r="E54" s="174" t="n"/>
      <c r="F54" s="176">
        <f>Accounts!F49</f>
        <v/>
      </c>
      <c r="G54" s="174">
        <f>Accounts!O49</f>
        <v/>
      </c>
      <c r="H54" s="174">
        <f>Accounts!P49</f>
        <v/>
      </c>
      <c r="I54" s="174">
        <f>Accounts!H49</f>
        <v/>
      </c>
      <c r="J54" s="174">
        <f>Accounts!I49</f>
        <v/>
      </c>
      <c r="K54" s="176">
        <f>#REF!</f>
        <v/>
      </c>
      <c r="L54" s="173" t="n"/>
      <c r="M54" s="9" t="n"/>
      <c r="N54" s="28" t="b">
        <v>1</v>
      </c>
      <c r="O54" s="172" t="b">
        <v>0</v>
      </c>
      <c r="P54" s="28" t="b">
        <v>1</v>
      </c>
      <c r="Q54" s="28" t="b">
        <v>1</v>
      </c>
      <c r="R54" s="28" t="b">
        <v>0</v>
      </c>
      <c r="S54" s="28" t="b">
        <v>0</v>
      </c>
      <c r="T54" s="28" t="b">
        <v>0</v>
      </c>
      <c r="U54" s="28" t="b">
        <v>0</v>
      </c>
      <c r="V54" s="28" t="b">
        <v>0</v>
      </c>
      <c r="W54" s="28" t="b">
        <v>0</v>
      </c>
    </row>
    <row r="55" ht="69" customHeight="1" s="222">
      <c r="A55" s="28">
        <f>Accounts!A53</f>
        <v/>
      </c>
      <c r="B55" s="28" t="b">
        <v>1</v>
      </c>
      <c r="C55" s="176">
        <f>Accounts!T53</f>
        <v/>
      </c>
      <c r="D55" s="174" t="n"/>
      <c r="E55" s="174" t="n"/>
      <c r="F55" s="176">
        <f>Accounts!F50</f>
        <v/>
      </c>
      <c r="G55" s="174">
        <f>Accounts!O50</f>
        <v/>
      </c>
      <c r="H55" s="174">
        <f>Accounts!P50</f>
        <v/>
      </c>
      <c r="I55" s="174">
        <f>Accounts!H50</f>
        <v/>
      </c>
      <c r="J55" s="174">
        <f>Accounts!I50</f>
        <v/>
      </c>
      <c r="K55" s="176">
        <f>#REF!</f>
        <v/>
      </c>
      <c r="L55" s="173" t="n"/>
      <c r="M55" s="9" t="n"/>
      <c r="N55" s="28" t="b">
        <v>1</v>
      </c>
      <c r="O55" s="172" t="b">
        <v>0</v>
      </c>
      <c r="P55" s="28" t="b">
        <v>0</v>
      </c>
      <c r="Q55" s="28" t="b">
        <v>0</v>
      </c>
      <c r="R55" s="28" t="b">
        <v>0</v>
      </c>
      <c r="S55" s="28" t="b">
        <v>0</v>
      </c>
      <c r="T55" s="28" t="b">
        <v>0</v>
      </c>
      <c r="U55" s="28" t="b">
        <v>0</v>
      </c>
      <c r="V55" s="28" t="b">
        <v>0</v>
      </c>
      <c r="W55" s="28" t="b">
        <v>0</v>
      </c>
    </row>
    <row r="56" ht="69" customHeight="1" s="222">
      <c r="A56" s="28">
        <f>Accounts!A54</f>
        <v/>
      </c>
      <c r="B56" s="28" t="b">
        <v>0</v>
      </c>
      <c r="C56" s="176">
        <f>Accounts!T54</f>
        <v/>
      </c>
      <c r="D56" s="174" t="n"/>
      <c r="E56" s="174" t="n"/>
      <c r="F56" s="176">
        <f>Accounts!F51</f>
        <v/>
      </c>
      <c r="G56" s="174">
        <f>Accounts!O51</f>
        <v/>
      </c>
      <c r="H56" s="174">
        <f>Accounts!P51</f>
        <v/>
      </c>
      <c r="I56" s="174">
        <f>Accounts!H51</f>
        <v/>
      </c>
      <c r="J56" s="174">
        <f>Accounts!I51</f>
        <v/>
      </c>
      <c r="K56" s="176">
        <f>#REF!</f>
        <v/>
      </c>
      <c r="L56" s="173" t="inlineStr">
        <is>
          <t>Called and left a voicemail</t>
        </is>
      </c>
      <c r="M56" s="9" t="n"/>
      <c r="N56" s="28" t="b">
        <v>0</v>
      </c>
      <c r="O56" s="172" t="b">
        <v>1</v>
      </c>
      <c r="P56" s="28" t="b">
        <v>1</v>
      </c>
      <c r="Q56" s="28" t="b">
        <v>0</v>
      </c>
      <c r="R56" s="28" t="b">
        <v>0</v>
      </c>
      <c r="S56" s="28" t="b">
        <v>0</v>
      </c>
      <c r="T56" s="28" t="b">
        <v>0</v>
      </c>
      <c r="U56" s="28" t="b">
        <v>0</v>
      </c>
      <c r="V56" s="28" t="b">
        <v>0</v>
      </c>
      <c r="W56" s="28" t="b">
        <v>0</v>
      </c>
    </row>
    <row r="57" ht="69" customHeight="1" s="222">
      <c r="A57" s="28">
        <f>Accounts!A55</f>
        <v/>
      </c>
      <c r="B57" s="28" t="b">
        <v>0</v>
      </c>
      <c r="C57" s="176">
        <f>Accounts!T55</f>
        <v/>
      </c>
      <c r="D57" s="174" t="n"/>
      <c r="E57" s="174" t="n"/>
      <c r="F57" s="176">
        <f>Accounts!F52</f>
        <v/>
      </c>
      <c r="G57" s="174">
        <f>Accounts!O52</f>
        <v/>
      </c>
      <c r="H57" s="174">
        <f>Accounts!P52</f>
        <v/>
      </c>
      <c r="I57" s="174">
        <f>Accounts!H52</f>
        <v/>
      </c>
      <c r="J57" s="174">
        <f>Accounts!I52</f>
        <v/>
      </c>
      <c r="K57" s="176">
        <f>#REF!</f>
        <v/>
      </c>
      <c r="L57" s="173" t="n"/>
      <c r="M57" s="9" t="n"/>
      <c r="N57" s="28" t="b">
        <v>0</v>
      </c>
      <c r="O57" s="172" t="b">
        <v>0</v>
      </c>
      <c r="P57" s="28" t="b">
        <v>0</v>
      </c>
      <c r="Q57" s="28" t="b">
        <v>0</v>
      </c>
      <c r="R57" s="28" t="b">
        <v>0</v>
      </c>
      <c r="S57" s="28" t="b">
        <v>0</v>
      </c>
      <c r="T57" s="28" t="b">
        <v>0</v>
      </c>
      <c r="U57" s="28" t="b">
        <v>0</v>
      </c>
      <c r="V57" s="28" t="b">
        <v>0</v>
      </c>
      <c r="W57" s="28" t="b">
        <v>0</v>
      </c>
    </row>
    <row r="58" ht="69" customHeight="1" s="222">
      <c r="A58" s="28">
        <f>Accounts!A56</f>
        <v/>
      </c>
      <c r="B58" s="28" t="b">
        <v>0</v>
      </c>
      <c r="C58" s="176">
        <f>Accounts!T56</f>
        <v/>
      </c>
      <c r="D58" s="174" t="n"/>
      <c r="E58" s="174" t="n"/>
      <c r="F58" s="176">
        <f>Accounts!F53</f>
        <v/>
      </c>
      <c r="G58" s="174">
        <f>Accounts!O53</f>
        <v/>
      </c>
      <c r="H58" s="174">
        <f>Accounts!P53</f>
        <v/>
      </c>
      <c r="I58" s="174">
        <f>Accounts!H53</f>
        <v/>
      </c>
      <c r="J58" s="174">
        <f>Accounts!I53</f>
        <v/>
      </c>
      <c r="K58" s="176">
        <f>#REF!</f>
        <v/>
      </c>
      <c r="L58" s="173" t="n"/>
      <c r="M58" s="9" t="n"/>
      <c r="N58" s="28" t="b">
        <v>0</v>
      </c>
      <c r="O58" s="172" t="b">
        <v>0</v>
      </c>
      <c r="P58" s="28" t="b">
        <v>0</v>
      </c>
      <c r="Q58" s="28" t="b">
        <v>0</v>
      </c>
      <c r="R58" s="28" t="b">
        <v>0</v>
      </c>
      <c r="S58" s="28" t="b">
        <v>0</v>
      </c>
      <c r="T58" s="28" t="b">
        <v>0</v>
      </c>
      <c r="U58" s="28" t="b">
        <v>0</v>
      </c>
      <c r="V58" s="28" t="b">
        <v>0</v>
      </c>
      <c r="W58" s="28" t="b">
        <v>0</v>
      </c>
    </row>
    <row r="59" ht="69" customHeight="1" s="222">
      <c r="A59" s="74">
        <f>Accounts!A57</f>
        <v/>
      </c>
      <c r="B59" s="28" t="b">
        <v>0</v>
      </c>
      <c r="C59" s="176">
        <f>Accounts!T57</f>
        <v/>
      </c>
      <c r="D59" s="174" t="n"/>
      <c r="E59" s="174" t="n"/>
      <c r="F59" s="176">
        <f>Accounts!F54</f>
        <v/>
      </c>
      <c r="G59" s="174">
        <f>Accounts!O54</f>
        <v/>
      </c>
      <c r="H59" s="174">
        <f>Accounts!P54</f>
        <v/>
      </c>
      <c r="I59" s="174">
        <f>Accounts!H54</f>
        <v/>
      </c>
      <c r="J59" s="174">
        <f>Accounts!I54</f>
        <v/>
      </c>
      <c r="K59" s="176">
        <f>#REF!</f>
        <v/>
      </c>
      <c r="L59" s="173" t="inlineStr">
        <is>
          <t>Told me to call back in a couple of hours</t>
        </is>
      </c>
      <c r="M59" s="9" t="n"/>
      <c r="N59" s="28" t="b">
        <v>0</v>
      </c>
      <c r="O59" s="172" t="b">
        <v>1</v>
      </c>
      <c r="P59" s="28" t="b">
        <v>0</v>
      </c>
      <c r="Q59" s="28" t="b">
        <v>0</v>
      </c>
      <c r="R59" s="28" t="b">
        <v>0</v>
      </c>
      <c r="S59" s="28" t="b">
        <v>0</v>
      </c>
      <c r="T59" s="28" t="b">
        <v>0</v>
      </c>
      <c r="U59" s="28" t="b">
        <v>0</v>
      </c>
      <c r="V59" s="28" t="b">
        <v>0</v>
      </c>
      <c r="W59" s="28" t="b">
        <v>0</v>
      </c>
    </row>
    <row r="60" ht="69" customHeight="1" s="222">
      <c r="A60" s="74">
        <f>Accounts!A58</f>
        <v/>
      </c>
      <c r="B60" s="28" t="b">
        <v>0</v>
      </c>
      <c r="C60" s="176" t="inlineStr">
        <is>
          <t>Ursula Vanderwest</t>
        </is>
      </c>
      <c r="D60" s="174" t="n"/>
      <c r="E60" s="174" t="n"/>
      <c r="F60" s="176">
        <f>Accounts!F55</f>
        <v/>
      </c>
      <c r="G60" s="174">
        <f>Accounts!O55</f>
        <v/>
      </c>
      <c r="H60" s="174">
        <f>Accounts!P55</f>
        <v/>
      </c>
      <c r="I60" s="174">
        <f>Accounts!H55</f>
        <v/>
      </c>
      <c r="J60" s="174">
        <f>Accounts!I55</f>
        <v/>
      </c>
      <c r="K60" s="176">
        <f>#REF!</f>
        <v/>
      </c>
      <c r="L60" s="173" t="inlineStr">
        <is>
          <t>Ursula.vanderwest@marriott.com Bethany gave me contact, they currently dont have a general manager sent an email</t>
        </is>
      </c>
      <c r="M60" s="9" t="n"/>
      <c r="N60" s="28" t="b">
        <v>0</v>
      </c>
      <c r="O60" s="172" t="b">
        <v>0</v>
      </c>
      <c r="P60" s="28" t="b">
        <v>0</v>
      </c>
      <c r="Q60" s="28" t="b">
        <v>0</v>
      </c>
      <c r="R60" s="28" t="b">
        <v>0</v>
      </c>
      <c r="S60" s="28" t="b">
        <v>0</v>
      </c>
      <c r="T60" s="28" t="b">
        <v>0</v>
      </c>
      <c r="U60" s="28" t="b">
        <v>0</v>
      </c>
      <c r="V60" s="28" t="b">
        <v>0</v>
      </c>
      <c r="W60" s="28" t="b">
        <v>0</v>
      </c>
    </row>
    <row r="61" ht="69" customHeight="1" s="222">
      <c r="A61" s="164">
        <f>Accounts!A59</f>
        <v/>
      </c>
      <c r="B61" s="28" t="b">
        <v>0</v>
      </c>
      <c r="C61" s="176">
        <f>Accounts!T59</f>
        <v/>
      </c>
      <c r="D61" s="174" t="n"/>
      <c r="E61" s="174" t="n"/>
      <c r="F61" s="176">
        <f>Accounts!F56</f>
        <v/>
      </c>
      <c r="G61" s="174">
        <f>Accounts!O56</f>
        <v/>
      </c>
      <c r="H61" s="174">
        <f>Accounts!P56</f>
        <v/>
      </c>
      <c r="I61" s="174">
        <f>Accounts!H56</f>
        <v/>
      </c>
      <c r="J61" s="174">
        <f>Accounts!I56</f>
        <v/>
      </c>
      <c r="K61" s="176">
        <f>#REF!</f>
        <v/>
      </c>
      <c r="L61" s="173" t="n"/>
      <c r="M61" s="9" t="n"/>
      <c r="N61" s="28" t="b">
        <v>0</v>
      </c>
      <c r="O61" s="172" t="b">
        <v>0</v>
      </c>
      <c r="P61" s="28" t="b">
        <v>0</v>
      </c>
      <c r="Q61" s="28" t="b">
        <v>0</v>
      </c>
      <c r="R61" s="28" t="b">
        <v>0</v>
      </c>
      <c r="S61" s="28" t="b">
        <v>0</v>
      </c>
      <c r="T61" s="28" t="b">
        <v>0</v>
      </c>
      <c r="U61" s="28" t="b">
        <v>0</v>
      </c>
      <c r="V61" s="28" t="b">
        <v>0</v>
      </c>
      <c r="W61" s="28" t="b">
        <v>0</v>
      </c>
    </row>
    <row r="62" ht="69" customHeight="1" s="222">
      <c r="A62" s="164">
        <f>Accounts!A60</f>
        <v/>
      </c>
      <c r="B62" s="28" t="b">
        <v>0</v>
      </c>
      <c r="C62" s="176">
        <f>Accounts!T60</f>
        <v/>
      </c>
      <c r="D62" s="174" t="n"/>
      <c r="E62" s="174" t="n"/>
      <c r="F62" s="176">
        <f>Accounts!F57</f>
        <v/>
      </c>
      <c r="G62" s="174">
        <f>Accounts!O57</f>
        <v/>
      </c>
      <c r="H62" s="174">
        <f>Accounts!P57</f>
        <v/>
      </c>
      <c r="I62" s="174">
        <f>Accounts!H57</f>
        <v/>
      </c>
      <c r="J62" s="174">
        <f>Accounts!I57</f>
        <v/>
      </c>
      <c r="K62" s="176">
        <f>#REF!</f>
        <v/>
      </c>
      <c r="L62" s="173" t="n"/>
      <c r="M62" s="9" t="n"/>
      <c r="N62" s="28" t="b">
        <v>0</v>
      </c>
      <c r="O62" s="172" t="b">
        <v>0</v>
      </c>
      <c r="P62" s="28" t="b">
        <v>0</v>
      </c>
      <c r="Q62" s="28" t="b">
        <v>0</v>
      </c>
      <c r="R62" s="28" t="b">
        <v>0</v>
      </c>
      <c r="S62" s="28" t="b">
        <v>0</v>
      </c>
      <c r="T62" s="28" t="b">
        <v>0</v>
      </c>
      <c r="U62" s="28" t="b">
        <v>0</v>
      </c>
      <c r="V62" s="28" t="b">
        <v>0</v>
      </c>
      <c r="W62" s="28" t="b">
        <v>0</v>
      </c>
    </row>
    <row r="63" ht="69" customHeight="1" s="222">
      <c r="A63" s="164">
        <f>Accounts!A61</f>
        <v/>
      </c>
      <c r="B63" s="28" t="b">
        <v>0</v>
      </c>
      <c r="C63" s="176">
        <f>Accounts!T61</f>
        <v/>
      </c>
      <c r="D63" s="174" t="n"/>
      <c r="E63" s="174" t="n"/>
      <c r="F63" s="176">
        <f>Accounts!F58</f>
        <v/>
      </c>
      <c r="G63" s="174">
        <f>Accounts!O58</f>
        <v/>
      </c>
      <c r="H63" s="174">
        <f>Accounts!P58</f>
        <v/>
      </c>
      <c r="I63" s="174">
        <f>Accounts!H58</f>
        <v/>
      </c>
      <c r="J63" s="174">
        <f>Accounts!I58</f>
        <v/>
      </c>
      <c r="K63" s="176">
        <f>#REF!</f>
        <v/>
      </c>
      <c r="L63" s="173" t="n"/>
      <c r="M63" s="9" t="n"/>
      <c r="N63" s="28" t="b">
        <v>0</v>
      </c>
      <c r="O63" s="172" t="b">
        <v>0</v>
      </c>
      <c r="P63" s="28" t="b">
        <v>0</v>
      </c>
      <c r="Q63" s="28" t="b">
        <v>0</v>
      </c>
      <c r="R63" s="28" t="b">
        <v>0</v>
      </c>
      <c r="S63" s="28" t="b">
        <v>0</v>
      </c>
      <c r="T63" s="28" t="b">
        <v>0</v>
      </c>
      <c r="U63" s="28" t="b">
        <v>0</v>
      </c>
      <c r="V63" s="28" t="b">
        <v>0</v>
      </c>
      <c r="W63" s="28" t="b">
        <v>0</v>
      </c>
    </row>
    <row r="64" ht="69" customHeight="1" s="222">
      <c r="A64" s="164">
        <f>Accounts!A62</f>
        <v/>
      </c>
      <c r="B64" s="28" t="b">
        <v>0</v>
      </c>
      <c r="C64" s="176">
        <f>Accounts!T62</f>
        <v/>
      </c>
      <c r="D64" s="174" t="n"/>
      <c r="E64" s="174" t="n"/>
      <c r="F64" s="176">
        <f>Accounts!F59</f>
        <v/>
      </c>
      <c r="G64" s="174">
        <f>Accounts!O59</f>
        <v/>
      </c>
      <c r="H64" s="174">
        <f>Accounts!P59</f>
        <v/>
      </c>
      <c r="I64" s="174">
        <f>Accounts!H59</f>
        <v/>
      </c>
      <c r="J64" s="174">
        <f>Accounts!I59</f>
        <v/>
      </c>
      <c r="K64" s="176">
        <f>#REF!</f>
        <v/>
      </c>
      <c r="L64" s="173" t="n"/>
      <c r="M64" s="9" t="n"/>
      <c r="N64" s="28" t="b">
        <v>0</v>
      </c>
      <c r="O64" s="172" t="b">
        <v>0</v>
      </c>
      <c r="P64" s="28" t="b">
        <v>0</v>
      </c>
      <c r="Q64" s="28" t="b">
        <v>0</v>
      </c>
      <c r="R64" s="28" t="b">
        <v>0</v>
      </c>
      <c r="S64" s="28" t="b">
        <v>0</v>
      </c>
      <c r="T64" s="28" t="b">
        <v>0</v>
      </c>
      <c r="U64" s="28" t="b">
        <v>0</v>
      </c>
      <c r="V64" s="28" t="b">
        <v>0</v>
      </c>
      <c r="W64" s="28" t="b">
        <v>0</v>
      </c>
    </row>
    <row r="65" ht="69" customHeight="1" s="222">
      <c r="A65" s="164">
        <f>Accounts!A63</f>
        <v/>
      </c>
      <c r="B65" s="28" t="b">
        <v>0</v>
      </c>
      <c r="C65" s="176">
        <f>Accounts!T63</f>
        <v/>
      </c>
      <c r="D65" s="174" t="n"/>
      <c r="E65" s="174" t="n"/>
      <c r="F65" s="176">
        <f>Accounts!F60</f>
        <v/>
      </c>
      <c r="G65" s="174">
        <f>Accounts!O60</f>
        <v/>
      </c>
      <c r="H65" s="174">
        <f>Accounts!P60</f>
        <v/>
      </c>
      <c r="I65" s="174">
        <f>Accounts!H60</f>
        <v/>
      </c>
      <c r="J65" s="174">
        <f>Accounts!I60</f>
        <v/>
      </c>
      <c r="K65" s="176">
        <f>#REF!</f>
        <v/>
      </c>
      <c r="L65" s="173" t="n"/>
      <c r="M65" s="9" t="n"/>
      <c r="N65" s="28" t="b">
        <v>0</v>
      </c>
      <c r="O65" s="172" t="b">
        <v>0</v>
      </c>
      <c r="P65" s="28" t="b">
        <v>0</v>
      </c>
      <c r="Q65" s="28" t="b">
        <v>0</v>
      </c>
      <c r="R65" s="28" t="b">
        <v>0</v>
      </c>
      <c r="S65" s="28" t="b">
        <v>0</v>
      </c>
      <c r="T65" s="28" t="b">
        <v>0</v>
      </c>
      <c r="U65" s="28" t="b">
        <v>0</v>
      </c>
      <c r="V65" s="28" t="b">
        <v>0</v>
      </c>
      <c r="W65" s="28" t="b">
        <v>0</v>
      </c>
    </row>
    <row r="66" ht="69" customHeight="1" s="222">
      <c r="A66" s="164">
        <f>Accounts!A64</f>
        <v/>
      </c>
      <c r="B66" s="28" t="b">
        <v>0</v>
      </c>
      <c r="C66" s="176">
        <f>Accounts!T64</f>
        <v/>
      </c>
      <c r="D66" s="174" t="n"/>
      <c r="E66" s="174" t="n"/>
      <c r="F66" s="170">
        <f>Accounts!F61</f>
        <v/>
      </c>
      <c r="G66" s="174">
        <f>Accounts!O61</f>
        <v/>
      </c>
      <c r="H66" s="174">
        <f>Accounts!P61</f>
        <v/>
      </c>
      <c r="I66" s="174">
        <f>Accounts!H61</f>
        <v/>
      </c>
      <c r="J66" s="174">
        <f>Accounts!I61</f>
        <v/>
      </c>
      <c r="K66" s="176">
        <f>#REF!</f>
        <v/>
      </c>
      <c r="L66" s="173" t="n"/>
      <c r="M66" s="9" t="n"/>
      <c r="N66" s="28" t="b">
        <v>0</v>
      </c>
      <c r="O66" s="172" t="b">
        <v>0</v>
      </c>
      <c r="P66" s="28" t="b">
        <v>0</v>
      </c>
      <c r="Q66" s="28" t="b">
        <v>0</v>
      </c>
      <c r="R66" s="28" t="b">
        <v>0</v>
      </c>
      <c r="S66" s="28" t="b">
        <v>0</v>
      </c>
      <c r="T66" s="28" t="b">
        <v>0</v>
      </c>
      <c r="U66" s="28" t="b">
        <v>0</v>
      </c>
      <c r="V66" s="28" t="b">
        <v>0</v>
      </c>
      <c r="W66" s="28" t="b">
        <v>0</v>
      </c>
    </row>
    <row r="67" ht="69" customHeight="1" s="222">
      <c r="A67" s="164">
        <f>Accounts!A65</f>
        <v/>
      </c>
      <c r="B67" s="28" t="b">
        <v>0</v>
      </c>
      <c r="C67" s="176">
        <f>Accounts!T65</f>
        <v/>
      </c>
      <c r="D67" s="174" t="n"/>
      <c r="E67" s="174" t="n"/>
      <c r="F67" s="176">
        <f>Accounts!F62</f>
        <v/>
      </c>
      <c r="G67" s="174">
        <f>Accounts!O62</f>
        <v/>
      </c>
      <c r="H67" s="174">
        <f>Accounts!P62</f>
        <v/>
      </c>
      <c r="I67" s="174">
        <f>Accounts!H62</f>
        <v/>
      </c>
      <c r="J67" s="174">
        <f>Accounts!I62</f>
        <v/>
      </c>
      <c r="K67" s="176">
        <f>#REF!</f>
        <v/>
      </c>
      <c r="L67" s="173" t="n"/>
      <c r="M67" s="9" t="n"/>
      <c r="N67" s="28" t="b">
        <v>0</v>
      </c>
      <c r="O67" s="172" t="b">
        <v>0</v>
      </c>
      <c r="P67" s="28" t="b">
        <v>0</v>
      </c>
      <c r="Q67" s="28" t="b">
        <v>0</v>
      </c>
      <c r="R67" s="28" t="b">
        <v>0</v>
      </c>
      <c r="S67" s="28" t="b">
        <v>0</v>
      </c>
      <c r="T67" s="28" t="b">
        <v>0</v>
      </c>
      <c r="U67" s="28" t="b">
        <v>0</v>
      </c>
      <c r="V67" s="28" t="b">
        <v>0</v>
      </c>
      <c r="W67" s="28" t="b">
        <v>0</v>
      </c>
    </row>
    <row r="68" ht="69" customHeight="1" s="222">
      <c r="A68" s="164">
        <f>#REF!</f>
        <v/>
      </c>
      <c r="B68" s="28" t="b">
        <v>0</v>
      </c>
      <c r="C68" s="176">
        <f>#REF!</f>
        <v/>
      </c>
      <c r="D68" s="174" t="n"/>
      <c r="E68" s="174" t="n"/>
      <c r="F68" s="176">
        <f>Accounts!F63</f>
        <v/>
      </c>
      <c r="G68" s="174">
        <f>Accounts!O63</f>
        <v/>
      </c>
      <c r="H68" s="174">
        <f>Accounts!P63</f>
        <v/>
      </c>
      <c r="I68" s="174">
        <f>Accounts!H63</f>
        <v/>
      </c>
      <c r="J68" s="174">
        <f>Accounts!I63</f>
        <v/>
      </c>
      <c r="K68" s="176">
        <f>#REF!</f>
        <v/>
      </c>
      <c r="L68" s="173" t="n"/>
      <c r="M68" s="9" t="n"/>
      <c r="N68" s="28" t="b">
        <v>0</v>
      </c>
      <c r="O68" s="172" t="b">
        <v>0</v>
      </c>
      <c r="P68" s="28" t="b">
        <v>0</v>
      </c>
      <c r="Q68" s="28" t="b">
        <v>0</v>
      </c>
      <c r="R68" s="28" t="b">
        <v>0</v>
      </c>
      <c r="S68" s="28" t="b">
        <v>0</v>
      </c>
      <c r="T68" s="28" t="b">
        <v>0</v>
      </c>
      <c r="U68" s="28" t="b">
        <v>0</v>
      </c>
      <c r="V68" s="28" t="b">
        <v>0</v>
      </c>
      <c r="W68" s="28" t="b">
        <v>0</v>
      </c>
    </row>
    <row r="69" ht="69" customHeight="1" s="222">
      <c r="A69" s="164">
        <f>Accounts!A66</f>
        <v/>
      </c>
      <c r="B69" s="28" t="b">
        <v>0</v>
      </c>
      <c r="C69" s="176">
        <f>Accounts!T66</f>
        <v/>
      </c>
      <c r="D69" s="174" t="n"/>
      <c r="E69" s="174" t="n"/>
      <c r="F69" s="176">
        <f>Accounts!F64</f>
        <v/>
      </c>
      <c r="G69" s="174">
        <f>Accounts!O64</f>
        <v/>
      </c>
      <c r="H69" s="174">
        <f>Accounts!P64</f>
        <v/>
      </c>
      <c r="I69" s="174">
        <f>Accounts!H64</f>
        <v/>
      </c>
      <c r="J69" s="174">
        <f>Accounts!I64</f>
        <v/>
      </c>
      <c r="K69" s="176">
        <f>#REF!</f>
        <v/>
      </c>
      <c r="L69" s="173" t="n"/>
      <c r="M69" s="9" t="n"/>
      <c r="N69" s="28" t="b">
        <v>0</v>
      </c>
      <c r="O69" s="172" t="b">
        <v>0</v>
      </c>
      <c r="P69" s="28" t="b">
        <v>0</v>
      </c>
      <c r="Q69" s="28" t="b">
        <v>0</v>
      </c>
      <c r="R69" s="28" t="b">
        <v>0</v>
      </c>
      <c r="S69" s="28" t="b">
        <v>0</v>
      </c>
      <c r="T69" s="28" t="b">
        <v>0</v>
      </c>
      <c r="U69" s="28" t="b">
        <v>0</v>
      </c>
      <c r="V69" s="28" t="b">
        <v>0</v>
      </c>
      <c r="W69" s="28" t="b">
        <v>0</v>
      </c>
    </row>
    <row r="70" ht="69" customHeight="1" s="222">
      <c r="A70" s="164">
        <f>Accounts!A67</f>
        <v/>
      </c>
      <c r="B70" s="28" t="b">
        <v>0</v>
      </c>
      <c r="C70" s="176">
        <f>Accounts!T67</f>
        <v/>
      </c>
      <c r="D70" s="174" t="n"/>
      <c r="E70" s="174" t="n"/>
      <c r="F70" s="176">
        <f>Accounts!F65</f>
        <v/>
      </c>
      <c r="G70" s="174">
        <f>Accounts!O65</f>
        <v/>
      </c>
      <c r="H70" s="174">
        <f>Accounts!P65</f>
        <v/>
      </c>
      <c r="I70" s="174">
        <f>Accounts!H65</f>
        <v/>
      </c>
      <c r="J70" s="174">
        <f>Accounts!I65</f>
        <v/>
      </c>
      <c r="K70" s="176">
        <f>#REF!</f>
        <v/>
      </c>
      <c r="L70" s="173" t="n"/>
      <c r="M70" s="9" t="n"/>
      <c r="N70" s="28" t="b">
        <v>0</v>
      </c>
      <c r="O70" s="172" t="b">
        <v>0</v>
      </c>
      <c r="P70" s="28" t="b">
        <v>0</v>
      </c>
      <c r="Q70" s="28" t="b">
        <v>0</v>
      </c>
      <c r="R70" s="28" t="b">
        <v>0</v>
      </c>
      <c r="S70" s="28" t="b">
        <v>0</v>
      </c>
      <c r="T70" s="28" t="b">
        <v>0</v>
      </c>
      <c r="U70" s="28" t="b">
        <v>0</v>
      </c>
      <c r="V70" s="28" t="b">
        <v>0</v>
      </c>
      <c r="W70" s="28" t="b">
        <v>0</v>
      </c>
    </row>
    <row r="71" ht="69" customHeight="1" s="222">
      <c r="A71" s="164">
        <f>Accounts!A68</f>
        <v/>
      </c>
      <c r="B71" s="28" t="b">
        <v>0</v>
      </c>
      <c r="C71" s="176">
        <f>Accounts!T68</f>
        <v/>
      </c>
      <c r="D71" s="174" t="n"/>
      <c r="E71" s="174" t="n"/>
      <c r="F71" s="176">
        <f>#REF!</f>
        <v/>
      </c>
      <c r="G71" s="174">
        <f>#REF!</f>
        <v/>
      </c>
      <c r="H71" s="174">
        <f>#REF!</f>
        <v/>
      </c>
      <c r="I71" s="174">
        <f>#REF!</f>
        <v/>
      </c>
      <c r="J71" s="174">
        <f>#REF!</f>
        <v/>
      </c>
      <c r="K71" s="176">
        <f>#REF!</f>
        <v/>
      </c>
      <c r="L71" s="173" t="n"/>
      <c r="M71" s="9" t="n"/>
      <c r="N71" s="28" t="b">
        <v>0</v>
      </c>
      <c r="O71" s="172" t="b">
        <v>0</v>
      </c>
      <c r="P71" s="28" t="b">
        <v>0</v>
      </c>
      <c r="Q71" s="28" t="b">
        <v>0</v>
      </c>
      <c r="R71" s="28" t="b">
        <v>0</v>
      </c>
      <c r="S71" s="28" t="b">
        <v>0</v>
      </c>
      <c r="T71" s="28" t="b">
        <v>0</v>
      </c>
      <c r="U71" s="28" t="b">
        <v>0</v>
      </c>
      <c r="V71" s="28" t="b">
        <v>0</v>
      </c>
      <c r="W71" s="28" t="b">
        <v>0</v>
      </c>
    </row>
    <row r="72" ht="69" customHeight="1" s="222">
      <c r="A72" s="164">
        <f>Accounts!A69</f>
        <v/>
      </c>
      <c r="B72" s="28" t="b">
        <v>0</v>
      </c>
      <c r="C72" s="176">
        <f>Accounts!T69</f>
        <v/>
      </c>
      <c r="D72" s="174" t="n"/>
      <c r="E72" s="174" t="n"/>
      <c r="F72" s="176">
        <f>Accounts!F66</f>
        <v/>
      </c>
      <c r="G72" s="174">
        <f>Accounts!O66</f>
        <v/>
      </c>
      <c r="H72" s="174">
        <f>Accounts!P66</f>
        <v/>
      </c>
      <c r="I72" s="174">
        <f>Accounts!H66</f>
        <v/>
      </c>
      <c r="J72" s="174">
        <f>Accounts!I66</f>
        <v/>
      </c>
      <c r="K72" s="176">
        <f>#REF!</f>
        <v/>
      </c>
      <c r="L72" s="173" t="n"/>
      <c r="M72" s="9" t="n"/>
      <c r="N72" s="28" t="b">
        <v>0</v>
      </c>
      <c r="O72" s="172" t="b">
        <v>0</v>
      </c>
      <c r="P72" s="28" t="b">
        <v>0</v>
      </c>
      <c r="Q72" s="28" t="b">
        <v>0</v>
      </c>
      <c r="R72" s="28" t="b">
        <v>0</v>
      </c>
      <c r="S72" s="28" t="b">
        <v>0</v>
      </c>
      <c r="T72" s="28" t="b">
        <v>0</v>
      </c>
      <c r="U72" s="28" t="b">
        <v>0</v>
      </c>
      <c r="V72" s="28" t="b">
        <v>0</v>
      </c>
      <c r="W72" s="28" t="b">
        <v>0</v>
      </c>
    </row>
    <row r="73" ht="69" customHeight="1" s="222">
      <c r="A73" s="164">
        <f>Accounts!A70</f>
        <v/>
      </c>
      <c r="B73" s="28" t="b">
        <v>0</v>
      </c>
      <c r="C73" s="176">
        <f>Accounts!T70</f>
        <v/>
      </c>
      <c r="D73" s="174" t="n"/>
      <c r="E73" s="174" t="n"/>
      <c r="F73" s="176">
        <f>Accounts!F67</f>
        <v/>
      </c>
      <c r="G73" s="174">
        <f>Accounts!O67</f>
        <v/>
      </c>
      <c r="H73" s="174">
        <f>Accounts!P67</f>
        <v/>
      </c>
      <c r="I73" s="174">
        <f>Accounts!H67</f>
        <v/>
      </c>
      <c r="J73" s="174">
        <f>Accounts!I67</f>
        <v/>
      </c>
      <c r="K73" s="176">
        <f>#REF!</f>
        <v/>
      </c>
      <c r="L73" s="173" t="n"/>
      <c r="M73" s="9" t="n"/>
      <c r="N73" s="28" t="b">
        <v>0</v>
      </c>
      <c r="O73" s="172" t="b">
        <v>0</v>
      </c>
      <c r="P73" s="28" t="b">
        <v>0</v>
      </c>
      <c r="Q73" s="28" t="b">
        <v>0</v>
      </c>
      <c r="R73" s="28" t="b">
        <v>0</v>
      </c>
      <c r="S73" s="28" t="b">
        <v>0</v>
      </c>
      <c r="T73" s="28" t="b">
        <v>0</v>
      </c>
      <c r="U73" s="28" t="b">
        <v>0</v>
      </c>
      <c r="V73" s="28" t="b">
        <v>0</v>
      </c>
      <c r="W73" s="28" t="b">
        <v>0</v>
      </c>
    </row>
    <row r="74" ht="69" customHeight="1" s="222">
      <c r="A74" s="164">
        <f>Accounts!A71</f>
        <v/>
      </c>
      <c r="B74" s="145" t="b">
        <v>0</v>
      </c>
      <c r="C74" s="176">
        <f>Accounts!T71</f>
        <v/>
      </c>
      <c r="D74" s="174" t="n"/>
      <c r="E74" s="174" t="n"/>
      <c r="F74" s="176">
        <f>Accounts!F68</f>
        <v/>
      </c>
      <c r="G74" s="174">
        <f>Accounts!O68</f>
        <v/>
      </c>
      <c r="H74" s="174">
        <f>Accounts!P68</f>
        <v/>
      </c>
      <c r="I74" s="174">
        <f>Accounts!H68</f>
        <v/>
      </c>
      <c r="J74" s="174">
        <f>Accounts!I68</f>
        <v/>
      </c>
      <c r="K74" s="176">
        <f>#REF!</f>
        <v/>
      </c>
      <c r="L74" s="173" t="n"/>
      <c r="M74" s="9" t="n"/>
      <c r="N74" s="28" t="b">
        <v>0</v>
      </c>
      <c r="O74" s="172" t="b">
        <v>0</v>
      </c>
      <c r="P74" s="28" t="b">
        <v>0</v>
      </c>
      <c r="Q74" s="28" t="b">
        <v>0</v>
      </c>
      <c r="R74" s="28" t="b">
        <v>0</v>
      </c>
      <c r="S74" s="28" t="b">
        <v>0</v>
      </c>
      <c r="T74" s="28" t="b">
        <v>0</v>
      </c>
      <c r="U74" s="28" t="b">
        <v>0</v>
      </c>
      <c r="V74" s="28" t="b">
        <v>0</v>
      </c>
      <c r="W74" s="28" t="b">
        <v>0</v>
      </c>
    </row>
    <row r="75" ht="69" customHeight="1" s="222">
      <c r="A75" s="74">
        <f>Accounts!A72</f>
        <v/>
      </c>
      <c r="B75" s="145" t="b">
        <v>0</v>
      </c>
      <c r="C75" s="176" t="inlineStr">
        <is>
          <t>Travis Linquist</t>
        </is>
      </c>
      <c r="D75" s="174" t="n"/>
      <c r="E75" s="174" t="n"/>
      <c r="F75" s="176">
        <f>Accounts!F69</f>
        <v/>
      </c>
      <c r="G75" s="174">
        <f>Accounts!O69</f>
        <v/>
      </c>
      <c r="H75" s="174">
        <f>Accounts!P69</f>
        <v/>
      </c>
      <c r="I75" s="174">
        <f>Accounts!H69</f>
        <v/>
      </c>
      <c r="J75" s="174">
        <f>Accounts!I69</f>
        <v/>
      </c>
      <c r="K75" s="176">
        <f>#REF!</f>
        <v/>
      </c>
      <c r="L75" s="173" t="inlineStr">
        <is>
          <t>Left Travis a voicemail</t>
        </is>
      </c>
      <c r="M75" s="9" t="n"/>
      <c r="N75" s="28" t="b">
        <v>0</v>
      </c>
      <c r="O75" s="172" t="b">
        <v>0</v>
      </c>
      <c r="P75" s="28" t="b">
        <v>0</v>
      </c>
      <c r="Q75" s="28" t="b">
        <v>0</v>
      </c>
      <c r="R75" s="28" t="b">
        <v>0</v>
      </c>
      <c r="S75" s="28" t="b">
        <v>0</v>
      </c>
      <c r="T75" s="28" t="b">
        <v>0</v>
      </c>
      <c r="U75" s="28" t="b">
        <v>0</v>
      </c>
      <c r="V75" s="28" t="b">
        <v>0</v>
      </c>
      <c r="W75" s="28" t="b">
        <v>0</v>
      </c>
    </row>
    <row r="76" ht="69" customHeight="1" s="222">
      <c r="A76" s="164">
        <f>Accounts!A73</f>
        <v/>
      </c>
      <c r="B76" s="145" t="b">
        <v>0</v>
      </c>
      <c r="C76" s="176">
        <f>Accounts!T73</f>
        <v/>
      </c>
      <c r="D76" s="174" t="n"/>
      <c r="E76" s="174" t="n"/>
      <c r="F76" s="176">
        <f>Accounts!F70</f>
        <v/>
      </c>
      <c r="G76" s="174">
        <f>Accounts!O70</f>
        <v/>
      </c>
      <c r="H76" s="174">
        <f>Accounts!P70</f>
        <v/>
      </c>
      <c r="I76" s="174">
        <f>Accounts!H70</f>
        <v/>
      </c>
      <c r="J76" s="174">
        <f>Accounts!I70</f>
        <v/>
      </c>
      <c r="K76" s="176">
        <f>#REF!</f>
        <v/>
      </c>
      <c r="L76" s="173" t="n"/>
      <c r="M76" s="9" t="n"/>
      <c r="N76" s="28" t="b">
        <v>0</v>
      </c>
      <c r="O76" s="172" t="b">
        <v>0</v>
      </c>
      <c r="P76" s="28" t="b">
        <v>0</v>
      </c>
      <c r="Q76" s="28" t="b">
        <v>0</v>
      </c>
      <c r="R76" s="28" t="b">
        <v>0</v>
      </c>
      <c r="S76" s="28" t="b">
        <v>0</v>
      </c>
      <c r="T76" s="28" t="b">
        <v>0</v>
      </c>
      <c r="U76" s="28" t="b">
        <v>0</v>
      </c>
      <c r="V76" s="28" t="b">
        <v>0</v>
      </c>
      <c r="W76" s="28" t="b">
        <v>0</v>
      </c>
    </row>
    <row r="77" ht="69" customHeight="1" s="222">
      <c r="A77" s="164">
        <f>Accounts!A74</f>
        <v/>
      </c>
      <c r="B77" s="145" t="b">
        <v>0</v>
      </c>
      <c r="C77" s="176">
        <f>Accounts!T74</f>
        <v/>
      </c>
      <c r="D77" s="174" t="n"/>
      <c r="E77" s="174" t="n"/>
      <c r="F77" s="176">
        <f>Accounts!F71</f>
        <v/>
      </c>
      <c r="G77" s="174">
        <f>Accounts!O71</f>
        <v/>
      </c>
      <c r="H77" s="174">
        <f>Accounts!P71</f>
        <v/>
      </c>
      <c r="I77" s="174">
        <f>Accounts!H71</f>
        <v/>
      </c>
      <c r="J77" s="174">
        <f>Accounts!I71</f>
        <v/>
      </c>
      <c r="K77" s="176">
        <f>#REF!</f>
        <v/>
      </c>
      <c r="L77" s="173" t="n"/>
      <c r="M77" s="9" t="n"/>
      <c r="N77" s="28" t="b">
        <v>0</v>
      </c>
      <c r="O77" s="172" t="b">
        <v>0</v>
      </c>
      <c r="P77" s="28" t="b">
        <v>0</v>
      </c>
      <c r="Q77" s="28" t="b">
        <v>0</v>
      </c>
      <c r="R77" s="28" t="b">
        <v>0</v>
      </c>
      <c r="S77" s="28" t="b">
        <v>0</v>
      </c>
      <c r="T77" s="28" t="b">
        <v>0</v>
      </c>
      <c r="U77" s="28" t="b">
        <v>0</v>
      </c>
      <c r="V77" s="28" t="b">
        <v>0</v>
      </c>
      <c r="W77" s="28" t="b">
        <v>0</v>
      </c>
    </row>
    <row r="78" ht="69" customHeight="1" s="222">
      <c r="A78" s="164">
        <f>Accounts!A75</f>
        <v/>
      </c>
      <c r="B78" s="145" t="b">
        <v>1</v>
      </c>
      <c r="C78" s="176">
        <f>Accounts!T75</f>
        <v/>
      </c>
      <c r="D78" s="174" t="n"/>
      <c r="E78" s="174" t="n"/>
      <c r="F78" s="176">
        <f>Accounts!F72</f>
        <v/>
      </c>
      <c r="G78" s="174">
        <f>Accounts!O72</f>
        <v/>
      </c>
      <c r="H78" s="174">
        <f>Accounts!P72</f>
        <v/>
      </c>
      <c r="I78" s="174">
        <f>Accounts!H72</f>
        <v/>
      </c>
      <c r="J78" s="174">
        <f>Accounts!I72</f>
        <v/>
      </c>
      <c r="K78" s="176">
        <f>#REF!</f>
        <v/>
      </c>
      <c r="L78" s="173" t="inlineStr">
        <is>
          <t xml:space="preserve">Briana is new GM, guessed her email </t>
        </is>
      </c>
      <c r="M78" s="9" t="n"/>
      <c r="N78" s="28" t="b">
        <v>1</v>
      </c>
      <c r="O78" s="172" t="b">
        <v>1</v>
      </c>
      <c r="P78" s="28" t="b">
        <v>1</v>
      </c>
      <c r="Q78" s="28" t="b">
        <v>1</v>
      </c>
      <c r="R78" s="28" t="b">
        <v>1</v>
      </c>
      <c r="S78" s="28" t="b">
        <v>1</v>
      </c>
      <c r="T78" s="28" t="b">
        <v>1</v>
      </c>
      <c r="U78" s="28" t="b">
        <v>0</v>
      </c>
      <c r="V78" s="28" t="b">
        <v>0</v>
      </c>
      <c r="W78" s="28" t="b">
        <v>0</v>
      </c>
    </row>
    <row r="79" ht="69" customHeight="1" s="222">
      <c r="A79" s="164">
        <f>Accounts!A76</f>
        <v/>
      </c>
      <c r="B79" s="145" t="b">
        <v>0</v>
      </c>
      <c r="C79" s="176">
        <f>Accounts!T76</f>
        <v/>
      </c>
      <c r="D79" s="174" t="n"/>
      <c r="E79" s="174" t="n"/>
      <c r="F79" s="176">
        <f>Accounts!F73</f>
        <v/>
      </c>
      <c r="G79" s="174">
        <f>Accounts!O73</f>
        <v/>
      </c>
      <c r="H79" s="174">
        <f>Accounts!P73</f>
        <v/>
      </c>
      <c r="I79" s="174">
        <f>Accounts!H73</f>
        <v/>
      </c>
      <c r="J79" s="174">
        <f>Accounts!I73</f>
        <v/>
      </c>
      <c r="K79" s="176">
        <f>#REF!</f>
        <v/>
      </c>
      <c r="L79" s="173" t="n"/>
      <c r="M79" s="9" t="n"/>
      <c r="N79" s="28" t="b">
        <v>0</v>
      </c>
      <c r="O79" s="172" t="b">
        <v>0</v>
      </c>
      <c r="P79" s="28" t="b">
        <v>0</v>
      </c>
      <c r="Q79" s="28" t="b">
        <v>0</v>
      </c>
      <c r="R79" s="28" t="b">
        <v>0</v>
      </c>
      <c r="S79" s="28" t="b">
        <v>0</v>
      </c>
      <c r="T79" s="28" t="b">
        <v>0</v>
      </c>
      <c r="U79" s="28" t="b">
        <v>0</v>
      </c>
      <c r="V79" s="28" t="b">
        <v>0</v>
      </c>
      <c r="W79" s="28" t="b">
        <v>0</v>
      </c>
    </row>
    <row r="80" ht="69" customHeight="1" s="222">
      <c r="A80" s="164">
        <f>Accounts!A77</f>
        <v/>
      </c>
      <c r="B80" s="145" t="b">
        <v>1</v>
      </c>
      <c r="C80" s="176">
        <f>Accounts!T77</f>
        <v/>
      </c>
      <c r="D80" s="174" t="n"/>
      <c r="E80" s="174" t="n"/>
      <c r="F80" s="176">
        <f>Accounts!F74</f>
        <v/>
      </c>
      <c r="G80" s="174">
        <f>Accounts!O74</f>
        <v/>
      </c>
      <c r="H80" s="174">
        <f>Accounts!P74</f>
        <v/>
      </c>
      <c r="I80" s="174">
        <f>Accounts!H74</f>
        <v/>
      </c>
      <c r="J80" s="174">
        <f>Accounts!I74</f>
        <v/>
      </c>
      <c r="K80" s="176">
        <f>#REF!</f>
        <v/>
      </c>
      <c r="L80" s="173" t="n"/>
      <c r="M80" s="9" t="n"/>
      <c r="N80" s="28" t="b">
        <v>1</v>
      </c>
      <c r="O80" s="172" t="b">
        <v>0</v>
      </c>
      <c r="P80" s="28" t="b">
        <v>1</v>
      </c>
      <c r="Q80" s="28" t="b">
        <v>1</v>
      </c>
      <c r="R80" s="28" t="b">
        <v>0</v>
      </c>
      <c r="S80" s="28" t="b">
        <v>0</v>
      </c>
      <c r="T80" s="28" t="b">
        <v>0</v>
      </c>
      <c r="U80" s="28" t="b">
        <v>0</v>
      </c>
      <c r="V80" s="28" t="b">
        <v>0</v>
      </c>
      <c r="W80" s="28" t="b">
        <v>0</v>
      </c>
    </row>
    <row r="81" ht="69" customHeight="1" s="222">
      <c r="A81" s="164">
        <f>Accounts!A78</f>
        <v/>
      </c>
      <c r="B81" s="145" t="b">
        <v>0</v>
      </c>
      <c r="C81" s="176">
        <f>Accounts!T78</f>
        <v/>
      </c>
      <c r="D81" s="174" t="n"/>
      <c r="E81" s="174" t="n"/>
      <c r="F81" s="176">
        <f>Accounts!F75</f>
        <v/>
      </c>
      <c r="G81" s="174">
        <f>Accounts!O75</f>
        <v/>
      </c>
      <c r="H81" s="174">
        <f>Accounts!P75</f>
        <v/>
      </c>
      <c r="I81" s="174">
        <f>Accounts!H75</f>
        <v/>
      </c>
      <c r="J81" s="174">
        <f>Accounts!I75</f>
        <v/>
      </c>
      <c r="K81" s="176">
        <f>#REF!</f>
        <v/>
      </c>
      <c r="L81" s="173" t="n"/>
      <c r="M81" s="9" t="n"/>
      <c r="N81" s="28" t="b">
        <v>0</v>
      </c>
      <c r="O81" s="172" t="b">
        <v>0</v>
      </c>
      <c r="P81" s="28" t="b">
        <v>0</v>
      </c>
      <c r="Q81" s="28" t="b">
        <v>0</v>
      </c>
      <c r="R81" s="28" t="b">
        <v>0</v>
      </c>
      <c r="S81" s="28" t="b">
        <v>0</v>
      </c>
      <c r="T81" s="28" t="b">
        <v>0</v>
      </c>
      <c r="U81" s="28" t="b">
        <v>0</v>
      </c>
      <c r="V81" s="28" t="b">
        <v>0</v>
      </c>
      <c r="W81" s="28" t="b">
        <v>0</v>
      </c>
    </row>
    <row r="82" ht="69" customHeight="1" s="222">
      <c r="A82" s="164">
        <f>Accounts!A79</f>
        <v/>
      </c>
      <c r="B82" s="145" t="b">
        <v>0</v>
      </c>
      <c r="C82" s="176">
        <f>Accounts!T79</f>
        <v/>
      </c>
      <c r="D82" s="174" t="n"/>
      <c r="E82" s="174" t="n"/>
      <c r="F82" s="176">
        <f>Accounts!F76</f>
        <v/>
      </c>
      <c r="G82" s="174">
        <f>Accounts!O76</f>
        <v/>
      </c>
      <c r="H82" s="174">
        <f>Accounts!P76</f>
        <v/>
      </c>
      <c r="I82" s="174">
        <f>Accounts!H76</f>
        <v/>
      </c>
      <c r="J82" s="174">
        <f>Accounts!I76</f>
        <v/>
      </c>
      <c r="K82" s="176">
        <f>#REF!</f>
        <v/>
      </c>
      <c r="L82" s="173" t="n"/>
      <c r="M82" s="9" t="n"/>
      <c r="N82" s="28" t="b">
        <v>0</v>
      </c>
      <c r="O82" s="172" t="b">
        <v>0</v>
      </c>
      <c r="P82" s="28" t="b">
        <v>0</v>
      </c>
      <c r="Q82" s="28" t="b">
        <v>0</v>
      </c>
      <c r="R82" s="28" t="b">
        <v>0</v>
      </c>
      <c r="S82" s="28" t="b">
        <v>0</v>
      </c>
      <c r="T82" s="28" t="b">
        <v>0</v>
      </c>
      <c r="U82" s="28" t="b">
        <v>0</v>
      </c>
      <c r="V82" s="28" t="b">
        <v>0</v>
      </c>
      <c r="W82" s="28" t="b">
        <v>0</v>
      </c>
    </row>
    <row r="83" ht="69" customHeight="1" s="222">
      <c r="A83" s="164">
        <f>Accounts!A80</f>
        <v/>
      </c>
      <c r="B83" s="145" t="b">
        <v>0</v>
      </c>
      <c r="C83" s="176">
        <f>Accounts!T80</f>
        <v/>
      </c>
      <c r="D83" s="174" t="n"/>
      <c r="E83" s="174" t="n"/>
      <c r="F83" s="176">
        <f>Accounts!F77</f>
        <v/>
      </c>
      <c r="G83" s="174">
        <f>Accounts!O77</f>
        <v/>
      </c>
      <c r="H83" s="174">
        <f>Accounts!P77</f>
        <v/>
      </c>
      <c r="I83" s="174">
        <f>Accounts!H77</f>
        <v/>
      </c>
      <c r="J83" s="174">
        <f>Accounts!I77</f>
        <v/>
      </c>
      <c r="K83" s="176">
        <f>#REF!</f>
        <v/>
      </c>
      <c r="L83" s="173" t="n"/>
      <c r="M83" s="9" t="n"/>
      <c r="N83" s="28" t="b">
        <v>0</v>
      </c>
      <c r="O83" s="172" t="b">
        <v>0</v>
      </c>
      <c r="P83" s="28" t="b">
        <v>0</v>
      </c>
      <c r="Q83" s="28" t="b">
        <v>0</v>
      </c>
      <c r="R83" s="28" t="b">
        <v>0</v>
      </c>
      <c r="S83" s="28" t="b">
        <v>0</v>
      </c>
      <c r="T83" s="28" t="b">
        <v>0</v>
      </c>
      <c r="U83" s="28" t="b">
        <v>0</v>
      </c>
      <c r="V83" s="28" t="b">
        <v>0</v>
      </c>
      <c r="W83" s="28" t="b">
        <v>0</v>
      </c>
    </row>
    <row r="84" ht="69" customHeight="1" s="222">
      <c r="A84" s="164">
        <f>Accounts!A81</f>
        <v/>
      </c>
      <c r="B84" s="145" t="b">
        <v>1</v>
      </c>
      <c r="C84" s="176">
        <f>Accounts!T81</f>
        <v/>
      </c>
      <c r="D84" s="174" t="n"/>
      <c r="E84" s="174" t="n"/>
      <c r="F84" s="176">
        <f>Accounts!F78</f>
        <v/>
      </c>
      <c r="G84" s="174">
        <f>Accounts!O78</f>
        <v/>
      </c>
      <c r="H84" s="174">
        <f>Accounts!P78</f>
        <v/>
      </c>
      <c r="I84" s="174">
        <f>Accounts!H78</f>
        <v/>
      </c>
      <c r="J84" s="174">
        <f>Accounts!I78</f>
        <v/>
      </c>
      <c r="K84" s="176">
        <f>#REF!</f>
        <v/>
      </c>
      <c r="L84" s="173" t="inlineStr">
        <is>
          <t>service seemed really bad but she wasnt interested in connecting us with anyone to implement a change from inhouse</t>
        </is>
      </c>
      <c r="M84" s="9" t="n"/>
      <c r="N84" s="28" t="b">
        <v>1</v>
      </c>
      <c r="O84" s="172" t="b">
        <v>0</v>
      </c>
      <c r="P84" s="28" t="b">
        <v>1</v>
      </c>
      <c r="Q84" s="28" t="b">
        <v>0</v>
      </c>
      <c r="R84" s="28" t="b">
        <v>0</v>
      </c>
      <c r="S84" s="28" t="b">
        <v>0</v>
      </c>
      <c r="T84" s="28" t="b">
        <v>0</v>
      </c>
      <c r="U84" s="28" t="b">
        <v>0</v>
      </c>
      <c r="V84" s="28" t="b">
        <v>0</v>
      </c>
      <c r="W84" s="28" t="b">
        <v>0</v>
      </c>
    </row>
    <row r="85" ht="69" customHeight="1" s="222">
      <c r="A85" s="164">
        <f>Accounts!A82</f>
        <v/>
      </c>
      <c r="B85" s="145" t="b">
        <v>1</v>
      </c>
      <c r="C85" s="175">
        <f>Accounts!T82</f>
        <v/>
      </c>
      <c r="D85" s="174" t="n"/>
      <c r="E85" s="174" t="n"/>
      <c r="F85" s="176">
        <f>Accounts!F79</f>
        <v/>
      </c>
      <c r="G85" s="174">
        <f>Accounts!O79</f>
        <v/>
      </c>
      <c r="H85" s="174">
        <f>Accounts!P79</f>
        <v/>
      </c>
      <c r="I85" s="174">
        <f>Accounts!H79</f>
        <v/>
      </c>
      <c r="J85" s="174">
        <f>Accounts!I79</f>
        <v/>
      </c>
      <c r="K85" s="176">
        <f>#REF!</f>
        <v/>
      </c>
      <c r="L85" s="173" t="n"/>
      <c r="M85" s="9" t="n"/>
      <c r="N85" s="28" t="b">
        <v>1</v>
      </c>
      <c r="O85" s="172" t="b">
        <v>0</v>
      </c>
      <c r="P85" s="28" t="b">
        <v>1</v>
      </c>
      <c r="Q85" s="28" t="b">
        <v>1</v>
      </c>
      <c r="R85" s="28" t="b">
        <v>1</v>
      </c>
      <c r="S85" s="28" t="b">
        <v>1</v>
      </c>
      <c r="T85" s="28" t="b">
        <v>0</v>
      </c>
      <c r="U85" s="28" t="b">
        <v>0</v>
      </c>
      <c r="V85" s="28" t="b">
        <v>0</v>
      </c>
      <c r="W85" s="28" t="b">
        <v>0</v>
      </c>
    </row>
    <row r="86" ht="69" customHeight="1" s="222">
      <c r="A86" s="164">
        <f>Accounts!A83</f>
        <v/>
      </c>
      <c r="B86" s="145" t="b">
        <v>1</v>
      </c>
      <c r="C86" s="176">
        <f>Accounts!T83</f>
        <v/>
      </c>
      <c r="D86" s="174" t="n"/>
      <c r="E86" s="174" t="n"/>
      <c r="F86" s="176">
        <f>Accounts!F80</f>
        <v/>
      </c>
      <c r="G86" s="174">
        <f>Accounts!O80</f>
        <v/>
      </c>
      <c r="H86" s="174">
        <f>Accounts!P80</f>
        <v/>
      </c>
      <c r="I86" s="174">
        <f>Accounts!H80</f>
        <v/>
      </c>
      <c r="J86" s="174">
        <f>Accounts!I80</f>
        <v/>
      </c>
      <c r="K86" s="176">
        <f>#REF!</f>
        <v/>
      </c>
      <c r="L86" s="173" t="n"/>
      <c r="M86" s="9" t="n"/>
      <c r="N86" s="28" t="b">
        <v>1</v>
      </c>
      <c r="O86" s="172" t="b">
        <v>0</v>
      </c>
      <c r="P86" s="28" t="b">
        <v>1</v>
      </c>
      <c r="Q86" s="28" t="b">
        <v>1</v>
      </c>
      <c r="R86" s="28" t="b">
        <v>1</v>
      </c>
      <c r="S86" s="28" t="b">
        <v>1</v>
      </c>
      <c r="T86" s="28" t="b">
        <v>0</v>
      </c>
      <c r="U86" s="28" t="b">
        <v>0</v>
      </c>
      <c r="V86" s="28" t="b">
        <v>0</v>
      </c>
      <c r="W86" s="28" t="b">
        <v>0</v>
      </c>
    </row>
    <row r="87" ht="69" customHeight="1" s="222">
      <c r="A87" s="164">
        <f>Accounts!A84</f>
        <v/>
      </c>
      <c r="B87" s="145" t="b">
        <v>0</v>
      </c>
      <c r="C87" s="176">
        <f>Accounts!T84</f>
        <v/>
      </c>
      <c r="D87" s="174" t="n"/>
      <c r="E87" s="174" t="n"/>
      <c r="F87" s="176">
        <f>Accounts!F81</f>
        <v/>
      </c>
      <c r="G87" s="174">
        <f>Accounts!O81</f>
        <v/>
      </c>
      <c r="H87" s="174">
        <f>Accounts!P81</f>
        <v/>
      </c>
      <c r="I87" s="174">
        <f>Accounts!H81</f>
        <v/>
      </c>
      <c r="J87" s="174">
        <f>Accounts!I81</f>
        <v/>
      </c>
      <c r="K87" s="176">
        <f>#REF!</f>
        <v/>
      </c>
      <c r="L87" s="173" t="n"/>
      <c r="M87" s="9" t="n"/>
      <c r="N87" s="28" t="b">
        <v>0</v>
      </c>
      <c r="O87" s="172" t="b">
        <v>0</v>
      </c>
      <c r="P87" s="28" t="b">
        <v>0</v>
      </c>
      <c r="Q87" s="28" t="b">
        <v>0</v>
      </c>
      <c r="R87" s="28" t="b">
        <v>0</v>
      </c>
      <c r="S87" s="28" t="b">
        <v>0</v>
      </c>
      <c r="T87" s="28" t="b">
        <v>0</v>
      </c>
      <c r="U87" s="28" t="b">
        <v>0</v>
      </c>
      <c r="V87" s="28" t="b">
        <v>0</v>
      </c>
      <c r="W87" s="28" t="b">
        <v>0</v>
      </c>
    </row>
    <row r="88" ht="69" customHeight="1" s="222">
      <c r="A88" s="164">
        <f>Accounts!A85</f>
        <v/>
      </c>
      <c r="B88" s="145" t="b">
        <v>1</v>
      </c>
      <c r="C88" s="176">
        <f>Accounts!T85</f>
        <v/>
      </c>
      <c r="D88" s="174" t="n"/>
      <c r="E88" s="174" t="n"/>
      <c r="F88" s="170">
        <f>Accounts!F82</f>
        <v/>
      </c>
      <c r="G88" s="174">
        <f>Accounts!O82</f>
        <v/>
      </c>
      <c r="H88" s="174">
        <f>Accounts!P82</f>
        <v/>
      </c>
      <c r="I88" s="174">
        <f>Accounts!H82</f>
        <v/>
      </c>
      <c r="J88" s="174">
        <f>Accounts!I82</f>
        <v/>
      </c>
      <c r="K88" s="176">
        <f>#REF!</f>
        <v/>
      </c>
      <c r="L88" s="173" t="n"/>
      <c r="M88" s="9" t="n"/>
      <c r="N88" s="28" t="b">
        <v>0</v>
      </c>
      <c r="O88" s="172" t="b">
        <v>0</v>
      </c>
      <c r="P88" s="28" t="b">
        <v>1</v>
      </c>
      <c r="Q88" s="28" t="b">
        <v>0</v>
      </c>
      <c r="R88" s="28" t="b">
        <v>0</v>
      </c>
      <c r="S88" s="28" t="b">
        <v>0</v>
      </c>
      <c r="T88" s="28" t="b">
        <v>0</v>
      </c>
      <c r="U88" s="28" t="b">
        <v>0</v>
      </c>
      <c r="V88" s="28" t="b">
        <v>0</v>
      </c>
      <c r="W88" s="28" t="b">
        <v>0</v>
      </c>
    </row>
    <row r="89" ht="69" customHeight="1" s="222">
      <c r="A89" s="164">
        <f>#REF!</f>
        <v/>
      </c>
      <c r="B89" s="145" t="b">
        <v>0</v>
      </c>
      <c r="C89" s="176">
        <f>#REF!</f>
        <v/>
      </c>
      <c r="D89" s="174" t="n"/>
      <c r="E89" s="174" t="n"/>
      <c r="F89" s="176">
        <f>Accounts!F83</f>
        <v/>
      </c>
      <c r="G89" s="174">
        <f>Accounts!O83</f>
        <v/>
      </c>
      <c r="H89" s="174">
        <f>Accounts!P83</f>
        <v/>
      </c>
      <c r="I89" s="174">
        <f>Accounts!H83</f>
        <v/>
      </c>
      <c r="J89" s="174">
        <f>Accounts!I83</f>
        <v/>
      </c>
      <c r="K89" s="176">
        <f>#REF!</f>
        <v/>
      </c>
      <c r="L89" s="173" t="n"/>
      <c r="M89" s="9" t="n"/>
      <c r="N89" s="28" t="b">
        <v>0</v>
      </c>
      <c r="O89" s="172" t="b">
        <v>0</v>
      </c>
      <c r="P89" s="28" t="b">
        <v>0</v>
      </c>
      <c r="Q89" s="28" t="b">
        <v>0</v>
      </c>
      <c r="R89" s="28" t="b">
        <v>0</v>
      </c>
      <c r="S89" s="28" t="b">
        <v>0</v>
      </c>
      <c r="T89" s="28" t="b">
        <v>0</v>
      </c>
      <c r="U89" s="28" t="b">
        <v>0</v>
      </c>
      <c r="V89" s="28" t="b">
        <v>0</v>
      </c>
      <c r="W89" s="28" t="b">
        <v>0</v>
      </c>
    </row>
    <row r="90" ht="69" customHeight="1" s="222">
      <c r="A90" s="164">
        <f>Accounts!A86</f>
        <v/>
      </c>
      <c r="B90" s="145" t="b">
        <v>0</v>
      </c>
      <c r="C90" s="175">
        <f>Accounts!T86</f>
        <v/>
      </c>
      <c r="D90" s="174" t="n"/>
      <c r="E90" s="174" t="n"/>
      <c r="F90" s="176">
        <f>Accounts!F84</f>
        <v/>
      </c>
      <c r="G90" s="174">
        <f>Accounts!O84</f>
        <v/>
      </c>
      <c r="H90" s="174">
        <f>Accounts!P84</f>
        <v/>
      </c>
      <c r="I90" s="174">
        <f>Accounts!H84</f>
        <v/>
      </c>
      <c r="J90" s="174">
        <f>Accounts!I84</f>
        <v/>
      </c>
      <c r="K90" s="176">
        <f>#REF!</f>
        <v/>
      </c>
      <c r="L90" s="173" t="n"/>
      <c r="M90" s="9" t="n"/>
      <c r="N90" s="28" t="b">
        <v>0</v>
      </c>
      <c r="O90" s="172" t="b">
        <v>0</v>
      </c>
      <c r="P90" s="28" t="b">
        <v>0</v>
      </c>
      <c r="Q90" s="28" t="b">
        <v>0</v>
      </c>
      <c r="R90" s="28" t="b">
        <v>0</v>
      </c>
      <c r="S90" s="28" t="b">
        <v>0</v>
      </c>
      <c r="T90" s="28" t="b">
        <v>0</v>
      </c>
      <c r="U90" s="28" t="b">
        <v>0</v>
      </c>
      <c r="V90" s="28" t="b">
        <v>0</v>
      </c>
      <c r="W90" s="28" t="b">
        <v>0</v>
      </c>
    </row>
    <row r="91" ht="69" customHeight="1" s="222">
      <c r="A91" s="164">
        <f>Accounts!A87</f>
        <v/>
      </c>
      <c r="B91" s="145" t="b">
        <v>1</v>
      </c>
      <c r="C91" s="176">
        <f>Accounts!T87</f>
        <v/>
      </c>
      <c r="D91" s="174" t="n"/>
      <c r="E91" s="174" t="n"/>
      <c r="F91" s="176">
        <f>Accounts!F85</f>
        <v/>
      </c>
      <c r="G91" s="174">
        <f>Accounts!O85</f>
        <v/>
      </c>
      <c r="H91" s="174">
        <f>Accounts!P85</f>
        <v/>
      </c>
      <c r="I91" s="174">
        <f>Accounts!H85</f>
        <v/>
      </c>
      <c r="J91" s="174">
        <f>Accounts!I85</f>
        <v/>
      </c>
      <c r="K91" s="176">
        <f>#REF!</f>
        <v/>
      </c>
      <c r="L91" s="173" t="n"/>
      <c r="M91" s="9" t="n"/>
      <c r="N91" s="28" t="b">
        <v>1</v>
      </c>
      <c r="O91" s="172" t="b">
        <v>0</v>
      </c>
      <c r="P91" s="28" t="b">
        <v>1</v>
      </c>
      <c r="Q91" s="28" t="b">
        <v>1</v>
      </c>
      <c r="R91" s="28" t="b">
        <v>1</v>
      </c>
      <c r="S91" s="28" t="b">
        <v>1</v>
      </c>
      <c r="T91" s="28" t="b">
        <v>0</v>
      </c>
      <c r="U91" s="28" t="b">
        <v>0</v>
      </c>
      <c r="V91" s="28" t="b">
        <v>0</v>
      </c>
      <c r="W91" s="28" t="b">
        <v>0</v>
      </c>
    </row>
    <row r="92" ht="69" customHeight="1" s="222">
      <c r="A92" s="164">
        <f>Accounts!A88</f>
        <v/>
      </c>
      <c r="B92" s="145" t="b">
        <v>0</v>
      </c>
      <c r="C92" s="176">
        <f>Accounts!T88</f>
        <v/>
      </c>
      <c r="D92" s="174" t="n"/>
      <c r="E92" s="174" t="n"/>
      <c r="F92" s="176">
        <f>#REF!</f>
        <v/>
      </c>
      <c r="G92" s="174">
        <f>#REF!</f>
        <v/>
      </c>
      <c r="H92" s="174">
        <f>#REF!</f>
        <v/>
      </c>
      <c r="I92" s="174">
        <f>#REF!</f>
        <v/>
      </c>
      <c r="J92" s="174">
        <f>#REF!</f>
        <v/>
      </c>
      <c r="K92" s="176">
        <f>#REF!</f>
        <v/>
      </c>
      <c r="L92" s="173" t="n"/>
      <c r="M92" s="9" t="n"/>
      <c r="N92" s="28" t="b">
        <v>0</v>
      </c>
      <c r="O92" s="172" t="b">
        <v>0</v>
      </c>
      <c r="P92" s="28" t="b">
        <v>0</v>
      </c>
      <c r="Q92" s="28" t="b">
        <v>0</v>
      </c>
      <c r="R92" s="28" t="b">
        <v>0</v>
      </c>
      <c r="S92" s="28" t="b">
        <v>0</v>
      </c>
      <c r="T92" s="28" t="b">
        <v>0</v>
      </c>
      <c r="U92" s="28" t="b">
        <v>0</v>
      </c>
      <c r="V92" s="28" t="b">
        <v>0</v>
      </c>
      <c r="W92" s="28" t="b">
        <v>0</v>
      </c>
    </row>
    <row r="93" ht="69" customHeight="1" s="222">
      <c r="A93" s="164">
        <f>Accounts!A89</f>
        <v/>
      </c>
      <c r="B93" s="145" t="b">
        <v>0</v>
      </c>
      <c r="C93" s="176">
        <f>Accounts!T89</f>
        <v/>
      </c>
      <c r="D93" s="174" t="n"/>
      <c r="E93" s="174" t="n"/>
      <c r="F93" s="176">
        <f>Accounts!F86</f>
        <v/>
      </c>
      <c r="G93" s="174">
        <f>Accounts!O86</f>
        <v/>
      </c>
      <c r="H93" s="174">
        <f>Accounts!P86</f>
        <v/>
      </c>
      <c r="I93" s="174">
        <f>Accounts!H86</f>
        <v/>
      </c>
      <c r="J93" s="174">
        <f>Accounts!I86</f>
        <v/>
      </c>
      <c r="K93" s="176">
        <f>#REF!</f>
        <v/>
      </c>
      <c r="L93" s="173" t="n"/>
      <c r="M93" s="9" t="n"/>
      <c r="N93" s="28" t="b">
        <v>0</v>
      </c>
      <c r="O93" s="172" t="b">
        <v>0</v>
      </c>
      <c r="P93" s="28" t="b">
        <v>0</v>
      </c>
      <c r="Q93" s="28" t="b">
        <v>0</v>
      </c>
      <c r="R93" s="28" t="b">
        <v>0</v>
      </c>
      <c r="S93" s="28" t="b">
        <v>0</v>
      </c>
      <c r="T93" s="28" t="b">
        <v>0</v>
      </c>
      <c r="U93" s="28" t="b">
        <v>0</v>
      </c>
      <c r="V93" s="28" t="b">
        <v>0</v>
      </c>
      <c r="W93" s="28" t="b">
        <v>0</v>
      </c>
    </row>
    <row r="94" ht="69" customHeight="1" s="222">
      <c r="A94" s="164">
        <f>Accounts!A90</f>
        <v/>
      </c>
      <c r="B94" s="145" t="b">
        <v>0</v>
      </c>
      <c r="C94" s="176">
        <f>Accounts!T90</f>
        <v/>
      </c>
      <c r="D94" s="174" t="n"/>
      <c r="E94" s="174" t="n"/>
      <c r="F94" s="176">
        <f>Accounts!F87</f>
        <v/>
      </c>
      <c r="G94" s="174">
        <f>Accounts!O87</f>
        <v/>
      </c>
      <c r="H94" s="174">
        <f>Accounts!P87</f>
        <v/>
      </c>
      <c r="I94" s="174">
        <f>Accounts!H87</f>
        <v/>
      </c>
      <c r="J94" s="174">
        <f>Accounts!I87</f>
        <v/>
      </c>
      <c r="K94" s="176">
        <f>#REF!</f>
        <v/>
      </c>
      <c r="L94" s="173" t="n"/>
      <c r="M94" s="9" t="n"/>
      <c r="N94" s="28" t="b">
        <v>1</v>
      </c>
      <c r="O94" s="172" t="b">
        <v>1</v>
      </c>
      <c r="P94" s="28" t="b">
        <v>0</v>
      </c>
      <c r="Q94" s="28" t="b">
        <v>0</v>
      </c>
      <c r="R94" s="28" t="b">
        <v>0</v>
      </c>
      <c r="S94" s="28" t="b">
        <v>0</v>
      </c>
      <c r="T94" s="28" t="b">
        <v>0</v>
      </c>
      <c r="U94" s="28" t="b">
        <v>0</v>
      </c>
      <c r="V94" s="28" t="b">
        <v>0</v>
      </c>
      <c r="W94" s="28" t="b">
        <v>0</v>
      </c>
    </row>
    <row r="95" ht="69" customHeight="1" s="222">
      <c r="A95" s="164">
        <f>Accounts!A91</f>
        <v/>
      </c>
      <c r="B95" s="145" t="b">
        <v>0</v>
      </c>
      <c r="C95" s="176">
        <f>Accounts!T91</f>
        <v/>
      </c>
      <c r="D95" s="174" t="n"/>
      <c r="E95" s="174" t="n"/>
      <c r="F95" s="176">
        <f>Accounts!F88</f>
        <v/>
      </c>
      <c r="G95" s="174">
        <f>Accounts!O88</f>
        <v/>
      </c>
      <c r="H95" s="174">
        <f>Accounts!P88</f>
        <v/>
      </c>
      <c r="I95" s="174">
        <f>Accounts!H88</f>
        <v/>
      </c>
      <c r="J95" s="174">
        <f>Accounts!I88</f>
        <v/>
      </c>
      <c r="K95" s="176">
        <f>#REF!</f>
        <v/>
      </c>
      <c r="L95" s="173" t="n"/>
      <c r="M95" s="9" t="n"/>
      <c r="N95" s="28" t="b">
        <v>0</v>
      </c>
      <c r="O95" s="172" t="b">
        <v>0</v>
      </c>
      <c r="P95" s="28" t="b">
        <v>0</v>
      </c>
      <c r="Q95" s="28" t="b">
        <v>0</v>
      </c>
      <c r="R95" s="28" t="b">
        <v>0</v>
      </c>
      <c r="S95" s="28" t="b">
        <v>0</v>
      </c>
      <c r="T95" s="28" t="b">
        <v>0</v>
      </c>
      <c r="U95" s="28" t="b">
        <v>0</v>
      </c>
      <c r="V95" s="28" t="b">
        <v>0</v>
      </c>
      <c r="W95" s="28" t="b">
        <v>0</v>
      </c>
    </row>
    <row r="96" ht="69" customHeight="1" s="222">
      <c r="A96" s="164">
        <f>Accounts!A92</f>
        <v/>
      </c>
      <c r="B96" s="145" t="b">
        <v>0</v>
      </c>
      <c r="C96" s="176">
        <f>Accounts!T92</f>
        <v/>
      </c>
      <c r="D96" s="174" t="n"/>
      <c r="E96" s="174" t="n"/>
      <c r="F96" s="176">
        <f>Accounts!F89</f>
        <v/>
      </c>
      <c r="G96" s="174">
        <f>Accounts!O89</f>
        <v/>
      </c>
      <c r="H96" s="174">
        <f>Accounts!P89</f>
        <v/>
      </c>
      <c r="I96" s="174">
        <f>Accounts!H89</f>
        <v/>
      </c>
      <c r="J96" s="174">
        <f>Accounts!I89</f>
        <v/>
      </c>
      <c r="K96" s="176">
        <f>#REF!</f>
        <v/>
      </c>
      <c r="L96" s="173" t="n"/>
      <c r="M96" s="9" t="n"/>
      <c r="N96" s="28" t="b">
        <v>0</v>
      </c>
      <c r="O96" s="172" t="b">
        <v>0</v>
      </c>
      <c r="P96" s="28" t="b">
        <v>0</v>
      </c>
      <c r="Q96" s="28" t="b">
        <v>0</v>
      </c>
      <c r="R96" s="28" t="b">
        <v>0</v>
      </c>
      <c r="S96" s="28" t="b">
        <v>0</v>
      </c>
      <c r="T96" s="28" t="b">
        <v>0</v>
      </c>
      <c r="U96" s="28" t="b">
        <v>0</v>
      </c>
      <c r="V96" s="28" t="b">
        <v>0</v>
      </c>
      <c r="W96" s="28" t="b">
        <v>0</v>
      </c>
    </row>
    <row r="97" ht="69" customHeight="1" s="222">
      <c r="A97" s="164">
        <f>Accounts!A93</f>
        <v/>
      </c>
      <c r="B97" s="145" t="b">
        <v>0</v>
      </c>
      <c r="C97" s="176">
        <f>Accounts!T93</f>
        <v/>
      </c>
      <c r="D97" s="174" t="n"/>
      <c r="E97" s="174" t="n"/>
      <c r="F97" s="176">
        <f>Accounts!F90</f>
        <v/>
      </c>
      <c r="G97" s="174">
        <f>Accounts!O90</f>
        <v/>
      </c>
      <c r="H97" s="174">
        <f>Accounts!P90</f>
        <v/>
      </c>
      <c r="I97" s="174">
        <f>Accounts!H90</f>
        <v/>
      </c>
      <c r="J97" s="174">
        <f>Accounts!I90</f>
        <v/>
      </c>
      <c r="K97" s="176">
        <f>#REF!</f>
        <v/>
      </c>
      <c r="L97" s="173" t="n"/>
      <c r="M97" s="9" t="n"/>
      <c r="N97" s="28" t="b">
        <v>0</v>
      </c>
      <c r="O97" s="172" t="b">
        <v>0</v>
      </c>
      <c r="P97" s="28" t="b">
        <v>0</v>
      </c>
      <c r="Q97" s="28" t="b">
        <v>0</v>
      </c>
      <c r="R97" s="28" t="b">
        <v>0</v>
      </c>
      <c r="S97" s="28" t="b">
        <v>0</v>
      </c>
      <c r="T97" s="28" t="b">
        <v>0</v>
      </c>
      <c r="U97" s="28" t="b">
        <v>0</v>
      </c>
      <c r="V97" s="28" t="b">
        <v>0</v>
      </c>
      <c r="W97" s="28" t="b">
        <v>0</v>
      </c>
    </row>
    <row r="98" ht="69" customHeight="1" s="222">
      <c r="A98" s="164">
        <f>Accounts!A94</f>
        <v/>
      </c>
      <c r="B98" s="145" t="b">
        <v>0</v>
      </c>
      <c r="C98" s="176">
        <f>Accounts!T94</f>
        <v/>
      </c>
      <c r="D98" s="174" t="n"/>
      <c r="E98" s="174" t="n"/>
      <c r="F98" s="176">
        <f>Accounts!F91</f>
        <v/>
      </c>
      <c r="G98" s="174">
        <f>Accounts!O91</f>
        <v/>
      </c>
      <c r="H98" s="174">
        <f>Accounts!P91</f>
        <v/>
      </c>
      <c r="I98" s="174">
        <f>Accounts!H91</f>
        <v/>
      </c>
      <c r="J98" s="174">
        <f>Accounts!I91</f>
        <v/>
      </c>
      <c r="K98" s="176">
        <f>#REF!</f>
        <v/>
      </c>
      <c r="L98" s="173" t="n"/>
      <c r="M98" s="9" t="n"/>
      <c r="N98" s="28" t="b">
        <v>0</v>
      </c>
      <c r="O98" s="172" t="b">
        <v>0</v>
      </c>
      <c r="P98" s="28" t="b">
        <v>0</v>
      </c>
      <c r="Q98" s="28" t="b">
        <v>0</v>
      </c>
      <c r="R98" s="28" t="b">
        <v>0</v>
      </c>
      <c r="S98" s="28" t="b">
        <v>0</v>
      </c>
      <c r="T98" s="28" t="b">
        <v>0</v>
      </c>
      <c r="U98" s="28" t="b">
        <v>0</v>
      </c>
      <c r="V98" s="28" t="b">
        <v>0</v>
      </c>
      <c r="W98" s="28" t="b">
        <v>0</v>
      </c>
    </row>
    <row r="99" ht="69" customHeight="1" s="222">
      <c r="A99" s="164">
        <f>#REF!</f>
        <v/>
      </c>
      <c r="B99" s="145" t="b">
        <v>0</v>
      </c>
      <c r="C99" s="176">
        <f>Accounts!T92</f>
        <v/>
      </c>
      <c r="D99" s="174" t="n"/>
      <c r="E99" s="174" t="n"/>
      <c r="F99" s="176">
        <f>Accounts!F92</f>
        <v/>
      </c>
      <c r="G99" s="174">
        <f>Accounts!O92</f>
        <v/>
      </c>
      <c r="H99" s="174">
        <f>Accounts!P92</f>
        <v/>
      </c>
      <c r="I99" s="174">
        <f>Accounts!H92</f>
        <v/>
      </c>
      <c r="J99" s="174">
        <f>Accounts!I92</f>
        <v/>
      </c>
      <c r="K99" s="176">
        <f>#REF!</f>
        <v/>
      </c>
      <c r="L99" s="173" t="n"/>
      <c r="M99" s="9" t="n"/>
      <c r="N99" s="28" t="b">
        <v>0</v>
      </c>
      <c r="O99" s="172" t="b">
        <v>0</v>
      </c>
      <c r="P99" s="28" t="b">
        <v>0</v>
      </c>
      <c r="Q99" s="28" t="b">
        <v>0</v>
      </c>
      <c r="R99" s="28" t="b">
        <v>0</v>
      </c>
      <c r="S99" s="28" t="b">
        <v>0</v>
      </c>
      <c r="T99" s="28" t="b">
        <v>0</v>
      </c>
      <c r="U99" s="28" t="b">
        <v>0</v>
      </c>
      <c r="V99" s="28" t="b">
        <v>0</v>
      </c>
      <c r="W99" s="28" t="b">
        <v>0</v>
      </c>
    </row>
    <row r="100" ht="69" customHeight="1" s="222">
      <c r="A100" s="164">
        <f>Accounts!A95</f>
        <v/>
      </c>
      <c r="B100" s="145" t="b">
        <v>0</v>
      </c>
      <c r="C100" s="176">
        <f>Accounts!T93</f>
        <v/>
      </c>
      <c r="D100" s="174" t="n"/>
      <c r="E100" s="174" t="n"/>
      <c r="F100" s="176">
        <f>Accounts!F93</f>
        <v/>
      </c>
      <c r="G100" s="174">
        <f>Accounts!O93</f>
        <v/>
      </c>
      <c r="H100" s="174">
        <f>Accounts!P93</f>
        <v/>
      </c>
      <c r="I100" s="174">
        <f>Accounts!H93</f>
        <v/>
      </c>
      <c r="J100" s="174">
        <f>Accounts!I93</f>
        <v/>
      </c>
      <c r="K100" s="176">
        <f>#REF!</f>
        <v/>
      </c>
      <c r="L100" s="173" t="n"/>
      <c r="M100" s="9" t="n"/>
      <c r="N100" s="28" t="b">
        <v>0</v>
      </c>
      <c r="O100" s="172" t="b">
        <v>0</v>
      </c>
      <c r="P100" s="28" t="b">
        <v>0</v>
      </c>
      <c r="Q100" s="28" t="b">
        <v>0</v>
      </c>
      <c r="R100" s="28" t="b">
        <v>0</v>
      </c>
      <c r="S100" s="28" t="b">
        <v>0</v>
      </c>
      <c r="T100" s="28" t="b">
        <v>0</v>
      </c>
      <c r="U100" s="28" t="b">
        <v>0</v>
      </c>
      <c r="V100" s="28" t="b">
        <v>0</v>
      </c>
      <c r="W100" s="28" t="b">
        <v>0</v>
      </c>
    </row>
    <row r="101" ht="69" customHeight="1" s="222">
      <c r="A101" s="164">
        <f>Accounts!A96</f>
        <v/>
      </c>
      <c r="B101" s="145" t="b">
        <v>0</v>
      </c>
      <c r="C101" s="176">
        <f>Accounts!T94</f>
        <v/>
      </c>
      <c r="D101" s="174" t="n"/>
      <c r="E101" s="174" t="n"/>
      <c r="F101" s="176">
        <f>Accounts!F94</f>
        <v/>
      </c>
      <c r="G101" s="174">
        <f>Accounts!O94</f>
        <v/>
      </c>
      <c r="H101" s="174">
        <f>Accounts!P94</f>
        <v/>
      </c>
      <c r="I101" s="174">
        <f>Accounts!H94</f>
        <v/>
      </c>
      <c r="J101" s="174">
        <f>Accounts!I94</f>
        <v/>
      </c>
      <c r="K101" s="176">
        <f>#REF!</f>
        <v/>
      </c>
      <c r="L101" s="173" t="n"/>
      <c r="M101" s="9" t="n"/>
      <c r="N101" s="28" t="b">
        <v>0</v>
      </c>
      <c r="O101" s="172" t="b">
        <v>0</v>
      </c>
      <c r="P101" s="28" t="b">
        <v>0</v>
      </c>
      <c r="Q101" s="28" t="b">
        <v>0</v>
      </c>
      <c r="R101" s="28" t="b">
        <v>0</v>
      </c>
      <c r="S101" s="28" t="b">
        <v>0</v>
      </c>
      <c r="T101" s="28" t="b">
        <v>0</v>
      </c>
      <c r="U101" s="28" t="b">
        <v>0</v>
      </c>
      <c r="V101" s="28" t="b">
        <v>0</v>
      </c>
      <c r="W101" s="28" t="b">
        <v>0</v>
      </c>
    </row>
    <row r="102" ht="69" customHeight="1" s="222">
      <c r="A102" s="164">
        <f>Accounts!A97</f>
        <v/>
      </c>
      <c r="B102" s="145" t="b">
        <v>0</v>
      </c>
      <c r="C102" s="176">
        <f>#REF!</f>
        <v/>
      </c>
      <c r="D102" s="174" t="n"/>
      <c r="E102" s="174" t="n"/>
      <c r="F102" s="176">
        <f>#REF!</f>
        <v/>
      </c>
      <c r="G102" s="174">
        <f>#REF!</f>
        <v/>
      </c>
      <c r="H102" s="174">
        <f>#REF!</f>
        <v/>
      </c>
      <c r="I102" s="174">
        <f>#REF!</f>
        <v/>
      </c>
      <c r="J102" s="174">
        <f>#REF!</f>
        <v/>
      </c>
      <c r="K102" s="176">
        <f>#REF!</f>
        <v/>
      </c>
      <c r="L102" s="173" t="n"/>
      <c r="M102" s="9" t="n"/>
      <c r="N102" s="28" t="b">
        <v>0</v>
      </c>
      <c r="O102" s="172" t="b">
        <v>0</v>
      </c>
      <c r="P102" s="28" t="b">
        <v>0</v>
      </c>
      <c r="Q102" s="28" t="b">
        <v>0</v>
      </c>
      <c r="R102" s="28" t="b">
        <v>0</v>
      </c>
      <c r="S102" s="28" t="b">
        <v>0</v>
      </c>
      <c r="T102" s="28" t="b">
        <v>0</v>
      </c>
      <c r="U102" s="28" t="b">
        <v>0</v>
      </c>
      <c r="V102" s="28" t="b">
        <v>0</v>
      </c>
      <c r="W102" s="28" t="b">
        <v>0</v>
      </c>
    </row>
    <row r="103" ht="69" customHeight="1" s="222">
      <c r="A103" s="164">
        <f>#REF!</f>
        <v/>
      </c>
      <c r="B103" s="145" t="b">
        <v>0</v>
      </c>
      <c r="C103" s="176">
        <f>Accounts!T95</f>
        <v/>
      </c>
      <c r="D103" s="174" t="n"/>
      <c r="E103" s="174" t="n"/>
      <c r="F103" s="176">
        <f>Accounts!F95</f>
        <v/>
      </c>
      <c r="G103" s="174">
        <f>Accounts!O95</f>
        <v/>
      </c>
      <c r="H103" s="174">
        <f>Accounts!P95</f>
        <v/>
      </c>
      <c r="I103" s="174">
        <f>Accounts!H95</f>
        <v/>
      </c>
      <c r="J103" s="174">
        <f>Accounts!I95</f>
        <v/>
      </c>
      <c r="K103" s="176">
        <f>#REF!</f>
        <v/>
      </c>
      <c r="L103" s="173" t="n"/>
      <c r="M103" s="9" t="n"/>
      <c r="N103" s="28" t="b">
        <v>0</v>
      </c>
      <c r="O103" s="172" t="b">
        <v>0</v>
      </c>
      <c r="P103" s="28" t="b">
        <v>0</v>
      </c>
      <c r="Q103" s="28" t="b">
        <v>0</v>
      </c>
      <c r="R103" s="28" t="b">
        <v>0</v>
      </c>
      <c r="S103" s="28" t="b">
        <v>0</v>
      </c>
      <c r="T103" s="28" t="b">
        <v>0</v>
      </c>
      <c r="U103" s="28" t="b">
        <v>0</v>
      </c>
      <c r="V103" s="28" t="b">
        <v>0</v>
      </c>
      <c r="W103" s="28" t="b">
        <v>0</v>
      </c>
    </row>
    <row r="104" ht="69" customHeight="1" s="222">
      <c r="A104" s="164">
        <f>Accounts!A98</f>
        <v/>
      </c>
      <c r="B104" s="145" t="b">
        <v>0</v>
      </c>
      <c r="C104" s="176">
        <f>Accounts!T96</f>
        <v/>
      </c>
      <c r="D104" s="174" t="n"/>
      <c r="E104" s="174" t="n"/>
      <c r="F104" s="176">
        <f>Accounts!F96</f>
        <v/>
      </c>
      <c r="G104" s="174">
        <f>Accounts!O96</f>
        <v/>
      </c>
      <c r="H104" s="174">
        <f>Accounts!P96</f>
        <v/>
      </c>
      <c r="I104" s="174">
        <f>Accounts!H96</f>
        <v/>
      </c>
      <c r="J104" s="174">
        <f>Accounts!I96</f>
        <v/>
      </c>
      <c r="K104" s="176">
        <f>#REF!</f>
        <v/>
      </c>
      <c r="L104" s="173" t="n"/>
      <c r="M104" s="9" t="n"/>
      <c r="N104" s="28" t="b">
        <v>0</v>
      </c>
      <c r="O104" s="172" t="b">
        <v>0</v>
      </c>
      <c r="P104" s="28" t="b">
        <v>0</v>
      </c>
      <c r="Q104" s="28" t="b">
        <v>0</v>
      </c>
      <c r="R104" s="28" t="b">
        <v>0</v>
      </c>
      <c r="S104" s="28" t="b">
        <v>0</v>
      </c>
      <c r="T104" s="28" t="b">
        <v>0</v>
      </c>
      <c r="U104" s="28" t="b">
        <v>0</v>
      </c>
      <c r="V104" s="28" t="b">
        <v>0</v>
      </c>
      <c r="W104" s="28" t="b">
        <v>0</v>
      </c>
    </row>
    <row r="105" ht="69" customHeight="1" s="222">
      <c r="A105" s="164">
        <f>Accounts!A99</f>
        <v/>
      </c>
      <c r="B105" s="145" t="b">
        <v>0</v>
      </c>
      <c r="C105" s="176">
        <f>Accounts!T97</f>
        <v/>
      </c>
      <c r="D105" s="174" t="n"/>
      <c r="E105" s="174" t="n"/>
      <c r="F105" s="176">
        <f>Accounts!F97</f>
        <v/>
      </c>
      <c r="G105" s="174">
        <f>Accounts!O97</f>
        <v/>
      </c>
      <c r="H105" s="174">
        <f>Accounts!P97</f>
        <v/>
      </c>
      <c r="I105" s="174">
        <f>Accounts!H97</f>
        <v/>
      </c>
      <c r="J105" s="174">
        <f>Accounts!I97</f>
        <v/>
      </c>
      <c r="K105" s="176">
        <f>#REF!</f>
        <v/>
      </c>
      <c r="L105" s="173" t="n"/>
      <c r="M105" s="9" t="n"/>
      <c r="N105" s="28" t="b">
        <v>0</v>
      </c>
      <c r="O105" s="172" t="b">
        <v>0</v>
      </c>
      <c r="P105" s="28" t="b">
        <v>0</v>
      </c>
      <c r="Q105" s="28" t="b">
        <v>0</v>
      </c>
      <c r="R105" s="28" t="b">
        <v>0</v>
      </c>
      <c r="S105" s="28" t="b">
        <v>0</v>
      </c>
      <c r="T105" s="28" t="b">
        <v>0</v>
      </c>
      <c r="U105" s="28" t="b">
        <v>0</v>
      </c>
      <c r="V105" s="28" t="b">
        <v>0</v>
      </c>
      <c r="W105" s="28" t="b">
        <v>0</v>
      </c>
    </row>
    <row r="106" ht="69" customHeight="1" s="222">
      <c r="A106" s="164">
        <f>Accounts!A100</f>
        <v/>
      </c>
      <c r="B106" s="145" t="b">
        <v>0</v>
      </c>
      <c r="C106" s="176">
        <f>#REF!</f>
        <v/>
      </c>
      <c r="D106" s="174" t="n"/>
      <c r="E106" s="174" t="n"/>
      <c r="F106" s="176">
        <f>#REF!</f>
        <v/>
      </c>
      <c r="G106" s="174">
        <f>#REF!</f>
        <v/>
      </c>
      <c r="H106" s="174">
        <f>#REF!</f>
        <v/>
      </c>
      <c r="I106" s="174">
        <f>#REF!</f>
        <v/>
      </c>
      <c r="J106" s="174">
        <f>#REF!</f>
        <v/>
      </c>
      <c r="K106" s="176">
        <f>#REF!</f>
        <v/>
      </c>
      <c r="L106" s="173" t="n"/>
      <c r="M106" s="9" t="n"/>
      <c r="N106" s="28" t="b">
        <v>0</v>
      </c>
      <c r="O106" s="172" t="b">
        <v>0</v>
      </c>
      <c r="P106" s="28" t="b">
        <v>0</v>
      </c>
      <c r="Q106" s="28" t="b">
        <v>0</v>
      </c>
      <c r="R106" s="28" t="b">
        <v>0</v>
      </c>
      <c r="S106" s="28" t="b">
        <v>0</v>
      </c>
      <c r="T106" s="28" t="b">
        <v>0</v>
      </c>
      <c r="U106" s="28" t="b">
        <v>0</v>
      </c>
      <c r="V106" s="28" t="b">
        <v>0</v>
      </c>
      <c r="W106" s="28" t="b">
        <v>0</v>
      </c>
    </row>
    <row r="107" ht="69" customHeight="1" s="222">
      <c r="A107" s="164">
        <f>Accounts!A101</f>
        <v/>
      </c>
      <c r="B107" s="145" t="b">
        <v>0</v>
      </c>
      <c r="C107" s="175">
        <f>Accounts!T98</f>
        <v/>
      </c>
      <c r="D107" s="174" t="n"/>
      <c r="E107" s="174" t="n"/>
      <c r="F107" s="170">
        <f>Accounts!F98</f>
        <v/>
      </c>
      <c r="G107" s="174">
        <f>Accounts!O98</f>
        <v/>
      </c>
      <c r="H107" s="174">
        <f>Accounts!P98</f>
        <v/>
      </c>
      <c r="I107" s="174">
        <f>Accounts!H98</f>
        <v/>
      </c>
      <c r="J107" s="174">
        <f>Accounts!I98</f>
        <v/>
      </c>
      <c r="K107" s="176">
        <f>#REF!</f>
        <v/>
      </c>
      <c r="L107" s="173" t="n"/>
      <c r="M107" s="9" t="n"/>
      <c r="N107" s="28" t="b">
        <v>0</v>
      </c>
      <c r="O107" s="172" t="b">
        <v>0</v>
      </c>
      <c r="P107" s="28" t="b">
        <v>0</v>
      </c>
      <c r="Q107" s="28" t="b">
        <v>0</v>
      </c>
      <c r="R107" s="28" t="b">
        <v>0</v>
      </c>
      <c r="S107" s="28" t="b">
        <v>0</v>
      </c>
      <c r="T107" s="28" t="b">
        <v>0</v>
      </c>
      <c r="U107" s="28" t="b">
        <v>0</v>
      </c>
      <c r="V107" s="28" t="b">
        <v>0</v>
      </c>
      <c r="W107" s="28" t="b">
        <v>0</v>
      </c>
    </row>
    <row r="108" ht="69" customHeight="1" s="222">
      <c r="A108" s="164">
        <f>Accounts!A102</f>
        <v/>
      </c>
      <c r="B108" s="145" t="b">
        <v>0</v>
      </c>
      <c r="C108" s="176">
        <f>Accounts!T99</f>
        <v/>
      </c>
      <c r="D108" s="174" t="n"/>
      <c r="E108" s="174" t="n"/>
      <c r="F108" s="176">
        <f>Accounts!F99</f>
        <v/>
      </c>
      <c r="G108" s="174">
        <f>Accounts!O99</f>
        <v/>
      </c>
      <c r="H108" s="174">
        <f>Accounts!P99</f>
        <v/>
      </c>
      <c r="I108" s="174">
        <f>Accounts!H99</f>
        <v/>
      </c>
      <c r="J108" s="174">
        <f>Accounts!I99</f>
        <v/>
      </c>
      <c r="K108" s="176">
        <f>#REF!</f>
        <v/>
      </c>
      <c r="L108" s="173" t="n"/>
      <c r="M108" s="9" t="n"/>
      <c r="N108" s="28" t="b">
        <v>0</v>
      </c>
      <c r="O108" s="172" t="b">
        <v>0</v>
      </c>
      <c r="P108" s="28" t="b">
        <v>0</v>
      </c>
      <c r="Q108" s="28" t="b">
        <v>0</v>
      </c>
      <c r="R108" s="28" t="b">
        <v>0</v>
      </c>
      <c r="S108" s="28" t="b">
        <v>0</v>
      </c>
      <c r="T108" s="28" t="b">
        <v>0</v>
      </c>
      <c r="U108" s="28" t="b">
        <v>0</v>
      </c>
      <c r="V108" s="28" t="b">
        <v>0</v>
      </c>
      <c r="W108" s="28" t="b">
        <v>0</v>
      </c>
    </row>
    <row r="109" ht="69" customHeight="1" s="222">
      <c r="A109" s="164">
        <f>Accounts!A103</f>
        <v/>
      </c>
      <c r="B109" s="145" t="b">
        <v>0</v>
      </c>
      <c r="C109" s="175">
        <f>Accounts!T100</f>
        <v/>
      </c>
      <c r="D109" s="174" t="n"/>
      <c r="E109" s="174" t="n"/>
      <c r="F109" s="176">
        <f>Accounts!F100</f>
        <v/>
      </c>
      <c r="G109" s="174">
        <f>Accounts!O100</f>
        <v/>
      </c>
      <c r="H109" s="174">
        <f>Accounts!P100</f>
        <v/>
      </c>
      <c r="I109" s="174">
        <f>Accounts!H100</f>
        <v/>
      </c>
      <c r="J109" s="174">
        <f>Accounts!I100</f>
        <v/>
      </c>
      <c r="K109" s="176">
        <f>#REF!</f>
        <v/>
      </c>
      <c r="L109" s="173" t="n"/>
      <c r="M109" s="9" t="n"/>
      <c r="N109" s="28" t="b">
        <v>0</v>
      </c>
      <c r="O109" s="172" t="b">
        <v>0</v>
      </c>
      <c r="P109" s="28" t="b">
        <v>0</v>
      </c>
      <c r="Q109" s="28" t="b">
        <v>0</v>
      </c>
      <c r="R109" s="28" t="b">
        <v>0</v>
      </c>
      <c r="S109" s="28" t="b">
        <v>0</v>
      </c>
      <c r="T109" s="28" t="b">
        <v>0</v>
      </c>
      <c r="U109" s="28" t="b">
        <v>0</v>
      </c>
      <c r="V109" s="28" t="b">
        <v>0</v>
      </c>
      <c r="W109" s="28" t="b">
        <v>0</v>
      </c>
    </row>
    <row r="110" ht="69" customHeight="1" s="222">
      <c r="A110" s="164">
        <f>Accounts!A101</f>
        <v/>
      </c>
      <c r="B110" s="145" t="b">
        <v>0</v>
      </c>
      <c r="C110" s="176">
        <f>Accounts!T101</f>
        <v/>
      </c>
      <c r="D110" s="174" t="n"/>
      <c r="E110" s="174" t="n"/>
      <c r="F110" s="176">
        <f>Accounts!F101</f>
        <v/>
      </c>
      <c r="G110" s="174">
        <f>Accounts!O101</f>
        <v/>
      </c>
      <c r="H110" s="174">
        <f>Accounts!P101</f>
        <v/>
      </c>
      <c r="I110" s="174">
        <f>Accounts!H101</f>
        <v/>
      </c>
      <c r="J110" s="174">
        <f>Accounts!I101</f>
        <v/>
      </c>
      <c r="K110" s="176">
        <f>#REF!</f>
        <v/>
      </c>
      <c r="L110" s="173" t="n"/>
      <c r="M110" s="9" t="n"/>
      <c r="N110" s="28" t="b">
        <v>0</v>
      </c>
      <c r="O110" s="172" t="b">
        <v>0</v>
      </c>
      <c r="P110" s="28" t="b">
        <v>0</v>
      </c>
      <c r="Q110" s="28" t="b">
        <v>0</v>
      </c>
      <c r="R110" s="28" t="b">
        <v>0</v>
      </c>
      <c r="S110" s="28" t="b">
        <v>0</v>
      </c>
      <c r="T110" s="28" t="b">
        <v>0</v>
      </c>
      <c r="U110" s="28" t="b">
        <v>0</v>
      </c>
      <c r="V110" s="28" t="b">
        <v>0</v>
      </c>
      <c r="W110" s="28" t="b">
        <v>0</v>
      </c>
    </row>
    <row r="111" ht="69" customHeight="1" s="222">
      <c r="A111" s="164">
        <f>Accounts!A102</f>
        <v/>
      </c>
      <c r="B111" s="145" t="b">
        <v>0</v>
      </c>
      <c r="C111" s="175">
        <f>Accounts!T102</f>
        <v/>
      </c>
      <c r="D111" s="174" t="n"/>
      <c r="E111" s="174" t="n"/>
      <c r="F111" s="176">
        <f>Accounts!F102</f>
        <v/>
      </c>
      <c r="G111" s="174">
        <f>Accounts!O102</f>
        <v/>
      </c>
      <c r="H111" s="174">
        <f>Accounts!P102</f>
        <v/>
      </c>
      <c r="I111" s="174">
        <f>Accounts!H102</f>
        <v/>
      </c>
      <c r="J111" s="174">
        <f>Accounts!I102</f>
        <v/>
      </c>
      <c r="K111" s="176">
        <f>#REF!</f>
        <v/>
      </c>
      <c r="L111" s="173" t="n"/>
      <c r="M111" s="9" t="n"/>
      <c r="N111" s="28" t="b">
        <v>0</v>
      </c>
      <c r="O111" s="172" t="b">
        <v>0</v>
      </c>
      <c r="P111" s="28" t="b">
        <v>0</v>
      </c>
      <c r="Q111" s="28" t="b">
        <v>0</v>
      </c>
      <c r="R111" s="28" t="b">
        <v>0</v>
      </c>
      <c r="S111" s="28" t="b">
        <v>0</v>
      </c>
      <c r="T111" s="28" t="b">
        <v>0</v>
      </c>
      <c r="U111" s="28" t="b">
        <v>0</v>
      </c>
      <c r="V111" s="28" t="b">
        <v>0</v>
      </c>
      <c r="W111" s="28" t="b">
        <v>0</v>
      </c>
    </row>
    <row r="112" ht="69" customHeight="1" s="222">
      <c r="A112" s="164">
        <f>Accounts!A103</f>
        <v/>
      </c>
      <c r="B112" s="145" t="b">
        <v>0</v>
      </c>
      <c r="C112" s="176">
        <f>Accounts!T103</f>
        <v/>
      </c>
      <c r="D112" s="174" t="n"/>
      <c r="E112" s="174" t="n"/>
      <c r="F112" s="176">
        <f>Accounts!F103</f>
        <v/>
      </c>
      <c r="G112" s="174">
        <f>Accounts!O103</f>
        <v/>
      </c>
      <c r="H112" s="174">
        <f>Accounts!P103</f>
        <v/>
      </c>
      <c r="I112" s="174">
        <f>Accounts!H103</f>
        <v/>
      </c>
      <c r="J112" s="174">
        <f>Accounts!I103</f>
        <v/>
      </c>
      <c r="K112" s="176">
        <f>#REF!</f>
        <v/>
      </c>
      <c r="L112" s="173" t="n"/>
      <c r="M112" s="9" t="n"/>
      <c r="N112" s="28" t="b">
        <v>0</v>
      </c>
      <c r="O112" s="172" t="b">
        <v>0</v>
      </c>
      <c r="P112" s="28" t="b">
        <v>0</v>
      </c>
      <c r="Q112" s="28" t="b">
        <v>0</v>
      </c>
      <c r="R112" s="28" t="b">
        <v>0</v>
      </c>
      <c r="S112" s="28" t="b">
        <v>0</v>
      </c>
      <c r="T112" s="28" t="b">
        <v>0</v>
      </c>
      <c r="U112" s="28" t="b">
        <v>0</v>
      </c>
      <c r="V112" s="28" t="b">
        <v>0</v>
      </c>
      <c r="W112" s="28" t="b">
        <v>0</v>
      </c>
    </row>
    <row r="113" ht="69" customHeight="1" s="222">
      <c r="A113" s="164">
        <f>Accounts!A104</f>
        <v/>
      </c>
      <c r="B113" s="145" t="b">
        <v>0</v>
      </c>
      <c r="C113" s="176">
        <f>Accounts!T104</f>
        <v/>
      </c>
      <c r="D113" s="174" t="n"/>
      <c r="E113" s="174" t="n"/>
      <c r="F113" s="176">
        <f>Accounts!F104</f>
        <v/>
      </c>
      <c r="G113" s="174">
        <f>Accounts!O104</f>
        <v/>
      </c>
      <c r="H113" s="174">
        <f>Accounts!P104</f>
        <v/>
      </c>
      <c r="I113" s="174">
        <f>Accounts!H104</f>
        <v/>
      </c>
      <c r="J113" s="174">
        <f>Accounts!I104</f>
        <v/>
      </c>
      <c r="K113" s="176">
        <f>#REF!</f>
        <v/>
      </c>
      <c r="L113" s="173" t="n"/>
      <c r="M113" s="9" t="n"/>
      <c r="N113" s="28" t="b">
        <v>0</v>
      </c>
      <c r="O113" s="172" t="b">
        <v>0</v>
      </c>
      <c r="P113" s="28" t="b">
        <v>0</v>
      </c>
      <c r="Q113" s="28" t="b">
        <v>0</v>
      </c>
      <c r="R113" s="28" t="b">
        <v>0</v>
      </c>
      <c r="S113" s="28" t="b">
        <v>0</v>
      </c>
      <c r="T113" s="28" t="b">
        <v>0</v>
      </c>
      <c r="U113" s="28" t="b">
        <v>0</v>
      </c>
      <c r="V113" s="28" t="b">
        <v>0</v>
      </c>
      <c r="W113" s="28" t="b">
        <v>0</v>
      </c>
    </row>
    <row r="114" ht="69" customHeight="1" s="222">
      <c r="A114" s="164">
        <f>Accounts!A105</f>
        <v/>
      </c>
      <c r="B114" s="145" t="b">
        <v>0</v>
      </c>
      <c r="C114" s="176">
        <f>Accounts!T105</f>
        <v/>
      </c>
      <c r="D114" s="174" t="n"/>
      <c r="E114" s="174" t="n"/>
      <c r="F114" s="176">
        <f>Accounts!F105</f>
        <v/>
      </c>
      <c r="G114" s="174">
        <f>Accounts!O105</f>
        <v/>
      </c>
      <c r="H114" s="174">
        <f>Accounts!P105</f>
        <v/>
      </c>
      <c r="I114" s="174">
        <f>Accounts!H105</f>
        <v/>
      </c>
      <c r="J114" s="174">
        <f>Accounts!I105</f>
        <v/>
      </c>
      <c r="K114" s="176">
        <f>#REF!</f>
        <v/>
      </c>
      <c r="L114" s="173" t="n"/>
      <c r="M114" s="9" t="n"/>
      <c r="N114" s="28" t="b">
        <v>0</v>
      </c>
      <c r="O114" s="172" t="b">
        <v>0</v>
      </c>
      <c r="P114" s="28" t="b">
        <v>0</v>
      </c>
      <c r="Q114" s="28" t="b">
        <v>0</v>
      </c>
      <c r="R114" s="28" t="b">
        <v>0</v>
      </c>
      <c r="S114" s="28" t="b">
        <v>0</v>
      </c>
      <c r="T114" s="28" t="b">
        <v>0</v>
      </c>
      <c r="U114" s="28" t="b">
        <v>0</v>
      </c>
      <c r="V114" s="28" t="b">
        <v>0</v>
      </c>
      <c r="W114" s="28" t="b">
        <v>0</v>
      </c>
    </row>
    <row r="115" ht="69" customHeight="1" s="222">
      <c r="A115" s="164">
        <f>Accounts!A106</f>
        <v/>
      </c>
      <c r="B115" s="145" t="b">
        <v>0</v>
      </c>
      <c r="C115" s="176">
        <f>Accounts!T106</f>
        <v/>
      </c>
      <c r="D115" s="174" t="n"/>
      <c r="E115" s="174" t="n"/>
      <c r="F115" s="176">
        <f>Accounts!F106</f>
        <v/>
      </c>
      <c r="G115" s="174">
        <f>Accounts!O106</f>
        <v/>
      </c>
      <c r="H115" s="174">
        <f>Accounts!P106</f>
        <v/>
      </c>
      <c r="I115" s="174">
        <f>Accounts!H106</f>
        <v/>
      </c>
      <c r="J115" s="174">
        <f>Accounts!I106</f>
        <v/>
      </c>
      <c r="K115" s="176">
        <f>#REF!</f>
        <v/>
      </c>
      <c r="L115" s="173" t="n"/>
      <c r="M115" s="9" t="n"/>
      <c r="N115" s="28" t="b">
        <v>0</v>
      </c>
      <c r="O115" s="172" t="b">
        <v>0</v>
      </c>
      <c r="P115" s="28" t="b">
        <v>0</v>
      </c>
      <c r="Q115" s="28" t="b">
        <v>0</v>
      </c>
      <c r="R115" s="28" t="b">
        <v>0</v>
      </c>
      <c r="S115" s="28" t="b">
        <v>0</v>
      </c>
      <c r="T115" s="28" t="b">
        <v>0</v>
      </c>
      <c r="U115" s="28" t="b">
        <v>0</v>
      </c>
      <c r="V115" s="28" t="b">
        <v>0</v>
      </c>
      <c r="W115" s="28" t="b">
        <v>0</v>
      </c>
    </row>
    <row r="116" ht="69" customHeight="1" s="222">
      <c r="A116" s="164">
        <f>Accounts!A107</f>
        <v/>
      </c>
      <c r="B116" s="145" t="b">
        <v>0</v>
      </c>
      <c r="C116" s="176">
        <f>Accounts!T107</f>
        <v/>
      </c>
      <c r="D116" s="174" t="n"/>
      <c r="E116" s="174" t="n"/>
      <c r="F116" s="176">
        <f>Accounts!F107</f>
        <v/>
      </c>
      <c r="G116" s="174">
        <f>Accounts!O107</f>
        <v/>
      </c>
      <c r="H116" s="174">
        <f>Accounts!P107</f>
        <v/>
      </c>
      <c r="I116" s="174">
        <f>Accounts!H107</f>
        <v/>
      </c>
      <c r="J116" s="174">
        <f>Accounts!I107</f>
        <v/>
      </c>
      <c r="K116" s="176">
        <f>#REF!</f>
        <v/>
      </c>
      <c r="L116" s="173" t="n"/>
      <c r="M116" s="9" t="n"/>
      <c r="N116" s="28" t="b">
        <v>0</v>
      </c>
      <c r="O116" s="172" t="b">
        <v>0</v>
      </c>
      <c r="P116" s="28" t="b">
        <v>0</v>
      </c>
      <c r="Q116" s="28" t="b">
        <v>0</v>
      </c>
      <c r="R116" s="28" t="b">
        <v>0</v>
      </c>
      <c r="S116" s="28" t="b">
        <v>0</v>
      </c>
      <c r="T116" s="28" t="b">
        <v>0</v>
      </c>
      <c r="U116" s="28" t="b">
        <v>0</v>
      </c>
      <c r="V116" s="28" t="b">
        <v>0</v>
      </c>
      <c r="W116" s="28" t="b">
        <v>0</v>
      </c>
    </row>
    <row r="117" ht="69" customHeight="1" s="222">
      <c r="A117" s="164">
        <f>Accounts!A108</f>
        <v/>
      </c>
      <c r="B117" s="145" t="b">
        <v>0</v>
      </c>
      <c r="C117" s="176">
        <f>Accounts!T108</f>
        <v/>
      </c>
      <c r="D117" s="174" t="n"/>
      <c r="E117" s="174" t="n"/>
      <c r="F117" s="176">
        <f>Accounts!F108</f>
        <v/>
      </c>
      <c r="G117" s="174">
        <f>Accounts!O108</f>
        <v/>
      </c>
      <c r="H117" s="174">
        <f>Accounts!P108</f>
        <v/>
      </c>
      <c r="I117" s="174">
        <f>Accounts!H108</f>
        <v/>
      </c>
      <c r="J117" s="174">
        <f>Accounts!I108</f>
        <v/>
      </c>
      <c r="K117" s="176">
        <f>#REF!</f>
        <v/>
      </c>
      <c r="L117" s="173" t="n"/>
      <c r="M117" s="9" t="n"/>
      <c r="N117" s="28" t="b">
        <v>0</v>
      </c>
      <c r="O117" s="172" t="b">
        <v>0</v>
      </c>
      <c r="P117" s="28" t="b">
        <v>0</v>
      </c>
      <c r="Q117" s="28" t="b">
        <v>0</v>
      </c>
      <c r="R117" s="28" t="b">
        <v>0</v>
      </c>
      <c r="S117" s="28" t="b">
        <v>0</v>
      </c>
      <c r="T117" s="28" t="b">
        <v>0</v>
      </c>
      <c r="U117" s="28" t="b">
        <v>0</v>
      </c>
      <c r="V117" s="28" t="b">
        <v>0</v>
      </c>
      <c r="W117" s="28" t="b">
        <v>0</v>
      </c>
    </row>
    <row r="118" ht="69" customHeight="1" s="222">
      <c r="A118" s="164">
        <f>Accounts!A109</f>
        <v/>
      </c>
      <c r="B118" s="145" t="b">
        <v>0</v>
      </c>
      <c r="C118" s="176">
        <f>Accounts!T109</f>
        <v/>
      </c>
      <c r="D118" s="174" t="n"/>
      <c r="E118" s="174" t="n"/>
      <c r="F118" s="176">
        <f>Accounts!F109</f>
        <v/>
      </c>
      <c r="G118" s="174">
        <f>Accounts!O109</f>
        <v/>
      </c>
      <c r="H118" s="174">
        <f>Accounts!P109</f>
        <v/>
      </c>
      <c r="I118" s="174">
        <f>Accounts!H109</f>
        <v/>
      </c>
      <c r="J118" s="174">
        <f>Accounts!I109</f>
        <v/>
      </c>
      <c r="K118" s="176">
        <f>#REF!</f>
        <v/>
      </c>
      <c r="L118" s="173" t="n"/>
      <c r="M118" s="9" t="n"/>
      <c r="N118" s="28" t="b">
        <v>0</v>
      </c>
      <c r="O118" s="172" t="b">
        <v>0</v>
      </c>
      <c r="P118" s="28" t="b">
        <v>0</v>
      </c>
      <c r="Q118" s="28" t="b">
        <v>0</v>
      </c>
      <c r="R118" s="28" t="b">
        <v>0</v>
      </c>
      <c r="S118" s="28" t="b">
        <v>0</v>
      </c>
      <c r="T118" s="28" t="b">
        <v>0</v>
      </c>
      <c r="U118" s="28" t="b">
        <v>0</v>
      </c>
      <c r="V118" s="28" t="b">
        <v>0</v>
      </c>
      <c r="W118" s="28" t="b">
        <v>0</v>
      </c>
    </row>
    <row r="119" ht="69" customHeight="1" s="222">
      <c r="A119" s="164">
        <f>Accounts!A110</f>
        <v/>
      </c>
      <c r="B119" s="145" t="b">
        <v>0</v>
      </c>
      <c r="C119" s="175">
        <f>Accounts!T110</f>
        <v/>
      </c>
      <c r="D119" s="174" t="n"/>
      <c r="E119" s="174" t="n"/>
      <c r="F119" s="176">
        <f>Accounts!F110</f>
        <v/>
      </c>
      <c r="G119" s="174">
        <f>Accounts!O110</f>
        <v/>
      </c>
      <c r="H119" s="174">
        <f>Accounts!P110</f>
        <v/>
      </c>
      <c r="I119" s="174">
        <f>Accounts!H110</f>
        <v/>
      </c>
      <c r="J119" s="174">
        <f>Accounts!I110</f>
        <v/>
      </c>
      <c r="K119" s="176">
        <f>#REF!</f>
        <v/>
      </c>
      <c r="L119" s="173" t="n"/>
      <c r="M119" s="9" t="n"/>
      <c r="N119" s="28" t="b">
        <v>0</v>
      </c>
      <c r="O119" s="172" t="b">
        <v>0</v>
      </c>
      <c r="P119" s="28" t="b">
        <v>0</v>
      </c>
      <c r="Q119" s="28" t="b">
        <v>0</v>
      </c>
      <c r="R119" s="28" t="b">
        <v>0</v>
      </c>
      <c r="S119" s="28" t="b">
        <v>0</v>
      </c>
      <c r="T119" s="28" t="b">
        <v>0</v>
      </c>
      <c r="U119" s="28" t="b">
        <v>0</v>
      </c>
      <c r="V119" s="28" t="b">
        <v>0</v>
      </c>
      <c r="W119" s="28" t="b">
        <v>0</v>
      </c>
    </row>
    <row r="120" ht="69" customHeight="1" s="222">
      <c r="A120" s="164">
        <f>Accounts!A111</f>
        <v/>
      </c>
      <c r="B120" s="145" t="b">
        <v>0</v>
      </c>
      <c r="C120" s="176">
        <f>Accounts!T111</f>
        <v/>
      </c>
      <c r="D120" s="174" t="n"/>
      <c r="E120" s="174" t="n"/>
      <c r="F120" s="176">
        <f>Accounts!F111</f>
        <v/>
      </c>
      <c r="G120" s="174">
        <f>Accounts!O111</f>
        <v/>
      </c>
      <c r="H120" s="174">
        <f>Accounts!P111</f>
        <v/>
      </c>
      <c r="I120" s="174">
        <f>Accounts!H111</f>
        <v/>
      </c>
      <c r="J120" s="174">
        <f>Accounts!I111</f>
        <v/>
      </c>
      <c r="K120" s="176">
        <f>#REF!</f>
        <v/>
      </c>
      <c r="L120" s="173" t="n"/>
      <c r="M120" s="9" t="n"/>
      <c r="N120" s="28" t="b">
        <v>0</v>
      </c>
      <c r="O120" s="172" t="b">
        <v>0</v>
      </c>
      <c r="P120" s="28" t="b">
        <v>0</v>
      </c>
      <c r="Q120" s="28" t="b">
        <v>0</v>
      </c>
      <c r="R120" s="28" t="b">
        <v>0</v>
      </c>
      <c r="S120" s="28" t="b">
        <v>0</v>
      </c>
      <c r="T120" s="28" t="b">
        <v>0</v>
      </c>
      <c r="U120" s="28" t="b">
        <v>0</v>
      </c>
      <c r="V120" s="28" t="b">
        <v>0</v>
      </c>
      <c r="W120" s="28" t="b">
        <v>0</v>
      </c>
    </row>
    <row r="121" ht="69" customHeight="1" s="222">
      <c r="A121" s="164">
        <f>Accounts!A112</f>
        <v/>
      </c>
      <c r="B121" s="145" t="b">
        <v>0</v>
      </c>
      <c r="C121" s="176">
        <f>Accounts!T112</f>
        <v/>
      </c>
      <c r="D121" s="174" t="n"/>
      <c r="E121" s="174" t="n"/>
      <c r="F121" s="176">
        <f>Accounts!F112</f>
        <v/>
      </c>
      <c r="G121" s="174">
        <f>Accounts!O112</f>
        <v/>
      </c>
      <c r="H121" s="174">
        <f>Accounts!P112</f>
        <v/>
      </c>
      <c r="I121" s="174">
        <f>Accounts!H112</f>
        <v/>
      </c>
      <c r="J121" s="174">
        <f>Accounts!I112</f>
        <v/>
      </c>
      <c r="K121" s="176">
        <f>#REF!</f>
        <v/>
      </c>
      <c r="L121" s="173" t="n"/>
      <c r="M121" s="9" t="n"/>
      <c r="N121" s="28" t="b">
        <v>0</v>
      </c>
      <c r="O121" s="172" t="b">
        <v>0</v>
      </c>
      <c r="P121" s="28" t="b">
        <v>0</v>
      </c>
      <c r="Q121" s="28" t="b">
        <v>0</v>
      </c>
      <c r="R121" s="28" t="b">
        <v>0</v>
      </c>
      <c r="S121" s="28" t="b">
        <v>0</v>
      </c>
      <c r="T121" s="28" t="b">
        <v>0</v>
      </c>
      <c r="U121" s="28" t="b">
        <v>0</v>
      </c>
      <c r="V121" s="28" t="b">
        <v>0</v>
      </c>
      <c r="W121" s="28" t="b">
        <v>0</v>
      </c>
    </row>
    <row r="122" ht="69" customHeight="1" s="222">
      <c r="A122" s="164">
        <f>Accounts!A113</f>
        <v/>
      </c>
      <c r="B122" s="145" t="b">
        <v>0</v>
      </c>
      <c r="C122" s="176">
        <f>Accounts!T113</f>
        <v/>
      </c>
      <c r="D122" s="174" t="n"/>
      <c r="E122" s="174" t="n"/>
      <c r="F122" s="176">
        <f>Accounts!F113</f>
        <v/>
      </c>
      <c r="G122" s="174">
        <f>Accounts!O113</f>
        <v/>
      </c>
      <c r="H122" s="174">
        <f>Accounts!P113</f>
        <v/>
      </c>
      <c r="I122" s="174">
        <f>Accounts!H113</f>
        <v/>
      </c>
      <c r="J122" s="174">
        <f>Accounts!I113</f>
        <v/>
      </c>
      <c r="K122" s="176">
        <f>#REF!</f>
        <v/>
      </c>
      <c r="L122" s="173" t="n"/>
      <c r="M122" s="9" t="n"/>
      <c r="N122" s="28" t="b">
        <v>0</v>
      </c>
      <c r="O122" s="172" t="b">
        <v>0</v>
      </c>
      <c r="P122" s="28" t="b">
        <v>0</v>
      </c>
      <c r="Q122" s="28" t="b">
        <v>0</v>
      </c>
      <c r="R122" s="28" t="b">
        <v>0</v>
      </c>
      <c r="S122" s="28" t="b">
        <v>0</v>
      </c>
      <c r="T122" s="28" t="b">
        <v>0</v>
      </c>
      <c r="U122" s="28" t="b">
        <v>0</v>
      </c>
      <c r="V122" s="28" t="b">
        <v>0</v>
      </c>
      <c r="W122" s="28" t="b">
        <v>0</v>
      </c>
    </row>
    <row r="123" ht="69" customHeight="1" s="222">
      <c r="A123" s="164">
        <f>Accounts!A114</f>
        <v/>
      </c>
      <c r="B123" s="145" t="b">
        <v>0</v>
      </c>
      <c r="C123" s="176">
        <f>Accounts!T114</f>
        <v/>
      </c>
      <c r="D123" s="174" t="n"/>
      <c r="E123" s="174" t="n"/>
      <c r="F123" s="176">
        <f>Accounts!F114</f>
        <v/>
      </c>
      <c r="G123" s="174">
        <f>Accounts!O114</f>
        <v/>
      </c>
      <c r="H123" s="174">
        <f>Accounts!P114</f>
        <v/>
      </c>
      <c r="I123" s="174">
        <f>Accounts!H114</f>
        <v/>
      </c>
      <c r="J123" s="174">
        <f>Accounts!I114</f>
        <v/>
      </c>
      <c r="K123" s="176">
        <f>#REF!</f>
        <v/>
      </c>
      <c r="L123" s="173" t="n"/>
      <c r="M123" s="9" t="n"/>
      <c r="N123" s="28" t="b">
        <v>0</v>
      </c>
      <c r="O123" s="172" t="b">
        <v>0</v>
      </c>
      <c r="P123" s="28" t="b">
        <v>0</v>
      </c>
      <c r="Q123" s="28" t="b">
        <v>0</v>
      </c>
      <c r="R123" s="28" t="b">
        <v>0</v>
      </c>
      <c r="S123" s="28" t="b">
        <v>0</v>
      </c>
      <c r="T123" s="28" t="b">
        <v>0</v>
      </c>
      <c r="U123" s="28" t="b">
        <v>0</v>
      </c>
      <c r="V123" s="28" t="b">
        <v>0</v>
      </c>
      <c r="W123" s="28" t="b">
        <v>0</v>
      </c>
    </row>
    <row r="124" ht="69" customHeight="1" s="222">
      <c r="A124" s="164">
        <f>Accounts!A115</f>
        <v/>
      </c>
      <c r="B124" s="145" t="b">
        <v>0</v>
      </c>
      <c r="C124" s="175">
        <f>Accounts!T115</f>
        <v/>
      </c>
      <c r="D124" s="174" t="n"/>
      <c r="E124" s="174" t="n"/>
      <c r="F124" s="170">
        <f>Accounts!F115</f>
        <v/>
      </c>
      <c r="G124" s="174">
        <f>Accounts!O115</f>
        <v/>
      </c>
      <c r="H124" s="174">
        <f>Accounts!P115</f>
        <v/>
      </c>
      <c r="I124" s="174">
        <f>Accounts!H115</f>
        <v/>
      </c>
      <c r="J124" s="174">
        <f>Accounts!I115</f>
        <v/>
      </c>
      <c r="K124" s="176">
        <f>#REF!</f>
        <v/>
      </c>
      <c r="L124" s="173" t="n"/>
      <c r="M124" s="9" t="n"/>
      <c r="N124" s="28" t="b">
        <v>0</v>
      </c>
      <c r="O124" s="172" t="b">
        <v>0</v>
      </c>
      <c r="P124" s="28" t="b">
        <v>0</v>
      </c>
      <c r="Q124" s="28" t="b">
        <v>0</v>
      </c>
      <c r="R124" s="28" t="b">
        <v>0</v>
      </c>
      <c r="S124" s="28" t="b">
        <v>0</v>
      </c>
      <c r="T124" s="28" t="b">
        <v>0</v>
      </c>
      <c r="U124" s="28" t="b">
        <v>0</v>
      </c>
      <c r="V124" s="28" t="b">
        <v>0</v>
      </c>
      <c r="W124" s="28" t="b">
        <v>0</v>
      </c>
    </row>
    <row r="125" ht="69" customHeight="1" s="222">
      <c r="A125" s="164">
        <f>#REF!</f>
        <v/>
      </c>
      <c r="B125" s="145" t="b">
        <v>0</v>
      </c>
      <c r="C125" s="176">
        <f>#REF!</f>
        <v/>
      </c>
      <c r="D125" s="174" t="n"/>
      <c r="E125" s="174" t="n"/>
      <c r="F125" s="176">
        <f>#REF!</f>
        <v/>
      </c>
      <c r="G125" s="174">
        <f>#REF!</f>
        <v/>
      </c>
      <c r="H125" s="174">
        <f>#REF!</f>
        <v/>
      </c>
      <c r="I125" s="174">
        <f>#REF!</f>
        <v/>
      </c>
      <c r="J125" s="174">
        <f>#REF!</f>
        <v/>
      </c>
      <c r="K125" s="176">
        <f>#REF!</f>
        <v/>
      </c>
      <c r="L125" s="173" t="n"/>
      <c r="M125" s="9" t="n"/>
      <c r="N125" s="28" t="b">
        <v>0</v>
      </c>
      <c r="O125" s="172" t="b">
        <v>0</v>
      </c>
      <c r="P125" s="28" t="b">
        <v>0</v>
      </c>
      <c r="Q125" s="28" t="b">
        <v>0</v>
      </c>
      <c r="R125" s="28" t="b">
        <v>0</v>
      </c>
      <c r="S125" s="28" t="b">
        <v>0</v>
      </c>
      <c r="T125" s="28" t="b">
        <v>0</v>
      </c>
      <c r="U125" s="28" t="b">
        <v>0</v>
      </c>
      <c r="V125" s="28" t="b">
        <v>0</v>
      </c>
      <c r="W125" s="28" t="b">
        <v>0</v>
      </c>
    </row>
    <row r="126" ht="69" customHeight="1" s="222">
      <c r="A126" s="164">
        <f>Accounts!A116</f>
        <v/>
      </c>
      <c r="B126" s="145" t="b">
        <v>0</v>
      </c>
      <c r="C126" s="176">
        <f>Accounts!T116</f>
        <v/>
      </c>
      <c r="D126" s="174" t="n"/>
      <c r="E126" s="174" t="n"/>
      <c r="F126" s="170">
        <f>Accounts!F116</f>
        <v/>
      </c>
      <c r="G126" s="174">
        <f>Accounts!O116</f>
        <v/>
      </c>
      <c r="H126" s="174">
        <f>Accounts!P116</f>
        <v/>
      </c>
      <c r="I126" s="174">
        <f>Accounts!H116</f>
        <v/>
      </c>
      <c r="J126" s="174">
        <f>Accounts!I116</f>
        <v/>
      </c>
      <c r="K126" s="176">
        <f>#REF!</f>
        <v/>
      </c>
      <c r="L126" s="173" t="n"/>
      <c r="M126" s="9" t="n"/>
      <c r="N126" s="28" t="b">
        <v>0</v>
      </c>
      <c r="O126" s="172" t="b">
        <v>0</v>
      </c>
      <c r="P126" s="28" t="b">
        <v>0</v>
      </c>
      <c r="Q126" s="28" t="b">
        <v>0</v>
      </c>
      <c r="R126" s="28" t="b">
        <v>0</v>
      </c>
      <c r="S126" s="28" t="b">
        <v>0</v>
      </c>
      <c r="T126" s="28" t="b">
        <v>0</v>
      </c>
      <c r="U126" s="28" t="b">
        <v>0</v>
      </c>
      <c r="V126" s="28" t="b">
        <v>0</v>
      </c>
      <c r="W126" s="28" t="b">
        <v>0</v>
      </c>
    </row>
    <row r="127" ht="69" customHeight="1" s="222">
      <c r="A127" s="164">
        <f>Accounts!A117</f>
        <v/>
      </c>
      <c r="B127" s="145" t="b">
        <v>0</v>
      </c>
      <c r="C127" s="176">
        <f>Accounts!T117</f>
        <v/>
      </c>
      <c r="D127" s="174" t="n"/>
      <c r="E127" s="174" t="n"/>
      <c r="F127" s="176">
        <f>Accounts!F117</f>
        <v/>
      </c>
      <c r="G127" s="174">
        <f>Accounts!O117</f>
        <v/>
      </c>
      <c r="H127" s="174">
        <f>Accounts!P117</f>
        <v/>
      </c>
      <c r="I127" s="174">
        <f>Accounts!H117</f>
        <v/>
      </c>
      <c r="J127" s="174">
        <f>Accounts!I117</f>
        <v/>
      </c>
      <c r="K127" s="176">
        <f>#REF!</f>
        <v/>
      </c>
      <c r="L127" s="173" t="n"/>
      <c r="M127" s="9" t="n"/>
      <c r="N127" s="28" t="b">
        <v>0</v>
      </c>
      <c r="O127" s="172" t="b">
        <v>0</v>
      </c>
      <c r="P127" s="28" t="b">
        <v>0</v>
      </c>
      <c r="Q127" s="28" t="b">
        <v>0</v>
      </c>
      <c r="R127" s="28" t="b">
        <v>0</v>
      </c>
      <c r="S127" s="28" t="b">
        <v>0</v>
      </c>
      <c r="T127" s="28" t="b">
        <v>0</v>
      </c>
      <c r="U127" s="28" t="b">
        <v>0</v>
      </c>
      <c r="V127" s="28" t="b">
        <v>0</v>
      </c>
      <c r="W127" s="28" t="b">
        <v>0</v>
      </c>
    </row>
    <row r="128" ht="69" customHeight="1" s="222">
      <c r="A128" s="164">
        <f>Accounts!A118</f>
        <v/>
      </c>
      <c r="B128" s="145" t="b">
        <v>0</v>
      </c>
      <c r="C128" s="176">
        <f>Accounts!T118</f>
        <v/>
      </c>
      <c r="D128" s="174" t="n"/>
      <c r="E128" s="174" t="n"/>
      <c r="F128" s="176">
        <f>Accounts!F118</f>
        <v/>
      </c>
      <c r="G128" s="174">
        <f>Accounts!O118</f>
        <v/>
      </c>
      <c r="H128" s="174">
        <f>Accounts!P118</f>
        <v/>
      </c>
      <c r="I128" s="174">
        <f>Accounts!H118</f>
        <v/>
      </c>
      <c r="J128" s="174">
        <f>Accounts!I118</f>
        <v/>
      </c>
      <c r="K128" s="176">
        <f>#REF!</f>
        <v/>
      </c>
      <c r="L128" s="173" t="n"/>
      <c r="M128" s="9" t="n"/>
      <c r="N128" s="28" t="b">
        <v>0</v>
      </c>
      <c r="O128" s="172" t="b">
        <v>0</v>
      </c>
      <c r="P128" s="28" t="b">
        <v>0</v>
      </c>
      <c r="Q128" s="28" t="b">
        <v>0</v>
      </c>
      <c r="R128" s="28" t="b">
        <v>0</v>
      </c>
      <c r="S128" s="28" t="b">
        <v>0</v>
      </c>
      <c r="T128" s="28" t="b">
        <v>0</v>
      </c>
      <c r="U128" s="28" t="b">
        <v>0</v>
      </c>
      <c r="V128" s="28" t="b">
        <v>0</v>
      </c>
      <c r="W128" s="28" t="b">
        <v>0</v>
      </c>
    </row>
    <row r="129" ht="69" customHeight="1" s="222">
      <c r="A129" s="164">
        <f>Accounts!A119</f>
        <v/>
      </c>
      <c r="B129" s="145" t="b">
        <v>0</v>
      </c>
      <c r="C129" s="176">
        <f>Accounts!T119</f>
        <v/>
      </c>
      <c r="D129" s="174" t="n"/>
      <c r="E129" s="174" t="n"/>
      <c r="F129" s="176">
        <f>Accounts!F119</f>
        <v/>
      </c>
      <c r="G129" s="174">
        <f>Accounts!O119</f>
        <v/>
      </c>
      <c r="H129" s="174">
        <f>Accounts!P119</f>
        <v/>
      </c>
      <c r="I129" s="174">
        <f>Accounts!H119</f>
        <v/>
      </c>
      <c r="J129" s="174">
        <f>Accounts!I119</f>
        <v/>
      </c>
      <c r="K129" s="176">
        <f>#REF!</f>
        <v/>
      </c>
      <c r="L129" s="173" t="n"/>
      <c r="M129" s="9" t="n"/>
      <c r="N129" s="28" t="b">
        <v>0</v>
      </c>
      <c r="O129" s="172" t="b">
        <v>0</v>
      </c>
      <c r="P129" s="28" t="b">
        <v>0</v>
      </c>
      <c r="Q129" s="28" t="b">
        <v>0</v>
      </c>
      <c r="R129" s="28" t="b">
        <v>0</v>
      </c>
      <c r="S129" s="28" t="b">
        <v>0</v>
      </c>
      <c r="T129" s="28" t="b">
        <v>0</v>
      </c>
      <c r="U129" s="28" t="b">
        <v>0</v>
      </c>
      <c r="V129" s="28" t="b">
        <v>0</v>
      </c>
      <c r="W129" s="28" t="b">
        <v>0</v>
      </c>
    </row>
    <row r="130" ht="69" customHeight="1" s="222">
      <c r="A130" s="164">
        <f>Accounts!A120</f>
        <v/>
      </c>
      <c r="B130" s="145" t="b">
        <v>0</v>
      </c>
      <c r="C130" s="175">
        <f>Accounts!T120</f>
        <v/>
      </c>
      <c r="D130" s="174" t="n"/>
      <c r="E130" s="174" t="n"/>
      <c r="F130" s="176">
        <f>Accounts!F120</f>
        <v/>
      </c>
      <c r="G130" s="174">
        <f>Accounts!O120</f>
        <v/>
      </c>
      <c r="H130" s="174">
        <f>Accounts!P120</f>
        <v/>
      </c>
      <c r="I130" s="174">
        <f>Accounts!H120</f>
        <v/>
      </c>
      <c r="J130" s="174">
        <f>Accounts!I120</f>
        <v/>
      </c>
      <c r="K130" s="176">
        <f>#REF!</f>
        <v/>
      </c>
      <c r="L130" s="173" t="n"/>
      <c r="M130" s="9" t="n"/>
      <c r="N130" s="28" t="b">
        <v>0</v>
      </c>
      <c r="O130" s="172" t="b">
        <v>0</v>
      </c>
      <c r="P130" s="28" t="b">
        <v>0</v>
      </c>
      <c r="Q130" s="28" t="b">
        <v>0</v>
      </c>
      <c r="R130" s="28" t="b">
        <v>0</v>
      </c>
      <c r="S130" s="28" t="b">
        <v>0</v>
      </c>
      <c r="T130" s="28" t="b">
        <v>0</v>
      </c>
      <c r="U130" s="28" t="b">
        <v>0</v>
      </c>
      <c r="V130" s="28" t="b">
        <v>0</v>
      </c>
      <c r="W130" s="28" t="b">
        <v>0</v>
      </c>
    </row>
    <row r="131" ht="69" customHeight="1" s="222">
      <c r="A131" s="164">
        <f>Accounts!A121</f>
        <v/>
      </c>
      <c r="B131" s="145" t="b">
        <v>0</v>
      </c>
      <c r="C131" s="176">
        <f>Accounts!T121</f>
        <v/>
      </c>
      <c r="D131" s="174" t="n"/>
      <c r="E131" s="174" t="n"/>
      <c r="F131" s="176">
        <f>Accounts!F121</f>
        <v/>
      </c>
      <c r="G131" s="174">
        <f>Accounts!O121</f>
        <v/>
      </c>
      <c r="H131" s="174">
        <f>Accounts!P121</f>
        <v/>
      </c>
      <c r="I131" s="174">
        <f>Accounts!H121</f>
        <v/>
      </c>
      <c r="J131" s="174">
        <f>Accounts!I121</f>
        <v/>
      </c>
      <c r="K131" s="176">
        <f>#REF!</f>
        <v/>
      </c>
      <c r="L131" s="173" t="n"/>
      <c r="M131" s="9" t="n"/>
      <c r="N131" s="28" t="b">
        <v>0</v>
      </c>
      <c r="O131" s="172" t="b">
        <v>0</v>
      </c>
      <c r="P131" s="28" t="b">
        <v>0</v>
      </c>
      <c r="Q131" s="28" t="b">
        <v>0</v>
      </c>
      <c r="R131" s="28" t="b">
        <v>0</v>
      </c>
      <c r="S131" s="28" t="b">
        <v>0</v>
      </c>
      <c r="T131" s="28" t="b">
        <v>0</v>
      </c>
      <c r="U131" s="28" t="b">
        <v>0</v>
      </c>
      <c r="V131" s="28" t="b">
        <v>0</v>
      </c>
      <c r="W131" s="28" t="b">
        <v>0</v>
      </c>
    </row>
    <row r="132" ht="69" customHeight="1" s="222">
      <c r="A132" s="164">
        <f>Accounts!A122</f>
        <v/>
      </c>
      <c r="B132" s="145" t="b">
        <v>0</v>
      </c>
      <c r="C132" s="176">
        <f>Accounts!T122</f>
        <v/>
      </c>
      <c r="D132" s="174" t="n"/>
      <c r="E132" s="174" t="n"/>
      <c r="F132" s="170">
        <f>Accounts!F122</f>
        <v/>
      </c>
      <c r="G132" s="174">
        <f>Accounts!O122</f>
        <v/>
      </c>
      <c r="H132" s="174">
        <f>Accounts!P122</f>
        <v/>
      </c>
      <c r="I132" s="174">
        <f>Accounts!H122</f>
        <v/>
      </c>
      <c r="J132" s="174">
        <f>Accounts!I122</f>
        <v/>
      </c>
      <c r="K132" s="176">
        <f>#REF!</f>
        <v/>
      </c>
      <c r="L132" s="173" t="n"/>
      <c r="M132" s="9" t="n"/>
      <c r="N132" s="28" t="b">
        <v>0</v>
      </c>
      <c r="O132" s="172" t="b">
        <v>0</v>
      </c>
      <c r="P132" s="28" t="b">
        <v>0</v>
      </c>
      <c r="Q132" s="28" t="b">
        <v>0</v>
      </c>
      <c r="R132" s="28" t="b">
        <v>0</v>
      </c>
      <c r="S132" s="28" t="b">
        <v>0</v>
      </c>
      <c r="T132" s="28" t="b">
        <v>0</v>
      </c>
      <c r="U132" s="28" t="b">
        <v>0</v>
      </c>
      <c r="V132" s="28" t="b">
        <v>0</v>
      </c>
      <c r="W132" s="28" t="b">
        <v>0</v>
      </c>
    </row>
    <row r="133" ht="69" customHeight="1" s="222">
      <c r="A133" s="164">
        <f>Accounts!A123</f>
        <v/>
      </c>
      <c r="B133" s="145" t="b">
        <v>0</v>
      </c>
      <c r="C133" s="176">
        <f>Accounts!T123</f>
        <v/>
      </c>
      <c r="D133" s="174" t="n"/>
      <c r="E133" s="174" t="n"/>
      <c r="F133" s="176">
        <f>Accounts!F123</f>
        <v/>
      </c>
      <c r="G133" s="174">
        <f>Accounts!O123</f>
        <v/>
      </c>
      <c r="H133" s="174">
        <f>Accounts!P123</f>
        <v/>
      </c>
      <c r="I133" s="174">
        <f>Accounts!H123</f>
        <v/>
      </c>
      <c r="J133" s="174">
        <f>Accounts!I123</f>
        <v/>
      </c>
      <c r="K133" s="176">
        <f>#REF!</f>
        <v/>
      </c>
      <c r="L133" s="173" t="n"/>
      <c r="M133" s="9" t="n"/>
      <c r="N133" s="28" t="b">
        <v>0</v>
      </c>
      <c r="O133" s="172" t="b">
        <v>0</v>
      </c>
      <c r="P133" s="28" t="b">
        <v>0</v>
      </c>
      <c r="Q133" s="28" t="b">
        <v>0</v>
      </c>
      <c r="R133" s="28" t="b">
        <v>0</v>
      </c>
      <c r="S133" s="28" t="b">
        <v>0</v>
      </c>
      <c r="T133" s="28" t="b">
        <v>0</v>
      </c>
      <c r="U133" s="28" t="b">
        <v>0</v>
      </c>
      <c r="V133" s="28" t="b">
        <v>0</v>
      </c>
      <c r="W133" s="28" t="b">
        <v>0</v>
      </c>
    </row>
    <row r="134" ht="69" customHeight="1" s="222">
      <c r="A134" s="164">
        <f>Accounts!A124</f>
        <v/>
      </c>
      <c r="B134" s="145" t="b">
        <v>0</v>
      </c>
      <c r="C134" s="176">
        <f>Accounts!T124</f>
        <v/>
      </c>
      <c r="D134" s="174" t="n"/>
      <c r="E134" s="174" t="n"/>
      <c r="F134" s="176">
        <f>Accounts!F124</f>
        <v/>
      </c>
      <c r="G134" s="174">
        <f>Accounts!O124</f>
        <v/>
      </c>
      <c r="H134" s="174">
        <f>Accounts!P124</f>
        <v/>
      </c>
      <c r="I134" s="174">
        <f>Accounts!H124</f>
        <v/>
      </c>
      <c r="J134" s="174">
        <f>Accounts!I124</f>
        <v/>
      </c>
      <c r="K134" s="176">
        <f>#REF!</f>
        <v/>
      </c>
      <c r="L134" s="173" t="n"/>
      <c r="M134" s="9" t="n"/>
      <c r="N134" s="28" t="b">
        <v>0</v>
      </c>
      <c r="O134" s="172" t="b">
        <v>0</v>
      </c>
      <c r="P134" s="28" t="b">
        <v>0</v>
      </c>
      <c r="Q134" s="28" t="b">
        <v>0</v>
      </c>
      <c r="R134" s="28" t="b">
        <v>0</v>
      </c>
      <c r="S134" s="28" t="b">
        <v>0</v>
      </c>
      <c r="T134" s="28" t="b">
        <v>0</v>
      </c>
      <c r="U134" s="28" t="b">
        <v>0</v>
      </c>
      <c r="V134" s="28" t="b">
        <v>0</v>
      </c>
      <c r="W134" s="28" t="b">
        <v>0</v>
      </c>
    </row>
    <row r="135" ht="69" customHeight="1" s="222">
      <c r="A135" s="164">
        <f>#REF!</f>
        <v/>
      </c>
      <c r="B135" s="145" t="b">
        <v>0</v>
      </c>
      <c r="C135" s="176">
        <f>#REF!</f>
        <v/>
      </c>
      <c r="D135" s="174" t="n"/>
      <c r="E135" s="174" t="n"/>
      <c r="F135" s="176">
        <f>#REF!</f>
        <v/>
      </c>
      <c r="G135" s="174">
        <f>#REF!</f>
        <v/>
      </c>
      <c r="H135" s="174">
        <f>#REF!</f>
        <v/>
      </c>
      <c r="I135" s="174">
        <f>#REF!</f>
        <v/>
      </c>
      <c r="J135" s="174">
        <f>#REF!</f>
        <v/>
      </c>
      <c r="K135" s="176">
        <f>#REF!</f>
        <v/>
      </c>
      <c r="L135" s="173" t="n"/>
      <c r="M135" s="9" t="n"/>
      <c r="N135" s="28" t="b">
        <v>0</v>
      </c>
      <c r="O135" s="172" t="b">
        <v>0</v>
      </c>
      <c r="P135" s="28" t="b">
        <v>0</v>
      </c>
      <c r="Q135" s="28" t="b">
        <v>0</v>
      </c>
      <c r="R135" s="28" t="b">
        <v>0</v>
      </c>
      <c r="S135" s="28" t="b">
        <v>0</v>
      </c>
      <c r="T135" s="28" t="b">
        <v>0</v>
      </c>
      <c r="U135" s="28" t="b">
        <v>0</v>
      </c>
      <c r="V135" s="28" t="b">
        <v>0</v>
      </c>
      <c r="W135" s="28" t="b">
        <v>0</v>
      </c>
    </row>
    <row r="136" ht="69" customHeight="1" s="222">
      <c r="A136" s="164">
        <f>Accounts!A125</f>
        <v/>
      </c>
      <c r="B136" s="145" t="b">
        <v>0</v>
      </c>
      <c r="C136" s="176">
        <f>Accounts!T125</f>
        <v/>
      </c>
      <c r="D136" s="174" t="n"/>
      <c r="E136" s="174" t="n"/>
      <c r="F136" s="176">
        <f>Accounts!F125</f>
        <v/>
      </c>
      <c r="G136" s="174">
        <f>Accounts!O125</f>
        <v/>
      </c>
      <c r="H136" s="174">
        <f>Accounts!P125</f>
        <v/>
      </c>
      <c r="I136" s="174">
        <f>Accounts!H125</f>
        <v/>
      </c>
      <c r="J136" s="174">
        <f>Accounts!I125</f>
        <v/>
      </c>
      <c r="K136" s="176">
        <f>#REF!</f>
        <v/>
      </c>
      <c r="L136" s="173" t="n"/>
      <c r="M136" s="9" t="n"/>
      <c r="N136" s="28" t="b">
        <v>0</v>
      </c>
      <c r="O136" s="172" t="b">
        <v>0</v>
      </c>
      <c r="P136" s="28" t="b">
        <v>0</v>
      </c>
      <c r="Q136" s="28" t="b">
        <v>0</v>
      </c>
      <c r="R136" s="28" t="b">
        <v>0</v>
      </c>
      <c r="S136" s="28" t="b">
        <v>0</v>
      </c>
      <c r="T136" s="28" t="b">
        <v>0</v>
      </c>
      <c r="U136" s="28" t="b">
        <v>0</v>
      </c>
      <c r="V136" s="28" t="b">
        <v>0</v>
      </c>
      <c r="W136" s="28" t="b">
        <v>0</v>
      </c>
    </row>
    <row r="137" ht="69" customHeight="1" s="222">
      <c r="A137" s="164">
        <f>Accounts!A126</f>
        <v/>
      </c>
      <c r="B137" s="145" t="b">
        <v>0</v>
      </c>
      <c r="C137" s="176">
        <f>Accounts!T126</f>
        <v/>
      </c>
      <c r="D137" s="174" t="n"/>
      <c r="E137" s="174" t="n"/>
      <c r="F137" s="176">
        <f>Accounts!F126</f>
        <v/>
      </c>
      <c r="G137" s="174">
        <f>Accounts!O126</f>
        <v/>
      </c>
      <c r="H137" s="174">
        <f>Accounts!P126</f>
        <v/>
      </c>
      <c r="I137" s="174">
        <f>Accounts!H126</f>
        <v/>
      </c>
      <c r="J137" s="174">
        <f>Accounts!I126</f>
        <v/>
      </c>
      <c r="K137" s="176">
        <f>#REF!</f>
        <v/>
      </c>
      <c r="L137" s="173" t="n"/>
      <c r="M137" s="9" t="n"/>
      <c r="N137" s="28" t="b">
        <v>0</v>
      </c>
      <c r="O137" s="172" t="b">
        <v>0</v>
      </c>
      <c r="P137" s="28" t="b">
        <v>0</v>
      </c>
      <c r="Q137" s="28" t="b">
        <v>0</v>
      </c>
      <c r="R137" s="28" t="b">
        <v>0</v>
      </c>
      <c r="S137" s="28" t="b">
        <v>0</v>
      </c>
      <c r="T137" s="28" t="b">
        <v>0</v>
      </c>
      <c r="U137" s="28" t="b">
        <v>0</v>
      </c>
      <c r="V137" s="28" t="b">
        <v>0</v>
      </c>
      <c r="W137" s="28" t="b">
        <v>0</v>
      </c>
    </row>
    <row r="138" ht="69" customHeight="1" s="222">
      <c r="A138" s="164">
        <f>Accounts!A127</f>
        <v/>
      </c>
      <c r="B138" s="145" t="b">
        <v>0</v>
      </c>
      <c r="C138" s="176">
        <f>Accounts!T127</f>
        <v/>
      </c>
      <c r="D138" s="174" t="n"/>
      <c r="E138" s="174" t="n"/>
      <c r="F138" s="176">
        <f>Accounts!F127</f>
        <v/>
      </c>
      <c r="G138" s="174">
        <f>Accounts!O127</f>
        <v/>
      </c>
      <c r="H138" s="174">
        <f>Accounts!P127</f>
        <v/>
      </c>
      <c r="I138" s="174">
        <f>Accounts!H127</f>
        <v/>
      </c>
      <c r="J138" s="174">
        <f>Accounts!I127</f>
        <v/>
      </c>
      <c r="K138" s="176">
        <f>#REF!</f>
        <v/>
      </c>
      <c r="L138" s="173" t="n"/>
      <c r="M138" s="9" t="n"/>
      <c r="N138" s="28" t="b">
        <v>0</v>
      </c>
      <c r="O138" s="172" t="b">
        <v>0</v>
      </c>
      <c r="P138" s="28" t="b">
        <v>0</v>
      </c>
      <c r="Q138" s="28" t="b">
        <v>0</v>
      </c>
      <c r="R138" s="28" t="b">
        <v>0</v>
      </c>
      <c r="S138" s="28" t="b">
        <v>0</v>
      </c>
      <c r="T138" s="28" t="b">
        <v>0</v>
      </c>
      <c r="U138" s="28" t="b">
        <v>0</v>
      </c>
      <c r="V138" s="28" t="b">
        <v>0</v>
      </c>
      <c r="W138" s="28" t="b">
        <v>0</v>
      </c>
    </row>
    <row r="139" ht="69" customHeight="1" s="222">
      <c r="A139" s="164">
        <f>Accounts!A128</f>
        <v/>
      </c>
      <c r="B139" s="145" t="b">
        <v>0</v>
      </c>
      <c r="C139" s="176">
        <f>Accounts!T128</f>
        <v/>
      </c>
      <c r="D139" s="174" t="n"/>
      <c r="E139" s="174" t="n"/>
      <c r="F139" s="170">
        <f>Accounts!F128</f>
        <v/>
      </c>
      <c r="G139" s="174">
        <f>Accounts!O128</f>
        <v/>
      </c>
      <c r="H139" s="174">
        <f>Accounts!P128</f>
        <v/>
      </c>
      <c r="I139" s="174">
        <f>Accounts!H128</f>
        <v/>
      </c>
      <c r="J139" s="174">
        <f>Accounts!I128</f>
        <v/>
      </c>
      <c r="K139" s="176">
        <f>#REF!</f>
        <v/>
      </c>
      <c r="L139" s="173" t="n"/>
      <c r="M139" s="9" t="n"/>
      <c r="N139" s="28" t="b">
        <v>0</v>
      </c>
      <c r="O139" s="172" t="b">
        <v>0</v>
      </c>
      <c r="P139" s="28" t="b">
        <v>0</v>
      </c>
      <c r="Q139" s="28" t="b">
        <v>0</v>
      </c>
      <c r="R139" s="28" t="b">
        <v>0</v>
      </c>
      <c r="S139" s="28" t="b">
        <v>0</v>
      </c>
      <c r="T139" s="28" t="b">
        <v>0</v>
      </c>
      <c r="U139" s="28" t="b">
        <v>0</v>
      </c>
      <c r="V139" s="28" t="b">
        <v>0</v>
      </c>
      <c r="W139" s="28" t="b">
        <v>0</v>
      </c>
    </row>
    <row r="140" ht="69" customHeight="1" s="222">
      <c r="A140" s="164">
        <f>Accounts!A129</f>
        <v/>
      </c>
      <c r="B140" s="145" t="b">
        <v>0</v>
      </c>
      <c r="C140" s="176">
        <f>Accounts!T129</f>
        <v/>
      </c>
      <c r="D140" s="174" t="n"/>
      <c r="E140" s="174" t="n"/>
      <c r="F140" s="176">
        <f>Accounts!F129</f>
        <v/>
      </c>
      <c r="G140" s="174">
        <f>Accounts!O129</f>
        <v/>
      </c>
      <c r="H140" s="174">
        <f>Accounts!P129</f>
        <v/>
      </c>
      <c r="I140" s="174">
        <f>Accounts!H129</f>
        <v/>
      </c>
      <c r="J140" s="174">
        <f>Accounts!I129</f>
        <v/>
      </c>
      <c r="K140" s="176">
        <f>#REF!</f>
        <v/>
      </c>
      <c r="L140" s="173" t="n"/>
      <c r="M140" s="9" t="n"/>
      <c r="N140" s="28" t="b">
        <v>0</v>
      </c>
      <c r="O140" s="172" t="b">
        <v>0</v>
      </c>
      <c r="P140" s="28" t="b">
        <v>0</v>
      </c>
      <c r="Q140" s="28" t="b">
        <v>0</v>
      </c>
      <c r="R140" s="28" t="b">
        <v>0</v>
      </c>
      <c r="S140" s="28" t="b">
        <v>0</v>
      </c>
      <c r="T140" s="28" t="b">
        <v>0</v>
      </c>
      <c r="U140" s="28" t="b">
        <v>0</v>
      </c>
      <c r="V140" s="28" t="b">
        <v>0</v>
      </c>
      <c r="W140" s="28" t="b">
        <v>0</v>
      </c>
    </row>
    <row r="141" ht="69" customHeight="1" s="222">
      <c r="A141" s="164">
        <f>Accounts!A130</f>
        <v/>
      </c>
      <c r="B141" s="145" t="b">
        <v>0</v>
      </c>
      <c r="C141" s="176">
        <f>Accounts!T130</f>
        <v/>
      </c>
      <c r="D141" s="174" t="n"/>
      <c r="E141" s="174" t="n"/>
      <c r="F141" s="176">
        <f>Accounts!F130</f>
        <v/>
      </c>
      <c r="G141" s="174">
        <f>Accounts!O130</f>
        <v/>
      </c>
      <c r="H141" s="174">
        <f>Accounts!P130</f>
        <v/>
      </c>
      <c r="I141" s="174">
        <f>Accounts!H130</f>
        <v/>
      </c>
      <c r="J141" s="174">
        <f>Accounts!I130</f>
        <v/>
      </c>
      <c r="K141" s="176">
        <f>#REF!</f>
        <v/>
      </c>
      <c r="L141" s="173" t="n"/>
      <c r="M141" s="9" t="n"/>
      <c r="N141" s="28" t="b">
        <v>0</v>
      </c>
      <c r="O141" s="172" t="b">
        <v>0</v>
      </c>
      <c r="P141" s="28" t="b">
        <v>0</v>
      </c>
      <c r="Q141" s="28" t="b">
        <v>0</v>
      </c>
      <c r="R141" s="28" t="b">
        <v>0</v>
      </c>
      <c r="S141" s="28" t="b">
        <v>0</v>
      </c>
      <c r="T141" s="28" t="b">
        <v>0</v>
      </c>
      <c r="U141" s="28" t="b">
        <v>0</v>
      </c>
      <c r="V141" s="28" t="b">
        <v>0</v>
      </c>
      <c r="W141" s="28" t="b">
        <v>0</v>
      </c>
    </row>
    <row r="142" ht="69" customHeight="1" s="222">
      <c r="A142" s="164">
        <f>Accounts!A131</f>
        <v/>
      </c>
      <c r="B142" s="145" t="b">
        <v>0</v>
      </c>
      <c r="C142" s="176">
        <f>Accounts!T131</f>
        <v/>
      </c>
      <c r="D142" s="174" t="n"/>
      <c r="E142" s="174" t="n"/>
      <c r="F142" s="176">
        <f>Accounts!F131</f>
        <v/>
      </c>
      <c r="G142" s="174">
        <f>Accounts!O131</f>
        <v/>
      </c>
      <c r="H142" s="174">
        <f>Accounts!P131</f>
        <v/>
      </c>
      <c r="I142" s="174">
        <f>Accounts!H131</f>
        <v/>
      </c>
      <c r="J142" s="174">
        <f>Accounts!I131</f>
        <v/>
      </c>
      <c r="K142" s="176">
        <f>#REF!</f>
        <v/>
      </c>
      <c r="L142" s="173" t="n"/>
      <c r="M142" s="9" t="n"/>
      <c r="N142" s="28" t="b">
        <v>0</v>
      </c>
      <c r="O142" s="172" t="b">
        <v>0</v>
      </c>
      <c r="P142" s="28" t="b">
        <v>0</v>
      </c>
      <c r="Q142" s="28" t="b">
        <v>0</v>
      </c>
      <c r="R142" s="28" t="b">
        <v>0</v>
      </c>
      <c r="S142" s="28" t="b">
        <v>0</v>
      </c>
      <c r="T142" s="28" t="b">
        <v>0</v>
      </c>
      <c r="U142" s="28" t="b">
        <v>0</v>
      </c>
      <c r="V142" s="28" t="b">
        <v>0</v>
      </c>
      <c r="W142" s="28" t="b">
        <v>0</v>
      </c>
    </row>
    <row r="143" ht="69" customHeight="1" s="222">
      <c r="A143" s="164">
        <f>Accounts!A132</f>
        <v/>
      </c>
      <c r="B143" s="145" t="b">
        <v>0</v>
      </c>
      <c r="C143" s="176">
        <f>Accounts!T132</f>
        <v/>
      </c>
      <c r="D143" s="174" t="n"/>
      <c r="E143" s="174" t="n"/>
      <c r="F143" s="176">
        <f>Accounts!F132</f>
        <v/>
      </c>
      <c r="G143" s="174">
        <f>Accounts!O132</f>
        <v/>
      </c>
      <c r="H143" s="174">
        <f>Accounts!P132</f>
        <v/>
      </c>
      <c r="I143" s="174">
        <f>Accounts!H132</f>
        <v/>
      </c>
      <c r="J143" s="174">
        <f>Accounts!I132</f>
        <v/>
      </c>
      <c r="K143" s="176">
        <f>#REF!</f>
        <v/>
      </c>
      <c r="L143" s="173" t="n"/>
      <c r="M143" s="9" t="n"/>
      <c r="N143" s="28" t="b">
        <v>0</v>
      </c>
      <c r="O143" s="172" t="b">
        <v>0</v>
      </c>
      <c r="P143" s="28" t="b">
        <v>0</v>
      </c>
      <c r="Q143" s="28" t="b">
        <v>0</v>
      </c>
      <c r="R143" s="28" t="b">
        <v>0</v>
      </c>
      <c r="S143" s="28" t="b">
        <v>0</v>
      </c>
      <c r="T143" s="28" t="b">
        <v>0</v>
      </c>
      <c r="U143" s="28" t="b">
        <v>0</v>
      </c>
      <c r="V143" s="28" t="b">
        <v>0</v>
      </c>
      <c r="W143" s="28" t="b">
        <v>0</v>
      </c>
    </row>
    <row r="144" ht="69" customHeight="1" s="222">
      <c r="A144" s="164">
        <f>#REF!</f>
        <v/>
      </c>
      <c r="B144" s="145" t="b">
        <v>0</v>
      </c>
      <c r="C144" s="176">
        <f>#REF!</f>
        <v/>
      </c>
      <c r="D144" s="174" t="n"/>
      <c r="E144" s="174" t="n"/>
      <c r="F144" s="176">
        <f>#REF!</f>
        <v/>
      </c>
      <c r="G144" s="174">
        <f>#REF!</f>
        <v/>
      </c>
      <c r="H144" s="174">
        <f>#REF!</f>
        <v/>
      </c>
      <c r="I144" s="174">
        <f>#REF!</f>
        <v/>
      </c>
      <c r="J144" s="174">
        <f>#REF!</f>
        <v/>
      </c>
      <c r="K144" s="176">
        <f>#REF!</f>
        <v/>
      </c>
      <c r="L144" s="173" t="n"/>
      <c r="M144" s="9" t="n"/>
      <c r="N144" s="28" t="b">
        <v>0</v>
      </c>
      <c r="O144" s="172" t="b">
        <v>0</v>
      </c>
      <c r="P144" s="28" t="b">
        <v>0</v>
      </c>
      <c r="Q144" s="28" t="b">
        <v>0</v>
      </c>
      <c r="R144" s="28" t="b">
        <v>0</v>
      </c>
      <c r="S144" s="28" t="b">
        <v>0</v>
      </c>
      <c r="T144" s="28" t="b">
        <v>0</v>
      </c>
      <c r="U144" s="28" t="b">
        <v>0</v>
      </c>
      <c r="V144" s="28" t="b">
        <v>0</v>
      </c>
      <c r="W144" s="28" t="b">
        <v>0</v>
      </c>
    </row>
    <row r="145" ht="69" customHeight="1" s="222">
      <c r="A145" s="164">
        <f>Accounts!A133</f>
        <v/>
      </c>
      <c r="B145" s="145" t="b">
        <v>0</v>
      </c>
      <c r="C145" s="176">
        <f>Accounts!T133</f>
        <v/>
      </c>
      <c r="D145" s="174" t="n"/>
      <c r="E145" s="174" t="n"/>
      <c r="F145" s="170">
        <f>Accounts!F133</f>
        <v/>
      </c>
      <c r="G145" s="174">
        <f>Accounts!O133</f>
        <v/>
      </c>
      <c r="H145" s="174">
        <f>Accounts!P133</f>
        <v/>
      </c>
      <c r="I145" s="174">
        <f>Accounts!H133</f>
        <v/>
      </c>
      <c r="J145" s="174">
        <f>Accounts!I133</f>
        <v/>
      </c>
      <c r="K145" s="176">
        <f>#REF!</f>
        <v/>
      </c>
      <c r="L145" s="173" t="n"/>
      <c r="M145" s="9" t="n"/>
      <c r="N145" s="28" t="b">
        <v>0</v>
      </c>
      <c r="O145" s="172" t="b">
        <v>0</v>
      </c>
      <c r="P145" s="28" t="b">
        <v>0</v>
      </c>
      <c r="Q145" s="28" t="b">
        <v>0</v>
      </c>
      <c r="R145" s="28" t="b">
        <v>0</v>
      </c>
      <c r="S145" s="28" t="b">
        <v>0</v>
      </c>
      <c r="T145" s="28" t="b">
        <v>0</v>
      </c>
      <c r="U145" s="28" t="b">
        <v>0</v>
      </c>
      <c r="V145" s="28" t="b">
        <v>0</v>
      </c>
      <c r="W145" s="28" t="b">
        <v>0</v>
      </c>
    </row>
    <row r="146" ht="69" customHeight="1" s="222">
      <c r="A146" s="164">
        <f>Accounts!A134</f>
        <v/>
      </c>
      <c r="B146" s="145" t="b">
        <v>0</v>
      </c>
      <c r="C146" s="176">
        <f>Accounts!T134</f>
        <v/>
      </c>
      <c r="D146" s="174" t="n"/>
      <c r="E146" s="174" t="n"/>
      <c r="F146" s="176">
        <f>Accounts!F134</f>
        <v/>
      </c>
      <c r="G146" s="174">
        <f>Accounts!O134</f>
        <v/>
      </c>
      <c r="H146" s="174">
        <f>Accounts!P134</f>
        <v/>
      </c>
      <c r="I146" s="174">
        <f>Accounts!H134</f>
        <v/>
      </c>
      <c r="J146" s="174">
        <f>Accounts!I134</f>
        <v/>
      </c>
      <c r="K146" s="176">
        <f>#REF!</f>
        <v/>
      </c>
      <c r="L146" s="173" t="n"/>
      <c r="M146" s="9" t="n"/>
      <c r="N146" s="28" t="b">
        <v>0</v>
      </c>
      <c r="O146" s="172" t="b">
        <v>0</v>
      </c>
      <c r="P146" s="28" t="b">
        <v>0</v>
      </c>
      <c r="Q146" s="28" t="b">
        <v>0</v>
      </c>
      <c r="R146" s="28" t="b">
        <v>0</v>
      </c>
      <c r="S146" s="28" t="b">
        <v>0</v>
      </c>
      <c r="T146" s="28" t="b">
        <v>0</v>
      </c>
      <c r="U146" s="28" t="b">
        <v>0</v>
      </c>
      <c r="V146" s="28" t="b">
        <v>0</v>
      </c>
      <c r="W146" s="28" t="b">
        <v>0</v>
      </c>
    </row>
    <row r="147" ht="69" customHeight="1" s="222">
      <c r="A147" s="164">
        <f>Accounts!A135</f>
        <v/>
      </c>
      <c r="B147" s="145" t="b">
        <v>0</v>
      </c>
      <c r="C147" s="176">
        <f>Accounts!T135</f>
        <v/>
      </c>
      <c r="D147" s="174" t="n"/>
      <c r="E147" s="174" t="n"/>
      <c r="F147" s="176">
        <f>Accounts!F135</f>
        <v/>
      </c>
      <c r="G147" s="174">
        <f>Accounts!O135</f>
        <v/>
      </c>
      <c r="H147" s="174">
        <f>Accounts!P135</f>
        <v/>
      </c>
      <c r="I147" s="174">
        <f>Accounts!H135</f>
        <v/>
      </c>
      <c r="J147" s="174">
        <f>Accounts!I135</f>
        <v/>
      </c>
      <c r="K147" s="176">
        <f>#REF!</f>
        <v/>
      </c>
      <c r="L147" s="173" t="n"/>
      <c r="M147" s="9" t="n"/>
      <c r="N147" s="28" t="b">
        <v>0</v>
      </c>
      <c r="O147" s="172" t="b">
        <v>0</v>
      </c>
      <c r="P147" s="28" t="b">
        <v>0</v>
      </c>
      <c r="Q147" s="28" t="b">
        <v>0</v>
      </c>
      <c r="R147" s="28" t="b">
        <v>0</v>
      </c>
      <c r="S147" s="28" t="b">
        <v>0</v>
      </c>
      <c r="T147" s="28" t="b">
        <v>0</v>
      </c>
      <c r="U147" s="28" t="b">
        <v>0</v>
      </c>
      <c r="V147" s="28" t="b">
        <v>0</v>
      </c>
      <c r="W147" s="28" t="b">
        <v>0</v>
      </c>
    </row>
    <row r="148" ht="69" customHeight="1" s="222">
      <c r="A148" s="164">
        <f>Accounts!A136</f>
        <v/>
      </c>
      <c r="B148" s="145" t="b">
        <v>0</v>
      </c>
      <c r="C148" s="175">
        <f>Accounts!T136</f>
        <v/>
      </c>
      <c r="D148" s="174" t="n"/>
      <c r="E148" s="174" t="n"/>
      <c r="F148" s="176">
        <f>Accounts!F136</f>
        <v/>
      </c>
      <c r="G148" s="174">
        <f>Accounts!O136</f>
        <v/>
      </c>
      <c r="H148" s="174">
        <f>Accounts!P136</f>
        <v/>
      </c>
      <c r="I148" s="174">
        <f>Accounts!H136</f>
        <v/>
      </c>
      <c r="J148" s="174">
        <f>Accounts!I136</f>
        <v/>
      </c>
      <c r="K148" s="176">
        <f>#REF!</f>
        <v/>
      </c>
      <c r="L148" s="173" t="n"/>
      <c r="M148" s="9" t="n"/>
      <c r="N148" s="28" t="b">
        <v>0</v>
      </c>
      <c r="O148" s="172" t="b">
        <v>0</v>
      </c>
      <c r="P148" s="28" t="b">
        <v>0</v>
      </c>
      <c r="Q148" s="28" t="b">
        <v>0</v>
      </c>
      <c r="R148" s="28" t="b">
        <v>0</v>
      </c>
      <c r="S148" s="28" t="b">
        <v>0</v>
      </c>
      <c r="T148" s="28" t="b">
        <v>0</v>
      </c>
      <c r="U148" s="28" t="b">
        <v>0</v>
      </c>
      <c r="V148" s="28" t="b">
        <v>0</v>
      </c>
      <c r="W148" s="28" t="b">
        <v>0</v>
      </c>
    </row>
    <row r="149" ht="69" customHeight="1" s="222">
      <c r="A149" s="164">
        <f>Accounts!A137</f>
        <v/>
      </c>
      <c r="B149" s="145" t="b">
        <v>0</v>
      </c>
      <c r="C149" s="176">
        <f>Accounts!T137</f>
        <v/>
      </c>
      <c r="D149" s="174" t="n"/>
      <c r="E149" s="174" t="n"/>
      <c r="F149" s="176">
        <f>Accounts!F137</f>
        <v/>
      </c>
      <c r="G149" s="174">
        <f>Accounts!O137</f>
        <v/>
      </c>
      <c r="H149" s="174">
        <f>Accounts!P137</f>
        <v/>
      </c>
      <c r="I149" s="174">
        <f>Accounts!H137</f>
        <v/>
      </c>
      <c r="J149" s="174">
        <f>Accounts!I137</f>
        <v/>
      </c>
      <c r="K149" s="176">
        <f>#REF!</f>
        <v/>
      </c>
      <c r="L149" s="173" t="n"/>
      <c r="M149" s="9" t="n"/>
      <c r="N149" s="28" t="b">
        <v>0</v>
      </c>
      <c r="O149" s="172" t="b">
        <v>0</v>
      </c>
      <c r="P149" s="28" t="b">
        <v>0</v>
      </c>
      <c r="Q149" s="28" t="b">
        <v>0</v>
      </c>
      <c r="R149" s="28" t="b">
        <v>0</v>
      </c>
      <c r="S149" s="28" t="b">
        <v>0</v>
      </c>
      <c r="T149" s="28" t="b">
        <v>0</v>
      </c>
      <c r="U149" s="28" t="b">
        <v>0</v>
      </c>
      <c r="V149" s="28" t="b">
        <v>0</v>
      </c>
      <c r="W149" s="28" t="b">
        <v>0</v>
      </c>
    </row>
    <row r="150" ht="69" customHeight="1" s="222">
      <c r="A150" s="164">
        <f>Accounts!A138</f>
        <v/>
      </c>
      <c r="B150" s="145" t="b">
        <v>0</v>
      </c>
      <c r="C150" s="176">
        <f>Accounts!T138</f>
        <v/>
      </c>
      <c r="D150" s="174" t="n"/>
      <c r="E150" s="174" t="n"/>
      <c r="F150" s="176">
        <f>Accounts!F138</f>
        <v/>
      </c>
      <c r="G150" s="174">
        <f>Accounts!O138</f>
        <v/>
      </c>
      <c r="H150" s="174">
        <f>Accounts!P138</f>
        <v/>
      </c>
      <c r="I150" s="174">
        <f>Accounts!H138</f>
        <v/>
      </c>
      <c r="J150" s="174">
        <f>Accounts!I138</f>
        <v/>
      </c>
      <c r="K150" s="176">
        <f>#REF!</f>
        <v/>
      </c>
      <c r="L150" s="173" t="n"/>
      <c r="M150" s="9" t="n"/>
      <c r="N150" s="28" t="b">
        <v>0</v>
      </c>
      <c r="O150" s="172" t="b">
        <v>0</v>
      </c>
      <c r="P150" s="28" t="b">
        <v>0</v>
      </c>
      <c r="Q150" s="28" t="b">
        <v>0</v>
      </c>
      <c r="R150" s="28" t="b">
        <v>0</v>
      </c>
      <c r="S150" s="28" t="b">
        <v>0</v>
      </c>
      <c r="T150" s="28" t="b">
        <v>0</v>
      </c>
      <c r="U150" s="28" t="b">
        <v>0</v>
      </c>
      <c r="V150" s="28" t="b">
        <v>0</v>
      </c>
      <c r="W150" s="28" t="b">
        <v>0</v>
      </c>
    </row>
    <row r="151" ht="69" customHeight="1" s="222">
      <c r="A151" s="164">
        <f>Accounts!A139</f>
        <v/>
      </c>
      <c r="B151" s="145" t="b">
        <v>0</v>
      </c>
      <c r="C151" s="175">
        <f>Accounts!U139</f>
        <v/>
      </c>
      <c r="D151" s="174" t="n"/>
      <c r="E151" s="174" t="n"/>
      <c r="F151" s="176">
        <f>Accounts!F139</f>
        <v/>
      </c>
      <c r="G151" s="174">
        <f>Accounts!O139</f>
        <v/>
      </c>
      <c r="H151" s="174">
        <f>Accounts!P139</f>
        <v/>
      </c>
      <c r="I151" s="174">
        <f>Accounts!H139</f>
        <v/>
      </c>
      <c r="J151" s="174">
        <f>Accounts!I139</f>
        <v/>
      </c>
      <c r="K151" s="176">
        <f>#REF!</f>
        <v/>
      </c>
      <c r="L151" s="173" t="n"/>
      <c r="M151" s="9" t="n"/>
      <c r="N151" s="28" t="b">
        <v>0</v>
      </c>
      <c r="O151" s="172" t="b">
        <v>0</v>
      </c>
      <c r="P151" s="28" t="b">
        <v>0</v>
      </c>
      <c r="Q151" s="28" t="b">
        <v>0</v>
      </c>
      <c r="R151" s="28" t="b">
        <v>0</v>
      </c>
      <c r="S151" s="28" t="b">
        <v>0</v>
      </c>
      <c r="T151" s="28" t="b">
        <v>0</v>
      </c>
      <c r="U151" s="28" t="b">
        <v>0</v>
      </c>
      <c r="V151" s="28" t="b">
        <v>0</v>
      </c>
      <c r="W151" s="28" t="b">
        <v>0</v>
      </c>
    </row>
    <row r="152" ht="69" customHeight="1" s="222">
      <c r="A152" s="164">
        <f>Accounts!A140</f>
        <v/>
      </c>
      <c r="B152" s="145" t="b">
        <v>0</v>
      </c>
      <c r="C152" s="176">
        <f>Accounts!T140</f>
        <v/>
      </c>
      <c r="D152" s="174" t="n"/>
      <c r="E152" s="174" t="n"/>
      <c r="F152" s="176">
        <f>Accounts!F140</f>
        <v/>
      </c>
      <c r="G152" s="174">
        <f>Accounts!O140</f>
        <v/>
      </c>
      <c r="H152" s="174">
        <f>Accounts!P140</f>
        <v/>
      </c>
      <c r="I152" s="174">
        <f>Accounts!H140</f>
        <v/>
      </c>
      <c r="J152" s="174">
        <f>Accounts!I140</f>
        <v/>
      </c>
      <c r="K152" s="176">
        <f>#REF!</f>
        <v/>
      </c>
      <c r="L152" s="173" t="n"/>
      <c r="M152" s="9" t="n"/>
      <c r="N152" s="28" t="b">
        <v>0</v>
      </c>
      <c r="O152" s="172" t="b">
        <v>0</v>
      </c>
      <c r="P152" s="28" t="b">
        <v>0</v>
      </c>
      <c r="Q152" s="28" t="b">
        <v>0</v>
      </c>
      <c r="R152" s="28" t="b">
        <v>0</v>
      </c>
      <c r="S152" s="28" t="b">
        <v>0</v>
      </c>
      <c r="T152" s="28" t="b">
        <v>0</v>
      </c>
      <c r="U152" s="28" t="b">
        <v>0</v>
      </c>
      <c r="V152" s="28" t="b">
        <v>0</v>
      </c>
      <c r="W152" s="28" t="b">
        <v>0</v>
      </c>
    </row>
    <row r="153" ht="69" customHeight="1" s="222">
      <c r="A153" s="164">
        <f>Accounts!A141</f>
        <v/>
      </c>
      <c r="B153" s="145" t="b">
        <v>0</v>
      </c>
      <c r="C153" s="175">
        <f>Accounts!T141</f>
        <v/>
      </c>
      <c r="D153" s="174" t="n"/>
      <c r="E153" s="174" t="n"/>
      <c r="F153" s="176">
        <f>Accounts!F141</f>
        <v/>
      </c>
      <c r="G153" s="174">
        <f>Accounts!O141</f>
        <v/>
      </c>
      <c r="H153" s="174">
        <f>Accounts!P141</f>
        <v/>
      </c>
      <c r="I153" s="174">
        <f>Accounts!H141</f>
        <v/>
      </c>
      <c r="J153" s="174">
        <f>Accounts!I141</f>
        <v/>
      </c>
      <c r="K153" s="176">
        <f>#REF!</f>
        <v/>
      </c>
      <c r="L153" s="173" t="n"/>
      <c r="M153" s="9" t="n"/>
      <c r="N153" s="28" t="b">
        <v>0</v>
      </c>
      <c r="O153" s="172" t="b">
        <v>0</v>
      </c>
      <c r="P153" s="28" t="b">
        <v>0</v>
      </c>
      <c r="Q153" s="28" t="b">
        <v>0</v>
      </c>
      <c r="R153" s="28" t="b">
        <v>0</v>
      </c>
      <c r="S153" s="28" t="b">
        <v>0</v>
      </c>
      <c r="T153" s="28" t="b">
        <v>0</v>
      </c>
      <c r="U153" s="28" t="b">
        <v>0</v>
      </c>
      <c r="V153" s="28" t="b">
        <v>0</v>
      </c>
      <c r="W153" s="28" t="b">
        <v>0</v>
      </c>
    </row>
    <row r="154" ht="69" customHeight="1" s="222">
      <c r="A154" s="164">
        <f>#REF!</f>
        <v/>
      </c>
      <c r="B154" s="145" t="b">
        <v>0</v>
      </c>
      <c r="C154" s="176">
        <f>#REF!</f>
        <v/>
      </c>
      <c r="D154" s="174" t="n"/>
      <c r="E154" s="174" t="n"/>
      <c r="F154" s="176">
        <f>#REF!</f>
        <v/>
      </c>
      <c r="G154" s="174">
        <f>#REF!</f>
        <v/>
      </c>
      <c r="H154" s="174">
        <f>#REF!</f>
        <v/>
      </c>
      <c r="I154" s="174">
        <f>#REF!</f>
        <v/>
      </c>
      <c r="J154" s="174">
        <f>#REF!</f>
        <v/>
      </c>
      <c r="K154" s="176">
        <f>#REF!</f>
        <v/>
      </c>
      <c r="L154" s="173" t="n"/>
      <c r="M154" s="9" t="n"/>
      <c r="N154" s="28" t="b">
        <v>0</v>
      </c>
      <c r="O154" s="172" t="b">
        <v>0</v>
      </c>
      <c r="P154" s="28" t="b">
        <v>0</v>
      </c>
      <c r="Q154" s="28" t="b">
        <v>0</v>
      </c>
      <c r="R154" s="28" t="b">
        <v>0</v>
      </c>
      <c r="S154" s="28" t="b">
        <v>0</v>
      </c>
      <c r="T154" s="28" t="b">
        <v>0</v>
      </c>
      <c r="U154" s="28" t="b">
        <v>0</v>
      </c>
      <c r="V154" s="28" t="b">
        <v>0</v>
      </c>
      <c r="W154" s="28" t="b">
        <v>0</v>
      </c>
    </row>
    <row r="155" ht="69" customHeight="1" s="222">
      <c r="A155" s="164">
        <f>Accounts!A143</f>
        <v/>
      </c>
      <c r="B155" s="145" t="b">
        <v>0</v>
      </c>
      <c r="C155" s="175">
        <f>Accounts!T143</f>
        <v/>
      </c>
      <c r="D155" s="174" t="n"/>
      <c r="E155" s="174" t="n"/>
      <c r="F155" s="170">
        <f>Accounts!F143</f>
        <v/>
      </c>
      <c r="G155" s="174">
        <f>Accounts!O143</f>
        <v/>
      </c>
      <c r="H155" s="174">
        <f>Accounts!P143</f>
        <v/>
      </c>
      <c r="I155" s="174">
        <f>Accounts!H143</f>
        <v/>
      </c>
      <c r="J155" s="174">
        <f>Accounts!I143</f>
        <v/>
      </c>
      <c r="K155" s="176">
        <f>#REF!</f>
        <v/>
      </c>
      <c r="L155" s="173" t="n"/>
      <c r="M155" s="9" t="n"/>
      <c r="N155" s="28" t="b">
        <v>0</v>
      </c>
      <c r="O155" s="172" t="b">
        <v>0</v>
      </c>
      <c r="P155" s="28" t="b">
        <v>0</v>
      </c>
      <c r="Q155" s="28" t="b">
        <v>0</v>
      </c>
      <c r="R155" s="28" t="b">
        <v>0</v>
      </c>
      <c r="S155" s="28" t="b">
        <v>0</v>
      </c>
      <c r="T155" s="28" t="b">
        <v>0</v>
      </c>
      <c r="U155" s="28" t="b">
        <v>0</v>
      </c>
      <c r="V155" s="28" t="b">
        <v>0</v>
      </c>
      <c r="W155" s="28" t="b">
        <v>0</v>
      </c>
    </row>
    <row r="156" ht="69" customHeight="1" s="222">
      <c r="A156" s="164">
        <f>Accounts!A142</f>
        <v/>
      </c>
      <c r="B156" s="145" t="b">
        <v>0</v>
      </c>
      <c r="C156" s="176">
        <f>Accounts!T142</f>
        <v/>
      </c>
      <c r="D156" s="174" t="n"/>
      <c r="E156" s="174" t="n"/>
      <c r="F156" s="176">
        <f>Accounts!F142</f>
        <v/>
      </c>
      <c r="G156" s="174">
        <f>Accounts!O142</f>
        <v/>
      </c>
      <c r="H156" s="174">
        <f>Accounts!P142</f>
        <v/>
      </c>
      <c r="I156" s="174">
        <f>Accounts!H142</f>
        <v/>
      </c>
      <c r="J156" s="174">
        <f>Accounts!I142</f>
        <v/>
      </c>
      <c r="K156" s="176">
        <f>#REF!</f>
        <v/>
      </c>
      <c r="L156" s="173" t="n"/>
      <c r="M156" s="9" t="n"/>
      <c r="N156" s="28" t="b">
        <v>0</v>
      </c>
      <c r="O156" s="172" t="b">
        <v>0</v>
      </c>
      <c r="P156" s="28" t="b">
        <v>0</v>
      </c>
      <c r="Q156" s="28" t="b">
        <v>0</v>
      </c>
      <c r="R156" s="28" t="b">
        <v>0</v>
      </c>
      <c r="S156" s="28" t="b">
        <v>0</v>
      </c>
      <c r="T156" s="28" t="b">
        <v>0</v>
      </c>
      <c r="U156" s="28" t="b">
        <v>0</v>
      </c>
      <c r="V156" s="28" t="b">
        <v>0</v>
      </c>
      <c r="W156" s="28" t="b">
        <v>0</v>
      </c>
    </row>
    <row r="157" ht="69" customHeight="1" s="222">
      <c r="A157" s="164">
        <f>Accounts!A144</f>
        <v/>
      </c>
      <c r="B157" s="145" t="b">
        <v>0</v>
      </c>
      <c r="C157" s="176">
        <f>Accounts!T144</f>
        <v/>
      </c>
      <c r="D157" s="174" t="n"/>
      <c r="E157" s="174" t="n"/>
      <c r="F157" s="176">
        <f>Accounts!F144</f>
        <v/>
      </c>
      <c r="G157" s="174">
        <f>Accounts!O144</f>
        <v/>
      </c>
      <c r="H157" s="174">
        <f>Accounts!P144</f>
        <v/>
      </c>
      <c r="I157" s="174">
        <f>Accounts!H144</f>
        <v/>
      </c>
      <c r="J157" s="174">
        <f>Accounts!I144</f>
        <v/>
      </c>
      <c r="K157" s="176">
        <f>#REF!</f>
        <v/>
      </c>
      <c r="L157" s="173" t="n"/>
      <c r="M157" s="9" t="n"/>
      <c r="N157" s="28" t="b">
        <v>0</v>
      </c>
      <c r="O157" s="172" t="b">
        <v>0</v>
      </c>
      <c r="P157" s="28" t="b">
        <v>0</v>
      </c>
      <c r="Q157" s="28" t="b">
        <v>0</v>
      </c>
      <c r="R157" s="28" t="b">
        <v>0</v>
      </c>
      <c r="S157" s="28" t="b">
        <v>0</v>
      </c>
      <c r="T157" s="28" t="b">
        <v>0</v>
      </c>
      <c r="U157" s="28" t="b">
        <v>0</v>
      </c>
      <c r="V157" s="28" t="b">
        <v>0</v>
      </c>
      <c r="W157" s="28" t="b">
        <v>0</v>
      </c>
    </row>
    <row r="158" ht="69" customHeight="1" s="222">
      <c r="A158" s="164">
        <f>Accounts!A145</f>
        <v/>
      </c>
      <c r="B158" s="145" t="b">
        <v>0</v>
      </c>
      <c r="C158" s="176">
        <f>Accounts!T145</f>
        <v/>
      </c>
      <c r="D158" s="174" t="n"/>
      <c r="E158" s="174" t="n"/>
      <c r="F158" s="170">
        <f>Accounts!F145</f>
        <v/>
      </c>
      <c r="G158" s="174">
        <f>Accounts!O145</f>
        <v/>
      </c>
      <c r="H158" s="174">
        <f>Accounts!P145</f>
        <v/>
      </c>
      <c r="I158" s="174">
        <f>Accounts!H145</f>
        <v/>
      </c>
      <c r="J158" s="174">
        <f>Accounts!I145</f>
        <v/>
      </c>
      <c r="K158" s="176">
        <f>#REF!</f>
        <v/>
      </c>
      <c r="L158" s="173" t="n"/>
      <c r="M158" s="9" t="n"/>
      <c r="N158" s="28" t="b">
        <v>0</v>
      </c>
      <c r="O158" s="172" t="b">
        <v>0</v>
      </c>
      <c r="P158" s="28" t="b">
        <v>0</v>
      </c>
      <c r="Q158" s="28" t="b">
        <v>0</v>
      </c>
      <c r="R158" s="28" t="b">
        <v>0</v>
      </c>
      <c r="S158" s="28" t="b">
        <v>0</v>
      </c>
      <c r="T158" s="28" t="b">
        <v>0</v>
      </c>
      <c r="U158" s="28" t="b">
        <v>0</v>
      </c>
      <c r="V158" s="28" t="b">
        <v>0</v>
      </c>
      <c r="W158" s="28" t="b">
        <v>0</v>
      </c>
    </row>
    <row r="159" ht="69" customHeight="1" s="222">
      <c r="A159" s="164">
        <f>#REF!</f>
        <v/>
      </c>
      <c r="B159" s="145" t="b">
        <v>0</v>
      </c>
      <c r="C159" s="176">
        <f>#REF!</f>
        <v/>
      </c>
      <c r="D159" s="174" t="n"/>
      <c r="E159" s="174" t="n"/>
      <c r="F159" s="176">
        <f>#REF!</f>
        <v/>
      </c>
      <c r="G159" s="174">
        <f>#REF!</f>
        <v/>
      </c>
      <c r="H159" s="174">
        <f>#REF!</f>
        <v/>
      </c>
      <c r="I159" s="174">
        <f>#REF!</f>
        <v/>
      </c>
      <c r="J159" s="174">
        <f>#REF!</f>
        <v/>
      </c>
      <c r="K159" s="176">
        <f>#REF!</f>
        <v/>
      </c>
      <c r="L159" s="173" t="n"/>
      <c r="M159" s="9" t="n"/>
      <c r="N159" s="28" t="b">
        <v>0</v>
      </c>
      <c r="O159" s="172" t="b">
        <v>0</v>
      </c>
      <c r="P159" s="28" t="b">
        <v>0</v>
      </c>
      <c r="Q159" s="28" t="b">
        <v>0</v>
      </c>
      <c r="R159" s="28" t="b">
        <v>0</v>
      </c>
      <c r="S159" s="28" t="b">
        <v>0</v>
      </c>
      <c r="T159" s="28" t="b">
        <v>0</v>
      </c>
      <c r="U159" s="28" t="b">
        <v>0</v>
      </c>
      <c r="V159" s="28" t="b">
        <v>0</v>
      </c>
      <c r="W159" s="28" t="b">
        <v>0</v>
      </c>
    </row>
    <row r="160" ht="69" customHeight="1" s="222">
      <c r="A160" s="164">
        <f>#REF!</f>
        <v/>
      </c>
      <c r="B160" s="145" t="b">
        <v>0</v>
      </c>
      <c r="C160" s="176">
        <f>#REF!</f>
        <v/>
      </c>
      <c r="D160" s="174" t="n"/>
      <c r="E160" s="174" t="n"/>
      <c r="F160" s="176">
        <f>#REF!</f>
        <v/>
      </c>
      <c r="G160" s="174">
        <f>#REF!</f>
        <v/>
      </c>
      <c r="H160" s="174">
        <f>#REF!</f>
        <v/>
      </c>
      <c r="I160" s="174">
        <f>#REF!</f>
        <v/>
      </c>
      <c r="J160" s="174">
        <f>#REF!</f>
        <v/>
      </c>
      <c r="K160" s="176">
        <f>#REF!</f>
        <v/>
      </c>
      <c r="L160" s="173" t="n"/>
      <c r="M160" s="9" t="n"/>
      <c r="N160" s="28" t="b">
        <v>0</v>
      </c>
      <c r="O160" s="172" t="b">
        <v>0</v>
      </c>
      <c r="P160" s="28" t="b">
        <v>0</v>
      </c>
      <c r="Q160" s="28" t="b">
        <v>0</v>
      </c>
      <c r="R160" s="28" t="b">
        <v>0</v>
      </c>
      <c r="S160" s="28" t="b">
        <v>0</v>
      </c>
      <c r="T160" s="28" t="b">
        <v>0</v>
      </c>
      <c r="U160" s="28" t="b">
        <v>0</v>
      </c>
      <c r="V160" s="28" t="b">
        <v>0</v>
      </c>
      <c r="W160" s="28" t="b">
        <v>0</v>
      </c>
    </row>
    <row r="161" ht="69" customHeight="1" s="222">
      <c r="A161" s="164">
        <f>#REF!</f>
        <v/>
      </c>
      <c r="B161" s="145" t="b">
        <v>0</v>
      </c>
      <c r="C161" s="176">
        <f>#REF!</f>
        <v/>
      </c>
      <c r="D161" s="174" t="n"/>
      <c r="E161" s="174" t="n"/>
      <c r="F161" s="176">
        <f>#REF!</f>
        <v/>
      </c>
      <c r="G161" s="174">
        <f>#REF!</f>
        <v/>
      </c>
      <c r="H161" s="174">
        <f>#REF!</f>
        <v/>
      </c>
      <c r="I161" s="174">
        <f>#REF!</f>
        <v/>
      </c>
      <c r="J161" s="174">
        <f>#REF!</f>
        <v/>
      </c>
      <c r="K161" s="176">
        <f>#REF!</f>
        <v/>
      </c>
      <c r="L161" s="173" t="n"/>
      <c r="M161" s="9" t="n"/>
      <c r="N161" s="28" t="b">
        <v>0</v>
      </c>
      <c r="O161" s="172" t="b">
        <v>0</v>
      </c>
      <c r="P161" s="28" t="b">
        <v>0</v>
      </c>
      <c r="Q161" s="28" t="b">
        <v>0</v>
      </c>
      <c r="R161" s="28" t="b">
        <v>0</v>
      </c>
      <c r="S161" s="28" t="b">
        <v>0</v>
      </c>
      <c r="T161" s="28" t="b">
        <v>0</v>
      </c>
      <c r="U161" s="28" t="b">
        <v>0</v>
      </c>
      <c r="V161" s="28" t="b">
        <v>0</v>
      </c>
      <c r="W161" s="28" t="b">
        <v>0</v>
      </c>
    </row>
    <row r="162" ht="69" customHeight="1" s="222">
      <c r="A162" s="164">
        <f>#REF!</f>
        <v/>
      </c>
      <c r="B162" s="145" t="b">
        <v>0</v>
      </c>
      <c r="C162" s="176">
        <f>#REF!</f>
        <v/>
      </c>
      <c r="D162" s="174" t="n"/>
      <c r="E162" s="174" t="n"/>
      <c r="F162" s="176">
        <f>#REF!</f>
        <v/>
      </c>
      <c r="G162" s="174">
        <f>#REF!</f>
        <v/>
      </c>
      <c r="H162" s="174">
        <f>#REF!</f>
        <v/>
      </c>
      <c r="I162" s="174">
        <f>#REF!</f>
        <v/>
      </c>
      <c r="J162" s="174">
        <f>#REF!</f>
        <v/>
      </c>
      <c r="K162" s="176">
        <f>#REF!</f>
        <v/>
      </c>
      <c r="L162" s="173" t="n"/>
      <c r="M162" s="9" t="n"/>
      <c r="N162" s="28" t="b">
        <v>0</v>
      </c>
      <c r="O162" s="172" t="b">
        <v>0</v>
      </c>
      <c r="P162" s="28" t="b">
        <v>0</v>
      </c>
      <c r="Q162" s="28" t="b">
        <v>0</v>
      </c>
      <c r="R162" s="28" t="b">
        <v>0</v>
      </c>
      <c r="S162" s="28" t="b">
        <v>0</v>
      </c>
      <c r="T162" s="28" t="b">
        <v>0</v>
      </c>
      <c r="U162" s="28" t="b">
        <v>0</v>
      </c>
      <c r="V162" s="28" t="b">
        <v>0</v>
      </c>
      <c r="W162" s="28" t="b">
        <v>0</v>
      </c>
    </row>
    <row r="163" ht="69" customHeight="1" s="222">
      <c r="A163" s="164">
        <f>Accounts!A146</f>
        <v/>
      </c>
      <c r="B163" s="145" t="b">
        <v>0</v>
      </c>
      <c r="C163" s="176">
        <f>Accounts!T146</f>
        <v/>
      </c>
      <c r="D163" s="174" t="n"/>
      <c r="E163" s="174" t="n"/>
      <c r="F163" s="176">
        <f>Accounts!F146</f>
        <v/>
      </c>
      <c r="G163" s="174">
        <f>Accounts!O146</f>
        <v/>
      </c>
      <c r="H163" s="174">
        <f>Accounts!P146</f>
        <v/>
      </c>
      <c r="I163" s="174">
        <f>Accounts!H146</f>
        <v/>
      </c>
      <c r="J163" s="174">
        <f>Accounts!I146</f>
        <v/>
      </c>
      <c r="K163" s="176">
        <f>#REF!</f>
        <v/>
      </c>
      <c r="L163" s="173" t="n"/>
      <c r="M163" s="9" t="n"/>
      <c r="N163" s="28" t="b">
        <v>0</v>
      </c>
      <c r="O163" s="172" t="b">
        <v>0</v>
      </c>
      <c r="P163" s="28" t="b">
        <v>0</v>
      </c>
      <c r="Q163" s="28" t="b">
        <v>0</v>
      </c>
      <c r="R163" s="28" t="b">
        <v>0</v>
      </c>
      <c r="S163" s="28" t="b">
        <v>0</v>
      </c>
      <c r="T163" s="28" t="b">
        <v>0</v>
      </c>
      <c r="U163" s="28" t="b">
        <v>0</v>
      </c>
      <c r="V163" s="28" t="b">
        <v>0</v>
      </c>
      <c r="W163" s="28" t="b">
        <v>0</v>
      </c>
    </row>
    <row r="164" ht="69" customHeight="1" s="222">
      <c r="A164" s="164">
        <f>Accounts!A147</f>
        <v/>
      </c>
      <c r="B164" s="145" t="b">
        <v>0</v>
      </c>
      <c r="C164" s="176">
        <f>Accounts!T147</f>
        <v/>
      </c>
      <c r="D164" s="174" t="n"/>
      <c r="E164" s="174" t="n"/>
      <c r="F164" s="176">
        <f>Accounts!F147</f>
        <v/>
      </c>
      <c r="G164" s="174">
        <f>Accounts!O147</f>
        <v/>
      </c>
      <c r="H164" s="174">
        <f>Accounts!P147</f>
        <v/>
      </c>
      <c r="I164" s="174">
        <f>Accounts!H147</f>
        <v/>
      </c>
      <c r="J164" s="174">
        <f>Accounts!I147</f>
        <v/>
      </c>
      <c r="K164" s="176">
        <f>#REF!</f>
        <v/>
      </c>
      <c r="L164" s="173" t="n"/>
      <c r="M164" s="9" t="n"/>
      <c r="N164" s="28" t="b">
        <v>0</v>
      </c>
      <c r="O164" s="172" t="b">
        <v>0</v>
      </c>
      <c r="P164" s="28" t="b">
        <v>0</v>
      </c>
      <c r="Q164" s="28" t="b">
        <v>0</v>
      </c>
      <c r="R164" s="28" t="b">
        <v>0</v>
      </c>
      <c r="S164" s="28" t="b">
        <v>0</v>
      </c>
      <c r="T164" s="28" t="b">
        <v>0</v>
      </c>
      <c r="U164" s="28" t="b">
        <v>0</v>
      </c>
      <c r="V164" s="28" t="b">
        <v>0</v>
      </c>
      <c r="W164" s="28" t="b">
        <v>0</v>
      </c>
    </row>
    <row r="165" ht="69" customHeight="1" s="222">
      <c r="A165" s="164">
        <f>Accounts!A148</f>
        <v/>
      </c>
      <c r="B165" s="145" t="b">
        <v>0</v>
      </c>
      <c r="C165" s="176">
        <f>Accounts!T148</f>
        <v/>
      </c>
      <c r="D165" s="174" t="n"/>
      <c r="E165" s="174" t="n"/>
      <c r="F165" s="176">
        <f>Accounts!F148</f>
        <v/>
      </c>
      <c r="G165" s="174">
        <f>Accounts!O148</f>
        <v/>
      </c>
      <c r="H165" s="174">
        <f>Accounts!P148</f>
        <v/>
      </c>
      <c r="I165" s="174">
        <f>Accounts!H148</f>
        <v/>
      </c>
      <c r="J165" s="174">
        <f>Accounts!I148</f>
        <v/>
      </c>
      <c r="K165" s="176">
        <f>#REF!</f>
        <v/>
      </c>
      <c r="L165" s="173" t="n"/>
      <c r="M165" s="9" t="n"/>
      <c r="N165" s="28" t="b">
        <v>0</v>
      </c>
      <c r="O165" s="172" t="b">
        <v>0</v>
      </c>
      <c r="P165" s="28" t="b">
        <v>0</v>
      </c>
      <c r="Q165" s="28" t="b">
        <v>0</v>
      </c>
      <c r="R165" s="28" t="b">
        <v>0</v>
      </c>
      <c r="S165" s="28" t="b">
        <v>0</v>
      </c>
      <c r="T165" s="28" t="b">
        <v>0</v>
      </c>
      <c r="U165" s="28" t="b">
        <v>0</v>
      </c>
      <c r="V165" s="28" t="b">
        <v>0</v>
      </c>
      <c r="W165" s="28" t="b">
        <v>0</v>
      </c>
    </row>
    <row r="166" ht="69" customHeight="1" s="222">
      <c r="A166" s="164">
        <f>Accounts!A149</f>
        <v/>
      </c>
      <c r="B166" s="145" t="b">
        <v>0</v>
      </c>
      <c r="C166" s="176">
        <f>Accounts!T149</f>
        <v/>
      </c>
      <c r="D166" s="174" t="n"/>
      <c r="E166" s="174" t="n"/>
      <c r="F166" s="176">
        <f>Accounts!F149</f>
        <v/>
      </c>
      <c r="G166" s="174">
        <f>Accounts!O149</f>
        <v/>
      </c>
      <c r="H166" s="174">
        <f>Accounts!P149</f>
        <v/>
      </c>
      <c r="I166" s="174">
        <f>Accounts!H149</f>
        <v/>
      </c>
      <c r="J166" s="174">
        <f>Accounts!I149</f>
        <v/>
      </c>
      <c r="K166" s="176">
        <f>#REF!</f>
        <v/>
      </c>
      <c r="L166" s="173" t="n"/>
      <c r="M166" s="9" t="n"/>
      <c r="N166" s="28" t="b">
        <v>0</v>
      </c>
      <c r="O166" s="172" t="b">
        <v>0</v>
      </c>
      <c r="P166" s="28" t="b">
        <v>0</v>
      </c>
      <c r="Q166" s="28" t="b">
        <v>0</v>
      </c>
      <c r="R166" s="28" t="b">
        <v>0</v>
      </c>
      <c r="S166" s="28" t="b">
        <v>0</v>
      </c>
      <c r="T166" s="28" t="b">
        <v>0</v>
      </c>
      <c r="U166" s="28" t="b">
        <v>0</v>
      </c>
      <c r="V166" s="28" t="b">
        <v>0</v>
      </c>
      <c r="W166" s="28" t="b">
        <v>0</v>
      </c>
    </row>
    <row r="167" ht="69" customHeight="1" s="222">
      <c r="A167" s="164">
        <f>Accounts!A150</f>
        <v/>
      </c>
      <c r="B167" s="145" t="b">
        <v>0</v>
      </c>
      <c r="C167" s="176">
        <f>Accounts!T150</f>
        <v/>
      </c>
      <c r="D167" s="174" t="n"/>
      <c r="E167" s="174" t="n"/>
      <c r="F167" s="176">
        <f>Accounts!F150</f>
        <v/>
      </c>
      <c r="G167" s="174">
        <f>Accounts!O150</f>
        <v/>
      </c>
      <c r="H167" s="174">
        <f>Accounts!P150</f>
        <v/>
      </c>
      <c r="I167" s="174">
        <f>Accounts!H150</f>
        <v/>
      </c>
      <c r="J167" s="174">
        <f>Accounts!I150</f>
        <v/>
      </c>
      <c r="K167" s="176">
        <f>#REF!</f>
        <v/>
      </c>
      <c r="L167" s="173" t="n"/>
      <c r="M167" s="9" t="n"/>
      <c r="N167" s="28" t="b">
        <v>0</v>
      </c>
      <c r="O167" s="172" t="b">
        <v>0</v>
      </c>
      <c r="P167" s="28" t="b">
        <v>0</v>
      </c>
      <c r="Q167" s="28" t="b">
        <v>0</v>
      </c>
      <c r="R167" s="28" t="b">
        <v>0</v>
      </c>
      <c r="S167" s="28" t="b">
        <v>0</v>
      </c>
      <c r="T167" s="28" t="b">
        <v>0</v>
      </c>
      <c r="U167" s="28" t="b">
        <v>0</v>
      </c>
      <c r="V167" s="28" t="b">
        <v>0</v>
      </c>
      <c r="W167" s="28" t="b">
        <v>0</v>
      </c>
    </row>
    <row r="168" ht="69" customHeight="1" s="222">
      <c r="A168" s="164">
        <f>Accounts!A151</f>
        <v/>
      </c>
      <c r="B168" s="145" t="b">
        <v>0</v>
      </c>
      <c r="C168" s="176">
        <f>Accounts!T151</f>
        <v/>
      </c>
      <c r="D168" s="174" t="n"/>
      <c r="E168" s="174" t="n"/>
      <c r="F168" s="176">
        <f>Accounts!F151</f>
        <v/>
      </c>
      <c r="G168" s="174">
        <f>Accounts!O151</f>
        <v/>
      </c>
      <c r="H168" s="174">
        <f>Accounts!P151</f>
        <v/>
      </c>
      <c r="I168" s="174">
        <f>Accounts!H151</f>
        <v/>
      </c>
      <c r="J168" s="174">
        <f>Accounts!I151</f>
        <v/>
      </c>
      <c r="K168" s="176">
        <f>#REF!</f>
        <v/>
      </c>
      <c r="L168" s="173" t="n"/>
      <c r="M168" s="9" t="n"/>
      <c r="N168" s="28" t="b">
        <v>0</v>
      </c>
      <c r="O168" s="172" t="b">
        <v>0</v>
      </c>
      <c r="P168" s="28" t="b">
        <v>0</v>
      </c>
      <c r="Q168" s="28" t="b">
        <v>0</v>
      </c>
      <c r="R168" s="28" t="b">
        <v>0</v>
      </c>
      <c r="S168" s="28" t="b">
        <v>0</v>
      </c>
      <c r="T168" s="28" t="b">
        <v>0</v>
      </c>
      <c r="U168" s="28" t="b">
        <v>0</v>
      </c>
      <c r="V168" s="28" t="b">
        <v>0</v>
      </c>
      <c r="W168" s="28" t="b">
        <v>0</v>
      </c>
    </row>
    <row r="169" ht="69" customHeight="1" s="222">
      <c r="A169" s="164">
        <f>Accounts!A152</f>
        <v/>
      </c>
      <c r="B169" s="145" t="b">
        <v>0</v>
      </c>
      <c r="C169" s="176">
        <f>Accounts!T152</f>
        <v/>
      </c>
      <c r="D169" s="174" t="n"/>
      <c r="E169" s="174" t="n"/>
      <c r="F169" s="176">
        <f>Accounts!F152</f>
        <v/>
      </c>
      <c r="G169" s="174">
        <f>Accounts!O152</f>
        <v/>
      </c>
      <c r="H169" s="174">
        <f>Accounts!P152</f>
        <v/>
      </c>
      <c r="I169" s="174">
        <f>Accounts!H152</f>
        <v/>
      </c>
      <c r="J169" s="174">
        <f>Accounts!I152</f>
        <v/>
      </c>
      <c r="K169" s="176">
        <f>#REF!</f>
        <v/>
      </c>
      <c r="L169" s="173" t="n"/>
      <c r="M169" s="9" t="n"/>
      <c r="N169" s="28" t="b">
        <v>0</v>
      </c>
      <c r="O169" s="172" t="b">
        <v>0</v>
      </c>
      <c r="P169" s="28" t="b">
        <v>0</v>
      </c>
      <c r="Q169" s="28" t="b">
        <v>0</v>
      </c>
      <c r="R169" s="28" t="b">
        <v>0</v>
      </c>
      <c r="S169" s="28" t="b">
        <v>0</v>
      </c>
      <c r="T169" s="28" t="b">
        <v>0</v>
      </c>
      <c r="U169" s="28" t="b">
        <v>0</v>
      </c>
      <c r="V169" s="28" t="b">
        <v>0</v>
      </c>
      <c r="W169" s="28" t="b">
        <v>0</v>
      </c>
    </row>
    <row r="170" ht="69" customHeight="1" s="222">
      <c r="A170" s="164">
        <f>Accounts!A153</f>
        <v/>
      </c>
      <c r="B170" s="145" t="b">
        <v>0</v>
      </c>
      <c r="C170" s="176">
        <f>Accounts!T153</f>
        <v/>
      </c>
      <c r="D170" s="174" t="n"/>
      <c r="E170" s="174" t="n"/>
      <c r="F170" s="176">
        <f>Accounts!F153</f>
        <v/>
      </c>
      <c r="G170" s="174">
        <f>Accounts!O153</f>
        <v/>
      </c>
      <c r="H170" s="174">
        <f>Accounts!P153</f>
        <v/>
      </c>
      <c r="I170" s="174">
        <f>Accounts!H153</f>
        <v/>
      </c>
      <c r="J170" s="174">
        <f>Accounts!I153</f>
        <v/>
      </c>
      <c r="K170" s="176">
        <f>#REF!</f>
        <v/>
      </c>
      <c r="L170" s="173" t="n"/>
      <c r="M170" s="9" t="n"/>
      <c r="N170" s="28" t="b">
        <v>0</v>
      </c>
      <c r="O170" s="172" t="b">
        <v>0</v>
      </c>
      <c r="P170" s="28" t="b">
        <v>0</v>
      </c>
      <c r="Q170" s="28" t="b">
        <v>0</v>
      </c>
      <c r="R170" s="28" t="b">
        <v>0</v>
      </c>
      <c r="S170" s="28" t="b">
        <v>0</v>
      </c>
      <c r="T170" s="28" t="b">
        <v>0</v>
      </c>
      <c r="U170" s="28" t="b">
        <v>0</v>
      </c>
      <c r="V170" s="28" t="b">
        <v>0</v>
      </c>
      <c r="W170" s="28" t="b">
        <v>0</v>
      </c>
    </row>
    <row r="171" ht="69" customHeight="1" s="222">
      <c r="A171" s="164">
        <f>Accounts!A154</f>
        <v/>
      </c>
      <c r="B171" s="145" t="b">
        <v>0</v>
      </c>
      <c r="C171" s="176">
        <f>Accounts!T154</f>
        <v/>
      </c>
      <c r="D171" s="174" t="n"/>
      <c r="E171" s="174" t="n"/>
      <c r="F171" s="176">
        <f>Accounts!F154</f>
        <v/>
      </c>
      <c r="G171" s="174">
        <f>Accounts!O154</f>
        <v/>
      </c>
      <c r="H171" s="174">
        <f>Accounts!P154</f>
        <v/>
      </c>
      <c r="I171" s="174">
        <f>Accounts!H154</f>
        <v/>
      </c>
      <c r="J171" s="174">
        <f>Accounts!I154</f>
        <v/>
      </c>
      <c r="K171" s="176">
        <f>#REF!</f>
        <v/>
      </c>
      <c r="L171" s="173" t="n"/>
      <c r="M171" s="9" t="n"/>
      <c r="N171" s="28" t="b">
        <v>0</v>
      </c>
      <c r="O171" s="172" t="b">
        <v>0</v>
      </c>
      <c r="P171" s="28" t="b">
        <v>0</v>
      </c>
      <c r="Q171" s="28" t="b">
        <v>0</v>
      </c>
      <c r="R171" s="28" t="b">
        <v>0</v>
      </c>
      <c r="S171" s="28" t="b">
        <v>0</v>
      </c>
      <c r="T171" s="28" t="b">
        <v>0</v>
      </c>
      <c r="U171" s="28" t="b">
        <v>0</v>
      </c>
      <c r="V171" s="28" t="b">
        <v>0</v>
      </c>
      <c r="W171" s="28" t="b">
        <v>0</v>
      </c>
    </row>
    <row r="172" ht="69" customHeight="1" s="222">
      <c r="A172" s="164">
        <f>Accounts!A158</f>
        <v/>
      </c>
      <c r="B172" s="145" t="b">
        <v>0</v>
      </c>
      <c r="C172" s="176">
        <f>#REF!</f>
        <v/>
      </c>
      <c r="D172" s="174" t="n"/>
      <c r="E172" s="174" t="n"/>
      <c r="F172" s="176">
        <f>Accounts!F158</f>
        <v/>
      </c>
      <c r="G172" s="174">
        <f>Accounts!O158</f>
        <v/>
      </c>
      <c r="H172" s="174">
        <f>Accounts!P158</f>
        <v/>
      </c>
      <c r="I172" s="174">
        <f>Accounts!H158</f>
        <v/>
      </c>
      <c r="J172" s="174">
        <f>Accounts!I158</f>
        <v/>
      </c>
      <c r="K172" s="176">
        <f>#REF!</f>
        <v/>
      </c>
      <c r="L172" s="173" t="n"/>
      <c r="M172" s="9" t="n"/>
      <c r="N172" s="28" t="b">
        <v>0</v>
      </c>
      <c r="O172" s="172" t="b">
        <v>0</v>
      </c>
      <c r="P172" s="28" t="b">
        <v>0</v>
      </c>
      <c r="Q172" s="28" t="b">
        <v>0</v>
      </c>
      <c r="R172" s="28" t="b">
        <v>0</v>
      </c>
      <c r="S172" s="28" t="b">
        <v>0</v>
      </c>
      <c r="T172" s="28" t="b">
        <v>0</v>
      </c>
      <c r="U172" s="28" t="b">
        <v>0</v>
      </c>
      <c r="V172" s="28" t="b">
        <v>0</v>
      </c>
      <c r="W172" s="28" t="b">
        <v>0</v>
      </c>
    </row>
    <row r="173" ht="69" customHeight="1" s="222">
      <c r="A173" s="164">
        <f>Accounts!A159</f>
        <v/>
      </c>
      <c r="B173" s="145" t="b">
        <v>0</v>
      </c>
      <c r="C173" s="176">
        <f>#REF!</f>
        <v/>
      </c>
      <c r="D173" s="174" t="n"/>
      <c r="E173" s="174" t="n"/>
      <c r="F173" s="176">
        <f>Accounts!F159</f>
        <v/>
      </c>
      <c r="G173" s="174">
        <f>Accounts!O159</f>
        <v/>
      </c>
      <c r="H173" s="174">
        <f>Accounts!P159</f>
        <v/>
      </c>
      <c r="I173" s="174">
        <f>Accounts!H159</f>
        <v/>
      </c>
      <c r="J173" s="174">
        <f>Accounts!I159</f>
        <v/>
      </c>
      <c r="K173" s="176">
        <f>#REF!</f>
        <v/>
      </c>
      <c r="L173" s="173" t="n"/>
      <c r="M173" s="9" t="n"/>
      <c r="N173" s="28" t="b">
        <v>0</v>
      </c>
      <c r="O173" s="172" t="b">
        <v>0</v>
      </c>
      <c r="P173" s="28" t="b">
        <v>0</v>
      </c>
      <c r="Q173" s="28" t="b">
        <v>0</v>
      </c>
      <c r="R173" s="28" t="b">
        <v>0</v>
      </c>
      <c r="S173" s="28" t="b">
        <v>0</v>
      </c>
      <c r="T173" s="28" t="b">
        <v>0</v>
      </c>
      <c r="U173" s="28" t="b">
        <v>0</v>
      </c>
      <c r="V173" s="28" t="b">
        <v>0</v>
      </c>
      <c r="W173" s="28" t="b">
        <v>0</v>
      </c>
    </row>
    <row r="174" ht="69" customHeight="1" s="222">
      <c r="A174" s="164">
        <f>Accounts!A160</f>
        <v/>
      </c>
      <c r="B174" s="145" t="b">
        <v>0</v>
      </c>
      <c r="C174" s="176">
        <f>#REF!</f>
        <v/>
      </c>
      <c r="D174" s="174" t="n"/>
      <c r="E174" s="174" t="n"/>
      <c r="F174" s="176">
        <f>Accounts!F160</f>
        <v/>
      </c>
      <c r="G174" s="174">
        <f>Accounts!O160</f>
        <v/>
      </c>
      <c r="H174" s="174">
        <f>Accounts!P160</f>
        <v/>
      </c>
      <c r="I174" s="174">
        <f>Accounts!H160</f>
        <v/>
      </c>
      <c r="J174" s="174">
        <f>Accounts!I160</f>
        <v/>
      </c>
      <c r="K174" s="176">
        <f>#REF!</f>
        <v/>
      </c>
      <c r="L174" s="173" t="n"/>
      <c r="M174" s="9" t="n"/>
      <c r="N174" s="28" t="b">
        <v>0</v>
      </c>
      <c r="O174" s="172" t="b">
        <v>0</v>
      </c>
      <c r="P174" s="28" t="b">
        <v>0</v>
      </c>
      <c r="Q174" s="28" t="b">
        <v>0</v>
      </c>
      <c r="R174" s="28" t="b">
        <v>0</v>
      </c>
      <c r="S174" s="28" t="b">
        <v>0</v>
      </c>
      <c r="T174" s="28" t="b">
        <v>0</v>
      </c>
      <c r="U174" s="28" t="b">
        <v>0</v>
      </c>
      <c r="V174" s="28" t="b">
        <v>0</v>
      </c>
      <c r="W174" s="28" t="b">
        <v>0</v>
      </c>
    </row>
    <row r="175" ht="69" customHeight="1" s="222">
      <c r="A175" s="164">
        <f>Accounts!A161</f>
        <v/>
      </c>
      <c r="B175" s="145" t="b">
        <v>0</v>
      </c>
      <c r="C175" s="176">
        <f>#REF!</f>
        <v/>
      </c>
      <c r="D175" s="174" t="n"/>
      <c r="E175" s="174" t="n"/>
      <c r="F175" s="176">
        <f>Accounts!F161</f>
        <v/>
      </c>
      <c r="G175" s="174">
        <f>Accounts!O161</f>
        <v/>
      </c>
      <c r="H175" s="174">
        <f>Accounts!P161</f>
        <v/>
      </c>
      <c r="I175" s="174">
        <f>Accounts!H161</f>
        <v/>
      </c>
      <c r="J175" s="174">
        <f>Accounts!I161</f>
        <v/>
      </c>
      <c r="K175" s="176">
        <f>#REF!</f>
        <v/>
      </c>
      <c r="L175" s="173" t="n"/>
      <c r="M175" s="9" t="n"/>
      <c r="N175" s="28" t="b">
        <v>0</v>
      </c>
      <c r="O175" s="172" t="b">
        <v>0</v>
      </c>
      <c r="P175" s="28" t="b">
        <v>0</v>
      </c>
      <c r="Q175" s="28" t="b">
        <v>0</v>
      </c>
      <c r="R175" s="28" t="b">
        <v>0</v>
      </c>
      <c r="S175" s="28" t="b">
        <v>0</v>
      </c>
      <c r="T175" s="28" t="b">
        <v>0</v>
      </c>
      <c r="U175" s="28" t="b">
        <v>0</v>
      </c>
      <c r="V175" s="28" t="b">
        <v>0</v>
      </c>
      <c r="W175" s="28" t="b">
        <v>0</v>
      </c>
    </row>
    <row r="176" ht="69" customHeight="1" s="222">
      <c r="A176" s="164">
        <f>Accounts!A162</f>
        <v/>
      </c>
      <c r="B176" s="145" t="b">
        <v>0</v>
      </c>
      <c r="C176" s="176">
        <f>#REF!</f>
        <v/>
      </c>
      <c r="D176" s="174" t="n"/>
      <c r="E176" s="174" t="n"/>
      <c r="F176" s="176">
        <f>Accounts!F162</f>
        <v/>
      </c>
      <c r="G176" s="174">
        <f>Accounts!O162</f>
        <v/>
      </c>
      <c r="H176" s="174">
        <f>Accounts!P162</f>
        <v/>
      </c>
      <c r="I176" s="174">
        <f>Accounts!H162</f>
        <v/>
      </c>
      <c r="J176" s="174">
        <f>Accounts!I162</f>
        <v/>
      </c>
      <c r="K176" s="176">
        <f>#REF!</f>
        <v/>
      </c>
      <c r="L176" s="173" t="n"/>
      <c r="M176" s="9" t="n"/>
      <c r="N176" s="28" t="b">
        <v>0</v>
      </c>
      <c r="O176" s="172" t="b">
        <v>0</v>
      </c>
      <c r="P176" s="28" t="b">
        <v>0</v>
      </c>
      <c r="Q176" s="28" t="b">
        <v>0</v>
      </c>
      <c r="R176" s="28" t="b">
        <v>0</v>
      </c>
      <c r="S176" s="28" t="b">
        <v>0</v>
      </c>
      <c r="T176" s="28" t="b">
        <v>0</v>
      </c>
      <c r="U176" s="28" t="b">
        <v>0</v>
      </c>
      <c r="V176" s="28" t="b">
        <v>0</v>
      </c>
      <c r="W176" s="28" t="b">
        <v>0</v>
      </c>
    </row>
    <row r="177" ht="69" customHeight="1" s="222">
      <c r="A177" s="164">
        <f>Accounts!A163</f>
        <v/>
      </c>
      <c r="B177" s="145" t="b">
        <v>0</v>
      </c>
      <c r="C177" s="176">
        <f>#REF!</f>
        <v/>
      </c>
      <c r="D177" s="174" t="n"/>
      <c r="E177" s="174" t="n"/>
      <c r="F177" s="176">
        <f>Accounts!F163</f>
        <v/>
      </c>
      <c r="G177" s="174">
        <f>Accounts!O163</f>
        <v/>
      </c>
      <c r="H177" s="174">
        <f>Accounts!P163</f>
        <v/>
      </c>
      <c r="I177" s="174">
        <f>Accounts!H163</f>
        <v/>
      </c>
      <c r="J177" s="174">
        <f>Accounts!I163</f>
        <v/>
      </c>
      <c r="K177" s="176">
        <f>#REF!</f>
        <v/>
      </c>
      <c r="L177" s="173" t="n"/>
      <c r="M177" s="9" t="n"/>
      <c r="N177" s="28" t="b">
        <v>0</v>
      </c>
      <c r="O177" s="172" t="b">
        <v>0</v>
      </c>
      <c r="P177" s="28" t="b">
        <v>0</v>
      </c>
      <c r="Q177" s="28" t="b">
        <v>0</v>
      </c>
      <c r="R177" s="28" t="b">
        <v>0</v>
      </c>
      <c r="S177" s="28" t="b">
        <v>0</v>
      </c>
      <c r="T177" s="28" t="b">
        <v>0</v>
      </c>
      <c r="U177" s="28" t="b">
        <v>0</v>
      </c>
      <c r="V177" s="28" t="b">
        <v>0</v>
      </c>
      <c r="W177" s="28" t="b">
        <v>0</v>
      </c>
    </row>
    <row r="178" ht="69" customHeight="1" s="222">
      <c r="A178" s="164">
        <f>Accounts!A164</f>
        <v/>
      </c>
      <c r="B178" s="145" t="b">
        <v>0</v>
      </c>
      <c r="C178" s="176">
        <f>#REF!</f>
        <v/>
      </c>
      <c r="D178" s="174" t="n"/>
      <c r="E178" s="174" t="n"/>
      <c r="F178" s="176">
        <f>Accounts!F164</f>
        <v/>
      </c>
      <c r="G178" s="174">
        <f>Accounts!O164</f>
        <v/>
      </c>
      <c r="H178" s="174">
        <f>Accounts!P164</f>
        <v/>
      </c>
      <c r="I178" s="174">
        <f>Accounts!H164</f>
        <v/>
      </c>
      <c r="J178" s="174">
        <f>Accounts!I164</f>
        <v/>
      </c>
      <c r="K178" s="176">
        <f>#REF!</f>
        <v/>
      </c>
      <c r="L178" s="173" t="n"/>
      <c r="M178" s="9" t="n"/>
      <c r="N178" s="28" t="b">
        <v>0</v>
      </c>
      <c r="O178" s="172" t="b">
        <v>0</v>
      </c>
      <c r="P178" s="28" t="b">
        <v>0</v>
      </c>
      <c r="Q178" s="28" t="b">
        <v>0</v>
      </c>
      <c r="R178" s="28" t="b">
        <v>0</v>
      </c>
      <c r="S178" s="28" t="b">
        <v>0</v>
      </c>
      <c r="T178" s="28" t="b">
        <v>0</v>
      </c>
      <c r="U178" s="28" t="b">
        <v>0</v>
      </c>
      <c r="V178" s="28" t="b">
        <v>0</v>
      </c>
      <c r="W178" s="28" t="b">
        <v>0</v>
      </c>
    </row>
    <row r="179" ht="69" customHeight="1" s="222">
      <c r="A179" s="164">
        <f>Accounts!A165</f>
        <v/>
      </c>
      <c r="B179" s="145" t="b">
        <v>0</v>
      </c>
      <c r="C179" s="176">
        <f>#REF!</f>
        <v/>
      </c>
      <c r="D179" s="174" t="n"/>
      <c r="E179" s="174" t="n"/>
      <c r="F179" s="170">
        <f>Accounts!F165</f>
        <v/>
      </c>
      <c r="G179" s="174">
        <f>Accounts!O165</f>
        <v/>
      </c>
      <c r="H179" s="174">
        <f>Accounts!P165</f>
        <v/>
      </c>
      <c r="I179" s="174">
        <f>Accounts!H165</f>
        <v/>
      </c>
      <c r="J179" s="174">
        <f>Accounts!I165</f>
        <v/>
      </c>
      <c r="K179" s="176">
        <f>#REF!</f>
        <v/>
      </c>
      <c r="L179" s="173" t="n"/>
      <c r="M179" s="9" t="n"/>
      <c r="N179" s="28" t="b">
        <v>0</v>
      </c>
      <c r="O179" s="172" t="b">
        <v>0</v>
      </c>
      <c r="P179" s="28" t="b">
        <v>0</v>
      </c>
      <c r="Q179" s="28" t="b">
        <v>0</v>
      </c>
      <c r="R179" s="28" t="b">
        <v>0</v>
      </c>
      <c r="S179" s="28" t="b">
        <v>0</v>
      </c>
      <c r="T179" s="28" t="b">
        <v>0</v>
      </c>
      <c r="U179" s="28" t="b">
        <v>0</v>
      </c>
      <c r="V179" s="28" t="b">
        <v>0</v>
      </c>
      <c r="W179" s="28" t="b">
        <v>0</v>
      </c>
    </row>
    <row r="180" ht="69" customHeight="1" s="222">
      <c r="A180" s="164">
        <f>Accounts!A166</f>
        <v/>
      </c>
      <c r="B180" s="145" t="b">
        <v>0</v>
      </c>
      <c r="C180" s="176">
        <f>#REF!</f>
        <v/>
      </c>
      <c r="D180" s="174" t="n"/>
      <c r="E180" s="174" t="n"/>
      <c r="F180" s="170">
        <f>Accounts!F166</f>
        <v/>
      </c>
      <c r="G180" s="174">
        <f>Accounts!O166</f>
        <v/>
      </c>
      <c r="H180" s="174">
        <f>Accounts!P166</f>
        <v/>
      </c>
      <c r="I180" s="174">
        <f>Accounts!H166</f>
        <v/>
      </c>
      <c r="J180" s="174">
        <f>Accounts!I166</f>
        <v/>
      </c>
      <c r="K180" s="176">
        <f>#REF!</f>
        <v/>
      </c>
      <c r="L180" s="173" t="n"/>
      <c r="M180" s="9" t="n"/>
      <c r="N180" s="28" t="b">
        <v>0</v>
      </c>
      <c r="O180" s="172" t="b">
        <v>0</v>
      </c>
      <c r="P180" s="28" t="b">
        <v>0</v>
      </c>
      <c r="Q180" s="28" t="b">
        <v>0</v>
      </c>
      <c r="R180" s="28" t="b">
        <v>0</v>
      </c>
      <c r="S180" s="28" t="b">
        <v>0</v>
      </c>
      <c r="T180" s="28" t="b">
        <v>0</v>
      </c>
      <c r="U180" s="28" t="b">
        <v>0</v>
      </c>
      <c r="V180" s="28" t="b">
        <v>0</v>
      </c>
      <c r="W180" s="28" t="b">
        <v>0</v>
      </c>
    </row>
    <row r="181" ht="69" customHeight="1" s="222">
      <c r="A181" s="164">
        <f>Accounts!A167</f>
        <v/>
      </c>
      <c r="B181" s="145" t="b">
        <v>0</v>
      </c>
      <c r="C181" s="176">
        <f>Accounts!T167</f>
        <v/>
      </c>
      <c r="D181" s="174" t="n"/>
      <c r="E181" s="174" t="n"/>
      <c r="F181" s="170">
        <f>Accounts!F167</f>
        <v/>
      </c>
      <c r="G181" s="174">
        <f>Accounts!O167</f>
        <v/>
      </c>
      <c r="H181" s="174">
        <f>Accounts!P167</f>
        <v/>
      </c>
      <c r="I181" s="174">
        <f>Accounts!H167</f>
        <v/>
      </c>
      <c r="J181" s="174">
        <f>Accounts!I167</f>
        <v/>
      </c>
      <c r="K181" s="176">
        <f>#REF!</f>
        <v/>
      </c>
      <c r="L181" s="173" t="n"/>
      <c r="M181" s="9" t="n"/>
      <c r="N181" s="28" t="b">
        <v>0</v>
      </c>
      <c r="O181" s="172" t="b">
        <v>0</v>
      </c>
      <c r="P181" s="28" t="b">
        <v>0</v>
      </c>
      <c r="Q181" s="28" t="b">
        <v>0</v>
      </c>
      <c r="R181" s="28" t="b">
        <v>0</v>
      </c>
      <c r="S181" s="28" t="b">
        <v>0</v>
      </c>
      <c r="T181" s="28" t="b">
        <v>0</v>
      </c>
      <c r="U181" s="28" t="b">
        <v>0</v>
      </c>
      <c r="V181" s="28" t="b">
        <v>0</v>
      </c>
      <c r="W181" s="28" t="b">
        <v>0</v>
      </c>
    </row>
    <row r="182" ht="69" customHeight="1" s="222">
      <c r="A182" s="164">
        <f>Accounts!A168</f>
        <v/>
      </c>
      <c r="B182" s="145" t="b">
        <v>0</v>
      </c>
      <c r="C182" s="176">
        <f>Accounts!T168</f>
        <v/>
      </c>
      <c r="D182" s="174" t="n"/>
      <c r="E182" s="174" t="n"/>
      <c r="F182" s="170">
        <f>Accounts!F168</f>
        <v/>
      </c>
      <c r="G182" s="174">
        <f>Accounts!O168</f>
        <v/>
      </c>
      <c r="H182" s="174">
        <f>Accounts!P168</f>
        <v/>
      </c>
      <c r="I182" s="174">
        <f>Accounts!H168</f>
        <v/>
      </c>
      <c r="J182" s="174">
        <f>Accounts!I168</f>
        <v/>
      </c>
      <c r="K182" s="176">
        <f>#REF!</f>
        <v/>
      </c>
      <c r="L182" s="173" t="n"/>
      <c r="M182" s="9" t="n"/>
      <c r="N182" s="28" t="b">
        <v>0</v>
      </c>
      <c r="O182" s="172" t="b">
        <v>0</v>
      </c>
      <c r="P182" s="28" t="b">
        <v>0</v>
      </c>
      <c r="Q182" s="28" t="b">
        <v>0</v>
      </c>
      <c r="R182" s="28" t="b">
        <v>0</v>
      </c>
      <c r="S182" s="28" t="b">
        <v>0</v>
      </c>
      <c r="T182" s="28" t="b">
        <v>0</v>
      </c>
      <c r="U182" s="28" t="b">
        <v>0</v>
      </c>
      <c r="V182" s="28" t="b">
        <v>0</v>
      </c>
      <c r="W182" s="28" t="b">
        <v>0</v>
      </c>
    </row>
    <row r="183" ht="69" customHeight="1" s="222">
      <c r="A183" s="164">
        <f>Accounts!A169</f>
        <v/>
      </c>
      <c r="B183" s="145" t="b">
        <v>0</v>
      </c>
      <c r="C183" s="176">
        <f>Accounts!T169</f>
        <v/>
      </c>
      <c r="D183" s="174" t="n"/>
      <c r="E183" s="174" t="n"/>
      <c r="F183" s="176">
        <f>Accounts!F169</f>
        <v/>
      </c>
      <c r="G183" s="174">
        <f>Accounts!O169</f>
        <v/>
      </c>
      <c r="H183" s="174">
        <f>Accounts!P169</f>
        <v/>
      </c>
      <c r="I183" s="174">
        <f>Accounts!H169</f>
        <v/>
      </c>
      <c r="J183" s="174">
        <f>Accounts!I169</f>
        <v/>
      </c>
      <c r="K183" s="176">
        <f>#REF!</f>
        <v/>
      </c>
      <c r="L183" s="173" t="n"/>
      <c r="M183" s="9" t="n"/>
      <c r="N183" s="28" t="b">
        <v>0</v>
      </c>
      <c r="O183" s="172" t="b">
        <v>0</v>
      </c>
      <c r="P183" s="28" t="b">
        <v>0</v>
      </c>
      <c r="Q183" s="28" t="b">
        <v>0</v>
      </c>
      <c r="R183" s="28" t="b">
        <v>0</v>
      </c>
      <c r="S183" s="28" t="b">
        <v>0</v>
      </c>
      <c r="T183" s="28" t="b">
        <v>0</v>
      </c>
      <c r="U183" s="28" t="b">
        <v>0</v>
      </c>
      <c r="V183" s="28" t="b">
        <v>0</v>
      </c>
      <c r="W183" s="28" t="b">
        <v>0</v>
      </c>
    </row>
    <row r="184" ht="69" customHeight="1" s="222">
      <c r="A184" s="164">
        <f>Accounts!A170</f>
        <v/>
      </c>
      <c r="B184" s="145" t="b">
        <v>0</v>
      </c>
      <c r="C184" s="176">
        <f>Accounts!T170</f>
        <v/>
      </c>
      <c r="D184" s="174" t="n"/>
      <c r="E184" s="174" t="n"/>
      <c r="F184" s="170">
        <f>Accounts!F170</f>
        <v/>
      </c>
      <c r="G184" s="174">
        <f>Accounts!O170</f>
        <v/>
      </c>
      <c r="H184" s="174">
        <f>Accounts!P170</f>
        <v/>
      </c>
      <c r="I184" s="174">
        <f>Accounts!H170</f>
        <v/>
      </c>
      <c r="J184" s="174">
        <f>Accounts!I170</f>
        <v/>
      </c>
      <c r="K184" s="176">
        <f>#REF!</f>
        <v/>
      </c>
      <c r="L184" s="173" t="n"/>
      <c r="M184" s="9" t="n"/>
      <c r="N184" s="28" t="b">
        <v>0</v>
      </c>
      <c r="O184" s="172" t="b">
        <v>0</v>
      </c>
      <c r="P184" s="28" t="b">
        <v>0</v>
      </c>
      <c r="Q184" s="28" t="b">
        <v>0</v>
      </c>
      <c r="R184" s="28" t="b">
        <v>0</v>
      </c>
      <c r="S184" s="28" t="b">
        <v>0</v>
      </c>
      <c r="T184" s="28" t="b">
        <v>0</v>
      </c>
      <c r="U184" s="28" t="b">
        <v>0</v>
      </c>
      <c r="V184" s="28" t="b">
        <v>0</v>
      </c>
      <c r="W184" s="28" t="b">
        <v>0</v>
      </c>
    </row>
    <row r="185" ht="69" customHeight="1" s="222">
      <c r="A185" s="164">
        <f>Accounts!A171</f>
        <v/>
      </c>
      <c r="B185" s="145" t="b">
        <v>0</v>
      </c>
      <c r="C185" s="176">
        <f>Accounts!T171</f>
        <v/>
      </c>
      <c r="D185" s="174" t="n"/>
      <c r="E185" s="174" t="n"/>
      <c r="F185" s="170">
        <f>Accounts!F171</f>
        <v/>
      </c>
      <c r="G185" s="174">
        <f>Accounts!O171</f>
        <v/>
      </c>
      <c r="H185" s="174">
        <f>Accounts!P171</f>
        <v/>
      </c>
      <c r="I185" s="174">
        <f>Accounts!H171</f>
        <v/>
      </c>
      <c r="J185" s="174">
        <f>Accounts!I171</f>
        <v/>
      </c>
      <c r="K185" s="176">
        <f>#REF!</f>
        <v/>
      </c>
      <c r="L185" s="173" t="n"/>
      <c r="M185" s="9" t="n"/>
      <c r="N185" s="28" t="b">
        <v>0</v>
      </c>
      <c r="O185" s="172" t="b">
        <v>0</v>
      </c>
      <c r="P185" s="28" t="b">
        <v>0</v>
      </c>
      <c r="Q185" s="28" t="b">
        <v>0</v>
      </c>
      <c r="R185" s="28" t="b">
        <v>0</v>
      </c>
      <c r="S185" s="28" t="b">
        <v>0</v>
      </c>
      <c r="T185" s="28" t="b">
        <v>0</v>
      </c>
      <c r="U185" s="28" t="b">
        <v>0</v>
      </c>
      <c r="V185" s="28" t="b">
        <v>0</v>
      </c>
      <c r="W185" s="28" t="b">
        <v>0</v>
      </c>
    </row>
    <row r="186" ht="69" customHeight="1" s="222">
      <c r="A186" s="164">
        <f>Accounts!A172</f>
        <v/>
      </c>
      <c r="B186" s="145" t="b">
        <v>0</v>
      </c>
      <c r="C186" s="176">
        <f>Accounts!T172</f>
        <v/>
      </c>
      <c r="D186" s="174" t="n"/>
      <c r="E186" s="174" t="n"/>
      <c r="F186" s="176">
        <f>Accounts!F172</f>
        <v/>
      </c>
      <c r="G186" s="174">
        <f>Accounts!O172</f>
        <v/>
      </c>
      <c r="H186" s="174">
        <f>Accounts!P172</f>
        <v/>
      </c>
      <c r="I186" s="174">
        <f>Accounts!H172</f>
        <v/>
      </c>
      <c r="J186" s="174">
        <f>Accounts!I172</f>
        <v/>
      </c>
      <c r="K186" s="176">
        <f>#REF!</f>
        <v/>
      </c>
      <c r="L186" s="173" t="n"/>
      <c r="M186" s="9" t="n"/>
      <c r="N186" s="28" t="b">
        <v>0</v>
      </c>
      <c r="O186" s="172" t="b">
        <v>0</v>
      </c>
      <c r="P186" s="28" t="b">
        <v>0</v>
      </c>
      <c r="Q186" s="28" t="b">
        <v>0</v>
      </c>
      <c r="R186" s="28" t="b">
        <v>0</v>
      </c>
      <c r="S186" s="28" t="b">
        <v>0</v>
      </c>
      <c r="T186" s="28" t="b">
        <v>0</v>
      </c>
      <c r="U186" s="28" t="b">
        <v>0</v>
      </c>
      <c r="V186" s="28" t="b">
        <v>0</v>
      </c>
      <c r="W186" s="28" t="b">
        <v>0</v>
      </c>
    </row>
    <row r="187" ht="69" customHeight="1" s="222">
      <c r="A187" s="164">
        <f>Accounts!A173</f>
        <v/>
      </c>
      <c r="B187" s="145" t="b">
        <v>0</v>
      </c>
      <c r="C187" s="176">
        <f>Accounts!T173</f>
        <v/>
      </c>
      <c r="D187" s="174" t="n"/>
      <c r="E187" s="174" t="n"/>
      <c r="F187" s="176">
        <f>Accounts!F173</f>
        <v/>
      </c>
      <c r="G187" s="174">
        <f>Accounts!O173</f>
        <v/>
      </c>
      <c r="H187" s="174">
        <f>Accounts!P173</f>
        <v/>
      </c>
      <c r="I187" s="174">
        <f>Accounts!H173</f>
        <v/>
      </c>
      <c r="J187" s="174">
        <f>Accounts!I173</f>
        <v/>
      </c>
      <c r="K187" s="176">
        <f>#REF!</f>
        <v/>
      </c>
      <c r="L187" s="173" t="n"/>
      <c r="M187" s="9" t="n"/>
      <c r="N187" s="28" t="b">
        <v>0</v>
      </c>
      <c r="O187" s="172" t="b">
        <v>0</v>
      </c>
      <c r="P187" s="28" t="b">
        <v>0</v>
      </c>
      <c r="Q187" s="28" t="b">
        <v>0</v>
      </c>
      <c r="R187" s="28" t="b">
        <v>0</v>
      </c>
      <c r="S187" s="28" t="b">
        <v>0</v>
      </c>
      <c r="T187" s="28" t="b">
        <v>0</v>
      </c>
      <c r="U187" s="28" t="b">
        <v>0</v>
      </c>
      <c r="V187" s="28" t="b">
        <v>0</v>
      </c>
      <c r="W187" s="28" t="b">
        <v>0</v>
      </c>
    </row>
    <row r="188" ht="69" customHeight="1" s="222">
      <c r="A188" s="164">
        <f>Accounts!A174</f>
        <v/>
      </c>
      <c r="B188" s="145" t="b">
        <v>0</v>
      </c>
      <c r="C188" s="176">
        <f>Accounts!T174</f>
        <v/>
      </c>
      <c r="D188" s="174" t="n"/>
      <c r="E188" s="174" t="n"/>
      <c r="F188" s="176">
        <f>Accounts!F174</f>
        <v/>
      </c>
      <c r="G188" s="174">
        <f>Accounts!O174</f>
        <v/>
      </c>
      <c r="H188" s="174">
        <f>Accounts!P174</f>
        <v/>
      </c>
      <c r="I188" s="174">
        <f>Accounts!H174</f>
        <v/>
      </c>
      <c r="J188" s="174">
        <f>Accounts!I174</f>
        <v/>
      </c>
      <c r="K188" s="176">
        <f>#REF!</f>
        <v/>
      </c>
      <c r="L188" s="173" t="n"/>
      <c r="M188" s="9" t="n"/>
      <c r="N188" s="28" t="b">
        <v>0</v>
      </c>
      <c r="O188" s="172" t="b">
        <v>0</v>
      </c>
      <c r="P188" s="28" t="b">
        <v>0</v>
      </c>
      <c r="Q188" s="28" t="b">
        <v>0</v>
      </c>
      <c r="R188" s="28" t="b">
        <v>0</v>
      </c>
      <c r="S188" s="28" t="b">
        <v>0</v>
      </c>
      <c r="T188" s="28" t="b">
        <v>0</v>
      </c>
      <c r="U188" s="28" t="b">
        <v>0</v>
      </c>
      <c r="V188" s="28" t="b">
        <v>0</v>
      </c>
      <c r="W188" s="28" t="b">
        <v>0</v>
      </c>
    </row>
    <row r="189" ht="69" customHeight="1" s="222">
      <c r="A189" s="164">
        <f>Accounts!A175</f>
        <v/>
      </c>
      <c r="B189" s="145" t="b">
        <v>0</v>
      </c>
      <c r="C189" s="176">
        <f>Accounts!T175</f>
        <v/>
      </c>
      <c r="D189" s="174" t="n"/>
      <c r="E189" s="174" t="n"/>
      <c r="F189" s="176">
        <f>Accounts!F175</f>
        <v/>
      </c>
      <c r="G189" s="174">
        <f>Accounts!O175</f>
        <v/>
      </c>
      <c r="H189" s="174">
        <f>Accounts!P175</f>
        <v/>
      </c>
      <c r="I189" s="174">
        <f>Accounts!H175</f>
        <v/>
      </c>
      <c r="J189" s="174">
        <f>Accounts!I175</f>
        <v/>
      </c>
      <c r="K189" s="176">
        <f>#REF!</f>
        <v/>
      </c>
      <c r="L189" s="173" t="n"/>
      <c r="M189" s="9" t="n"/>
      <c r="N189" s="28" t="b">
        <v>0</v>
      </c>
      <c r="O189" s="172" t="b">
        <v>0</v>
      </c>
      <c r="P189" s="28" t="b">
        <v>0</v>
      </c>
      <c r="Q189" s="28" t="b">
        <v>0</v>
      </c>
      <c r="R189" s="28" t="b">
        <v>0</v>
      </c>
      <c r="S189" s="28" t="b">
        <v>0</v>
      </c>
      <c r="T189" s="28" t="b">
        <v>0</v>
      </c>
      <c r="U189" s="28" t="b">
        <v>0</v>
      </c>
      <c r="V189" s="28" t="b">
        <v>0</v>
      </c>
      <c r="W189" s="28" t="b">
        <v>0</v>
      </c>
    </row>
    <row r="190" ht="69" customHeight="1" s="222">
      <c r="A190" s="164">
        <f>Accounts!A176</f>
        <v/>
      </c>
      <c r="B190" s="145" t="b">
        <v>0</v>
      </c>
      <c r="C190" s="176">
        <f>Accounts!T176</f>
        <v/>
      </c>
      <c r="D190" s="174" t="n"/>
      <c r="E190" s="174" t="n"/>
      <c r="F190" s="176">
        <f>Accounts!F176</f>
        <v/>
      </c>
      <c r="G190" s="174">
        <f>Accounts!O176</f>
        <v/>
      </c>
      <c r="H190" s="174">
        <f>Accounts!P176</f>
        <v/>
      </c>
      <c r="I190" s="174">
        <f>Accounts!H176</f>
        <v/>
      </c>
      <c r="J190" s="174">
        <f>Accounts!I176</f>
        <v/>
      </c>
      <c r="K190" s="176">
        <f>#REF!</f>
        <v/>
      </c>
      <c r="L190" s="173" t="n"/>
      <c r="M190" s="9" t="n"/>
      <c r="N190" s="28" t="b">
        <v>0</v>
      </c>
      <c r="O190" s="172" t="b">
        <v>0</v>
      </c>
      <c r="P190" s="28" t="b">
        <v>0</v>
      </c>
      <c r="Q190" s="28" t="b">
        <v>0</v>
      </c>
      <c r="R190" s="28" t="b">
        <v>0</v>
      </c>
      <c r="S190" s="28" t="b">
        <v>0</v>
      </c>
      <c r="T190" s="28" t="b">
        <v>0</v>
      </c>
      <c r="U190" s="28" t="b">
        <v>0</v>
      </c>
      <c r="V190" s="28" t="b">
        <v>0</v>
      </c>
      <c r="W190" s="28" t="b">
        <v>0</v>
      </c>
    </row>
    <row r="191" ht="69" customHeight="1" s="222">
      <c r="A191" s="164">
        <f>#REF!</f>
        <v/>
      </c>
      <c r="B191" s="145" t="b">
        <v>0</v>
      </c>
      <c r="C191" s="176">
        <f>#REF!</f>
        <v/>
      </c>
      <c r="D191" s="174" t="n"/>
      <c r="E191" s="174" t="n"/>
      <c r="F191" s="176">
        <f>#REF!</f>
        <v/>
      </c>
      <c r="G191" s="174">
        <f>#REF!</f>
        <v/>
      </c>
      <c r="H191" s="174">
        <f>#REF!</f>
        <v/>
      </c>
      <c r="I191" s="174">
        <f>#REF!</f>
        <v/>
      </c>
      <c r="J191" s="174">
        <f>#REF!</f>
        <v/>
      </c>
      <c r="K191" s="176">
        <f>#REF!</f>
        <v/>
      </c>
      <c r="L191" s="173" t="n"/>
      <c r="M191" s="9" t="n"/>
      <c r="N191" s="28" t="b">
        <v>0</v>
      </c>
      <c r="O191" s="172" t="b">
        <v>0</v>
      </c>
      <c r="P191" s="28" t="b">
        <v>0</v>
      </c>
      <c r="Q191" s="28" t="b">
        <v>0</v>
      </c>
      <c r="R191" s="28" t="b">
        <v>0</v>
      </c>
      <c r="S191" s="28" t="b">
        <v>0</v>
      </c>
      <c r="T191" s="28" t="b">
        <v>0</v>
      </c>
      <c r="U191" s="28" t="b">
        <v>0</v>
      </c>
      <c r="V191" s="28" t="b">
        <v>0</v>
      </c>
      <c r="W191" s="28" t="b">
        <v>0</v>
      </c>
    </row>
    <row r="192" ht="69" customHeight="1" s="222">
      <c r="A192" s="164">
        <f>Accounts!A177</f>
        <v/>
      </c>
      <c r="B192" s="145" t="b">
        <v>0</v>
      </c>
      <c r="C192" s="176">
        <f>Accounts!T177</f>
        <v/>
      </c>
      <c r="D192" s="174" t="n"/>
      <c r="E192" s="174" t="n"/>
      <c r="F192" s="176">
        <f>Accounts!F177</f>
        <v/>
      </c>
      <c r="G192" s="174">
        <f>Accounts!O177</f>
        <v/>
      </c>
      <c r="H192" s="174">
        <f>Accounts!P177</f>
        <v/>
      </c>
      <c r="I192" s="174">
        <f>Accounts!H177</f>
        <v/>
      </c>
      <c r="J192" s="174">
        <f>Accounts!I177</f>
        <v/>
      </c>
      <c r="K192" s="176">
        <f>#REF!</f>
        <v/>
      </c>
      <c r="L192" s="173" t="n"/>
      <c r="M192" s="9" t="n"/>
      <c r="N192" s="28" t="b">
        <v>0</v>
      </c>
      <c r="O192" s="172" t="b">
        <v>0</v>
      </c>
      <c r="P192" s="28" t="b">
        <v>0</v>
      </c>
      <c r="Q192" s="28" t="b">
        <v>0</v>
      </c>
      <c r="R192" s="28" t="b">
        <v>0</v>
      </c>
      <c r="S192" s="28" t="b">
        <v>0</v>
      </c>
      <c r="T192" s="28" t="b">
        <v>0</v>
      </c>
      <c r="U192" s="28" t="b">
        <v>0</v>
      </c>
      <c r="V192" s="28" t="b">
        <v>0</v>
      </c>
      <c r="W192" s="28" t="b">
        <v>0</v>
      </c>
    </row>
    <row r="193" ht="69" customHeight="1" s="222">
      <c r="A193" s="164">
        <f>Accounts!A178</f>
        <v/>
      </c>
      <c r="B193" s="145" t="b">
        <v>0</v>
      </c>
      <c r="C193" s="176">
        <f>Accounts!T178</f>
        <v/>
      </c>
      <c r="D193" s="174" t="n"/>
      <c r="E193" s="174" t="n"/>
      <c r="F193" s="176">
        <f>Accounts!F178</f>
        <v/>
      </c>
      <c r="G193" s="174">
        <f>Accounts!O178</f>
        <v/>
      </c>
      <c r="H193" s="174">
        <f>Accounts!P178</f>
        <v/>
      </c>
      <c r="I193" s="174">
        <f>Accounts!H178</f>
        <v/>
      </c>
      <c r="J193" s="174">
        <f>Accounts!I178</f>
        <v/>
      </c>
      <c r="K193" s="176">
        <f>#REF!</f>
        <v/>
      </c>
      <c r="L193" s="173" t="n"/>
      <c r="M193" s="9" t="n"/>
      <c r="N193" s="28" t="b">
        <v>0</v>
      </c>
      <c r="O193" s="172" t="b">
        <v>0</v>
      </c>
      <c r="P193" s="28" t="b">
        <v>0</v>
      </c>
      <c r="Q193" s="28" t="b">
        <v>0</v>
      </c>
      <c r="R193" s="28" t="b">
        <v>0</v>
      </c>
      <c r="S193" s="28" t="b">
        <v>0</v>
      </c>
      <c r="T193" s="28" t="b">
        <v>0</v>
      </c>
      <c r="U193" s="28" t="b">
        <v>0</v>
      </c>
      <c r="V193" s="28" t="b">
        <v>0</v>
      </c>
      <c r="W193" s="28" t="b">
        <v>0</v>
      </c>
    </row>
    <row r="194" ht="69" customHeight="1" s="222">
      <c r="A194" s="164">
        <f>Accounts!A179</f>
        <v/>
      </c>
      <c r="B194" s="145" t="b">
        <v>0</v>
      </c>
      <c r="C194" s="176">
        <f>Accounts!T179</f>
        <v/>
      </c>
      <c r="D194" s="174" t="n"/>
      <c r="E194" s="174" t="n"/>
      <c r="F194" s="170">
        <f>Accounts!F179</f>
        <v/>
      </c>
      <c r="G194" s="174">
        <f>Accounts!O179</f>
        <v/>
      </c>
      <c r="H194" s="174">
        <f>Accounts!P179</f>
        <v/>
      </c>
      <c r="I194" s="174">
        <f>Accounts!H179</f>
        <v/>
      </c>
      <c r="J194" s="174">
        <f>Accounts!I179</f>
        <v/>
      </c>
      <c r="K194" s="176">
        <f>#REF!</f>
        <v/>
      </c>
      <c r="L194" s="173" t="n"/>
      <c r="M194" s="9" t="n"/>
      <c r="N194" s="28" t="b">
        <v>0</v>
      </c>
      <c r="O194" s="172" t="b">
        <v>0</v>
      </c>
      <c r="P194" s="28" t="b">
        <v>0</v>
      </c>
      <c r="Q194" s="28" t="b">
        <v>0</v>
      </c>
      <c r="R194" s="28" t="b">
        <v>0</v>
      </c>
      <c r="S194" s="28" t="b">
        <v>0</v>
      </c>
      <c r="T194" s="28" t="b">
        <v>0</v>
      </c>
      <c r="U194" s="28" t="b">
        <v>0</v>
      </c>
      <c r="V194" s="28" t="b">
        <v>0</v>
      </c>
      <c r="W194" s="28" t="b">
        <v>0</v>
      </c>
    </row>
    <row r="195" ht="69" customHeight="1" s="222">
      <c r="A195" s="164">
        <f>Accounts!A180</f>
        <v/>
      </c>
      <c r="B195" s="145" t="b">
        <v>0</v>
      </c>
      <c r="C195" s="176">
        <f>Accounts!T180</f>
        <v/>
      </c>
      <c r="D195" s="174" t="n"/>
      <c r="E195" s="174" t="n"/>
      <c r="F195" s="176">
        <f>Accounts!F180</f>
        <v/>
      </c>
      <c r="G195" s="174">
        <f>Accounts!O180</f>
        <v/>
      </c>
      <c r="H195" s="174">
        <f>Accounts!P180</f>
        <v/>
      </c>
      <c r="I195" s="174">
        <f>Accounts!H180</f>
        <v/>
      </c>
      <c r="J195" s="174">
        <f>Accounts!I180</f>
        <v/>
      </c>
      <c r="K195" s="176">
        <f>#REF!</f>
        <v/>
      </c>
      <c r="L195" s="173" t="n"/>
      <c r="M195" s="9" t="n"/>
      <c r="N195" s="28" t="b">
        <v>0</v>
      </c>
      <c r="O195" s="172" t="b">
        <v>0</v>
      </c>
      <c r="P195" s="28" t="b">
        <v>0</v>
      </c>
      <c r="Q195" s="28" t="b">
        <v>0</v>
      </c>
      <c r="R195" s="28" t="b">
        <v>0</v>
      </c>
      <c r="S195" s="28" t="b">
        <v>0</v>
      </c>
      <c r="T195" s="28" t="b">
        <v>0</v>
      </c>
      <c r="U195" s="28" t="b">
        <v>0</v>
      </c>
      <c r="V195" s="28" t="b">
        <v>0</v>
      </c>
      <c r="W195" s="28" t="b">
        <v>0</v>
      </c>
    </row>
    <row r="196" ht="69" customHeight="1" s="222">
      <c r="A196" s="164">
        <f>Accounts!A181</f>
        <v/>
      </c>
      <c r="B196" s="145" t="b">
        <v>0</v>
      </c>
      <c r="C196" s="176">
        <f>Accounts!T181</f>
        <v/>
      </c>
      <c r="D196" s="174" t="n"/>
      <c r="E196" s="174" t="n"/>
      <c r="F196" s="176">
        <f>Accounts!F181</f>
        <v/>
      </c>
      <c r="G196" s="174">
        <f>Accounts!O181</f>
        <v/>
      </c>
      <c r="H196" s="174">
        <f>Accounts!P181</f>
        <v/>
      </c>
      <c r="I196" s="174">
        <f>Accounts!H181</f>
        <v/>
      </c>
      <c r="J196" s="174">
        <f>Accounts!I181</f>
        <v/>
      </c>
      <c r="K196" s="176">
        <f>#REF!</f>
        <v/>
      </c>
      <c r="L196" s="173" t="n"/>
      <c r="M196" s="9" t="n"/>
      <c r="N196" s="28" t="b">
        <v>0</v>
      </c>
      <c r="O196" s="172" t="b">
        <v>0</v>
      </c>
      <c r="P196" s="28" t="b">
        <v>0</v>
      </c>
      <c r="Q196" s="28" t="b">
        <v>0</v>
      </c>
      <c r="R196" s="28" t="b">
        <v>0</v>
      </c>
      <c r="S196" s="28" t="b">
        <v>0</v>
      </c>
      <c r="T196" s="28" t="b">
        <v>0</v>
      </c>
      <c r="U196" s="28" t="b">
        <v>0</v>
      </c>
      <c r="V196" s="28" t="b">
        <v>0</v>
      </c>
      <c r="W196" s="28" t="b">
        <v>0</v>
      </c>
    </row>
    <row r="197" ht="69" customHeight="1" s="222">
      <c r="A197" s="164">
        <f>Accounts!A182</f>
        <v/>
      </c>
      <c r="B197" s="145" t="b">
        <v>0</v>
      </c>
      <c r="C197" s="176">
        <f>Accounts!T182</f>
        <v/>
      </c>
      <c r="D197" s="174" t="n"/>
      <c r="E197" s="174" t="n"/>
      <c r="F197" s="176">
        <f>Accounts!F182</f>
        <v/>
      </c>
      <c r="G197" s="174">
        <f>Accounts!O182</f>
        <v/>
      </c>
      <c r="H197" s="174">
        <f>Accounts!P182</f>
        <v/>
      </c>
      <c r="I197" s="174">
        <f>Accounts!H182</f>
        <v/>
      </c>
      <c r="J197" s="174">
        <f>Accounts!I182</f>
        <v/>
      </c>
      <c r="K197" s="176">
        <f>#REF!</f>
        <v/>
      </c>
      <c r="L197" s="173" t="n"/>
      <c r="M197" s="9" t="n"/>
      <c r="N197" s="28" t="b">
        <v>0</v>
      </c>
      <c r="O197" s="172" t="b">
        <v>0</v>
      </c>
      <c r="P197" s="28" t="b">
        <v>0</v>
      </c>
      <c r="Q197" s="28" t="b">
        <v>0</v>
      </c>
      <c r="R197" s="28" t="b">
        <v>0</v>
      </c>
      <c r="S197" s="28" t="b">
        <v>0</v>
      </c>
      <c r="T197" s="28" t="b">
        <v>0</v>
      </c>
      <c r="U197" s="28" t="b">
        <v>0</v>
      </c>
      <c r="V197" s="28" t="b">
        <v>0</v>
      </c>
      <c r="W197" s="28" t="b">
        <v>0</v>
      </c>
    </row>
    <row r="198" ht="69" customHeight="1" s="222">
      <c r="A198" s="164">
        <f>Accounts!A183</f>
        <v/>
      </c>
      <c r="B198" s="145" t="b">
        <v>0</v>
      </c>
      <c r="C198" s="176">
        <f>Accounts!T183</f>
        <v/>
      </c>
      <c r="D198" s="174" t="n"/>
      <c r="E198" s="174" t="n"/>
      <c r="F198" s="176">
        <f>Accounts!F183</f>
        <v/>
      </c>
      <c r="G198" s="174">
        <f>Accounts!O183</f>
        <v/>
      </c>
      <c r="H198" s="174">
        <f>Accounts!P183</f>
        <v/>
      </c>
      <c r="I198" s="174">
        <f>Accounts!H183</f>
        <v/>
      </c>
      <c r="J198" s="174">
        <f>Accounts!I183</f>
        <v/>
      </c>
      <c r="K198" s="176">
        <f>#REF!</f>
        <v/>
      </c>
      <c r="L198" s="173" t="n"/>
      <c r="M198" s="9" t="n"/>
      <c r="N198" s="28" t="b">
        <v>0</v>
      </c>
      <c r="O198" s="172" t="b">
        <v>0</v>
      </c>
      <c r="P198" s="28" t="b">
        <v>0</v>
      </c>
      <c r="Q198" s="28" t="b">
        <v>0</v>
      </c>
      <c r="R198" s="28" t="b">
        <v>0</v>
      </c>
      <c r="S198" s="28" t="b">
        <v>0</v>
      </c>
      <c r="T198" s="28" t="b">
        <v>0</v>
      </c>
      <c r="U198" s="28" t="b">
        <v>0</v>
      </c>
      <c r="V198" s="28" t="b">
        <v>0</v>
      </c>
      <c r="W198" s="28" t="b">
        <v>0</v>
      </c>
    </row>
    <row r="199" ht="69" customHeight="1" s="222">
      <c r="A199" s="164">
        <f>#REF!</f>
        <v/>
      </c>
      <c r="B199" s="145" t="b">
        <v>0</v>
      </c>
      <c r="C199" s="176">
        <f>#REF!</f>
        <v/>
      </c>
      <c r="D199" s="174" t="n"/>
      <c r="E199" s="174" t="n"/>
      <c r="F199" s="176">
        <f>#REF!</f>
        <v/>
      </c>
      <c r="G199" s="174">
        <f>#REF!</f>
        <v/>
      </c>
      <c r="H199" s="174">
        <f>#REF!</f>
        <v/>
      </c>
      <c r="I199" s="174">
        <f>#REF!</f>
        <v/>
      </c>
      <c r="J199" s="174">
        <f>#REF!</f>
        <v/>
      </c>
      <c r="K199" s="176">
        <f>#REF!</f>
        <v/>
      </c>
      <c r="L199" s="173" t="n"/>
      <c r="M199" s="9" t="n"/>
      <c r="N199" s="28" t="b">
        <v>0</v>
      </c>
      <c r="O199" s="172" t="b">
        <v>0</v>
      </c>
      <c r="P199" s="28" t="b">
        <v>0</v>
      </c>
      <c r="Q199" s="28" t="b">
        <v>0</v>
      </c>
      <c r="R199" s="28" t="b">
        <v>0</v>
      </c>
      <c r="S199" s="28" t="b">
        <v>0</v>
      </c>
      <c r="T199" s="28" t="b">
        <v>0</v>
      </c>
      <c r="U199" s="28" t="b">
        <v>0</v>
      </c>
      <c r="V199" s="28" t="b">
        <v>0</v>
      </c>
      <c r="W199" s="28" t="b">
        <v>0</v>
      </c>
    </row>
    <row r="200" ht="69" customHeight="1" s="222">
      <c r="A200" s="164">
        <f>Accounts!A184</f>
        <v/>
      </c>
      <c r="B200" s="145" t="b">
        <v>0</v>
      </c>
      <c r="C200" s="176">
        <f>Accounts!T184</f>
        <v/>
      </c>
      <c r="D200" s="174" t="n"/>
      <c r="E200" s="174" t="n"/>
      <c r="F200" s="176">
        <f>Accounts!F184</f>
        <v/>
      </c>
      <c r="G200" s="174">
        <f>Accounts!O184</f>
        <v/>
      </c>
      <c r="H200" s="174">
        <f>Accounts!P184</f>
        <v/>
      </c>
      <c r="I200" s="174">
        <f>Accounts!H184</f>
        <v/>
      </c>
      <c r="J200" s="174">
        <f>Accounts!I184</f>
        <v/>
      </c>
      <c r="K200" s="176">
        <f>#REF!</f>
        <v/>
      </c>
      <c r="L200" s="173" t="n"/>
      <c r="M200" s="9" t="n"/>
      <c r="N200" s="28" t="b">
        <v>0</v>
      </c>
      <c r="O200" s="172" t="b">
        <v>0</v>
      </c>
      <c r="P200" s="28" t="b">
        <v>0</v>
      </c>
      <c r="Q200" s="28" t="b">
        <v>0</v>
      </c>
      <c r="R200" s="28" t="b">
        <v>0</v>
      </c>
      <c r="S200" s="28" t="b">
        <v>0</v>
      </c>
      <c r="T200" s="28" t="b">
        <v>0</v>
      </c>
      <c r="U200" s="28" t="b">
        <v>0</v>
      </c>
      <c r="V200" s="28" t="b">
        <v>0</v>
      </c>
      <c r="W200" s="28" t="b">
        <v>0</v>
      </c>
    </row>
    <row r="201" ht="69" customHeight="1" s="222">
      <c r="A201" s="164">
        <f>#REF!</f>
        <v/>
      </c>
      <c r="B201" s="145" t="b">
        <v>0</v>
      </c>
      <c r="C201" s="176">
        <f>#REF!</f>
        <v/>
      </c>
      <c r="D201" s="174" t="n"/>
      <c r="E201" s="174" t="n"/>
      <c r="F201" s="176">
        <f>#REF!</f>
        <v/>
      </c>
      <c r="G201" s="174">
        <f>#REF!</f>
        <v/>
      </c>
      <c r="H201" s="174">
        <f>#REF!</f>
        <v/>
      </c>
      <c r="I201" s="174">
        <f>#REF!</f>
        <v/>
      </c>
      <c r="J201" s="174">
        <f>#REF!</f>
        <v/>
      </c>
      <c r="K201" s="176">
        <f>#REF!</f>
        <v/>
      </c>
      <c r="L201" s="173" t="n"/>
      <c r="M201" s="9" t="n"/>
      <c r="N201" s="28" t="b">
        <v>0</v>
      </c>
      <c r="O201" s="172" t="b">
        <v>0</v>
      </c>
      <c r="P201" s="28" t="b">
        <v>0</v>
      </c>
      <c r="Q201" s="28" t="b">
        <v>0</v>
      </c>
      <c r="R201" s="28" t="b">
        <v>0</v>
      </c>
      <c r="S201" s="28" t="b">
        <v>0</v>
      </c>
      <c r="T201" s="28" t="b">
        <v>0</v>
      </c>
      <c r="U201" s="28" t="b">
        <v>0</v>
      </c>
      <c r="V201" s="28" t="b">
        <v>0</v>
      </c>
      <c r="W201" s="28" t="b">
        <v>0</v>
      </c>
    </row>
    <row r="202" ht="69" customHeight="1" s="222">
      <c r="A202" s="164">
        <f>#REF!</f>
        <v/>
      </c>
      <c r="B202" s="145" t="b">
        <v>0</v>
      </c>
      <c r="C202" s="176">
        <f>#REF!</f>
        <v/>
      </c>
      <c r="D202" s="174" t="n"/>
      <c r="E202" s="174" t="n"/>
      <c r="F202" s="176">
        <f>#REF!</f>
        <v/>
      </c>
      <c r="G202" s="174">
        <f>#REF!</f>
        <v/>
      </c>
      <c r="H202" s="174">
        <f>#REF!</f>
        <v/>
      </c>
      <c r="I202" s="174">
        <f>#REF!</f>
        <v/>
      </c>
      <c r="J202" s="174">
        <f>#REF!</f>
        <v/>
      </c>
      <c r="K202" s="176">
        <f>#REF!</f>
        <v/>
      </c>
      <c r="L202" s="173" t="n"/>
      <c r="M202" s="9" t="n"/>
      <c r="N202" s="28" t="b">
        <v>0</v>
      </c>
      <c r="O202" s="172" t="b">
        <v>0</v>
      </c>
      <c r="P202" s="28" t="b">
        <v>0</v>
      </c>
      <c r="Q202" s="28" t="b">
        <v>0</v>
      </c>
      <c r="R202" s="28" t="b">
        <v>0</v>
      </c>
      <c r="S202" s="28" t="b">
        <v>0</v>
      </c>
      <c r="T202" s="28" t="b">
        <v>0</v>
      </c>
      <c r="U202" s="28" t="b">
        <v>0</v>
      </c>
      <c r="V202" s="28" t="b">
        <v>0</v>
      </c>
      <c r="W202" s="28" t="b">
        <v>0</v>
      </c>
    </row>
    <row r="203" ht="69" customHeight="1" s="222">
      <c r="A203" s="164">
        <f>Accounts!A185</f>
        <v/>
      </c>
      <c r="B203" s="145" t="b">
        <v>0</v>
      </c>
      <c r="C203" s="176">
        <f>Accounts!T185</f>
        <v/>
      </c>
      <c r="D203" s="174" t="n"/>
      <c r="E203" s="174" t="n"/>
      <c r="F203" s="176">
        <f>Accounts!F185</f>
        <v/>
      </c>
      <c r="G203" s="174">
        <f>Accounts!O185</f>
        <v/>
      </c>
      <c r="H203" s="174">
        <f>Accounts!P185</f>
        <v/>
      </c>
      <c r="I203" s="174">
        <f>Accounts!H185</f>
        <v/>
      </c>
      <c r="J203" s="174">
        <f>Accounts!I185</f>
        <v/>
      </c>
      <c r="K203" s="176">
        <f>#REF!</f>
        <v/>
      </c>
      <c r="L203" s="173" t="n"/>
      <c r="M203" s="9" t="n"/>
      <c r="N203" s="28" t="b">
        <v>0</v>
      </c>
      <c r="O203" s="172" t="b">
        <v>0</v>
      </c>
      <c r="P203" s="28" t="b">
        <v>0</v>
      </c>
      <c r="Q203" s="28" t="b">
        <v>0</v>
      </c>
      <c r="R203" s="28" t="b">
        <v>0</v>
      </c>
      <c r="S203" s="28" t="b">
        <v>0</v>
      </c>
      <c r="T203" s="28" t="b">
        <v>0</v>
      </c>
      <c r="U203" s="28" t="b">
        <v>0</v>
      </c>
      <c r="V203" s="28" t="b">
        <v>0</v>
      </c>
      <c r="W203" s="28" t="b">
        <v>0</v>
      </c>
    </row>
    <row r="204" ht="69" customHeight="1" s="222">
      <c r="A204" s="164">
        <f>Accounts!A186</f>
        <v/>
      </c>
      <c r="B204" s="145" t="b">
        <v>0</v>
      </c>
      <c r="C204" s="176">
        <f>Accounts!T186</f>
        <v/>
      </c>
      <c r="D204" s="174" t="n"/>
      <c r="E204" s="174" t="n"/>
      <c r="F204" s="176">
        <f>Accounts!F186</f>
        <v/>
      </c>
      <c r="G204" s="174">
        <f>Accounts!O186</f>
        <v/>
      </c>
      <c r="H204" s="174">
        <f>Accounts!P186</f>
        <v/>
      </c>
      <c r="I204" s="174">
        <f>Accounts!H186</f>
        <v/>
      </c>
      <c r="J204" s="174">
        <f>Accounts!I186</f>
        <v/>
      </c>
      <c r="K204" s="176">
        <f>#REF!</f>
        <v/>
      </c>
      <c r="L204" s="173" t="n"/>
      <c r="M204" s="9" t="n"/>
      <c r="N204" s="28" t="b">
        <v>0</v>
      </c>
      <c r="O204" s="172" t="b">
        <v>0</v>
      </c>
      <c r="P204" s="28" t="b">
        <v>0</v>
      </c>
      <c r="Q204" s="28" t="b">
        <v>0</v>
      </c>
      <c r="R204" s="28" t="b">
        <v>0</v>
      </c>
      <c r="S204" s="28" t="b">
        <v>0</v>
      </c>
      <c r="T204" s="28" t="b">
        <v>0</v>
      </c>
      <c r="U204" s="28" t="b">
        <v>0</v>
      </c>
      <c r="V204" s="28" t="b">
        <v>0</v>
      </c>
      <c r="W204" s="28" t="b">
        <v>0</v>
      </c>
    </row>
    <row r="205" ht="69" customHeight="1" s="222">
      <c r="A205" s="164">
        <f>Accounts!A187</f>
        <v/>
      </c>
      <c r="B205" s="145" t="b">
        <v>0</v>
      </c>
      <c r="C205" s="176">
        <f>Accounts!T187</f>
        <v/>
      </c>
      <c r="D205" s="174" t="n"/>
      <c r="E205" s="174" t="n"/>
      <c r="F205" s="176">
        <f>Accounts!F187</f>
        <v/>
      </c>
      <c r="G205" s="174">
        <f>Accounts!O187</f>
        <v/>
      </c>
      <c r="H205" s="174">
        <f>Accounts!P187</f>
        <v/>
      </c>
      <c r="I205" s="174">
        <f>Accounts!H187</f>
        <v/>
      </c>
      <c r="J205" s="174">
        <f>Accounts!I187</f>
        <v/>
      </c>
      <c r="K205" s="176">
        <f>#REF!</f>
        <v/>
      </c>
      <c r="L205" s="173" t="n"/>
      <c r="M205" s="9" t="n"/>
      <c r="N205" s="28" t="b">
        <v>0</v>
      </c>
      <c r="O205" s="172" t="b">
        <v>0</v>
      </c>
      <c r="P205" s="28" t="b">
        <v>0</v>
      </c>
      <c r="Q205" s="28" t="b">
        <v>0</v>
      </c>
      <c r="R205" s="28" t="b">
        <v>0</v>
      </c>
      <c r="S205" s="28" t="b">
        <v>0</v>
      </c>
      <c r="T205" s="28" t="b">
        <v>0</v>
      </c>
      <c r="U205" s="28" t="b">
        <v>0</v>
      </c>
      <c r="V205" s="28" t="b">
        <v>0</v>
      </c>
      <c r="W205" s="28" t="b">
        <v>0</v>
      </c>
    </row>
    <row r="206" ht="69" customHeight="1" s="222">
      <c r="A206" s="164">
        <f>#REF!</f>
        <v/>
      </c>
      <c r="B206" s="145" t="b">
        <v>0</v>
      </c>
      <c r="C206" s="176">
        <f>#REF!</f>
        <v/>
      </c>
      <c r="D206" s="174" t="n"/>
      <c r="E206" s="174" t="n"/>
      <c r="F206" s="176">
        <f>#REF!</f>
        <v/>
      </c>
      <c r="G206" s="174">
        <f>#REF!</f>
        <v/>
      </c>
      <c r="H206" s="174">
        <f>#REF!</f>
        <v/>
      </c>
      <c r="I206" s="174">
        <f>#REF!</f>
        <v/>
      </c>
      <c r="J206" s="174">
        <f>#REF!</f>
        <v/>
      </c>
      <c r="K206" s="176">
        <f>#REF!</f>
        <v/>
      </c>
      <c r="L206" s="173" t="n"/>
      <c r="M206" s="9" t="n"/>
      <c r="N206" s="28" t="b">
        <v>0</v>
      </c>
      <c r="O206" s="172" t="b">
        <v>0</v>
      </c>
      <c r="P206" s="28" t="b">
        <v>0</v>
      </c>
      <c r="Q206" s="28" t="b">
        <v>0</v>
      </c>
      <c r="R206" s="28" t="b">
        <v>0</v>
      </c>
      <c r="S206" s="28" t="b">
        <v>0</v>
      </c>
      <c r="T206" s="28" t="b">
        <v>0</v>
      </c>
      <c r="U206" s="28" t="b">
        <v>0</v>
      </c>
      <c r="V206" s="28" t="b">
        <v>0</v>
      </c>
      <c r="W206" s="28" t="b">
        <v>0</v>
      </c>
    </row>
    <row r="207" ht="69" customHeight="1" s="222">
      <c r="A207" s="164">
        <f>Accounts!A188</f>
        <v/>
      </c>
      <c r="B207" s="145" t="b">
        <v>0</v>
      </c>
      <c r="C207" s="176">
        <f>Accounts!T188</f>
        <v/>
      </c>
      <c r="D207" s="174" t="n"/>
      <c r="E207" s="174" t="n"/>
      <c r="F207" s="176">
        <f>Accounts!F188</f>
        <v/>
      </c>
      <c r="G207" s="174">
        <f>Accounts!O188</f>
        <v/>
      </c>
      <c r="H207" s="174">
        <f>Accounts!P188</f>
        <v/>
      </c>
      <c r="I207" s="174">
        <f>Accounts!H188</f>
        <v/>
      </c>
      <c r="J207" s="174">
        <f>Accounts!I188</f>
        <v/>
      </c>
      <c r="K207" s="176">
        <f>#REF!</f>
        <v/>
      </c>
      <c r="L207" s="173" t="n"/>
      <c r="M207" s="9" t="n"/>
      <c r="N207" s="28" t="b">
        <v>0</v>
      </c>
      <c r="O207" s="172" t="b">
        <v>0</v>
      </c>
      <c r="P207" s="28" t="b">
        <v>0</v>
      </c>
      <c r="Q207" s="28" t="b">
        <v>0</v>
      </c>
      <c r="R207" s="28" t="b">
        <v>0</v>
      </c>
      <c r="S207" s="28" t="b">
        <v>0</v>
      </c>
      <c r="T207" s="28" t="b">
        <v>0</v>
      </c>
      <c r="U207" s="28" t="b">
        <v>0</v>
      </c>
      <c r="V207" s="28" t="b">
        <v>0</v>
      </c>
      <c r="W207" s="28" t="b">
        <v>0</v>
      </c>
    </row>
    <row r="208" ht="69" customHeight="1" s="222">
      <c r="A208" s="164">
        <f>Accounts!A189</f>
        <v/>
      </c>
      <c r="B208" s="145" t="b">
        <v>0</v>
      </c>
      <c r="C208" s="176">
        <f>Accounts!T189</f>
        <v/>
      </c>
      <c r="D208" s="174" t="n"/>
      <c r="E208" s="174" t="n"/>
      <c r="F208" s="176">
        <f>Accounts!F189</f>
        <v/>
      </c>
      <c r="G208" s="174">
        <f>Accounts!O189</f>
        <v/>
      </c>
      <c r="H208" s="174">
        <f>Accounts!P189</f>
        <v/>
      </c>
      <c r="I208" s="174">
        <f>Accounts!H189</f>
        <v/>
      </c>
      <c r="J208" s="174">
        <f>Accounts!I189</f>
        <v/>
      </c>
      <c r="K208" s="176">
        <f>#REF!</f>
        <v/>
      </c>
      <c r="L208" s="173" t="n"/>
      <c r="M208" s="9" t="n"/>
      <c r="N208" s="28" t="b">
        <v>0</v>
      </c>
      <c r="O208" s="172" t="b">
        <v>0</v>
      </c>
      <c r="P208" s="28" t="b">
        <v>0</v>
      </c>
      <c r="Q208" s="28" t="b">
        <v>0</v>
      </c>
      <c r="R208" s="28" t="b">
        <v>0</v>
      </c>
      <c r="S208" s="28" t="b">
        <v>0</v>
      </c>
      <c r="T208" s="28" t="b">
        <v>0</v>
      </c>
      <c r="U208" s="28" t="b">
        <v>0</v>
      </c>
      <c r="V208" s="28" t="b">
        <v>0</v>
      </c>
      <c r="W208" s="28" t="b">
        <v>0</v>
      </c>
    </row>
    <row r="209" ht="69" customHeight="1" s="222">
      <c r="A209" s="164">
        <f>Accounts!A190</f>
        <v/>
      </c>
      <c r="B209" s="145" t="b">
        <v>0</v>
      </c>
      <c r="C209" s="176">
        <f>Accounts!T190</f>
        <v/>
      </c>
      <c r="D209" s="174" t="n"/>
      <c r="E209" s="174" t="n"/>
      <c r="F209" s="176">
        <f>Accounts!F190</f>
        <v/>
      </c>
      <c r="G209" s="174">
        <f>Accounts!O190</f>
        <v/>
      </c>
      <c r="H209" s="174">
        <f>Accounts!P190</f>
        <v/>
      </c>
      <c r="I209" s="174">
        <f>Accounts!H190</f>
        <v/>
      </c>
      <c r="J209" s="174">
        <f>Accounts!I190</f>
        <v/>
      </c>
      <c r="K209" s="176">
        <f>#REF!</f>
        <v/>
      </c>
      <c r="L209" s="173" t="n"/>
      <c r="M209" s="9" t="n"/>
      <c r="N209" s="28" t="b">
        <v>0</v>
      </c>
      <c r="O209" s="172" t="b">
        <v>0</v>
      </c>
      <c r="P209" s="28" t="b">
        <v>0</v>
      </c>
      <c r="Q209" s="28" t="b">
        <v>0</v>
      </c>
      <c r="R209" s="28" t="b">
        <v>0</v>
      </c>
      <c r="S209" s="28" t="b">
        <v>0</v>
      </c>
      <c r="T209" s="28" t="b">
        <v>0</v>
      </c>
      <c r="U209" s="28" t="b">
        <v>0</v>
      </c>
      <c r="V209" s="28" t="b">
        <v>0</v>
      </c>
      <c r="W209" s="28" t="b">
        <v>0</v>
      </c>
    </row>
    <row r="210" ht="69" customHeight="1" s="222">
      <c r="A210" s="164">
        <f>#REF!</f>
        <v/>
      </c>
      <c r="B210" s="145" t="b">
        <v>0</v>
      </c>
      <c r="C210" s="176">
        <f>#REF!</f>
        <v/>
      </c>
      <c r="D210" s="174" t="n"/>
      <c r="E210" s="174" t="n"/>
      <c r="F210" s="176">
        <f>#REF!</f>
        <v/>
      </c>
      <c r="G210" s="174">
        <f>#REF!</f>
        <v/>
      </c>
      <c r="H210" s="174">
        <f>#REF!</f>
        <v/>
      </c>
      <c r="I210" s="174">
        <f>#REF!</f>
        <v/>
      </c>
      <c r="J210" s="174">
        <f>#REF!</f>
        <v/>
      </c>
      <c r="K210" s="176">
        <f>#REF!</f>
        <v/>
      </c>
      <c r="L210" s="173" t="n"/>
      <c r="M210" s="9" t="n"/>
      <c r="N210" s="28" t="b">
        <v>0</v>
      </c>
      <c r="O210" s="172" t="b">
        <v>0</v>
      </c>
      <c r="P210" s="28" t="b">
        <v>0</v>
      </c>
      <c r="Q210" s="28" t="b">
        <v>0</v>
      </c>
      <c r="R210" s="28" t="b">
        <v>0</v>
      </c>
      <c r="S210" s="28" t="b">
        <v>0</v>
      </c>
      <c r="T210" s="28" t="b">
        <v>0</v>
      </c>
      <c r="U210" s="28" t="b">
        <v>0</v>
      </c>
      <c r="V210" s="28" t="b">
        <v>0</v>
      </c>
      <c r="W210" s="28" t="b">
        <v>0</v>
      </c>
    </row>
    <row r="211" ht="69" customHeight="1" s="222">
      <c r="A211" s="164">
        <f>Accounts!A191</f>
        <v/>
      </c>
      <c r="B211" s="145" t="b">
        <v>0</v>
      </c>
      <c r="C211" s="176">
        <f>Accounts!T191</f>
        <v/>
      </c>
      <c r="D211" s="174" t="n"/>
      <c r="E211" s="174" t="n"/>
      <c r="F211" s="176">
        <f>Accounts!F191</f>
        <v/>
      </c>
      <c r="G211" s="174">
        <f>Accounts!O191</f>
        <v/>
      </c>
      <c r="H211" s="174">
        <f>Accounts!P191</f>
        <v/>
      </c>
      <c r="I211" s="174">
        <f>Accounts!H191</f>
        <v/>
      </c>
      <c r="J211" s="174">
        <f>Accounts!I191</f>
        <v/>
      </c>
      <c r="K211" s="176">
        <f>#REF!</f>
        <v/>
      </c>
      <c r="L211" s="173" t="n"/>
      <c r="M211" s="9" t="n"/>
      <c r="N211" s="28" t="b">
        <v>0</v>
      </c>
      <c r="O211" s="172" t="b">
        <v>0</v>
      </c>
      <c r="P211" s="28" t="b">
        <v>0</v>
      </c>
      <c r="Q211" s="28" t="b">
        <v>0</v>
      </c>
      <c r="R211" s="28" t="b">
        <v>0</v>
      </c>
      <c r="S211" s="28" t="b">
        <v>0</v>
      </c>
      <c r="T211" s="28" t="b">
        <v>0</v>
      </c>
      <c r="U211" s="28" t="b">
        <v>0</v>
      </c>
      <c r="V211" s="28" t="b">
        <v>0</v>
      </c>
      <c r="W211" s="28" t="b">
        <v>0</v>
      </c>
    </row>
    <row r="212" ht="69" customHeight="1" s="222">
      <c r="A212" s="164">
        <f>#REF!</f>
        <v/>
      </c>
      <c r="B212" s="145" t="b">
        <v>0</v>
      </c>
      <c r="C212" s="176">
        <f>#REF!</f>
        <v/>
      </c>
      <c r="D212" s="174" t="n"/>
      <c r="E212" s="174" t="n"/>
      <c r="F212" s="176">
        <f>#REF!</f>
        <v/>
      </c>
      <c r="G212" s="174">
        <f>#REF!</f>
        <v/>
      </c>
      <c r="H212" s="174">
        <f>#REF!</f>
        <v/>
      </c>
      <c r="I212" s="174">
        <f>#REF!</f>
        <v/>
      </c>
      <c r="J212" s="174">
        <f>#REF!</f>
        <v/>
      </c>
      <c r="K212" s="176">
        <f>#REF!</f>
        <v/>
      </c>
      <c r="L212" s="173" t="n"/>
      <c r="M212" s="9" t="n"/>
      <c r="N212" s="28" t="b">
        <v>0</v>
      </c>
      <c r="O212" s="172" t="b">
        <v>0</v>
      </c>
      <c r="P212" s="28" t="b">
        <v>0</v>
      </c>
      <c r="Q212" s="28" t="b">
        <v>0</v>
      </c>
      <c r="R212" s="28" t="b">
        <v>0</v>
      </c>
      <c r="S212" s="28" t="b">
        <v>0</v>
      </c>
      <c r="T212" s="28" t="b">
        <v>0</v>
      </c>
      <c r="U212" s="28" t="b">
        <v>0</v>
      </c>
      <c r="V212" s="28" t="b">
        <v>0</v>
      </c>
      <c r="W212" s="28" t="b">
        <v>0</v>
      </c>
    </row>
    <row r="213" ht="69" customHeight="1" s="222">
      <c r="A213" s="164">
        <f>Accounts!A192</f>
        <v/>
      </c>
      <c r="B213" s="145" t="b">
        <v>0</v>
      </c>
      <c r="C213" s="176">
        <f>Accounts!T192</f>
        <v/>
      </c>
      <c r="D213" s="174" t="n"/>
      <c r="E213" s="174" t="n"/>
      <c r="F213" s="176">
        <f>Accounts!F192</f>
        <v/>
      </c>
      <c r="G213" s="174">
        <f>Accounts!O192</f>
        <v/>
      </c>
      <c r="H213" s="174">
        <f>Accounts!P192</f>
        <v/>
      </c>
      <c r="I213" s="174">
        <f>Accounts!H192</f>
        <v/>
      </c>
      <c r="J213" s="174">
        <f>Accounts!I192</f>
        <v/>
      </c>
      <c r="K213" s="176">
        <f>#REF!</f>
        <v/>
      </c>
      <c r="L213" s="173" t="n"/>
      <c r="M213" s="9" t="n"/>
      <c r="N213" s="28" t="b">
        <v>0</v>
      </c>
      <c r="O213" s="172" t="b">
        <v>0</v>
      </c>
      <c r="P213" s="28" t="b">
        <v>0</v>
      </c>
      <c r="Q213" s="28" t="b">
        <v>0</v>
      </c>
      <c r="R213" s="28" t="b">
        <v>0</v>
      </c>
      <c r="S213" s="28" t="b">
        <v>0</v>
      </c>
      <c r="T213" s="28" t="b">
        <v>0</v>
      </c>
      <c r="U213" s="28" t="b">
        <v>0</v>
      </c>
      <c r="V213" s="28" t="b">
        <v>0</v>
      </c>
      <c r="W213" s="28" t="b">
        <v>0</v>
      </c>
    </row>
    <row r="214" ht="69" customHeight="1" s="222">
      <c r="A214" s="164">
        <f>Accounts!A193</f>
        <v/>
      </c>
      <c r="B214" s="145" t="b">
        <v>0</v>
      </c>
      <c r="C214" s="176">
        <f>Accounts!T193</f>
        <v/>
      </c>
      <c r="D214" s="174" t="n"/>
      <c r="E214" s="174" t="n"/>
      <c r="F214" s="176">
        <f>Accounts!F193</f>
        <v/>
      </c>
      <c r="G214" s="174">
        <f>Accounts!O193</f>
        <v/>
      </c>
      <c r="H214" s="174">
        <f>Accounts!P193</f>
        <v/>
      </c>
      <c r="I214" s="174">
        <f>Accounts!H193</f>
        <v/>
      </c>
      <c r="J214" s="174">
        <f>Accounts!I193</f>
        <v/>
      </c>
      <c r="K214" s="176">
        <f>#REF!</f>
        <v/>
      </c>
      <c r="L214" s="173" t="n"/>
      <c r="M214" s="9" t="n"/>
      <c r="N214" s="28" t="b">
        <v>0</v>
      </c>
      <c r="O214" s="172" t="b">
        <v>0</v>
      </c>
      <c r="P214" s="28" t="b">
        <v>0</v>
      </c>
      <c r="Q214" s="28" t="b">
        <v>0</v>
      </c>
      <c r="R214" s="28" t="b">
        <v>0</v>
      </c>
      <c r="S214" s="28" t="b">
        <v>0</v>
      </c>
      <c r="T214" s="28" t="b">
        <v>0</v>
      </c>
      <c r="U214" s="28" t="b">
        <v>0</v>
      </c>
      <c r="V214" s="28" t="b">
        <v>0</v>
      </c>
      <c r="W214" s="28" t="b">
        <v>0</v>
      </c>
    </row>
    <row r="215" ht="69" customHeight="1" s="222">
      <c r="A215" s="164">
        <f>Accounts!A194</f>
        <v/>
      </c>
      <c r="B215" s="145" t="b">
        <v>0</v>
      </c>
      <c r="C215" s="176">
        <f>Accounts!T194</f>
        <v/>
      </c>
      <c r="D215" s="174" t="n"/>
      <c r="E215" s="174" t="n"/>
      <c r="F215" s="176">
        <f>Accounts!F194</f>
        <v/>
      </c>
      <c r="G215" s="174">
        <f>Accounts!O194</f>
        <v/>
      </c>
      <c r="H215" s="174">
        <f>Accounts!P194</f>
        <v/>
      </c>
      <c r="I215" s="174">
        <f>Accounts!H194</f>
        <v/>
      </c>
      <c r="J215" s="174">
        <f>Accounts!I194</f>
        <v/>
      </c>
      <c r="K215" s="176">
        <f>#REF!</f>
        <v/>
      </c>
      <c r="L215" s="173" t="n"/>
      <c r="M215" s="9" t="n"/>
      <c r="N215" s="28" t="b">
        <v>0</v>
      </c>
      <c r="O215" s="172" t="b">
        <v>0</v>
      </c>
      <c r="P215" s="28" t="b">
        <v>0</v>
      </c>
      <c r="Q215" s="28" t="b">
        <v>0</v>
      </c>
      <c r="R215" s="28" t="b">
        <v>0</v>
      </c>
      <c r="S215" s="28" t="b">
        <v>0</v>
      </c>
      <c r="T215" s="28" t="b">
        <v>0</v>
      </c>
      <c r="U215" s="28" t="b">
        <v>0</v>
      </c>
      <c r="V215" s="28" t="b">
        <v>0</v>
      </c>
      <c r="W215" s="28" t="b">
        <v>0</v>
      </c>
    </row>
    <row r="216" ht="69" customHeight="1" s="222">
      <c r="A216" s="164">
        <f>Accounts!A195</f>
        <v/>
      </c>
      <c r="B216" s="145" t="b">
        <v>0</v>
      </c>
      <c r="C216" s="176">
        <f>Accounts!T195</f>
        <v/>
      </c>
      <c r="D216" s="174" t="n"/>
      <c r="E216" s="174" t="n"/>
      <c r="F216" s="176">
        <f>Accounts!F195</f>
        <v/>
      </c>
      <c r="G216" s="174">
        <f>Accounts!O195</f>
        <v/>
      </c>
      <c r="H216" s="174">
        <f>Accounts!P195</f>
        <v/>
      </c>
      <c r="I216" s="174">
        <f>Accounts!H195</f>
        <v/>
      </c>
      <c r="J216" s="174">
        <f>Accounts!I195</f>
        <v/>
      </c>
      <c r="K216" s="176">
        <f>#REF!</f>
        <v/>
      </c>
      <c r="L216" s="173" t="n"/>
      <c r="M216" s="9" t="n"/>
      <c r="N216" s="28" t="b">
        <v>0</v>
      </c>
      <c r="O216" s="172" t="b">
        <v>0</v>
      </c>
      <c r="P216" s="28" t="b">
        <v>0</v>
      </c>
      <c r="Q216" s="28" t="b">
        <v>0</v>
      </c>
      <c r="R216" s="28" t="b">
        <v>0</v>
      </c>
      <c r="S216" s="28" t="b">
        <v>0</v>
      </c>
      <c r="T216" s="28" t="b">
        <v>0</v>
      </c>
      <c r="U216" s="28" t="b">
        <v>0</v>
      </c>
      <c r="V216" s="28" t="b">
        <v>0</v>
      </c>
      <c r="W216" s="28" t="b">
        <v>0</v>
      </c>
    </row>
    <row r="217" ht="69" customHeight="1" s="222">
      <c r="A217" s="164">
        <f>Accounts!A196</f>
        <v/>
      </c>
      <c r="B217" s="145" t="b">
        <v>0</v>
      </c>
      <c r="C217" s="176">
        <f>Accounts!T196</f>
        <v/>
      </c>
      <c r="D217" s="174" t="n"/>
      <c r="E217" s="174" t="n"/>
      <c r="F217" s="176">
        <f>Accounts!F196</f>
        <v/>
      </c>
      <c r="G217" s="174">
        <f>Accounts!O196</f>
        <v/>
      </c>
      <c r="H217" s="174">
        <f>Accounts!P196</f>
        <v/>
      </c>
      <c r="I217" s="174">
        <f>Accounts!H196</f>
        <v/>
      </c>
      <c r="J217" s="174">
        <f>Accounts!I196</f>
        <v/>
      </c>
      <c r="K217" s="176">
        <f>#REF!</f>
        <v/>
      </c>
      <c r="L217" s="173" t="n"/>
      <c r="M217" s="9" t="n"/>
      <c r="N217" s="28" t="b">
        <v>0</v>
      </c>
      <c r="O217" s="172" t="b">
        <v>0</v>
      </c>
      <c r="P217" s="28" t="b">
        <v>0</v>
      </c>
      <c r="Q217" s="28" t="b">
        <v>0</v>
      </c>
      <c r="R217" s="28" t="b">
        <v>0</v>
      </c>
      <c r="S217" s="28" t="b">
        <v>0</v>
      </c>
      <c r="T217" s="28" t="b">
        <v>0</v>
      </c>
      <c r="U217" s="28" t="b">
        <v>0</v>
      </c>
      <c r="V217" s="28" t="b">
        <v>0</v>
      </c>
      <c r="W217" s="28" t="b">
        <v>0</v>
      </c>
    </row>
    <row r="218" ht="69" customHeight="1" s="222">
      <c r="A218" s="164">
        <f>Accounts!A197</f>
        <v/>
      </c>
      <c r="B218" s="145" t="b">
        <v>0</v>
      </c>
      <c r="C218" s="176">
        <f>Accounts!T197</f>
        <v/>
      </c>
      <c r="D218" s="174" t="n"/>
      <c r="E218" s="174" t="n"/>
      <c r="F218" s="176">
        <f>Accounts!F197</f>
        <v/>
      </c>
      <c r="G218" s="174">
        <f>Accounts!O197</f>
        <v/>
      </c>
      <c r="H218" s="174">
        <f>Accounts!P197</f>
        <v/>
      </c>
      <c r="I218" s="174">
        <f>Accounts!H197</f>
        <v/>
      </c>
      <c r="J218" s="174">
        <f>Accounts!I197</f>
        <v/>
      </c>
      <c r="K218" s="176">
        <f>#REF!</f>
        <v/>
      </c>
      <c r="L218" s="173" t="n"/>
      <c r="M218" s="9" t="n"/>
      <c r="N218" s="28" t="b">
        <v>0</v>
      </c>
      <c r="O218" s="172" t="b">
        <v>0</v>
      </c>
      <c r="P218" s="28" t="b">
        <v>0</v>
      </c>
      <c r="Q218" s="28" t="b">
        <v>0</v>
      </c>
      <c r="R218" s="28" t="b">
        <v>0</v>
      </c>
      <c r="S218" s="28" t="b">
        <v>0</v>
      </c>
      <c r="T218" s="28" t="b">
        <v>0</v>
      </c>
      <c r="U218" s="28" t="b">
        <v>0</v>
      </c>
      <c r="V218" s="28" t="b">
        <v>0</v>
      </c>
      <c r="W218" s="28" t="b">
        <v>0</v>
      </c>
    </row>
    <row r="219" ht="69" customHeight="1" s="222">
      <c r="A219" s="164">
        <f>Accounts!A198</f>
        <v/>
      </c>
      <c r="B219" s="145" t="b">
        <v>0</v>
      </c>
      <c r="C219" s="176">
        <f>Accounts!T198</f>
        <v/>
      </c>
      <c r="D219" s="174" t="n"/>
      <c r="E219" s="174" t="n"/>
      <c r="F219" s="176">
        <f>Accounts!F198</f>
        <v/>
      </c>
      <c r="G219" s="174">
        <f>Accounts!O198</f>
        <v/>
      </c>
      <c r="H219" s="174">
        <f>Accounts!P198</f>
        <v/>
      </c>
      <c r="I219" s="174">
        <f>Accounts!H198</f>
        <v/>
      </c>
      <c r="J219" s="174">
        <f>Accounts!I198</f>
        <v/>
      </c>
      <c r="K219" s="176">
        <f>#REF!</f>
        <v/>
      </c>
      <c r="L219" s="173" t="n"/>
      <c r="M219" s="9" t="n"/>
      <c r="N219" s="28" t="b">
        <v>0</v>
      </c>
      <c r="O219" s="172" t="b">
        <v>0</v>
      </c>
      <c r="P219" s="28" t="b">
        <v>0</v>
      </c>
      <c r="Q219" s="28" t="b">
        <v>0</v>
      </c>
      <c r="R219" s="28" t="b">
        <v>0</v>
      </c>
      <c r="S219" s="28" t="b">
        <v>0</v>
      </c>
      <c r="T219" s="28" t="b">
        <v>0</v>
      </c>
      <c r="U219" s="28" t="b">
        <v>0</v>
      </c>
      <c r="V219" s="28" t="b">
        <v>0</v>
      </c>
      <c r="W219" s="28" t="b">
        <v>0</v>
      </c>
    </row>
    <row r="220" ht="69" customHeight="1" s="222">
      <c r="A220" s="164">
        <f>Accounts!A199</f>
        <v/>
      </c>
      <c r="B220" s="145" t="b">
        <v>0</v>
      </c>
      <c r="C220" s="176">
        <f>Accounts!T199</f>
        <v/>
      </c>
      <c r="D220" s="174" t="n"/>
      <c r="E220" s="174" t="n"/>
      <c r="F220" s="176">
        <f>Accounts!F199</f>
        <v/>
      </c>
      <c r="G220" s="174">
        <f>Accounts!O199</f>
        <v/>
      </c>
      <c r="H220" s="174">
        <f>Accounts!P199</f>
        <v/>
      </c>
      <c r="I220" s="174">
        <f>Accounts!H199</f>
        <v/>
      </c>
      <c r="J220" s="174">
        <f>Accounts!I199</f>
        <v/>
      </c>
      <c r="K220" s="176">
        <f>#REF!</f>
        <v/>
      </c>
      <c r="L220" s="173" t="n"/>
      <c r="M220" s="9" t="n"/>
      <c r="N220" s="28" t="b">
        <v>0</v>
      </c>
      <c r="O220" s="172" t="b">
        <v>0</v>
      </c>
      <c r="P220" s="28" t="b">
        <v>0</v>
      </c>
      <c r="Q220" s="28" t="b">
        <v>0</v>
      </c>
      <c r="R220" s="28" t="b">
        <v>0</v>
      </c>
      <c r="S220" s="28" t="b">
        <v>0</v>
      </c>
      <c r="T220" s="28" t="b">
        <v>0</v>
      </c>
      <c r="U220" s="28" t="b">
        <v>0</v>
      </c>
      <c r="V220" s="28" t="b">
        <v>0</v>
      </c>
      <c r="W220" s="28" t="b">
        <v>0</v>
      </c>
    </row>
    <row r="221" ht="69" customHeight="1" s="222">
      <c r="A221" s="164">
        <f>#REF!</f>
        <v/>
      </c>
      <c r="B221" s="145" t="b">
        <v>0</v>
      </c>
      <c r="C221" s="176">
        <f>#REF!</f>
        <v/>
      </c>
      <c r="D221" s="174" t="n"/>
      <c r="E221" s="174" t="n"/>
      <c r="F221" s="176">
        <f>#REF!</f>
        <v/>
      </c>
      <c r="G221" s="174">
        <f>#REF!</f>
        <v/>
      </c>
      <c r="H221" s="174">
        <f>#REF!</f>
        <v/>
      </c>
      <c r="I221" s="174">
        <f>#REF!</f>
        <v/>
      </c>
      <c r="J221" s="174">
        <f>#REF!</f>
        <v/>
      </c>
      <c r="K221" s="176">
        <f>#REF!</f>
        <v/>
      </c>
      <c r="L221" s="173" t="n"/>
      <c r="M221" s="9" t="n"/>
      <c r="N221" s="28" t="b">
        <v>0</v>
      </c>
      <c r="O221" s="172" t="b">
        <v>0</v>
      </c>
      <c r="P221" s="28" t="b">
        <v>0</v>
      </c>
      <c r="Q221" s="28" t="b">
        <v>0</v>
      </c>
      <c r="R221" s="28" t="b">
        <v>0</v>
      </c>
      <c r="S221" s="28" t="b">
        <v>0</v>
      </c>
      <c r="T221" s="28" t="b">
        <v>0</v>
      </c>
      <c r="U221" s="28" t="b">
        <v>0</v>
      </c>
      <c r="V221" s="28" t="b">
        <v>0</v>
      </c>
      <c r="W221" s="28" t="b">
        <v>0</v>
      </c>
    </row>
    <row r="222" ht="69" customHeight="1" s="222">
      <c r="A222" s="164">
        <f>Accounts!A200</f>
        <v/>
      </c>
      <c r="B222" s="145" t="b">
        <v>0</v>
      </c>
      <c r="C222" s="176">
        <f>Accounts!T200</f>
        <v/>
      </c>
      <c r="D222" s="174" t="n"/>
      <c r="E222" s="174" t="n"/>
      <c r="F222" s="176">
        <f>Accounts!F200</f>
        <v/>
      </c>
      <c r="G222" s="174">
        <f>Accounts!O200</f>
        <v/>
      </c>
      <c r="H222" s="174">
        <f>Accounts!P200</f>
        <v/>
      </c>
      <c r="I222" s="174">
        <f>Accounts!H200</f>
        <v/>
      </c>
      <c r="J222" s="174">
        <f>Accounts!I200</f>
        <v/>
      </c>
      <c r="K222" s="176">
        <f>#REF!</f>
        <v/>
      </c>
      <c r="L222" s="173" t="n"/>
      <c r="M222" s="9" t="n"/>
      <c r="N222" s="28" t="b">
        <v>0</v>
      </c>
      <c r="O222" s="172" t="b">
        <v>0</v>
      </c>
      <c r="P222" s="28" t="b">
        <v>0</v>
      </c>
      <c r="Q222" s="28" t="b">
        <v>0</v>
      </c>
      <c r="R222" s="28" t="b">
        <v>0</v>
      </c>
      <c r="S222" s="28" t="b">
        <v>0</v>
      </c>
      <c r="T222" s="28" t="b">
        <v>0</v>
      </c>
      <c r="U222" s="28" t="b">
        <v>0</v>
      </c>
      <c r="V222" s="28" t="b">
        <v>0</v>
      </c>
      <c r="W222" s="28" t="b">
        <v>0</v>
      </c>
    </row>
    <row r="223" ht="69" customHeight="1" s="222">
      <c r="A223" s="164">
        <f>Accounts!A201</f>
        <v/>
      </c>
      <c r="B223" s="145" t="b">
        <v>0</v>
      </c>
      <c r="C223" s="176">
        <f>Accounts!T201</f>
        <v/>
      </c>
      <c r="D223" s="174" t="n"/>
      <c r="E223" s="174" t="n"/>
      <c r="F223" s="176">
        <f>Accounts!F201</f>
        <v/>
      </c>
      <c r="G223" s="174">
        <f>Accounts!O201</f>
        <v/>
      </c>
      <c r="H223" s="174">
        <f>Accounts!P201</f>
        <v/>
      </c>
      <c r="I223" s="174">
        <f>Accounts!H201</f>
        <v/>
      </c>
      <c r="J223" s="174">
        <f>Accounts!I201</f>
        <v/>
      </c>
      <c r="K223" s="176">
        <f>#REF!</f>
        <v/>
      </c>
      <c r="L223" s="173" t="n"/>
      <c r="M223" s="9" t="n"/>
      <c r="N223" s="28" t="b">
        <v>0</v>
      </c>
      <c r="O223" s="172" t="b">
        <v>0</v>
      </c>
      <c r="P223" s="28" t="b">
        <v>0</v>
      </c>
      <c r="Q223" s="28" t="b">
        <v>0</v>
      </c>
      <c r="R223" s="28" t="b">
        <v>0</v>
      </c>
      <c r="S223" s="28" t="b">
        <v>0</v>
      </c>
      <c r="T223" s="28" t="b">
        <v>0</v>
      </c>
      <c r="U223" s="28" t="b">
        <v>0</v>
      </c>
      <c r="V223" s="28" t="b">
        <v>0</v>
      </c>
      <c r="W223" s="28" t="b">
        <v>0</v>
      </c>
    </row>
    <row r="224" ht="69" customHeight="1" s="222">
      <c r="A224" s="164">
        <f>Accounts!A202</f>
        <v/>
      </c>
      <c r="B224" s="145" t="b">
        <v>0</v>
      </c>
      <c r="C224" s="176">
        <f>Accounts!T202</f>
        <v/>
      </c>
      <c r="D224" s="174" t="n"/>
      <c r="E224" s="174" t="n"/>
      <c r="F224" s="176">
        <f>Accounts!F202</f>
        <v/>
      </c>
      <c r="G224" s="174">
        <f>Accounts!O202</f>
        <v/>
      </c>
      <c r="H224" s="174">
        <f>Accounts!P202</f>
        <v/>
      </c>
      <c r="I224" s="174">
        <f>Accounts!H202</f>
        <v/>
      </c>
      <c r="J224" s="174">
        <f>Accounts!I202</f>
        <v/>
      </c>
      <c r="K224" s="176">
        <f>#REF!</f>
        <v/>
      </c>
      <c r="L224" s="173" t="n"/>
      <c r="M224" s="9" t="n"/>
      <c r="N224" s="28" t="b">
        <v>0</v>
      </c>
      <c r="O224" s="172" t="b">
        <v>0</v>
      </c>
      <c r="P224" s="28" t="b">
        <v>0</v>
      </c>
      <c r="Q224" s="28" t="b">
        <v>0</v>
      </c>
      <c r="R224" s="28" t="b">
        <v>0</v>
      </c>
      <c r="S224" s="28" t="b">
        <v>0</v>
      </c>
      <c r="T224" s="28" t="b">
        <v>0</v>
      </c>
      <c r="U224" s="28" t="b">
        <v>0</v>
      </c>
      <c r="V224" s="28" t="b">
        <v>0</v>
      </c>
      <c r="W224" s="28" t="b">
        <v>0</v>
      </c>
    </row>
    <row r="225" ht="69" customHeight="1" s="222">
      <c r="A225" s="164">
        <f>Accounts!A203</f>
        <v/>
      </c>
      <c r="B225" s="145" t="b">
        <v>0</v>
      </c>
      <c r="C225" s="176">
        <f>Accounts!T203</f>
        <v/>
      </c>
      <c r="D225" s="174" t="n"/>
      <c r="E225" s="174" t="n"/>
      <c r="F225" s="176">
        <f>Accounts!F203</f>
        <v/>
      </c>
      <c r="G225" s="174">
        <f>Accounts!O203</f>
        <v/>
      </c>
      <c r="H225" s="174">
        <f>Accounts!P203</f>
        <v/>
      </c>
      <c r="I225" s="174">
        <f>Accounts!H203</f>
        <v/>
      </c>
      <c r="J225" s="174">
        <f>Accounts!I203</f>
        <v/>
      </c>
      <c r="K225" s="176">
        <f>#REF!</f>
        <v/>
      </c>
      <c r="L225" s="173" t="n"/>
      <c r="M225" s="9" t="n"/>
      <c r="N225" s="28" t="b">
        <v>0</v>
      </c>
      <c r="O225" s="172" t="b">
        <v>0</v>
      </c>
      <c r="P225" s="28" t="b">
        <v>0</v>
      </c>
      <c r="Q225" s="28" t="b">
        <v>0</v>
      </c>
      <c r="R225" s="28" t="b">
        <v>0</v>
      </c>
      <c r="S225" s="28" t="b">
        <v>0</v>
      </c>
      <c r="T225" s="28" t="b">
        <v>0</v>
      </c>
      <c r="U225" s="28" t="b">
        <v>0</v>
      </c>
      <c r="V225" s="28" t="b">
        <v>0</v>
      </c>
      <c r="W225" s="28" t="b">
        <v>0</v>
      </c>
    </row>
    <row r="226" ht="69" customHeight="1" s="222">
      <c r="A226" s="164">
        <f>Accounts!A204</f>
        <v/>
      </c>
      <c r="B226" s="145" t="b">
        <v>0</v>
      </c>
      <c r="C226" s="176">
        <f>Accounts!T204</f>
        <v/>
      </c>
      <c r="D226" s="174" t="n"/>
      <c r="E226" s="174" t="n"/>
      <c r="F226" s="176">
        <f>Accounts!F204</f>
        <v/>
      </c>
      <c r="G226" s="174">
        <f>Accounts!O204</f>
        <v/>
      </c>
      <c r="H226" s="174">
        <f>Accounts!P204</f>
        <v/>
      </c>
      <c r="I226" s="174">
        <f>Accounts!H204</f>
        <v/>
      </c>
      <c r="J226" s="174">
        <f>Accounts!I204</f>
        <v/>
      </c>
      <c r="K226" s="176">
        <f>#REF!</f>
        <v/>
      </c>
      <c r="L226" s="173" t="n"/>
      <c r="M226" s="9" t="n"/>
      <c r="N226" s="28" t="b">
        <v>0</v>
      </c>
      <c r="O226" s="172" t="b">
        <v>0</v>
      </c>
      <c r="P226" s="28" t="b">
        <v>0</v>
      </c>
      <c r="Q226" s="28" t="b">
        <v>0</v>
      </c>
      <c r="R226" s="28" t="b">
        <v>0</v>
      </c>
      <c r="S226" s="28" t="b">
        <v>0</v>
      </c>
      <c r="T226" s="28" t="b">
        <v>0</v>
      </c>
      <c r="U226" s="28" t="b">
        <v>0</v>
      </c>
      <c r="V226" s="28" t="b">
        <v>0</v>
      </c>
      <c r="W226" s="28" t="b">
        <v>0</v>
      </c>
    </row>
    <row r="227" ht="69" customHeight="1" s="222">
      <c r="A227" s="164">
        <f>Accounts!A205</f>
        <v/>
      </c>
      <c r="B227" s="145" t="b">
        <v>0</v>
      </c>
      <c r="C227" s="176">
        <f>Accounts!T205</f>
        <v/>
      </c>
      <c r="D227" s="174" t="n"/>
      <c r="E227" s="174" t="n"/>
      <c r="F227" s="176">
        <f>Accounts!F205</f>
        <v/>
      </c>
      <c r="G227" s="174">
        <f>Accounts!O205</f>
        <v/>
      </c>
      <c r="H227" s="174">
        <f>Accounts!P205</f>
        <v/>
      </c>
      <c r="I227" s="174">
        <f>Accounts!H205</f>
        <v/>
      </c>
      <c r="J227" s="174">
        <f>Accounts!I205</f>
        <v/>
      </c>
      <c r="K227" s="176">
        <f>#REF!</f>
        <v/>
      </c>
      <c r="L227" s="173" t="n"/>
      <c r="M227" s="9" t="n"/>
      <c r="N227" s="28" t="b">
        <v>0</v>
      </c>
      <c r="O227" s="172" t="b">
        <v>0</v>
      </c>
      <c r="P227" s="28" t="b">
        <v>0</v>
      </c>
      <c r="Q227" s="28" t="b">
        <v>0</v>
      </c>
      <c r="R227" s="28" t="b">
        <v>0</v>
      </c>
      <c r="S227" s="28" t="b">
        <v>0</v>
      </c>
      <c r="T227" s="28" t="b">
        <v>0</v>
      </c>
      <c r="U227" s="28" t="b">
        <v>0</v>
      </c>
      <c r="V227" s="28" t="b">
        <v>0</v>
      </c>
      <c r="W227" s="28" t="b">
        <v>0</v>
      </c>
    </row>
    <row r="228" ht="69" customHeight="1" s="222">
      <c r="A228" s="164">
        <f>Accounts!A206</f>
        <v/>
      </c>
      <c r="B228" s="145" t="b">
        <v>0</v>
      </c>
      <c r="C228" s="176">
        <f>Accounts!T206</f>
        <v/>
      </c>
      <c r="D228" s="174" t="n"/>
      <c r="E228" s="174" t="n"/>
      <c r="F228" s="176">
        <f>Accounts!F206</f>
        <v/>
      </c>
      <c r="G228" s="174">
        <f>Accounts!O206</f>
        <v/>
      </c>
      <c r="H228" s="174">
        <f>Accounts!P206</f>
        <v/>
      </c>
      <c r="I228" s="174">
        <f>Accounts!H206</f>
        <v/>
      </c>
      <c r="J228" s="174">
        <f>Accounts!I206</f>
        <v/>
      </c>
      <c r="K228" s="176">
        <f>#REF!</f>
        <v/>
      </c>
      <c r="L228" s="173" t="n"/>
      <c r="M228" s="9" t="n"/>
      <c r="N228" s="28" t="b">
        <v>0</v>
      </c>
      <c r="O228" s="172" t="b">
        <v>0</v>
      </c>
      <c r="P228" s="28" t="b">
        <v>0</v>
      </c>
      <c r="Q228" s="28" t="b">
        <v>0</v>
      </c>
      <c r="R228" s="28" t="b">
        <v>0</v>
      </c>
      <c r="S228" s="28" t="b">
        <v>0</v>
      </c>
      <c r="T228" s="28" t="b">
        <v>0</v>
      </c>
      <c r="U228" s="28" t="b">
        <v>0</v>
      </c>
      <c r="V228" s="28" t="b">
        <v>0</v>
      </c>
      <c r="W228" s="28" t="b">
        <v>0</v>
      </c>
    </row>
    <row r="229" ht="69" customHeight="1" s="222">
      <c r="A229" s="164">
        <f>Accounts!A207</f>
        <v/>
      </c>
      <c r="B229" s="145" t="b">
        <v>0</v>
      </c>
      <c r="C229" s="176">
        <f>Accounts!T207</f>
        <v/>
      </c>
      <c r="D229" s="174" t="n"/>
      <c r="E229" s="174" t="n"/>
      <c r="F229" s="176">
        <f>Accounts!F207</f>
        <v/>
      </c>
      <c r="G229" s="174">
        <f>Accounts!O207</f>
        <v/>
      </c>
      <c r="H229" s="174">
        <f>Accounts!P207</f>
        <v/>
      </c>
      <c r="I229" s="174">
        <f>Accounts!H207</f>
        <v/>
      </c>
      <c r="J229" s="174">
        <f>Accounts!I207</f>
        <v/>
      </c>
      <c r="K229" s="176">
        <f>#REF!</f>
        <v/>
      </c>
      <c r="L229" s="173" t="n"/>
      <c r="M229" s="9" t="n"/>
      <c r="N229" s="28" t="b">
        <v>0</v>
      </c>
      <c r="O229" s="172" t="b">
        <v>0</v>
      </c>
      <c r="P229" s="28" t="b">
        <v>0</v>
      </c>
      <c r="Q229" s="28" t="b">
        <v>0</v>
      </c>
      <c r="R229" s="28" t="b">
        <v>0</v>
      </c>
      <c r="S229" s="28" t="b">
        <v>0</v>
      </c>
      <c r="T229" s="28" t="b">
        <v>0</v>
      </c>
      <c r="U229" s="28" t="b">
        <v>0</v>
      </c>
      <c r="V229" s="28" t="b">
        <v>0</v>
      </c>
      <c r="W229" s="28" t="b">
        <v>0</v>
      </c>
    </row>
    <row r="230" ht="69" customHeight="1" s="222">
      <c r="A230" s="164">
        <f>Accounts!A208</f>
        <v/>
      </c>
      <c r="B230" s="145" t="b">
        <v>0</v>
      </c>
      <c r="C230" s="176">
        <f>Accounts!T208</f>
        <v/>
      </c>
      <c r="D230" s="174" t="n"/>
      <c r="E230" s="174" t="n"/>
      <c r="F230" s="176">
        <f>Accounts!F208</f>
        <v/>
      </c>
      <c r="G230" s="174">
        <f>Accounts!O208</f>
        <v/>
      </c>
      <c r="H230" s="174">
        <f>Accounts!P208</f>
        <v/>
      </c>
      <c r="I230" s="174">
        <f>Accounts!H208</f>
        <v/>
      </c>
      <c r="J230" s="174">
        <f>Accounts!I208</f>
        <v/>
      </c>
      <c r="K230" s="176">
        <f>#REF!</f>
        <v/>
      </c>
      <c r="L230" s="173" t="n"/>
      <c r="M230" s="9" t="n"/>
      <c r="N230" s="28" t="b">
        <v>0</v>
      </c>
      <c r="O230" s="172" t="b">
        <v>0</v>
      </c>
      <c r="P230" s="28" t="b">
        <v>0</v>
      </c>
      <c r="Q230" s="28" t="b">
        <v>0</v>
      </c>
      <c r="R230" s="28" t="b">
        <v>0</v>
      </c>
      <c r="S230" s="28" t="b">
        <v>0</v>
      </c>
      <c r="T230" s="28" t="b">
        <v>0</v>
      </c>
      <c r="U230" s="28" t="b">
        <v>0</v>
      </c>
      <c r="V230" s="28" t="b">
        <v>0</v>
      </c>
      <c r="W230" s="28" t="b">
        <v>0</v>
      </c>
    </row>
    <row r="231" ht="69" customHeight="1" s="222">
      <c r="A231" s="164">
        <f>Accounts!A209</f>
        <v/>
      </c>
      <c r="B231" s="145" t="b">
        <v>0</v>
      </c>
      <c r="C231" s="176">
        <f>Accounts!T209</f>
        <v/>
      </c>
      <c r="D231" s="174" t="n"/>
      <c r="E231" s="174" t="n"/>
      <c r="F231" s="176">
        <f>Accounts!F209</f>
        <v/>
      </c>
      <c r="G231" s="174">
        <f>Accounts!O209</f>
        <v/>
      </c>
      <c r="H231" s="174">
        <f>Accounts!P209</f>
        <v/>
      </c>
      <c r="I231" s="174">
        <f>Accounts!H209</f>
        <v/>
      </c>
      <c r="J231" s="174">
        <f>Accounts!I209</f>
        <v/>
      </c>
      <c r="K231" s="176">
        <f>#REF!</f>
        <v/>
      </c>
      <c r="L231" s="173" t="n"/>
      <c r="M231" s="9" t="n"/>
      <c r="N231" s="28" t="b">
        <v>0</v>
      </c>
      <c r="O231" s="172" t="b">
        <v>0</v>
      </c>
      <c r="P231" s="28" t="b">
        <v>0</v>
      </c>
      <c r="Q231" s="28" t="b">
        <v>0</v>
      </c>
      <c r="R231" s="28" t="b">
        <v>0</v>
      </c>
      <c r="S231" s="28" t="b">
        <v>0</v>
      </c>
      <c r="T231" s="28" t="b">
        <v>0</v>
      </c>
      <c r="U231" s="28" t="b">
        <v>0</v>
      </c>
      <c r="V231" s="28" t="b">
        <v>0</v>
      </c>
      <c r="W231" s="28" t="b">
        <v>0</v>
      </c>
    </row>
    <row r="232" ht="69" customHeight="1" s="222">
      <c r="A232" s="164">
        <f>Accounts!A210</f>
        <v/>
      </c>
      <c r="B232" s="145" t="b">
        <v>0</v>
      </c>
      <c r="C232" s="176">
        <f>Accounts!T210</f>
        <v/>
      </c>
      <c r="D232" s="174" t="n"/>
      <c r="E232" s="174" t="n"/>
      <c r="F232" s="176">
        <f>Accounts!F210</f>
        <v/>
      </c>
      <c r="G232" s="174">
        <f>Accounts!O210</f>
        <v/>
      </c>
      <c r="H232" s="174">
        <f>Accounts!P210</f>
        <v/>
      </c>
      <c r="I232" s="174">
        <f>Accounts!H210</f>
        <v/>
      </c>
      <c r="J232" s="174">
        <f>Accounts!I210</f>
        <v/>
      </c>
      <c r="K232" s="176">
        <f>#REF!</f>
        <v/>
      </c>
      <c r="L232" s="173" t="n"/>
      <c r="M232" s="9" t="n"/>
      <c r="N232" s="28" t="b">
        <v>0</v>
      </c>
      <c r="O232" s="172" t="b">
        <v>0</v>
      </c>
      <c r="P232" s="28" t="b">
        <v>0</v>
      </c>
      <c r="Q232" s="28" t="b">
        <v>0</v>
      </c>
      <c r="R232" s="28" t="b">
        <v>0</v>
      </c>
      <c r="S232" s="28" t="b">
        <v>0</v>
      </c>
      <c r="T232" s="28" t="b">
        <v>0</v>
      </c>
      <c r="U232" s="28" t="b">
        <v>0</v>
      </c>
      <c r="V232" s="28" t="b">
        <v>0</v>
      </c>
      <c r="W232" s="28" t="b">
        <v>0</v>
      </c>
    </row>
    <row r="233" ht="69" customHeight="1" s="222">
      <c r="A233" s="164">
        <f>Accounts!A211</f>
        <v/>
      </c>
      <c r="B233" s="145" t="b">
        <v>0</v>
      </c>
      <c r="C233" s="176">
        <f>Accounts!T211</f>
        <v/>
      </c>
      <c r="D233" s="174" t="n"/>
      <c r="E233" s="174" t="n"/>
      <c r="F233" s="176">
        <f>Accounts!F211</f>
        <v/>
      </c>
      <c r="G233" s="174">
        <f>Accounts!O211</f>
        <v/>
      </c>
      <c r="H233" s="174">
        <f>Accounts!P211</f>
        <v/>
      </c>
      <c r="I233" s="174">
        <f>Accounts!H211</f>
        <v/>
      </c>
      <c r="J233" s="174">
        <f>Accounts!I211</f>
        <v/>
      </c>
      <c r="K233" s="176">
        <f>#REF!</f>
        <v/>
      </c>
      <c r="L233" s="173" t="n"/>
      <c r="M233" s="9" t="n"/>
      <c r="N233" s="28" t="b">
        <v>0</v>
      </c>
      <c r="O233" s="172" t="b">
        <v>0</v>
      </c>
      <c r="P233" s="28" t="b">
        <v>0</v>
      </c>
      <c r="Q233" s="28" t="b">
        <v>0</v>
      </c>
      <c r="R233" s="28" t="b">
        <v>0</v>
      </c>
      <c r="S233" s="28" t="b">
        <v>0</v>
      </c>
      <c r="T233" s="28" t="b">
        <v>0</v>
      </c>
      <c r="U233" s="28" t="b">
        <v>0</v>
      </c>
      <c r="V233" s="28" t="b">
        <v>0</v>
      </c>
      <c r="W233" s="28" t="b">
        <v>0</v>
      </c>
    </row>
    <row r="234" ht="69" customHeight="1" s="222">
      <c r="A234" s="164">
        <f>#REF!</f>
        <v/>
      </c>
      <c r="B234" s="145" t="b">
        <v>0</v>
      </c>
      <c r="C234" s="176">
        <f>#REF!</f>
        <v/>
      </c>
      <c r="D234" s="174" t="n"/>
      <c r="E234" s="174" t="n"/>
      <c r="F234" s="176">
        <f>#REF!</f>
        <v/>
      </c>
      <c r="G234" s="174">
        <f>#REF!</f>
        <v/>
      </c>
      <c r="H234" s="174">
        <f>#REF!</f>
        <v/>
      </c>
      <c r="I234" s="174">
        <f>#REF!</f>
        <v/>
      </c>
      <c r="J234" s="174">
        <f>#REF!</f>
        <v/>
      </c>
      <c r="K234" s="176">
        <f>#REF!</f>
        <v/>
      </c>
      <c r="L234" s="173" t="n"/>
      <c r="M234" s="9" t="n"/>
      <c r="N234" s="28" t="b">
        <v>0</v>
      </c>
      <c r="O234" s="172" t="b">
        <v>0</v>
      </c>
      <c r="P234" s="28" t="b">
        <v>0</v>
      </c>
      <c r="Q234" s="28" t="b">
        <v>0</v>
      </c>
      <c r="R234" s="28" t="b">
        <v>0</v>
      </c>
      <c r="S234" s="28" t="b">
        <v>0</v>
      </c>
      <c r="T234" s="28" t="b">
        <v>0</v>
      </c>
      <c r="U234" s="28" t="b">
        <v>0</v>
      </c>
      <c r="V234" s="28" t="b">
        <v>0</v>
      </c>
      <c r="W234" s="28" t="b">
        <v>0</v>
      </c>
    </row>
    <row r="235" ht="69" customHeight="1" s="222">
      <c r="A235" s="164">
        <f>Accounts!A212</f>
        <v/>
      </c>
      <c r="B235" s="145" t="b">
        <v>0</v>
      </c>
      <c r="C235" s="176">
        <f>Accounts!T212</f>
        <v/>
      </c>
      <c r="D235" s="174" t="n"/>
      <c r="E235" s="174" t="n"/>
      <c r="F235" s="176">
        <f>Accounts!F212</f>
        <v/>
      </c>
      <c r="G235" s="174">
        <f>Accounts!O212</f>
        <v/>
      </c>
      <c r="H235" s="174">
        <f>Accounts!P212</f>
        <v/>
      </c>
      <c r="I235" s="174">
        <f>Accounts!H212</f>
        <v/>
      </c>
      <c r="J235" s="174">
        <f>Accounts!I212</f>
        <v/>
      </c>
      <c r="K235" s="176">
        <f>#REF!</f>
        <v/>
      </c>
      <c r="L235" s="173" t="n"/>
      <c r="M235" s="9" t="n"/>
      <c r="N235" s="28" t="b">
        <v>0</v>
      </c>
      <c r="O235" s="172" t="b">
        <v>0</v>
      </c>
      <c r="P235" s="28" t="b">
        <v>0</v>
      </c>
      <c r="Q235" s="28" t="b">
        <v>0</v>
      </c>
      <c r="R235" s="28" t="b">
        <v>0</v>
      </c>
      <c r="S235" s="28" t="b">
        <v>0</v>
      </c>
      <c r="T235" s="28" t="b">
        <v>0</v>
      </c>
      <c r="U235" s="28" t="b">
        <v>0</v>
      </c>
      <c r="V235" s="28" t="b">
        <v>0</v>
      </c>
      <c r="W235" s="28" t="b">
        <v>0</v>
      </c>
    </row>
    <row r="236" ht="69" customHeight="1" s="222">
      <c r="A236" s="164">
        <f>Accounts!A213</f>
        <v/>
      </c>
      <c r="B236" s="145" t="b">
        <v>0</v>
      </c>
      <c r="C236" s="176">
        <f>Accounts!T213</f>
        <v/>
      </c>
      <c r="D236" s="174" t="n"/>
      <c r="E236" s="174" t="n"/>
      <c r="F236" s="176">
        <f>Accounts!F213</f>
        <v/>
      </c>
      <c r="G236" s="174">
        <f>Accounts!O213</f>
        <v/>
      </c>
      <c r="H236" s="174">
        <f>Accounts!P213</f>
        <v/>
      </c>
      <c r="I236" s="174">
        <f>Accounts!H213</f>
        <v/>
      </c>
      <c r="J236" s="174">
        <f>Accounts!I213</f>
        <v/>
      </c>
      <c r="K236" s="176">
        <f>#REF!</f>
        <v/>
      </c>
      <c r="L236" s="173" t="n"/>
      <c r="M236" s="9" t="n"/>
      <c r="N236" s="28" t="b">
        <v>0</v>
      </c>
      <c r="O236" s="172" t="b">
        <v>0</v>
      </c>
      <c r="P236" s="28" t="b">
        <v>0</v>
      </c>
      <c r="Q236" s="28" t="b">
        <v>0</v>
      </c>
      <c r="R236" s="28" t="b">
        <v>0</v>
      </c>
      <c r="S236" s="28" t="b">
        <v>0</v>
      </c>
      <c r="T236" s="28" t="b">
        <v>0</v>
      </c>
      <c r="U236" s="28" t="b">
        <v>0</v>
      </c>
      <c r="V236" s="28" t="b">
        <v>0</v>
      </c>
      <c r="W236" s="28" t="b">
        <v>0</v>
      </c>
    </row>
    <row r="237" ht="69" customHeight="1" s="222">
      <c r="A237" s="164">
        <f>Accounts!A214</f>
        <v/>
      </c>
      <c r="B237" s="145" t="b">
        <v>0</v>
      </c>
      <c r="C237" s="176">
        <f>Accounts!T214</f>
        <v/>
      </c>
      <c r="D237" s="174" t="n"/>
      <c r="E237" s="174" t="n"/>
      <c r="F237" s="176">
        <f>Accounts!F214</f>
        <v/>
      </c>
      <c r="G237" s="174">
        <f>Accounts!O214</f>
        <v/>
      </c>
      <c r="H237" s="174">
        <f>Accounts!P214</f>
        <v/>
      </c>
      <c r="I237" s="174">
        <f>Accounts!H214</f>
        <v/>
      </c>
      <c r="J237" s="174">
        <f>Accounts!I214</f>
        <v/>
      </c>
      <c r="K237" s="176">
        <f>#REF!</f>
        <v/>
      </c>
      <c r="L237" s="173" t="n"/>
      <c r="M237" s="9" t="n"/>
      <c r="N237" s="28" t="b">
        <v>0</v>
      </c>
      <c r="O237" s="172" t="b">
        <v>0</v>
      </c>
      <c r="P237" s="28" t="b">
        <v>0</v>
      </c>
      <c r="Q237" s="28" t="b">
        <v>0</v>
      </c>
      <c r="R237" s="28" t="b">
        <v>0</v>
      </c>
      <c r="S237" s="28" t="b">
        <v>0</v>
      </c>
      <c r="T237" s="28" t="b">
        <v>0</v>
      </c>
      <c r="U237" s="28" t="b">
        <v>0</v>
      </c>
      <c r="V237" s="28" t="b">
        <v>0</v>
      </c>
      <c r="W237" s="28" t="b">
        <v>0</v>
      </c>
    </row>
    <row r="238" ht="69" customHeight="1" s="222">
      <c r="A238" s="164">
        <f>Accounts!A215</f>
        <v/>
      </c>
      <c r="B238" s="145" t="b">
        <v>0</v>
      </c>
      <c r="C238" s="176">
        <f>Accounts!T215</f>
        <v/>
      </c>
      <c r="D238" s="174" t="n"/>
      <c r="E238" s="174" t="n"/>
      <c r="F238" s="176">
        <f>Accounts!F215</f>
        <v/>
      </c>
      <c r="G238" s="174">
        <f>Accounts!O215</f>
        <v/>
      </c>
      <c r="H238" s="174">
        <f>Accounts!P215</f>
        <v/>
      </c>
      <c r="I238" s="174">
        <f>Accounts!H215</f>
        <v/>
      </c>
      <c r="J238" s="174">
        <f>Accounts!I215</f>
        <v/>
      </c>
      <c r="K238" s="176">
        <f>#REF!</f>
        <v/>
      </c>
      <c r="L238" s="173" t="n"/>
      <c r="M238" s="9" t="n"/>
      <c r="N238" s="28" t="b">
        <v>0</v>
      </c>
      <c r="O238" s="172" t="b">
        <v>0</v>
      </c>
      <c r="P238" s="28" t="b">
        <v>0</v>
      </c>
      <c r="Q238" s="28" t="b">
        <v>0</v>
      </c>
      <c r="R238" s="28" t="b">
        <v>0</v>
      </c>
      <c r="S238" s="28" t="b">
        <v>0</v>
      </c>
      <c r="T238" s="28" t="b">
        <v>0</v>
      </c>
      <c r="U238" s="28" t="b">
        <v>0</v>
      </c>
      <c r="V238" s="28" t="b">
        <v>0</v>
      </c>
      <c r="W238" s="28" t="b">
        <v>0</v>
      </c>
    </row>
    <row r="239" ht="69" customHeight="1" s="222">
      <c r="A239" s="164">
        <f>Accounts!A216</f>
        <v/>
      </c>
      <c r="B239" s="145" t="b">
        <v>0</v>
      </c>
      <c r="C239" s="176">
        <f>Accounts!T216</f>
        <v/>
      </c>
      <c r="D239" s="174" t="n"/>
      <c r="E239" s="174" t="n"/>
      <c r="F239" s="176">
        <f>Accounts!F216</f>
        <v/>
      </c>
      <c r="G239" s="174">
        <f>Accounts!O216</f>
        <v/>
      </c>
      <c r="H239" s="174">
        <f>Accounts!P216</f>
        <v/>
      </c>
      <c r="I239" s="174">
        <f>Accounts!H216</f>
        <v/>
      </c>
      <c r="J239" s="174">
        <f>Accounts!I216</f>
        <v/>
      </c>
      <c r="K239" s="176">
        <f>#REF!</f>
        <v/>
      </c>
      <c r="L239" s="173" t="n"/>
      <c r="M239" s="9" t="n"/>
      <c r="N239" s="28" t="b">
        <v>0</v>
      </c>
      <c r="O239" s="172" t="b">
        <v>0</v>
      </c>
      <c r="P239" s="28" t="b">
        <v>0</v>
      </c>
      <c r="Q239" s="28" t="b">
        <v>0</v>
      </c>
      <c r="R239" s="28" t="b">
        <v>0</v>
      </c>
      <c r="S239" s="28" t="b">
        <v>0</v>
      </c>
      <c r="T239" s="28" t="b">
        <v>0</v>
      </c>
      <c r="U239" s="28" t="b">
        <v>0</v>
      </c>
      <c r="V239" s="28" t="b">
        <v>0</v>
      </c>
      <c r="W239" s="28" t="b">
        <v>0</v>
      </c>
    </row>
    <row r="240" ht="69" customHeight="1" s="222">
      <c r="A240" s="164">
        <f>Accounts!A217</f>
        <v/>
      </c>
      <c r="B240" s="145" t="b">
        <v>0</v>
      </c>
      <c r="C240" s="176">
        <f>Accounts!T217</f>
        <v/>
      </c>
      <c r="D240" s="174" t="n"/>
      <c r="E240" s="174" t="n"/>
      <c r="F240" s="176">
        <f>Accounts!F217</f>
        <v/>
      </c>
      <c r="G240" s="174">
        <f>Accounts!O217</f>
        <v/>
      </c>
      <c r="H240" s="174">
        <f>Accounts!P217</f>
        <v/>
      </c>
      <c r="I240" s="174">
        <f>Accounts!H217</f>
        <v/>
      </c>
      <c r="J240" s="174">
        <f>Accounts!I217</f>
        <v/>
      </c>
      <c r="K240" s="176">
        <f>#REF!</f>
        <v/>
      </c>
      <c r="L240" s="173" t="n"/>
      <c r="M240" s="9" t="n"/>
      <c r="N240" s="28" t="b">
        <v>0</v>
      </c>
      <c r="O240" s="172" t="b">
        <v>0</v>
      </c>
      <c r="P240" s="28" t="b">
        <v>0</v>
      </c>
      <c r="Q240" s="28" t="b">
        <v>0</v>
      </c>
      <c r="R240" s="28" t="b">
        <v>0</v>
      </c>
      <c r="S240" s="28" t="b">
        <v>0</v>
      </c>
      <c r="T240" s="28" t="b">
        <v>0</v>
      </c>
      <c r="U240" s="28" t="b">
        <v>0</v>
      </c>
      <c r="V240" s="28" t="b">
        <v>0</v>
      </c>
      <c r="W240" s="28" t="b">
        <v>0</v>
      </c>
    </row>
    <row r="241" ht="69" customHeight="1" s="222">
      <c r="A241" s="164">
        <f>Accounts!A218</f>
        <v/>
      </c>
      <c r="B241" s="145" t="b">
        <v>0</v>
      </c>
      <c r="C241" s="176">
        <f>Accounts!T218</f>
        <v/>
      </c>
      <c r="D241" s="174" t="n"/>
      <c r="E241" s="174" t="n"/>
      <c r="F241" s="176">
        <f>Accounts!F218</f>
        <v/>
      </c>
      <c r="G241" s="174">
        <f>Accounts!O218</f>
        <v/>
      </c>
      <c r="H241" s="174">
        <f>Accounts!P218</f>
        <v/>
      </c>
      <c r="I241" s="174">
        <f>Accounts!H218</f>
        <v/>
      </c>
      <c r="J241" s="174">
        <f>Accounts!I218</f>
        <v/>
      </c>
      <c r="K241" s="176">
        <f>#REF!</f>
        <v/>
      </c>
      <c r="L241" s="173" t="n"/>
      <c r="M241" s="9" t="n"/>
      <c r="N241" s="28" t="b">
        <v>0</v>
      </c>
      <c r="O241" s="172" t="b">
        <v>0</v>
      </c>
      <c r="P241" s="28" t="b">
        <v>0</v>
      </c>
      <c r="Q241" s="28" t="b">
        <v>0</v>
      </c>
      <c r="R241" s="28" t="b">
        <v>0</v>
      </c>
      <c r="S241" s="28" t="b">
        <v>0</v>
      </c>
      <c r="T241" s="28" t="b">
        <v>0</v>
      </c>
      <c r="U241" s="28" t="b">
        <v>0</v>
      </c>
      <c r="V241" s="28" t="b">
        <v>0</v>
      </c>
      <c r="W241" s="28" t="b">
        <v>0</v>
      </c>
    </row>
    <row r="242" ht="69" customHeight="1" s="222">
      <c r="A242" s="164">
        <f>#REF!</f>
        <v/>
      </c>
      <c r="B242" s="145" t="b">
        <v>0</v>
      </c>
      <c r="C242" s="176">
        <f>#REF!</f>
        <v/>
      </c>
      <c r="D242" s="174" t="n"/>
      <c r="E242" s="174" t="n"/>
      <c r="F242" s="176">
        <f>#REF!</f>
        <v/>
      </c>
      <c r="G242" s="174">
        <f>#REF!</f>
        <v/>
      </c>
      <c r="H242" s="174">
        <f>#REF!</f>
        <v/>
      </c>
      <c r="I242" s="174">
        <f>#REF!</f>
        <v/>
      </c>
      <c r="J242" s="174">
        <f>#REF!</f>
        <v/>
      </c>
      <c r="K242" s="176">
        <f>#REF!</f>
        <v/>
      </c>
      <c r="L242" s="173" t="n"/>
      <c r="M242" s="9" t="n"/>
      <c r="N242" s="28" t="b">
        <v>0</v>
      </c>
      <c r="O242" s="172" t="b">
        <v>0</v>
      </c>
      <c r="P242" s="28" t="b">
        <v>0</v>
      </c>
      <c r="Q242" s="28" t="b">
        <v>0</v>
      </c>
      <c r="R242" s="28" t="b">
        <v>0</v>
      </c>
      <c r="S242" s="28" t="b">
        <v>0</v>
      </c>
      <c r="T242" s="28" t="b">
        <v>0</v>
      </c>
      <c r="U242" s="28" t="b">
        <v>0</v>
      </c>
      <c r="V242" s="28" t="b">
        <v>0</v>
      </c>
      <c r="W242" s="28" t="b">
        <v>0</v>
      </c>
    </row>
    <row r="243" ht="69" customHeight="1" s="222">
      <c r="A243" s="164">
        <f>Accounts!A219</f>
        <v/>
      </c>
      <c r="B243" s="145" t="b">
        <v>0</v>
      </c>
      <c r="C243" s="176">
        <f>Accounts!T219</f>
        <v/>
      </c>
      <c r="D243" s="174" t="n"/>
      <c r="E243" s="174" t="n"/>
      <c r="F243" s="176">
        <f>Accounts!F219</f>
        <v/>
      </c>
      <c r="G243" s="174">
        <f>Accounts!O219</f>
        <v/>
      </c>
      <c r="H243" s="174">
        <f>Accounts!P219</f>
        <v/>
      </c>
      <c r="I243" s="174">
        <f>Accounts!H219</f>
        <v/>
      </c>
      <c r="J243" s="174">
        <f>Accounts!I219</f>
        <v/>
      </c>
      <c r="K243" s="176">
        <f>#REF!</f>
        <v/>
      </c>
      <c r="L243" s="173" t="n"/>
      <c r="M243" s="9" t="n"/>
      <c r="N243" s="28" t="b">
        <v>0</v>
      </c>
      <c r="O243" s="172" t="b">
        <v>0</v>
      </c>
      <c r="P243" s="28" t="b">
        <v>0</v>
      </c>
      <c r="Q243" s="28" t="b">
        <v>0</v>
      </c>
      <c r="R243" s="28" t="b">
        <v>0</v>
      </c>
      <c r="S243" s="28" t="b">
        <v>0</v>
      </c>
      <c r="T243" s="28" t="b">
        <v>0</v>
      </c>
      <c r="U243" s="28" t="b">
        <v>0</v>
      </c>
      <c r="V243" s="28" t="b">
        <v>0</v>
      </c>
      <c r="W243" s="28" t="b">
        <v>0</v>
      </c>
    </row>
    <row r="244" ht="69" customHeight="1" s="222">
      <c r="A244" s="164">
        <f>Accounts!A220</f>
        <v/>
      </c>
      <c r="B244" s="145" t="b">
        <v>0</v>
      </c>
      <c r="C244" s="176">
        <f>Accounts!T220</f>
        <v/>
      </c>
      <c r="D244" s="174" t="n"/>
      <c r="E244" s="174" t="n"/>
      <c r="F244" s="176">
        <f>Accounts!F220</f>
        <v/>
      </c>
      <c r="G244" s="174">
        <f>Accounts!O220</f>
        <v/>
      </c>
      <c r="H244" s="174">
        <f>Accounts!P220</f>
        <v/>
      </c>
      <c r="I244" s="174">
        <f>Accounts!H220</f>
        <v/>
      </c>
      <c r="J244" s="174">
        <f>Accounts!I220</f>
        <v/>
      </c>
      <c r="K244" s="176">
        <f>#REF!</f>
        <v/>
      </c>
      <c r="L244" s="173" t="n"/>
      <c r="M244" s="9" t="n"/>
      <c r="N244" s="28" t="b">
        <v>0</v>
      </c>
      <c r="O244" s="172" t="b">
        <v>0</v>
      </c>
      <c r="P244" s="28" t="b">
        <v>0</v>
      </c>
      <c r="Q244" s="28" t="b">
        <v>0</v>
      </c>
      <c r="R244" s="28" t="b">
        <v>0</v>
      </c>
      <c r="S244" s="28" t="b">
        <v>0</v>
      </c>
      <c r="T244" s="28" t="b">
        <v>0</v>
      </c>
      <c r="U244" s="28" t="b">
        <v>0</v>
      </c>
      <c r="V244" s="28" t="b">
        <v>0</v>
      </c>
      <c r="W244" s="28" t="b">
        <v>0</v>
      </c>
    </row>
    <row r="245" ht="69" customHeight="1" s="222">
      <c r="A245" s="164">
        <f>Accounts!A221</f>
        <v/>
      </c>
      <c r="B245" s="145" t="b">
        <v>0</v>
      </c>
      <c r="C245" s="176">
        <f>Accounts!T221</f>
        <v/>
      </c>
      <c r="D245" s="174" t="n"/>
      <c r="E245" s="174" t="n"/>
      <c r="F245" s="176">
        <f>Accounts!F221</f>
        <v/>
      </c>
      <c r="G245" s="174">
        <f>Accounts!O221</f>
        <v/>
      </c>
      <c r="H245" s="174">
        <f>Accounts!P221</f>
        <v/>
      </c>
      <c r="I245" s="174">
        <f>Accounts!H221</f>
        <v/>
      </c>
      <c r="J245" s="174">
        <f>Accounts!I221</f>
        <v/>
      </c>
      <c r="K245" s="176">
        <f>#REF!</f>
        <v/>
      </c>
      <c r="L245" s="173" t="n"/>
      <c r="M245" s="9" t="n"/>
      <c r="N245" s="28" t="b">
        <v>0</v>
      </c>
      <c r="O245" s="172" t="b">
        <v>0</v>
      </c>
      <c r="P245" s="28" t="b">
        <v>0</v>
      </c>
      <c r="Q245" s="28" t="b">
        <v>0</v>
      </c>
      <c r="R245" s="28" t="b">
        <v>0</v>
      </c>
      <c r="S245" s="28" t="b">
        <v>0</v>
      </c>
      <c r="T245" s="28" t="b">
        <v>0</v>
      </c>
      <c r="U245" s="28" t="b">
        <v>0</v>
      </c>
      <c r="V245" s="28" t="b">
        <v>0</v>
      </c>
      <c r="W245" s="28" t="b">
        <v>0</v>
      </c>
    </row>
    <row r="246" ht="69" customHeight="1" s="222">
      <c r="A246" s="164">
        <f>Accounts!A222</f>
        <v/>
      </c>
      <c r="B246" s="145" t="b">
        <v>0</v>
      </c>
      <c r="C246" s="176">
        <f>Accounts!T222</f>
        <v/>
      </c>
      <c r="D246" s="174" t="n"/>
      <c r="E246" s="174" t="n"/>
      <c r="F246" s="176">
        <f>Accounts!F222</f>
        <v/>
      </c>
      <c r="G246" s="174">
        <f>Accounts!O222</f>
        <v/>
      </c>
      <c r="H246" s="174">
        <f>Accounts!P222</f>
        <v/>
      </c>
      <c r="I246" s="174">
        <f>Accounts!H222</f>
        <v/>
      </c>
      <c r="J246" s="174">
        <f>Accounts!I222</f>
        <v/>
      </c>
      <c r="K246" s="176">
        <f>#REF!</f>
        <v/>
      </c>
      <c r="L246" s="173" t="n"/>
      <c r="M246" s="9" t="n"/>
      <c r="N246" s="28" t="b">
        <v>0</v>
      </c>
      <c r="O246" s="172" t="b">
        <v>0</v>
      </c>
      <c r="P246" s="28" t="b">
        <v>0</v>
      </c>
      <c r="Q246" s="28" t="b">
        <v>0</v>
      </c>
      <c r="R246" s="28" t="b">
        <v>0</v>
      </c>
      <c r="S246" s="28" t="b">
        <v>0</v>
      </c>
      <c r="T246" s="28" t="b">
        <v>0</v>
      </c>
      <c r="U246" s="28" t="b">
        <v>0</v>
      </c>
      <c r="V246" s="28" t="b">
        <v>0</v>
      </c>
      <c r="W246" s="28" t="b">
        <v>0</v>
      </c>
    </row>
    <row r="247" ht="69" customHeight="1" s="222">
      <c r="A247" s="164">
        <f>Accounts!A223</f>
        <v/>
      </c>
      <c r="B247" s="145" t="b">
        <v>0</v>
      </c>
      <c r="C247" s="176">
        <f>Accounts!T223</f>
        <v/>
      </c>
      <c r="D247" s="174" t="n"/>
      <c r="E247" s="174" t="n"/>
      <c r="F247" s="176">
        <f>Accounts!F223</f>
        <v/>
      </c>
      <c r="G247" s="174">
        <f>Accounts!O223</f>
        <v/>
      </c>
      <c r="H247" s="174">
        <f>Accounts!P223</f>
        <v/>
      </c>
      <c r="I247" s="174">
        <f>Accounts!H223</f>
        <v/>
      </c>
      <c r="J247" s="174">
        <f>Accounts!I223</f>
        <v/>
      </c>
      <c r="K247" s="176">
        <f>#REF!</f>
        <v/>
      </c>
      <c r="L247" s="173" t="n"/>
      <c r="M247" s="9" t="n"/>
      <c r="N247" s="28" t="b">
        <v>0</v>
      </c>
      <c r="O247" s="172" t="b">
        <v>0</v>
      </c>
      <c r="P247" s="28" t="b">
        <v>0</v>
      </c>
      <c r="Q247" s="28" t="b">
        <v>0</v>
      </c>
      <c r="R247" s="28" t="b">
        <v>0</v>
      </c>
      <c r="S247" s="28" t="b">
        <v>0</v>
      </c>
      <c r="T247" s="28" t="b">
        <v>0</v>
      </c>
      <c r="U247" s="28" t="b">
        <v>0</v>
      </c>
      <c r="V247" s="28" t="b">
        <v>0</v>
      </c>
      <c r="W247" s="28" t="b">
        <v>0</v>
      </c>
    </row>
    <row r="248" ht="69" customHeight="1" s="222">
      <c r="A248" s="164">
        <f>Accounts!A224</f>
        <v/>
      </c>
      <c r="B248" s="145" t="b">
        <v>0</v>
      </c>
      <c r="C248" s="176">
        <f>Accounts!T224</f>
        <v/>
      </c>
      <c r="D248" s="174" t="n"/>
      <c r="E248" s="174" t="n"/>
      <c r="F248" s="176">
        <f>Accounts!F224</f>
        <v/>
      </c>
      <c r="G248" s="174">
        <f>Accounts!O224</f>
        <v/>
      </c>
      <c r="H248" s="174">
        <f>Accounts!P224</f>
        <v/>
      </c>
      <c r="I248" s="174">
        <f>Accounts!H224</f>
        <v/>
      </c>
      <c r="J248" s="174">
        <f>Accounts!I224</f>
        <v/>
      </c>
      <c r="K248" s="176">
        <f>#REF!</f>
        <v/>
      </c>
      <c r="L248" s="173" t="n"/>
      <c r="M248" s="9" t="n"/>
      <c r="N248" s="28" t="b">
        <v>0</v>
      </c>
      <c r="O248" s="172" t="b">
        <v>0</v>
      </c>
      <c r="P248" s="28" t="b">
        <v>0</v>
      </c>
      <c r="Q248" s="28" t="b">
        <v>0</v>
      </c>
      <c r="R248" s="28" t="b">
        <v>0</v>
      </c>
      <c r="S248" s="28" t="b">
        <v>0</v>
      </c>
      <c r="T248" s="28" t="b">
        <v>0</v>
      </c>
      <c r="U248" s="28" t="b">
        <v>0</v>
      </c>
      <c r="V248" s="28" t="b">
        <v>0</v>
      </c>
      <c r="W248" s="28" t="b">
        <v>0</v>
      </c>
    </row>
    <row r="249" ht="69" customHeight="1" s="222">
      <c r="A249" s="164">
        <f>Accounts!A225</f>
        <v/>
      </c>
      <c r="B249" s="145" t="b">
        <v>0</v>
      </c>
      <c r="C249" s="176">
        <f>Accounts!T225</f>
        <v/>
      </c>
      <c r="D249" s="174" t="n"/>
      <c r="E249" s="174" t="n"/>
      <c r="F249" s="176">
        <f>Accounts!F225</f>
        <v/>
      </c>
      <c r="G249" s="174">
        <f>Accounts!O225</f>
        <v/>
      </c>
      <c r="H249" s="174">
        <f>Accounts!P225</f>
        <v/>
      </c>
      <c r="I249" s="174">
        <f>Accounts!H225</f>
        <v/>
      </c>
      <c r="J249" s="174">
        <f>Accounts!I225</f>
        <v/>
      </c>
      <c r="K249" s="176">
        <f>#REF!</f>
        <v/>
      </c>
      <c r="L249" s="173" t="n"/>
      <c r="M249" s="9" t="n"/>
      <c r="N249" s="28" t="b">
        <v>0</v>
      </c>
      <c r="O249" s="172" t="b">
        <v>0</v>
      </c>
      <c r="P249" s="28" t="b">
        <v>0</v>
      </c>
      <c r="Q249" s="28" t="b">
        <v>0</v>
      </c>
      <c r="R249" s="28" t="b">
        <v>0</v>
      </c>
      <c r="S249" s="28" t="b">
        <v>0</v>
      </c>
      <c r="T249" s="28" t="b">
        <v>0</v>
      </c>
      <c r="U249" s="28" t="b">
        <v>0</v>
      </c>
      <c r="V249" s="28" t="b">
        <v>0</v>
      </c>
      <c r="W249" s="28" t="b">
        <v>0</v>
      </c>
    </row>
    <row r="250" ht="69" customHeight="1" s="222">
      <c r="A250" s="164">
        <f>Accounts!A226</f>
        <v/>
      </c>
      <c r="B250" s="145" t="b">
        <v>0</v>
      </c>
      <c r="C250" s="176">
        <f>Accounts!T226</f>
        <v/>
      </c>
      <c r="D250" s="174" t="n"/>
      <c r="E250" s="174" t="n"/>
      <c r="F250" s="176">
        <f>Accounts!F226</f>
        <v/>
      </c>
      <c r="G250" s="174">
        <f>Accounts!O226</f>
        <v/>
      </c>
      <c r="H250" s="174">
        <f>Accounts!P226</f>
        <v/>
      </c>
      <c r="I250" s="174">
        <f>Accounts!H226</f>
        <v/>
      </c>
      <c r="J250" s="174">
        <f>Accounts!I226</f>
        <v/>
      </c>
      <c r="K250" s="176">
        <f>#REF!</f>
        <v/>
      </c>
      <c r="L250" s="173" t="n"/>
      <c r="M250" s="9" t="n"/>
      <c r="N250" s="28" t="b">
        <v>0</v>
      </c>
      <c r="O250" s="172" t="b">
        <v>0</v>
      </c>
      <c r="P250" s="28" t="b">
        <v>0</v>
      </c>
      <c r="Q250" s="28" t="b">
        <v>0</v>
      </c>
      <c r="R250" s="28" t="b">
        <v>0</v>
      </c>
      <c r="S250" s="28" t="b">
        <v>0</v>
      </c>
      <c r="T250" s="28" t="b">
        <v>0</v>
      </c>
      <c r="U250" s="28" t="b">
        <v>0</v>
      </c>
      <c r="V250" s="28" t="b">
        <v>0</v>
      </c>
      <c r="W250" s="28" t="b">
        <v>0</v>
      </c>
    </row>
    <row r="251" ht="69" customHeight="1" s="222">
      <c r="A251" s="164">
        <f>Accounts!A227</f>
        <v/>
      </c>
      <c r="B251" s="145" t="b">
        <v>0</v>
      </c>
      <c r="C251" s="176">
        <f>Accounts!T227</f>
        <v/>
      </c>
      <c r="D251" s="174" t="n"/>
      <c r="E251" s="174" t="n"/>
      <c r="F251" s="176">
        <f>Accounts!F227</f>
        <v/>
      </c>
      <c r="G251" s="174">
        <f>Accounts!O227</f>
        <v/>
      </c>
      <c r="H251" s="174">
        <f>Accounts!P227</f>
        <v/>
      </c>
      <c r="I251" s="174">
        <f>Accounts!H227</f>
        <v/>
      </c>
      <c r="J251" s="174">
        <f>Accounts!I227</f>
        <v/>
      </c>
      <c r="K251" s="176">
        <f>#REF!</f>
        <v/>
      </c>
      <c r="L251" s="173" t="n"/>
      <c r="M251" s="9" t="n"/>
      <c r="N251" s="28" t="b">
        <v>0</v>
      </c>
      <c r="O251" s="172" t="b">
        <v>0</v>
      </c>
      <c r="P251" s="28" t="b">
        <v>0</v>
      </c>
      <c r="Q251" s="28" t="b">
        <v>0</v>
      </c>
      <c r="R251" s="28" t="b">
        <v>0</v>
      </c>
      <c r="S251" s="28" t="b">
        <v>0</v>
      </c>
      <c r="T251" s="28" t="b">
        <v>0</v>
      </c>
      <c r="U251" s="28" t="b">
        <v>0</v>
      </c>
      <c r="V251" s="28" t="b">
        <v>0</v>
      </c>
      <c r="W251" s="28" t="b">
        <v>0</v>
      </c>
    </row>
    <row r="252" ht="69" customHeight="1" s="222">
      <c r="A252" s="164">
        <f>Accounts!A228</f>
        <v/>
      </c>
      <c r="B252" s="145" t="b">
        <v>0</v>
      </c>
      <c r="C252" s="176">
        <f>Accounts!T228</f>
        <v/>
      </c>
      <c r="D252" s="174" t="n"/>
      <c r="E252" s="174" t="n"/>
      <c r="F252" s="176">
        <f>Accounts!F228</f>
        <v/>
      </c>
      <c r="G252" s="174">
        <f>Accounts!O228</f>
        <v/>
      </c>
      <c r="H252" s="174">
        <f>Accounts!P228</f>
        <v/>
      </c>
      <c r="I252" s="174">
        <f>Accounts!H228</f>
        <v/>
      </c>
      <c r="J252" s="174">
        <f>Accounts!I228</f>
        <v/>
      </c>
      <c r="K252" s="176">
        <f>#REF!</f>
        <v/>
      </c>
      <c r="L252" s="173" t="n"/>
      <c r="M252" s="9" t="n"/>
      <c r="N252" s="28" t="b">
        <v>0</v>
      </c>
      <c r="O252" s="172" t="b">
        <v>0</v>
      </c>
      <c r="P252" s="28" t="b">
        <v>0</v>
      </c>
      <c r="Q252" s="28" t="b">
        <v>0</v>
      </c>
      <c r="R252" s="28" t="b">
        <v>0</v>
      </c>
      <c r="S252" s="28" t="b">
        <v>0</v>
      </c>
      <c r="T252" s="28" t="b">
        <v>0</v>
      </c>
      <c r="U252" s="28" t="b">
        <v>0</v>
      </c>
      <c r="V252" s="28" t="b">
        <v>0</v>
      </c>
      <c r="W252" s="28" t="b">
        <v>0</v>
      </c>
    </row>
    <row r="253" ht="69" customHeight="1" s="222">
      <c r="A253" s="164">
        <f>Accounts!A229</f>
        <v/>
      </c>
      <c r="B253" s="145" t="b">
        <v>0</v>
      </c>
      <c r="C253" s="176">
        <f>Accounts!T229</f>
        <v/>
      </c>
      <c r="D253" s="174" t="n"/>
      <c r="E253" s="174" t="n"/>
      <c r="F253" s="176">
        <f>Accounts!F229</f>
        <v/>
      </c>
      <c r="G253" s="174">
        <f>Accounts!O229</f>
        <v/>
      </c>
      <c r="H253" s="174">
        <f>Accounts!P229</f>
        <v/>
      </c>
      <c r="I253" s="174">
        <f>Accounts!H229</f>
        <v/>
      </c>
      <c r="J253" s="174">
        <f>Accounts!I229</f>
        <v/>
      </c>
      <c r="K253" s="176">
        <f>#REF!</f>
        <v/>
      </c>
      <c r="L253" s="173" t="n"/>
      <c r="M253" s="9" t="n"/>
      <c r="N253" s="28" t="b">
        <v>0</v>
      </c>
      <c r="O253" s="172" t="b">
        <v>0</v>
      </c>
      <c r="P253" s="28" t="b">
        <v>0</v>
      </c>
      <c r="Q253" s="28" t="b">
        <v>0</v>
      </c>
      <c r="R253" s="28" t="b">
        <v>0</v>
      </c>
      <c r="S253" s="28" t="b">
        <v>0</v>
      </c>
      <c r="T253" s="28" t="b">
        <v>0</v>
      </c>
      <c r="U253" s="28" t="b">
        <v>0</v>
      </c>
      <c r="V253" s="28" t="b">
        <v>0</v>
      </c>
      <c r="W253" s="28" t="b">
        <v>0</v>
      </c>
    </row>
    <row r="254" ht="69" customHeight="1" s="222">
      <c r="A254" s="164">
        <f>Accounts!A230</f>
        <v/>
      </c>
      <c r="B254" s="145" t="b">
        <v>0</v>
      </c>
      <c r="C254" s="176">
        <f>Accounts!T230</f>
        <v/>
      </c>
      <c r="D254" s="174" t="n"/>
      <c r="E254" s="174" t="n"/>
      <c r="F254" s="176">
        <f>Accounts!F230</f>
        <v/>
      </c>
      <c r="G254" s="174">
        <f>Accounts!O230</f>
        <v/>
      </c>
      <c r="H254" s="174">
        <f>Accounts!P230</f>
        <v/>
      </c>
      <c r="I254" s="174">
        <f>Accounts!H230</f>
        <v/>
      </c>
      <c r="J254" s="174">
        <f>Accounts!I230</f>
        <v/>
      </c>
      <c r="K254" s="176">
        <f>#REF!</f>
        <v/>
      </c>
      <c r="L254" s="173" t="n"/>
      <c r="M254" s="9" t="n"/>
      <c r="N254" s="28" t="b">
        <v>0</v>
      </c>
      <c r="O254" s="172" t="b">
        <v>0</v>
      </c>
      <c r="P254" s="28" t="b">
        <v>0</v>
      </c>
      <c r="Q254" s="28" t="b">
        <v>0</v>
      </c>
      <c r="R254" s="28" t="b">
        <v>0</v>
      </c>
      <c r="S254" s="28" t="b">
        <v>0</v>
      </c>
      <c r="T254" s="28" t="b">
        <v>0</v>
      </c>
      <c r="U254" s="28" t="b">
        <v>0</v>
      </c>
      <c r="V254" s="28" t="b">
        <v>0</v>
      </c>
      <c r="W254" s="28" t="b">
        <v>0</v>
      </c>
    </row>
    <row r="255" ht="69" customHeight="1" s="222">
      <c r="A255" s="164">
        <f>Accounts!A231</f>
        <v/>
      </c>
      <c r="B255" s="145" t="b">
        <v>0</v>
      </c>
      <c r="C255" s="176">
        <f>Accounts!T231</f>
        <v/>
      </c>
      <c r="D255" s="174" t="n"/>
      <c r="E255" s="174" t="n"/>
      <c r="F255" s="176">
        <f>Accounts!F231</f>
        <v/>
      </c>
      <c r="G255" s="174">
        <f>Accounts!O231</f>
        <v/>
      </c>
      <c r="H255" s="174">
        <f>Accounts!P231</f>
        <v/>
      </c>
      <c r="I255" s="174">
        <f>Accounts!H231</f>
        <v/>
      </c>
      <c r="J255" s="174">
        <f>Accounts!I231</f>
        <v/>
      </c>
      <c r="K255" s="176">
        <f>#REF!</f>
        <v/>
      </c>
      <c r="L255" s="173" t="n"/>
      <c r="M255" s="9" t="n"/>
      <c r="N255" s="28" t="b">
        <v>0</v>
      </c>
      <c r="O255" s="172" t="b">
        <v>0</v>
      </c>
      <c r="P255" s="28" t="b">
        <v>0</v>
      </c>
      <c r="Q255" s="28" t="b">
        <v>0</v>
      </c>
      <c r="R255" s="28" t="b">
        <v>0</v>
      </c>
      <c r="S255" s="28" t="b">
        <v>0</v>
      </c>
      <c r="T255" s="28" t="b">
        <v>0</v>
      </c>
      <c r="U255" s="28" t="b">
        <v>0</v>
      </c>
      <c r="V255" s="28" t="b">
        <v>0</v>
      </c>
      <c r="W255" s="28" t="b">
        <v>0</v>
      </c>
    </row>
    <row r="256" ht="69" customHeight="1" s="222">
      <c r="A256" s="164">
        <f>Accounts!A232</f>
        <v/>
      </c>
      <c r="B256" s="145" t="b">
        <v>0</v>
      </c>
      <c r="C256" s="176">
        <f>Accounts!T232</f>
        <v/>
      </c>
      <c r="D256" s="174" t="n"/>
      <c r="E256" s="174" t="n"/>
      <c r="F256" s="176">
        <f>Accounts!F232</f>
        <v/>
      </c>
      <c r="G256" s="174">
        <f>Accounts!O232</f>
        <v/>
      </c>
      <c r="H256" s="174">
        <f>Accounts!P232</f>
        <v/>
      </c>
      <c r="I256" s="174">
        <f>Accounts!H232</f>
        <v/>
      </c>
      <c r="J256" s="174">
        <f>Accounts!I232</f>
        <v/>
      </c>
      <c r="K256" s="176">
        <f>#REF!</f>
        <v/>
      </c>
      <c r="L256" s="173" t="n"/>
      <c r="M256" s="9" t="n"/>
      <c r="N256" s="28" t="b">
        <v>0</v>
      </c>
      <c r="O256" s="172" t="b">
        <v>0</v>
      </c>
      <c r="P256" s="28" t="b">
        <v>0</v>
      </c>
      <c r="Q256" s="28" t="b">
        <v>0</v>
      </c>
      <c r="R256" s="28" t="b">
        <v>0</v>
      </c>
      <c r="S256" s="28" t="b">
        <v>0</v>
      </c>
      <c r="T256" s="28" t="b">
        <v>0</v>
      </c>
      <c r="U256" s="28" t="b">
        <v>0</v>
      </c>
      <c r="V256" s="28" t="b">
        <v>0</v>
      </c>
      <c r="W256" s="28" t="b">
        <v>0</v>
      </c>
    </row>
    <row r="257" ht="69" customHeight="1" s="222">
      <c r="A257" s="164">
        <f>#REF!</f>
        <v/>
      </c>
      <c r="B257" s="145" t="b">
        <v>0</v>
      </c>
      <c r="C257" s="176">
        <f>#REF!</f>
        <v/>
      </c>
      <c r="D257" s="174" t="n"/>
      <c r="E257" s="174" t="n"/>
      <c r="F257" s="176">
        <f>#REF!</f>
        <v/>
      </c>
      <c r="G257" s="174">
        <f>#REF!</f>
        <v/>
      </c>
      <c r="H257" s="174">
        <f>#REF!</f>
        <v/>
      </c>
      <c r="I257" s="174">
        <f>#REF!</f>
        <v/>
      </c>
      <c r="J257" s="174">
        <f>#REF!</f>
        <v/>
      </c>
      <c r="K257" s="176">
        <f>#REF!</f>
        <v/>
      </c>
      <c r="L257" s="173" t="n"/>
      <c r="M257" s="9" t="n"/>
      <c r="N257" s="28" t="b">
        <v>0</v>
      </c>
      <c r="O257" s="172" t="b">
        <v>0</v>
      </c>
      <c r="P257" s="28" t="b">
        <v>0</v>
      </c>
      <c r="Q257" s="28" t="b">
        <v>0</v>
      </c>
      <c r="R257" s="28" t="b">
        <v>0</v>
      </c>
      <c r="S257" s="28" t="b">
        <v>0</v>
      </c>
      <c r="T257" s="28" t="b">
        <v>0</v>
      </c>
      <c r="U257" s="28" t="b">
        <v>0</v>
      </c>
      <c r="V257" s="28" t="b">
        <v>0</v>
      </c>
      <c r="W257" s="28" t="b">
        <v>0</v>
      </c>
    </row>
    <row r="258" ht="69" customHeight="1" s="222">
      <c r="A258" s="164">
        <f>Accounts!A233</f>
        <v/>
      </c>
      <c r="B258" s="145" t="b">
        <v>0</v>
      </c>
      <c r="C258" s="176">
        <f>Accounts!T233</f>
        <v/>
      </c>
      <c r="D258" s="174" t="n"/>
      <c r="E258" s="174" t="n"/>
      <c r="F258" s="176">
        <f>Accounts!F233</f>
        <v/>
      </c>
      <c r="G258" s="174">
        <f>Accounts!O233</f>
        <v/>
      </c>
      <c r="H258" s="174">
        <f>Accounts!P233</f>
        <v/>
      </c>
      <c r="I258" s="174">
        <f>Accounts!H233</f>
        <v/>
      </c>
      <c r="J258" s="174">
        <f>Accounts!I233</f>
        <v/>
      </c>
      <c r="K258" s="176">
        <f>#REF!</f>
        <v/>
      </c>
      <c r="L258" s="173" t="n"/>
      <c r="M258" s="9" t="n"/>
      <c r="N258" s="28" t="b">
        <v>0</v>
      </c>
      <c r="O258" s="172" t="b">
        <v>0</v>
      </c>
      <c r="P258" s="28" t="b">
        <v>0</v>
      </c>
      <c r="Q258" s="28" t="b">
        <v>0</v>
      </c>
      <c r="R258" s="28" t="b">
        <v>0</v>
      </c>
      <c r="S258" s="28" t="b">
        <v>0</v>
      </c>
      <c r="T258" s="28" t="b">
        <v>0</v>
      </c>
      <c r="U258" s="28" t="b">
        <v>0</v>
      </c>
      <c r="V258" s="28" t="b">
        <v>0</v>
      </c>
      <c r="W258" s="28" t="b">
        <v>0</v>
      </c>
    </row>
    <row r="259" ht="69" customHeight="1" s="222">
      <c r="A259" s="164">
        <f>Accounts!A234</f>
        <v/>
      </c>
      <c r="B259" s="145" t="b">
        <v>0</v>
      </c>
      <c r="C259" s="176">
        <f>Accounts!T234</f>
        <v/>
      </c>
      <c r="D259" s="174" t="n"/>
      <c r="E259" s="174" t="n"/>
      <c r="F259" s="176">
        <f>Accounts!F234</f>
        <v/>
      </c>
      <c r="G259" s="174">
        <f>Accounts!O234</f>
        <v/>
      </c>
      <c r="H259" s="174">
        <f>Accounts!P234</f>
        <v/>
      </c>
      <c r="I259" s="174">
        <f>Accounts!H234</f>
        <v/>
      </c>
      <c r="J259" s="174">
        <f>Accounts!I234</f>
        <v/>
      </c>
      <c r="K259" s="176">
        <f>#REF!</f>
        <v/>
      </c>
      <c r="L259" s="173" t="n"/>
      <c r="M259" s="9" t="n"/>
      <c r="N259" s="28" t="b">
        <v>0</v>
      </c>
      <c r="O259" s="172" t="b">
        <v>0</v>
      </c>
      <c r="P259" s="28" t="b">
        <v>0</v>
      </c>
      <c r="Q259" s="28" t="b">
        <v>0</v>
      </c>
      <c r="R259" s="28" t="b">
        <v>0</v>
      </c>
      <c r="S259" s="28" t="b">
        <v>0</v>
      </c>
      <c r="T259" s="28" t="b">
        <v>0</v>
      </c>
      <c r="U259" s="28" t="b">
        <v>0</v>
      </c>
      <c r="V259" s="28" t="b">
        <v>0</v>
      </c>
      <c r="W259" s="28" t="b">
        <v>0</v>
      </c>
    </row>
    <row r="260" ht="69" customHeight="1" s="222">
      <c r="A260" s="164">
        <f>Accounts!A235</f>
        <v/>
      </c>
      <c r="B260" s="145" t="b">
        <v>0</v>
      </c>
      <c r="C260" s="176">
        <f>Accounts!T235</f>
        <v/>
      </c>
      <c r="D260" s="174" t="n"/>
      <c r="E260" s="174" t="n"/>
      <c r="F260" s="176">
        <f>Accounts!F235</f>
        <v/>
      </c>
      <c r="G260" s="174">
        <f>Accounts!O235</f>
        <v/>
      </c>
      <c r="H260" s="174">
        <f>Accounts!P235</f>
        <v/>
      </c>
      <c r="I260" s="174">
        <f>Accounts!H235</f>
        <v/>
      </c>
      <c r="J260" s="174">
        <f>Accounts!I235</f>
        <v/>
      </c>
      <c r="K260" s="176">
        <f>#REF!</f>
        <v/>
      </c>
      <c r="L260" s="173" t="n"/>
      <c r="M260" s="9" t="n"/>
      <c r="N260" s="28" t="b">
        <v>0</v>
      </c>
      <c r="O260" s="172" t="b">
        <v>0</v>
      </c>
      <c r="P260" s="28" t="b">
        <v>0</v>
      </c>
      <c r="Q260" s="28" t="b">
        <v>0</v>
      </c>
      <c r="R260" s="28" t="b">
        <v>0</v>
      </c>
      <c r="S260" s="28" t="b">
        <v>0</v>
      </c>
      <c r="T260" s="28" t="b">
        <v>0</v>
      </c>
      <c r="U260" s="28" t="b">
        <v>0</v>
      </c>
      <c r="V260" s="28" t="b">
        <v>0</v>
      </c>
      <c r="W260" s="28" t="b">
        <v>0</v>
      </c>
    </row>
    <row r="261" ht="69" customHeight="1" s="222">
      <c r="A261" s="164">
        <f>Accounts!A236</f>
        <v/>
      </c>
      <c r="B261" s="145" t="b">
        <v>0</v>
      </c>
      <c r="C261" s="176">
        <f>Accounts!T236</f>
        <v/>
      </c>
      <c r="D261" s="174" t="n"/>
      <c r="E261" s="174" t="n"/>
      <c r="F261" s="176">
        <f>Accounts!F236</f>
        <v/>
      </c>
      <c r="G261" s="174">
        <f>Accounts!O236</f>
        <v/>
      </c>
      <c r="H261" s="174">
        <f>Accounts!P236</f>
        <v/>
      </c>
      <c r="I261" s="174">
        <f>Accounts!H236</f>
        <v/>
      </c>
      <c r="J261" s="174">
        <f>Accounts!I236</f>
        <v/>
      </c>
      <c r="K261" s="176">
        <f>#REF!</f>
        <v/>
      </c>
      <c r="L261" s="173" t="n"/>
      <c r="M261" s="9" t="n"/>
      <c r="N261" s="28" t="b">
        <v>0</v>
      </c>
      <c r="O261" s="172" t="b">
        <v>0</v>
      </c>
      <c r="P261" s="28" t="b">
        <v>0</v>
      </c>
      <c r="Q261" s="28" t="b">
        <v>0</v>
      </c>
      <c r="R261" s="28" t="b">
        <v>0</v>
      </c>
      <c r="S261" s="28" t="b">
        <v>0</v>
      </c>
      <c r="T261" s="28" t="b">
        <v>0</v>
      </c>
      <c r="U261" s="28" t="b">
        <v>0</v>
      </c>
      <c r="V261" s="28" t="b">
        <v>0</v>
      </c>
      <c r="W261" s="28" t="b">
        <v>0</v>
      </c>
    </row>
    <row r="262" ht="69" customHeight="1" s="222">
      <c r="A262" s="164">
        <f>Accounts!A237</f>
        <v/>
      </c>
      <c r="B262" s="145" t="b">
        <v>0</v>
      </c>
      <c r="C262" s="176">
        <f>Accounts!T237</f>
        <v/>
      </c>
      <c r="D262" s="174" t="n"/>
      <c r="E262" s="174" t="n"/>
      <c r="F262" s="176">
        <f>Accounts!F237</f>
        <v/>
      </c>
      <c r="G262" s="174">
        <f>Accounts!O237</f>
        <v/>
      </c>
      <c r="H262" s="174">
        <f>Accounts!P237</f>
        <v/>
      </c>
      <c r="I262" s="174">
        <f>Accounts!H237</f>
        <v/>
      </c>
      <c r="J262" s="174">
        <f>Accounts!I237</f>
        <v/>
      </c>
      <c r="K262" s="176">
        <f>#REF!</f>
        <v/>
      </c>
      <c r="L262" s="173" t="n"/>
      <c r="M262" s="9" t="n"/>
      <c r="N262" s="28" t="b">
        <v>0</v>
      </c>
      <c r="O262" s="172" t="b">
        <v>0</v>
      </c>
      <c r="P262" s="28" t="b">
        <v>0</v>
      </c>
      <c r="Q262" s="28" t="b">
        <v>0</v>
      </c>
      <c r="R262" s="28" t="b">
        <v>0</v>
      </c>
      <c r="S262" s="28" t="b">
        <v>0</v>
      </c>
      <c r="T262" s="28" t="b">
        <v>0</v>
      </c>
      <c r="U262" s="28" t="b">
        <v>0</v>
      </c>
      <c r="V262" s="28" t="b">
        <v>0</v>
      </c>
      <c r="W262" s="28" t="b">
        <v>0</v>
      </c>
    </row>
    <row r="263" ht="69" customHeight="1" s="222">
      <c r="A263" s="164">
        <f>Accounts!A238</f>
        <v/>
      </c>
      <c r="B263" s="145" t="b">
        <v>0</v>
      </c>
      <c r="C263" s="176">
        <f>Accounts!T238</f>
        <v/>
      </c>
      <c r="D263" s="174" t="n"/>
      <c r="E263" s="174" t="n"/>
      <c r="F263" s="176">
        <f>Accounts!F238</f>
        <v/>
      </c>
      <c r="G263" s="174">
        <f>Accounts!O238</f>
        <v/>
      </c>
      <c r="H263" s="174">
        <f>Accounts!P238</f>
        <v/>
      </c>
      <c r="I263" s="174">
        <f>Accounts!H238</f>
        <v/>
      </c>
      <c r="J263" s="174">
        <f>Accounts!I238</f>
        <v/>
      </c>
      <c r="K263" s="176">
        <f>#REF!</f>
        <v/>
      </c>
      <c r="L263" s="173" t="n"/>
      <c r="M263" s="9" t="n"/>
      <c r="N263" s="28" t="b">
        <v>0</v>
      </c>
      <c r="O263" s="172" t="b">
        <v>0</v>
      </c>
      <c r="P263" s="28" t="b">
        <v>0</v>
      </c>
      <c r="Q263" s="28" t="b">
        <v>0</v>
      </c>
      <c r="R263" s="28" t="b">
        <v>0</v>
      </c>
      <c r="S263" s="28" t="b">
        <v>0</v>
      </c>
      <c r="T263" s="28" t="b">
        <v>0</v>
      </c>
      <c r="U263" s="28" t="b">
        <v>0</v>
      </c>
      <c r="V263" s="28" t="b">
        <v>0</v>
      </c>
      <c r="W263" s="28" t="b">
        <v>0</v>
      </c>
    </row>
    <row r="264" ht="69" customHeight="1" s="222">
      <c r="A264" s="164">
        <f>Accounts!A239</f>
        <v/>
      </c>
      <c r="B264" s="145" t="b">
        <v>0</v>
      </c>
      <c r="C264" s="176">
        <f>Accounts!T239</f>
        <v/>
      </c>
      <c r="D264" s="174" t="n"/>
      <c r="E264" s="174" t="n"/>
      <c r="F264" s="176">
        <f>Accounts!F239</f>
        <v/>
      </c>
      <c r="G264" s="174">
        <f>Accounts!O239</f>
        <v/>
      </c>
      <c r="H264" s="174">
        <f>Accounts!P239</f>
        <v/>
      </c>
      <c r="I264" s="174">
        <f>Accounts!H239</f>
        <v/>
      </c>
      <c r="J264" s="174">
        <f>Accounts!I239</f>
        <v/>
      </c>
      <c r="K264" s="176">
        <f>#REF!</f>
        <v/>
      </c>
      <c r="L264" s="173" t="n"/>
      <c r="M264" s="9" t="n"/>
      <c r="N264" s="28" t="b">
        <v>0</v>
      </c>
      <c r="O264" s="172" t="b">
        <v>0</v>
      </c>
      <c r="P264" s="28" t="b">
        <v>0</v>
      </c>
      <c r="Q264" s="28" t="b">
        <v>0</v>
      </c>
      <c r="R264" s="28" t="b">
        <v>0</v>
      </c>
      <c r="S264" s="28" t="b">
        <v>0</v>
      </c>
      <c r="T264" s="28" t="b">
        <v>0</v>
      </c>
      <c r="U264" s="28" t="b">
        <v>0</v>
      </c>
      <c r="V264" s="28" t="b">
        <v>0</v>
      </c>
      <c r="W264" s="28" t="b">
        <v>0</v>
      </c>
    </row>
    <row r="265" ht="69" customHeight="1" s="222">
      <c r="A265" s="164">
        <f>Accounts!A240</f>
        <v/>
      </c>
      <c r="B265" s="145" t="b">
        <v>0</v>
      </c>
      <c r="C265" s="176">
        <f>Accounts!T240</f>
        <v/>
      </c>
      <c r="D265" s="174" t="n"/>
      <c r="E265" s="174" t="n"/>
      <c r="F265" s="176">
        <f>Accounts!F240</f>
        <v/>
      </c>
      <c r="G265" s="174">
        <f>Accounts!O240</f>
        <v/>
      </c>
      <c r="H265" s="174">
        <f>Accounts!P240</f>
        <v/>
      </c>
      <c r="I265" s="174">
        <f>Accounts!H240</f>
        <v/>
      </c>
      <c r="J265" s="174">
        <f>Accounts!I240</f>
        <v/>
      </c>
      <c r="K265" s="176">
        <f>#REF!</f>
        <v/>
      </c>
      <c r="L265" s="173" t="n"/>
      <c r="M265" s="9" t="n"/>
      <c r="N265" s="28" t="b">
        <v>0</v>
      </c>
      <c r="O265" s="172" t="b">
        <v>0</v>
      </c>
      <c r="P265" s="28" t="b">
        <v>0</v>
      </c>
      <c r="Q265" s="28" t="b">
        <v>0</v>
      </c>
      <c r="R265" s="28" t="b">
        <v>0</v>
      </c>
      <c r="S265" s="28" t="b">
        <v>0</v>
      </c>
      <c r="T265" s="28" t="b">
        <v>0</v>
      </c>
      <c r="U265" s="28" t="b">
        <v>0</v>
      </c>
      <c r="V265" s="28" t="b">
        <v>0</v>
      </c>
      <c r="W265" s="28" t="b">
        <v>0</v>
      </c>
    </row>
    <row r="266" ht="69" customHeight="1" s="222">
      <c r="A266" s="164">
        <f>Accounts!A241</f>
        <v/>
      </c>
      <c r="B266" s="145" t="b">
        <v>0</v>
      </c>
      <c r="C266" s="176">
        <f>Accounts!T241</f>
        <v/>
      </c>
      <c r="D266" s="174" t="n"/>
      <c r="E266" s="174" t="n"/>
      <c r="F266" s="176">
        <f>Accounts!F241</f>
        <v/>
      </c>
      <c r="G266" s="174">
        <f>Accounts!O241</f>
        <v/>
      </c>
      <c r="H266" s="174">
        <f>Accounts!P241</f>
        <v/>
      </c>
      <c r="I266" s="174">
        <f>Accounts!H241</f>
        <v/>
      </c>
      <c r="J266" s="174">
        <f>Accounts!I241</f>
        <v/>
      </c>
      <c r="K266" s="176">
        <f>#REF!</f>
        <v/>
      </c>
      <c r="L266" s="173" t="n"/>
      <c r="M266" s="9" t="n"/>
      <c r="N266" s="28" t="b">
        <v>0</v>
      </c>
      <c r="O266" s="172" t="b">
        <v>0</v>
      </c>
      <c r="P266" s="28" t="b">
        <v>0</v>
      </c>
      <c r="Q266" s="28" t="b">
        <v>0</v>
      </c>
      <c r="R266" s="28" t="b">
        <v>0</v>
      </c>
      <c r="S266" s="28" t="b">
        <v>0</v>
      </c>
      <c r="T266" s="28" t="b">
        <v>0</v>
      </c>
      <c r="U266" s="28" t="b">
        <v>0</v>
      </c>
      <c r="V266" s="28" t="b">
        <v>0</v>
      </c>
      <c r="W266" s="28" t="b">
        <v>0</v>
      </c>
    </row>
    <row r="267" ht="69" customHeight="1" s="222">
      <c r="A267" s="164">
        <f>Accounts!A242</f>
        <v/>
      </c>
      <c r="B267" s="145" t="b">
        <v>0</v>
      </c>
      <c r="C267" s="176">
        <f>Accounts!T242</f>
        <v/>
      </c>
      <c r="D267" s="174" t="n"/>
      <c r="E267" s="174" t="n"/>
      <c r="F267" s="176">
        <f>Accounts!F242</f>
        <v/>
      </c>
      <c r="G267" s="174">
        <f>Accounts!O242</f>
        <v/>
      </c>
      <c r="H267" s="174">
        <f>Accounts!P242</f>
        <v/>
      </c>
      <c r="I267" s="174">
        <f>Accounts!H242</f>
        <v/>
      </c>
      <c r="J267" s="174">
        <f>Accounts!I242</f>
        <v/>
      </c>
      <c r="K267" s="176">
        <f>#REF!</f>
        <v/>
      </c>
      <c r="L267" s="173" t="n"/>
      <c r="M267" s="9" t="n"/>
      <c r="N267" s="28" t="b">
        <v>0</v>
      </c>
      <c r="O267" s="172" t="b">
        <v>0</v>
      </c>
      <c r="P267" s="28" t="b">
        <v>0</v>
      </c>
      <c r="Q267" s="28" t="b">
        <v>0</v>
      </c>
      <c r="R267" s="28" t="b">
        <v>0</v>
      </c>
      <c r="S267" s="28" t="b">
        <v>0</v>
      </c>
      <c r="T267" s="28" t="b">
        <v>0</v>
      </c>
      <c r="U267" s="28" t="b">
        <v>0</v>
      </c>
      <c r="V267" s="28" t="b">
        <v>0</v>
      </c>
      <c r="W267" s="28" t="b">
        <v>0</v>
      </c>
    </row>
    <row r="268" ht="69" customHeight="1" s="222">
      <c r="A268" s="164">
        <f>Accounts!A243</f>
        <v/>
      </c>
      <c r="B268" s="145" t="b">
        <v>0</v>
      </c>
      <c r="C268" s="176">
        <f>Accounts!T243</f>
        <v/>
      </c>
      <c r="D268" s="174" t="n"/>
      <c r="E268" s="174" t="n"/>
      <c r="F268" s="176">
        <f>Accounts!F243</f>
        <v/>
      </c>
      <c r="G268" s="174">
        <f>Accounts!O243</f>
        <v/>
      </c>
      <c r="H268" s="174">
        <f>Accounts!P243</f>
        <v/>
      </c>
      <c r="I268" s="174">
        <f>Accounts!H243</f>
        <v/>
      </c>
      <c r="J268" s="174">
        <f>Accounts!I243</f>
        <v/>
      </c>
      <c r="K268" s="176">
        <f>#REF!</f>
        <v/>
      </c>
      <c r="L268" s="173" t="n"/>
      <c r="M268" s="9" t="n"/>
      <c r="N268" s="28" t="b">
        <v>0</v>
      </c>
      <c r="O268" s="172" t="b">
        <v>0</v>
      </c>
      <c r="P268" s="28" t="b">
        <v>0</v>
      </c>
      <c r="Q268" s="28" t="b">
        <v>0</v>
      </c>
      <c r="R268" s="28" t="b">
        <v>0</v>
      </c>
      <c r="S268" s="28" t="b">
        <v>0</v>
      </c>
      <c r="T268" s="28" t="b">
        <v>0</v>
      </c>
      <c r="U268" s="28" t="b">
        <v>0</v>
      </c>
      <c r="V268" s="28" t="b">
        <v>0</v>
      </c>
      <c r="W268" s="28" t="b">
        <v>0</v>
      </c>
    </row>
    <row r="269" ht="69" customHeight="1" s="222">
      <c r="A269" s="164">
        <f>Accounts!A244</f>
        <v/>
      </c>
      <c r="B269" s="145" t="b">
        <v>0</v>
      </c>
      <c r="C269" s="176">
        <f>Accounts!T244</f>
        <v/>
      </c>
      <c r="D269" s="174" t="n"/>
      <c r="E269" s="174" t="n"/>
      <c r="F269" s="176">
        <f>Accounts!F244</f>
        <v/>
      </c>
      <c r="G269" s="174">
        <f>Accounts!O244</f>
        <v/>
      </c>
      <c r="H269" s="174">
        <f>Accounts!P244</f>
        <v/>
      </c>
      <c r="I269" s="174">
        <f>Accounts!H244</f>
        <v/>
      </c>
      <c r="J269" s="174">
        <f>Accounts!I244</f>
        <v/>
      </c>
      <c r="K269" s="176">
        <f>#REF!</f>
        <v/>
      </c>
      <c r="L269" s="173" t="n"/>
      <c r="M269" s="9" t="n"/>
      <c r="N269" s="28" t="b">
        <v>0</v>
      </c>
      <c r="O269" s="172" t="b">
        <v>0</v>
      </c>
      <c r="P269" s="28" t="b">
        <v>0</v>
      </c>
      <c r="Q269" s="28" t="b">
        <v>0</v>
      </c>
      <c r="R269" s="28" t="b">
        <v>0</v>
      </c>
      <c r="S269" s="28" t="b">
        <v>0</v>
      </c>
      <c r="T269" s="28" t="b">
        <v>0</v>
      </c>
      <c r="U269" s="28" t="b">
        <v>0</v>
      </c>
      <c r="V269" s="28" t="b">
        <v>0</v>
      </c>
      <c r="W269" s="28" t="b">
        <v>0</v>
      </c>
    </row>
    <row r="270" ht="69" customHeight="1" s="222">
      <c r="A270" s="164">
        <f>Accounts!A245</f>
        <v/>
      </c>
      <c r="B270" s="145" t="b">
        <v>0</v>
      </c>
      <c r="C270" s="176">
        <f>Accounts!T245</f>
        <v/>
      </c>
      <c r="D270" s="174" t="n"/>
      <c r="E270" s="174" t="n"/>
      <c r="F270" s="176">
        <f>Accounts!F245</f>
        <v/>
      </c>
      <c r="G270" s="174">
        <f>Accounts!O245</f>
        <v/>
      </c>
      <c r="H270" s="174">
        <f>Accounts!P245</f>
        <v/>
      </c>
      <c r="I270" s="174">
        <f>Accounts!H245</f>
        <v/>
      </c>
      <c r="J270" s="174">
        <f>Accounts!I245</f>
        <v/>
      </c>
      <c r="K270" s="176">
        <f>#REF!</f>
        <v/>
      </c>
      <c r="L270" s="173" t="n"/>
      <c r="M270" s="9" t="n"/>
      <c r="N270" s="28" t="b">
        <v>0</v>
      </c>
      <c r="O270" s="172" t="b">
        <v>0</v>
      </c>
      <c r="P270" s="28" t="b">
        <v>0</v>
      </c>
      <c r="Q270" s="28" t="b">
        <v>0</v>
      </c>
      <c r="R270" s="28" t="b">
        <v>0</v>
      </c>
      <c r="S270" s="28" t="b">
        <v>0</v>
      </c>
      <c r="T270" s="28" t="b">
        <v>0</v>
      </c>
      <c r="U270" s="28" t="b">
        <v>0</v>
      </c>
      <c r="V270" s="28" t="b">
        <v>0</v>
      </c>
      <c r="W270" s="28" t="b">
        <v>0</v>
      </c>
    </row>
    <row r="271" ht="69" customHeight="1" s="222">
      <c r="A271" s="164">
        <f>Accounts!A246</f>
        <v/>
      </c>
      <c r="B271" s="145" t="b">
        <v>0</v>
      </c>
      <c r="C271" s="176">
        <f>Accounts!T246</f>
        <v/>
      </c>
      <c r="D271" s="174" t="n"/>
      <c r="E271" s="174" t="n"/>
      <c r="F271" s="176">
        <f>Accounts!F246</f>
        <v/>
      </c>
      <c r="G271" s="174">
        <f>Accounts!O246</f>
        <v/>
      </c>
      <c r="H271" s="174">
        <f>Accounts!P246</f>
        <v/>
      </c>
      <c r="I271" s="174">
        <f>Accounts!H246</f>
        <v/>
      </c>
      <c r="J271" s="174">
        <f>Accounts!I246</f>
        <v/>
      </c>
      <c r="K271" s="176">
        <f>#REF!</f>
        <v/>
      </c>
      <c r="L271" s="173" t="n"/>
      <c r="M271" s="9" t="n"/>
      <c r="N271" s="28" t="b">
        <v>0</v>
      </c>
      <c r="O271" s="172" t="b">
        <v>0</v>
      </c>
      <c r="P271" s="28" t="b">
        <v>0</v>
      </c>
      <c r="Q271" s="28" t="b">
        <v>0</v>
      </c>
      <c r="R271" s="28" t="b">
        <v>0</v>
      </c>
      <c r="S271" s="28" t="b">
        <v>0</v>
      </c>
      <c r="T271" s="28" t="b">
        <v>0</v>
      </c>
      <c r="U271" s="28" t="b">
        <v>0</v>
      </c>
      <c r="V271" s="28" t="b">
        <v>0</v>
      </c>
      <c r="W271" s="28" t="b">
        <v>0</v>
      </c>
    </row>
    <row r="272" ht="69" customHeight="1" s="222">
      <c r="A272" s="164">
        <f>Accounts!A247</f>
        <v/>
      </c>
      <c r="B272" s="145" t="b">
        <v>0</v>
      </c>
      <c r="C272" s="176">
        <f>Accounts!T247</f>
        <v/>
      </c>
      <c r="D272" s="174" t="n"/>
      <c r="E272" s="174" t="n"/>
      <c r="F272" s="176">
        <f>Accounts!F247</f>
        <v/>
      </c>
      <c r="G272" s="174">
        <f>Accounts!O247</f>
        <v/>
      </c>
      <c r="H272" s="174">
        <f>Accounts!P247</f>
        <v/>
      </c>
      <c r="I272" s="174">
        <f>Accounts!H247</f>
        <v/>
      </c>
      <c r="J272" s="174">
        <f>Accounts!I247</f>
        <v/>
      </c>
      <c r="K272" s="176">
        <f>#REF!</f>
        <v/>
      </c>
      <c r="L272" s="173" t="n"/>
      <c r="M272" s="9" t="n"/>
      <c r="N272" s="28" t="b">
        <v>0</v>
      </c>
      <c r="O272" s="172" t="b">
        <v>0</v>
      </c>
      <c r="P272" s="28" t="b">
        <v>0</v>
      </c>
      <c r="Q272" s="28" t="b">
        <v>0</v>
      </c>
      <c r="R272" s="28" t="b">
        <v>0</v>
      </c>
      <c r="S272" s="28" t="b">
        <v>0</v>
      </c>
      <c r="T272" s="28" t="b">
        <v>0</v>
      </c>
      <c r="U272" s="28" t="b">
        <v>0</v>
      </c>
      <c r="V272" s="28" t="b">
        <v>0</v>
      </c>
      <c r="W272" s="28" t="b">
        <v>0</v>
      </c>
    </row>
    <row r="273" ht="69" customHeight="1" s="222">
      <c r="A273" s="164">
        <f>Accounts!A248</f>
        <v/>
      </c>
      <c r="B273" s="145" t="b">
        <v>0</v>
      </c>
      <c r="C273" s="176">
        <f>Accounts!T248</f>
        <v/>
      </c>
      <c r="D273" s="174" t="n"/>
      <c r="E273" s="174" t="n"/>
      <c r="F273" s="176">
        <f>Accounts!F248</f>
        <v/>
      </c>
      <c r="G273" s="174">
        <f>Accounts!O248</f>
        <v/>
      </c>
      <c r="H273" s="174">
        <f>Accounts!P248</f>
        <v/>
      </c>
      <c r="I273" s="174">
        <f>Accounts!H248</f>
        <v/>
      </c>
      <c r="J273" s="174">
        <f>Accounts!I248</f>
        <v/>
      </c>
      <c r="K273" s="176">
        <f>#REF!</f>
        <v/>
      </c>
      <c r="L273" s="173" t="n"/>
      <c r="M273" s="9" t="n"/>
      <c r="N273" s="28" t="b">
        <v>0</v>
      </c>
      <c r="O273" s="172" t="b">
        <v>0</v>
      </c>
      <c r="P273" s="28" t="b">
        <v>0</v>
      </c>
      <c r="Q273" s="28" t="b">
        <v>0</v>
      </c>
      <c r="R273" s="28" t="b">
        <v>0</v>
      </c>
      <c r="S273" s="28" t="b">
        <v>0</v>
      </c>
      <c r="T273" s="28" t="b">
        <v>0</v>
      </c>
      <c r="U273" s="28" t="b">
        <v>0</v>
      </c>
      <c r="V273" s="28" t="b">
        <v>0</v>
      </c>
      <c r="W273" s="28" t="b">
        <v>0</v>
      </c>
    </row>
    <row r="274" ht="69" customHeight="1" s="222">
      <c r="A274" s="164">
        <f>Accounts!A249</f>
        <v/>
      </c>
      <c r="B274" s="145" t="b">
        <v>0</v>
      </c>
      <c r="C274" s="176">
        <f>Accounts!T249</f>
        <v/>
      </c>
      <c r="D274" s="174" t="n"/>
      <c r="E274" s="174" t="n"/>
      <c r="F274" s="176">
        <f>Accounts!F249</f>
        <v/>
      </c>
      <c r="G274" s="174">
        <f>Accounts!O249</f>
        <v/>
      </c>
      <c r="H274" s="174">
        <f>Accounts!P249</f>
        <v/>
      </c>
      <c r="I274" s="174">
        <f>Accounts!H249</f>
        <v/>
      </c>
      <c r="J274" s="174">
        <f>Accounts!I249</f>
        <v/>
      </c>
      <c r="K274" s="176">
        <f>#REF!</f>
        <v/>
      </c>
      <c r="L274" s="173" t="n"/>
      <c r="M274" s="9" t="n"/>
      <c r="N274" s="28" t="b">
        <v>0</v>
      </c>
      <c r="O274" s="172" t="b">
        <v>0</v>
      </c>
      <c r="P274" s="28" t="b">
        <v>0</v>
      </c>
      <c r="Q274" s="28" t="b">
        <v>0</v>
      </c>
      <c r="R274" s="28" t="b">
        <v>0</v>
      </c>
      <c r="S274" s="28" t="b">
        <v>0</v>
      </c>
      <c r="T274" s="28" t="b">
        <v>0</v>
      </c>
      <c r="U274" s="28" t="b">
        <v>0</v>
      </c>
      <c r="V274" s="28" t="b">
        <v>0</v>
      </c>
      <c r="W274" s="28" t="b">
        <v>0</v>
      </c>
    </row>
    <row r="275" ht="69" customHeight="1" s="222">
      <c r="A275" s="164">
        <f>Accounts!A250</f>
        <v/>
      </c>
      <c r="B275" s="145" t="b">
        <v>0</v>
      </c>
      <c r="C275" s="176">
        <f>Accounts!T250</f>
        <v/>
      </c>
      <c r="D275" s="174" t="n"/>
      <c r="E275" s="174" t="n"/>
      <c r="F275" s="176">
        <f>Accounts!F250</f>
        <v/>
      </c>
      <c r="G275" s="174">
        <f>Accounts!O250</f>
        <v/>
      </c>
      <c r="H275" s="174">
        <f>Accounts!P250</f>
        <v/>
      </c>
      <c r="I275" s="174">
        <f>Accounts!H250</f>
        <v/>
      </c>
      <c r="J275" s="174">
        <f>Accounts!I250</f>
        <v/>
      </c>
      <c r="K275" s="176">
        <f>#REF!</f>
        <v/>
      </c>
      <c r="L275" s="173" t="n"/>
      <c r="M275" s="9" t="n"/>
      <c r="N275" s="28" t="b">
        <v>0</v>
      </c>
      <c r="O275" s="172" t="b">
        <v>0</v>
      </c>
      <c r="P275" s="28" t="b">
        <v>0</v>
      </c>
      <c r="Q275" s="28" t="b">
        <v>0</v>
      </c>
      <c r="R275" s="28" t="b">
        <v>0</v>
      </c>
      <c r="S275" s="28" t="b">
        <v>0</v>
      </c>
      <c r="T275" s="28" t="b">
        <v>0</v>
      </c>
      <c r="U275" s="28" t="b">
        <v>0</v>
      </c>
      <c r="V275" s="28" t="b">
        <v>0</v>
      </c>
      <c r="W275" s="28" t="b">
        <v>0</v>
      </c>
    </row>
    <row r="276" ht="69" customHeight="1" s="222">
      <c r="A276" s="164">
        <f>Accounts!A251</f>
        <v/>
      </c>
      <c r="B276" s="145" t="b">
        <v>0</v>
      </c>
      <c r="C276" s="176">
        <f>Accounts!T251</f>
        <v/>
      </c>
      <c r="D276" s="174" t="n"/>
      <c r="E276" s="174" t="n"/>
      <c r="F276" s="176">
        <f>Accounts!F251</f>
        <v/>
      </c>
      <c r="G276" s="174">
        <f>Accounts!O251</f>
        <v/>
      </c>
      <c r="H276" s="174">
        <f>Accounts!P251</f>
        <v/>
      </c>
      <c r="I276" s="174">
        <f>Accounts!H251</f>
        <v/>
      </c>
      <c r="J276" s="174">
        <f>Accounts!I251</f>
        <v/>
      </c>
      <c r="K276" s="176">
        <f>#REF!</f>
        <v/>
      </c>
      <c r="L276" s="173" t="n"/>
      <c r="M276" s="9" t="n"/>
      <c r="N276" s="28" t="b">
        <v>0</v>
      </c>
      <c r="O276" s="172" t="b">
        <v>0</v>
      </c>
      <c r="P276" s="28" t="b">
        <v>0</v>
      </c>
      <c r="Q276" s="28" t="b">
        <v>0</v>
      </c>
      <c r="R276" s="28" t="b">
        <v>0</v>
      </c>
      <c r="S276" s="28" t="b">
        <v>0</v>
      </c>
      <c r="T276" s="28" t="b">
        <v>0</v>
      </c>
      <c r="U276" s="28" t="b">
        <v>0</v>
      </c>
      <c r="V276" s="28" t="b">
        <v>0</v>
      </c>
      <c r="W276" s="28" t="b">
        <v>0</v>
      </c>
    </row>
    <row r="277" ht="69" customHeight="1" s="222">
      <c r="A277" s="164">
        <f>Accounts!A252</f>
        <v/>
      </c>
      <c r="B277" s="145" t="b">
        <v>0</v>
      </c>
      <c r="C277" s="176">
        <f>Accounts!T252</f>
        <v/>
      </c>
      <c r="D277" s="174" t="n"/>
      <c r="E277" s="174" t="n"/>
      <c r="F277" s="176">
        <f>Accounts!F252</f>
        <v/>
      </c>
      <c r="G277" s="174">
        <f>Accounts!O252</f>
        <v/>
      </c>
      <c r="H277" s="174">
        <f>Accounts!P252</f>
        <v/>
      </c>
      <c r="I277" s="174">
        <f>Accounts!H252</f>
        <v/>
      </c>
      <c r="J277" s="174">
        <f>Accounts!I252</f>
        <v/>
      </c>
      <c r="K277" s="176">
        <f>#REF!</f>
        <v/>
      </c>
      <c r="L277" s="173" t="n"/>
      <c r="M277" s="9" t="n"/>
      <c r="N277" s="28" t="b">
        <v>0</v>
      </c>
      <c r="O277" s="172" t="b">
        <v>0</v>
      </c>
      <c r="P277" s="28" t="b">
        <v>0</v>
      </c>
      <c r="Q277" s="28" t="b">
        <v>0</v>
      </c>
      <c r="R277" s="28" t="b">
        <v>0</v>
      </c>
      <c r="S277" s="28" t="b">
        <v>0</v>
      </c>
      <c r="T277" s="28" t="b">
        <v>0</v>
      </c>
      <c r="U277" s="28" t="b">
        <v>0</v>
      </c>
      <c r="V277" s="28" t="b">
        <v>0</v>
      </c>
      <c r="W277" s="28" t="b">
        <v>0</v>
      </c>
    </row>
    <row r="278" ht="69" customHeight="1" s="222">
      <c r="A278" s="164">
        <f>#REF!</f>
        <v/>
      </c>
      <c r="B278" s="145" t="b">
        <v>0</v>
      </c>
      <c r="C278" s="176">
        <f>#REF!</f>
        <v/>
      </c>
      <c r="D278" s="174" t="n"/>
      <c r="E278" s="174" t="n"/>
      <c r="F278" s="176">
        <f>#REF!</f>
        <v/>
      </c>
      <c r="G278" s="174">
        <f>#REF!</f>
        <v/>
      </c>
      <c r="H278" s="174">
        <f>#REF!</f>
        <v/>
      </c>
      <c r="I278" s="174">
        <f>#REF!</f>
        <v/>
      </c>
      <c r="J278" s="174">
        <f>#REF!</f>
        <v/>
      </c>
      <c r="K278" s="176">
        <f>#REF!</f>
        <v/>
      </c>
      <c r="L278" s="173" t="n"/>
      <c r="M278" s="9" t="n"/>
      <c r="N278" s="28" t="b">
        <v>0</v>
      </c>
      <c r="O278" s="172" t="b">
        <v>0</v>
      </c>
      <c r="P278" s="28" t="b">
        <v>0</v>
      </c>
      <c r="Q278" s="28" t="b">
        <v>0</v>
      </c>
      <c r="R278" s="28" t="b">
        <v>0</v>
      </c>
      <c r="S278" s="28" t="b">
        <v>0</v>
      </c>
      <c r="T278" s="28" t="b">
        <v>0</v>
      </c>
      <c r="U278" s="28" t="b">
        <v>0</v>
      </c>
      <c r="V278" s="28" t="b">
        <v>0</v>
      </c>
      <c r="W278" s="28" t="b">
        <v>0</v>
      </c>
    </row>
    <row r="279" ht="69" customHeight="1" s="222">
      <c r="A279" s="164">
        <f>Accounts!A253</f>
        <v/>
      </c>
      <c r="B279" s="145" t="b">
        <v>0</v>
      </c>
      <c r="C279" s="176">
        <f>Accounts!T253</f>
        <v/>
      </c>
      <c r="D279" s="174" t="n"/>
      <c r="E279" s="174" t="n"/>
      <c r="F279" s="176">
        <f>Accounts!F253</f>
        <v/>
      </c>
      <c r="G279" s="174">
        <f>Accounts!O253</f>
        <v/>
      </c>
      <c r="H279" s="174">
        <f>Accounts!P253</f>
        <v/>
      </c>
      <c r="I279" s="174">
        <f>Accounts!H253</f>
        <v/>
      </c>
      <c r="J279" s="174">
        <f>Accounts!I253</f>
        <v/>
      </c>
      <c r="K279" s="176">
        <f>#REF!</f>
        <v/>
      </c>
      <c r="L279" s="173" t="n"/>
      <c r="M279" s="9" t="n"/>
      <c r="N279" s="28" t="b">
        <v>0</v>
      </c>
      <c r="O279" s="172" t="b">
        <v>0</v>
      </c>
      <c r="P279" s="28" t="b">
        <v>0</v>
      </c>
      <c r="Q279" s="28" t="b">
        <v>0</v>
      </c>
      <c r="R279" s="28" t="b">
        <v>0</v>
      </c>
      <c r="S279" s="28" t="b">
        <v>0</v>
      </c>
      <c r="T279" s="28" t="b">
        <v>0</v>
      </c>
      <c r="U279" s="28" t="b">
        <v>0</v>
      </c>
      <c r="V279" s="28" t="b">
        <v>0</v>
      </c>
      <c r="W279" s="28" t="b">
        <v>0</v>
      </c>
    </row>
    <row r="280" ht="69" customHeight="1" s="222">
      <c r="A280" s="164">
        <f>Accounts!A254</f>
        <v/>
      </c>
      <c r="B280" s="145" t="b">
        <v>0</v>
      </c>
      <c r="C280" s="176">
        <f>Accounts!T254</f>
        <v/>
      </c>
      <c r="D280" s="174" t="n"/>
      <c r="E280" s="174" t="n"/>
      <c r="F280" s="176">
        <f>Accounts!F254</f>
        <v/>
      </c>
      <c r="G280" s="174">
        <f>Accounts!O254</f>
        <v/>
      </c>
      <c r="H280" s="174">
        <f>Accounts!P254</f>
        <v/>
      </c>
      <c r="I280" s="174">
        <f>Accounts!H254</f>
        <v/>
      </c>
      <c r="J280" s="174">
        <f>Accounts!I254</f>
        <v/>
      </c>
      <c r="K280" s="176">
        <f>#REF!</f>
        <v/>
      </c>
      <c r="L280" s="173" t="n"/>
      <c r="M280" s="9" t="n"/>
      <c r="N280" s="28" t="b">
        <v>0</v>
      </c>
      <c r="O280" s="172" t="b">
        <v>0</v>
      </c>
      <c r="P280" s="28" t="b">
        <v>0</v>
      </c>
      <c r="Q280" s="28" t="b">
        <v>0</v>
      </c>
      <c r="R280" s="28" t="b">
        <v>0</v>
      </c>
      <c r="S280" s="28" t="b">
        <v>0</v>
      </c>
      <c r="T280" s="28" t="b">
        <v>0</v>
      </c>
      <c r="U280" s="28" t="b">
        <v>0</v>
      </c>
      <c r="V280" s="28" t="b">
        <v>0</v>
      </c>
      <c r="W280" s="28" t="b">
        <v>0</v>
      </c>
    </row>
    <row r="281" ht="69" customHeight="1" s="222">
      <c r="A281" s="164">
        <f>Accounts!A255</f>
        <v/>
      </c>
      <c r="B281" s="145" t="b">
        <v>0</v>
      </c>
      <c r="C281" s="176">
        <f>Accounts!T255</f>
        <v/>
      </c>
      <c r="D281" s="174" t="n"/>
      <c r="E281" s="174" t="n"/>
      <c r="F281" s="176">
        <f>Accounts!F255</f>
        <v/>
      </c>
      <c r="G281" s="174">
        <f>Accounts!O255</f>
        <v/>
      </c>
      <c r="H281" s="174">
        <f>Accounts!P255</f>
        <v/>
      </c>
      <c r="I281" s="174">
        <f>Accounts!H255</f>
        <v/>
      </c>
      <c r="J281" s="174">
        <f>Accounts!I255</f>
        <v/>
      </c>
      <c r="K281" s="176">
        <f>#REF!</f>
        <v/>
      </c>
      <c r="L281" s="173" t="n"/>
      <c r="M281" s="9" t="n"/>
      <c r="N281" s="28" t="b">
        <v>0</v>
      </c>
      <c r="O281" s="172" t="b">
        <v>0</v>
      </c>
      <c r="P281" s="28" t="b">
        <v>0</v>
      </c>
      <c r="Q281" s="28" t="b">
        <v>0</v>
      </c>
      <c r="R281" s="28" t="b">
        <v>0</v>
      </c>
      <c r="S281" s="28" t="b">
        <v>0</v>
      </c>
      <c r="T281" s="28" t="b">
        <v>0</v>
      </c>
      <c r="U281" s="28" t="b">
        <v>0</v>
      </c>
      <c r="V281" s="28" t="b">
        <v>0</v>
      </c>
      <c r="W281" s="28" t="b">
        <v>0</v>
      </c>
    </row>
    <row r="282" ht="69" customHeight="1" s="222">
      <c r="A282" s="164">
        <f>Accounts!A256</f>
        <v/>
      </c>
      <c r="B282" s="145" t="b">
        <v>0</v>
      </c>
      <c r="C282" s="176">
        <f>Accounts!T256</f>
        <v/>
      </c>
      <c r="D282" s="174" t="n"/>
      <c r="E282" s="174" t="n"/>
      <c r="F282" s="176">
        <f>Accounts!F256</f>
        <v/>
      </c>
      <c r="G282" s="174">
        <f>Accounts!O256</f>
        <v/>
      </c>
      <c r="H282" s="174">
        <f>Accounts!P256</f>
        <v/>
      </c>
      <c r="I282" s="174">
        <f>Accounts!H256</f>
        <v/>
      </c>
      <c r="J282" s="174">
        <f>Accounts!I256</f>
        <v/>
      </c>
      <c r="K282" s="176">
        <f>#REF!</f>
        <v/>
      </c>
      <c r="L282" s="173" t="n"/>
      <c r="M282" s="9" t="n"/>
      <c r="N282" s="28" t="b">
        <v>0</v>
      </c>
      <c r="O282" s="172" t="b">
        <v>0</v>
      </c>
      <c r="P282" s="28" t="b">
        <v>0</v>
      </c>
      <c r="Q282" s="28" t="b">
        <v>0</v>
      </c>
      <c r="R282" s="28" t="b">
        <v>0</v>
      </c>
      <c r="S282" s="28" t="b">
        <v>0</v>
      </c>
      <c r="T282" s="28" t="b">
        <v>0</v>
      </c>
      <c r="U282" s="28" t="b">
        <v>0</v>
      </c>
      <c r="V282" s="28" t="b">
        <v>0</v>
      </c>
      <c r="W282" s="28" t="b">
        <v>0</v>
      </c>
    </row>
    <row r="283" ht="69" customHeight="1" s="222">
      <c r="A283" s="164">
        <f>Accounts!A257</f>
        <v/>
      </c>
      <c r="B283" s="145" t="b">
        <v>0</v>
      </c>
      <c r="C283" s="176">
        <f>Accounts!T257</f>
        <v/>
      </c>
      <c r="D283" s="174" t="n"/>
      <c r="E283" s="174" t="n"/>
      <c r="F283" s="176">
        <f>Accounts!F257</f>
        <v/>
      </c>
      <c r="G283" s="174">
        <f>Accounts!O257</f>
        <v/>
      </c>
      <c r="H283" s="174">
        <f>Accounts!P257</f>
        <v/>
      </c>
      <c r="I283" s="174">
        <f>Accounts!H257</f>
        <v/>
      </c>
      <c r="J283" s="174">
        <f>Accounts!I257</f>
        <v/>
      </c>
      <c r="K283" s="176">
        <f>#REF!</f>
        <v/>
      </c>
      <c r="L283" s="173" t="n"/>
      <c r="M283" s="9" t="n"/>
      <c r="N283" s="28" t="b">
        <v>0</v>
      </c>
      <c r="O283" s="172" t="b">
        <v>0</v>
      </c>
      <c r="P283" s="28" t="b">
        <v>0</v>
      </c>
      <c r="Q283" s="28" t="b">
        <v>0</v>
      </c>
      <c r="R283" s="28" t="b">
        <v>0</v>
      </c>
      <c r="S283" s="28" t="b">
        <v>0</v>
      </c>
      <c r="T283" s="28" t="b">
        <v>0</v>
      </c>
      <c r="U283" s="28" t="b">
        <v>0</v>
      </c>
      <c r="V283" s="28" t="b">
        <v>0</v>
      </c>
      <c r="W283" s="28" t="b">
        <v>0</v>
      </c>
    </row>
    <row r="284" ht="69" customHeight="1" s="222">
      <c r="A284" s="164">
        <f>Accounts!A258</f>
        <v/>
      </c>
      <c r="B284" s="145" t="b">
        <v>0</v>
      </c>
      <c r="C284" s="176">
        <f>Accounts!T258</f>
        <v/>
      </c>
      <c r="D284" s="174" t="n"/>
      <c r="E284" s="174" t="n"/>
      <c r="F284" s="176">
        <f>Accounts!F258</f>
        <v/>
      </c>
      <c r="G284" s="174">
        <f>Accounts!O258</f>
        <v/>
      </c>
      <c r="H284" s="174">
        <f>Accounts!P258</f>
        <v/>
      </c>
      <c r="I284" s="174">
        <f>Accounts!H258</f>
        <v/>
      </c>
      <c r="J284" s="174">
        <f>Accounts!I258</f>
        <v/>
      </c>
      <c r="K284" s="176">
        <f>#REF!</f>
        <v/>
      </c>
      <c r="L284" s="173" t="n"/>
      <c r="M284" s="9" t="n"/>
      <c r="N284" s="28" t="b">
        <v>0</v>
      </c>
      <c r="O284" s="172" t="b">
        <v>0</v>
      </c>
      <c r="P284" s="28" t="b">
        <v>0</v>
      </c>
      <c r="Q284" s="28" t="b">
        <v>0</v>
      </c>
      <c r="R284" s="28" t="b">
        <v>0</v>
      </c>
      <c r="S284" s="28" t="b">
        <v>0</v>
      </c>
      <c r="T284" s="28" t="b">
        <v>0</v>
      </c>
      <c r="U284" s="28" t="b">
        <v>0</v>
      </c>
      <c r="V284" s="28" t="b">
        <v>0</v>
      </c>
      <c r="W284" s="28" t="b">
        <v>0</v>
      </c>
    </row>
    <row r="285" ht="69" customHeight="1" s="222">
      <c r="A285" s="164">
        <f>Accounts!A259</f>
        <v/>
      </c>
      <c r="B285" s="145" t="b">
        <v>0</v>
      </c>
      <c r="C285" s="176">
        <f>Accounts!T259</f>
        <v/>
      </c>
      <c r="D285" s="174" t="n"/>
      <c r="E285" s="174" t="n"/>
      <c r="F285" s="176">
        <f>Accounts!F259</f>
        <v/>
      </c>
      <c r="G285" s="174">
        <f>Accounts!O259</f>
        <v/>
      </c>
      <c r="H285" s="174">
        <f>Accounts!P259</f>
        <v/>
      </c>
      <c r="I285" s="174">
        <f>Accounts!H259</f>
        <v/>
      </c>
      <c r="J285" s="174">
        <f>Accounts!I259</f>
        <v/>
      </c>
      <c r="K285" s="176">
        <f>#REF!</f>
        <v/>
      </c>
      <c r="L285" s="173" t="n"/>
      <c r="M285" s="9" t="n"/>
      <c r="N285" s="28" t="b">
        <v>0</v>
      </c>
      <c r="O285" s="172" t="b">
        <v>0</v>
      </c>
      <c r="P285" s="28" t="b">
        <v>0</v>
      </c>
      <c r="Q285" s="28" t="b">
        <v>0</v>
      </c>
      <c r="R285" s="28" t="b">
        <v>0</v>
      </c>
      <c r="S285" s="28" t="b">
        <v>0</v>
      </c>
      <c r="T285" s="28" t="b">
        <v>0</v>
      </c>
      <c r="U285" s="28" t="b">
        <v>0</v>
      </c>
      <c r="V285" s="28" t="b">
        <v>0</v>
      </c>
      <c r="W285" s="28" t="b">
        <v>0</v>
      </c>
    </row>
    <row r="286" ht="69" customHeight="1" s="222">
      <c r="A286" s="164">
        <f>Accounts!A260</f>
        <v/>
      </c>
      <c r="B286" s="145" t="b">
        <v>0</v>
      </c>
      <c r="C286" s="176">
        <f>Accounts!T260</f>
        <v/>
      </c>
      <c r="D286" s="174" t="n"/>
      <c r="E286" s="174" t="n"/>
      <c r="F286" s="176">
        <f>Accounts!F260</f>
        <v/>
      </c>
      <c r="G286" s="174">
        <f>Accounts!O260</f>
        <v/>
      </c>
      <c r="H286" s="174">
        <f>Accounts!P260</f>
        <v/>
      </c>
      <c r="I286" s="174">
        <f>Accounts!H260</f>
        <v/>
      </c>
      <c r="J286" s="174">
        <f>Accounts!I260</f>
        <v/>
      </c>
      <c r="K286" s="176">
        <f>#REF!</f>
        <v/>
      </c>
      <c r="L286" s="173" t="n"/>
      <c r="M286" s="9" t="n"/>
      <c r="N286" s="28" t="b">
        <v>0</v>
      </c>
      <c r="O286" s="172" t="b">
        <v>0</v>
      </c>
      <c r="P286" s="28" t="b">
        <v>0</v>
      </c>
      <c r="Q286" s="28" t="b">
        <v>0</v>
      </c>
      <c r="R286" s="28" t="b">
        <v>0</v>
      </c>
      <c r="S286" s="28" t="b">
        <v>0</v>
      </c>
      <c r="T286" s="28" t="b">
        <v>0</v>
      </c>
      <c r="U286" s="28" t="b">
        <v>0</v>
      </c>
      <c r="V286" s="28" t="b">
        <v>0</v>
      </c>
      <c r="W286" s="28" t="b">
        <v>0</v>
      </c>
    </row>
    <row r="287" ht="69" customHeight="1" s="222">
      <c r="A287" s="164">
        <f>Accounts!A261</f>
        <v/>
      </c>
      <c r="B287" s="145" t="b">
        <v>0</v>
      </c>
      <c r="C287" s="176">
        <f>Accounts!T261</f>
        <v/>
      </c>
      <c r="D287" s="174" t="n"/>
      <c r="E287" s="174" t="n"/>
      <c r="F287" s="176">
        <f>Accounts!F261</f>
        <v/>
      </c>
      <c r="G287" s="174">
        <f>Accounts!O261</f>
        <v/>
      </c>
      <c r="H287" s="174">
        <f>Accounts!P261</f>
        <v/>
      </c>
      <c r="I287" s="174">
        <f>Accounts!H261</f>
        <v/>
      </c>
      <c r="J287" s="174">
        <f>Accounts!I261</f>
        <v/>
      </c>
      <c r="K287" s="176">
        <f>#REF!</f>
        <v/>
      </c>
      <c r="L287" s="173" t="n"/>
      <c r="M287" s="9" t="n"/>
      <c r="N287" s="28" t="b">
        <v>0</v>
      </c>
      <c r="O287" s="172" t="b">
        <v>0</v>
      </c>
      <c r="P287" s="28" t="b">
        <v>0</v>
      </c>
      <c r="Q287" s="28" t="b">
        <v>0</v>
      </c>
      <c r="R287" s="28" t="b">
        <v>0</v>
      </c>
      <c r="S287" s="28" t="b">
        <v>0</v>
      </c>
      <c r="T287" s="28" t="b">
        <v>0</v>
      </c>
      <c r="U287" s="28" t="b">
        <v>0</v>
      </c>
      <c r="V287" s="28" t="b">
        <v>0</v>
      </c>
      <c r="W287" s="28" t="b">
        <v>0</v>
      </c>
    </row>
    <row r="288" ht="69" customHeight="1" s="222">
      <c r="A288" s="164">
        <f>Accounts!A262</f>
        <v/>
      </c>
      <c r="B288" s="145" t="b">
        <v>0</v>
      </c>
      <c r="C288" s="176">
        <f>Accounts!T262</f>
        <v/>
      </c>
      <c r="D288" s="174" t="n"/>
      <c r="E288" s="174" t="n"/>
      <c r="F288" s="176">
        <f>Accounts!F262</f>
        <v/>
      </c>
      <c r="G288" s="174">
        <f>Accounts!O262</f>
        <v/>
      </c>
      <c r="H288" s="174">
        <f>Accounts!P262</f>
        <v/>
      </c>
      <c r="I288" s="174">
        <f>Accounts!H262</f>
        <v/>
      </c>
      <c r="J288" s="174">
        <f>Accounts!I262</f>
        <v/>
      </c>
      <c r="K288" s="176">
        <f>#REF!</f>
        <v/>
      </c>
      <c r="L288" s="173" t="n"/>
      <c r="M288" s="9" t="n"/>
      <c r="N288" s="28" t="b">
        <v>0</v>
      </c>
      <c r="O288" s="172" t="b">
        <v>0</v>
      </c>
      <c r="P288" s="28" t="b">
        <v>0</v>
      </c>
      <c r="Q288" s="28" t="b">
        <v>0</v>
      </c>
      <c r="R288" s="28" t="b">
        <v>0</v>
      </c>
      <c r="S288" s="28" t="b">
        <v>0</v>
      </c>
      <c r="T288" s="28" t="b">
        <v>0</v>
      </c>
      <c r="U288" s="28" t="b">
        <v>0</v>
      </c>
      <c r="V288" s="28" t="b">
        <v>0</v>
      </c>
      <c r="W288" s="28" t="b">
        <v>0</v>
      </c>
    </row>
    <row r="289" ht="69" customHeight="1" s="222">
      <c r="A289" s="164">
        <f>Accounts!A263</f>
        <v/>
      </c>
      <c r="B289" s="145" t="b">
        <v>0</v>
      </c>
      <c r="C289" s="176">
        <f>Accounts!T263</f>
        <v/>
      </c>
      <c r="D289" s="174" t="n"/>
      <c r="E289" s="174" t="n"/>
      <c r="F289" s="176">
        <f>Accounts!F263</f>
        <v/>
      </c>
      <c r="G289" s="174">
        <f>Accounts!O263</f>
        <v/>
      </c>
      <c r="H289" s="174">
        <f>Accounts!P263</f>
        <v/>
      </c>
      <c r="I289" s="174">
        <f>Accounts!H263</f>
        <v/>
      </c>
      <c r="J289" s="174">
        <f>Accounts!I263</f>
        <v/>
      </c>
      <c r="K289" s="176">
        <f>#REF!</f>
        <v/>
      </c>
      <c r="L289" s="173" t="n"/>
      <c r="M289" s="9" t="n"/>
      <c r="N289" s="28" t="b">
        <v>0</v>
      </c>
      <c r="O289" s="172" t="b">
        <v>0</v>
      </c>
      <c r="P289" s="28" t="b">
        <v>0</v>
      </c>
      <c r="Q289" s="28" t="b">
        <v>0</v>
      </c>
      <c r="R289" s="28" t="b">
        <v>0</v>
      </c>
      <c r="S289" s="28" t="b">
        <v>0</v>
      </c>
      <c r="T289" s="28" t="b">
        <v>0</v>
      </c>
      <c r="U289" s="28" t="b">
        <v>0</v>
      </c>
      <c r="V289" s="28" t="b">
        <v>0</v>
      </c>
      <c r="W289" s="28" t="b">
        <v>0</v>
      </c>
    </row>
    <row r="290" ht="69" customHeight="1" s="222">
      <c r="A290" s="164">
        <f>#REF!</f>
        <v/>
      </c>
      <c r="B290" s="145" t="b">
        <v>0</v>
      </c>
      <c r="C290" s="176">
        <f>#REF!</f>
        <v/>
      </c>
      <c r="D290" s="174" t="n"/>
      <c r="E290" s="174" t="n"/>
      <c r="F290" s="176">
        <f>#REF!</f>
        <v/>
      </c>
      <c r="G290" s="174">
        <f>#REF!</f>
        <v/>
      </c>
      <c r="H290" s="174">
        <f>#REF!</f>
        <v/>
      </c>
      <c r="I290" s="174">
        <f>#REF!</f>
        <v/>
      </c>
      <c r="J290" s="174">
        <f>#REF!</f>
        <v/>
      </c>
      <c r="K290" s="176">
        <f>#REF!</f>
        <v/>
      </c>
      <c r="L290" s="173" t="n"/>
      <c r="M290" s="9" t="n"/>
      <c r="N290" s="28" t="b">
        <v>0</v>
      </c>
      <c r="O290" s="172" t="b">
        <v>0</v>
      </c>
      <c r="P290" s="28" t="b">
        <v>0</v>
      </c>
      <c r="Q290" s="28" t="b">
        <v>0</v>
      </c>
      <c r="R290" s="28" t="b">
        <v>0</v>
      </c>
      <c r="S290" s="28" t="b">
        <v>0</v>
      </c>
      <c r="T290" s="28" t="b">
        <v>0</v>
      </c>
      <c r="U290" s="28" t="b">
        <v>0</v>
      </c>
      <c r="V290" s="28" t="b">
        <v>0</v>
      </c>
      <c r="W290" s="28" t="b">
        <v>0</v>
      </c>
    </row>
    <row r="291" ht="69" customHeight="1" s="222">
      <c r="A291" s="164">
        <f>Accounts!A264</f>
        <v/>
      </c>
      <c r="B291" s="145" t="b">
        <v>0</v>
      </c>
      <c r="C291" s="176">
        <f>Accounts!T264</f>
        <v/>
      </c>
      <c r="D291" s="174" t="n"/>
      <c r="E291" s="174" t="n"/>
      <c r="F291" s="176">
        <f>Accounts!F264</f>
        <v/>
      </c>
      <c r="G291" s="174">
        <f>Accounts!O264</f>
        <v/>
      </c>
      <c r="H291" s="174">
        <f>Accounts!P264</f>
        <v/>
      </c>
      <c r="I291" s="174">
        <f>Accounts!H264</f>
        <v/>
      </c>
      <c r="J291" s="174">
        <f>Accounts!I264</f>
        <v/>
      </c>
      <c r="K291" s="176">
        <f>#REF!</f>
        <v/>
      </c>
      <c r="L291" s="173" t="n"/>
      <c r="M291" s="9" t="n"/>
      <c r="N291" s="28" t="b">
        <v>0</v>
      </c>
      <c r="O291" s="172" t="b">
        <v>0</v>
      </c>
      <c r="P291" s="28" t="b">
        <v>0</v>
      </c>
      <c r="Q291" s="28" t="b">
        <v>0</v>
      </c>
      <c r="R291" s="28" t="b">
        <v>0</v>
      </c>
      <c r="S291" s="28" t="b">
        <v>0</v>
      </c>
      <c r="T291" s="28" t="b">
        <v>0</v>
      </c>
      <c r="U291" s="28" t="b">
        <v>0</v>
      </c>
      <c r="V291" s="28" t="b">
        <v>0</v>
      </c>
      <c r="W291" s="28" t="b">
        <v>0</v>
      </c>
    </row>
    <row r="292" ht="69" customHeight="1" s="222">
      <c r="A292" s="164">
        <f>Accounts!A265</f>
        <v/>
      </c>
      <c r="B292" s="145" t="b">
        <v>0</v>
      </c>
      <c r="C292" s="176">
        <f>Accounts!T265</f>
        <v/>
      </c>
      <c r="D292" s="174" t="n"/>
      <c r="E292" s="174" t="n"/>
      <c r="F292" s="176">
        <f>Accounts!F265</f>
        <v/>
      </c>
      <c r="G292" s="174">
        <f>Accounts!O265</f>
        <v/>
      </c>
      <c r="H292" s="174">
        <f>Accounts!P265</f>
        <v/>
      </c>
      <c r="I292" s="174">
        <f>Accounts!H265</f>
        <v/>
      </c>
      <c r="J292" s="174">
        <f>Accounts!I265</f>
        <v/>
      </c>
      <c r="K292" s="176">
        <f>#REF!</f>
        <v/>
      </c>
      <c r="L292" s="173" t="n"/>
      <c r="M292" s="9" t="n"/>
      <c r="N292" s="28" t="b">
        <v>0</v>
      </c>
      <c r="O292" s="172" t="b">
        <v>0</v>
      </c>
      <c r="P292" s="28" t="b">
        <v>0</v>
      </c>
      <c r="Q292" s="28" t="b">
        <v>0</v>
      </c>
      <c r="R292" s="28" t="b">
        <v>0</v>
      </c>
      <c r="S292" s="28" t="b">
        <v>0</v>
      </c>
      <c r="T292" s="28" t="b">
        <v>0</v>
      </c>
      <c r="U292" s="28" t="b">
        <v>0</v>
      </c>
      <c r="V292" s="28" t="b">
        <v>0</v>
      </c>
      <c r="W292" s="28" t="b">
        <v>0</v>
      </c>
    </row>
    <row r="293" ht="69" customHeight="1" s="222">
      <c r="A293" s="164">
        <f>Accounts!A266</f>
        <v/>
      </c>
      <c r="B293" s="145" t="b">
        <v>0</v>
      </c>
      <c r="C293" s="176">
        <f>Accounts!T266</f>
        <v/>
      </c>
      <c r="D293" s="174" t="n"/>
      <c r="E293" s="174" t="n"/>
      <c r="F293" s="176">
        <f>Accounts!F266</f>
        <v/>
      </c>
      <c r="G293" s="174">
        <f>Accounts!O266</f>
        <v/>
      </c>
      <c r="H293" s="174">
        <f>Accounts!P266</f>
        <v/>
      </c>
      <c r="I293" s="174">
        <f>Accounts!H266</f>
        <v/>
      </c>
      <c r="J293" s="174">
        <f>Accounts!I266</f>
        <v/>
      </c>
      <c r="K293" s="176">
        <f>#REF!</f>
        <v/>
      </c>
      <c r="L293" s="173" t="n"/>
      <c r="M293" s="9" t="n"/>
      <c r="N293" s="28" t="b">
        <v>0</v>
      </c>
      <c r="O293" s="172" t="b">
        <v>0</v>
      </c>
      <c r="P293" s="28" t="b">
        <v>0</v>
      </c>
      <c r="Q293" s="28" t="b">
        <v>0</v>
      </c>
      <c r="R293" s="28" t="b">
        <v>0</v>
      </c>
      <c r="S293" s="28" t="b">
        <v>0</v>
      </c>
      <c r="T293" s="28" t="b">
        <v>0</v>
      </c>
      <c r="U293" s="28" t="b">
        <v>0</v>
      </c>
      <c r="V293" s="28" t="b">
        <v>0</v>
      </c>
      <c r="W293" s="28" t="b">
        <v>0</v>
      </c>
    </row>
    <row r="294" ht="69" customHeight="1" s="222">
      <c r="A294" s="164">
        <f>Accounts!A267</f>
        <v/>
      </c>
      <c r="B294" s="145" t="b">
        <v>0</v>
      </c>
      <c r="C294" s="176">
        <f>Accounts!T267</f>
        <v/>
      </c>
      <c r="D294" s="174" t="n"/>
      <c r="E294" s="174" t="n"/>
      <c r="F294" s="176">
        <f>Accounts!F267</f>
        <v/>
      </c>
      <c r="G294" s="174">
        <f>Accounts!O267</f>
        <v/>
      </c>
      <c r="H294" s="174">
        <f>Accounts!P267</f>
        <v/>
      </c>
      <c r="I294" s="174">
        <f>Accounts!H267</f>
        <v/>
      </c>
      <c r="J294" s="174">
        <f>Accounts!I267</f>
        <v/>
      </c>
      <c r="K294" s="176">
        <f>#REF!</f>
        <v/>
      </c>
      <c r="L294" s="173" t="n"/>
      <c r="M294" s="9" t="n"/>
      <c r="N294" s="28" t="b">
        <v>0</v>
      </c>
      <c r="O294" s="172" t="b">
        <v>0</v>
      </c>
      <c r="P294" s="28" t="b">
        <v>0</v>
      </c>
      <c r="Q294" s="28" t="b">
        <v>0</v>
      </c>
      <c r="R294" s="28" t="b">
        <v>0</v>
      </c>
      <c r="S294" s="28" t="b">
        <v>0</v>
      </c>
      <c r="T294" s="28" t="b">
        <v>0</v>
      </c>
      <c r="U294" s="28" t="b">
        <v>0</v>
      </c>
      <c r="V294" s="28" t="b">
        <v>0</v>
      </c>
      <c r="W294" s="28" t="b">
        <v>0</v>
      </c>
    </row>
    <row r="295" ht="69" customHeight="1" s="222">
      <c r="A295" s="164">
        <f>Accounts!A268</f>
        <v/>
      </c>
      <c r="B295" s="145" t="b">
        <v>0</v>
      </c>
      <c r="C295" s="176">
        <f>Accounts!T268</f>
        <v/>
      </c>
      <c r="D295" s="174" t="n"/>
      <c r="E295" s="174" t="n"/>
      <c r="F295" s="176">
        <f>Accounts!F268</f>
        <v/>
      </c>
      <c r="G295" s="174">
        <f>Accounts!O268</f>
        <v/>
      </c>
      <c r="H295" s="174">
        <f>Accounts!P268</f>
        <v/>
      </c>
      <c r="I295" s="174">
        <f>Accounts!H268</f>
        <v/>
      </c>
      <c r="J295" s="174">
        <f>Accounts!I268</f>
        <v/>
      </c>
      <c r="K295" s="176">
        <f>#REF!</f>
        <v/>
      </c>
      <c r="L295" s="173" t="n"/>
      <c r="M295" s="9" t="n"/>
      <c r="N295" s="28" t="b">
        <v>0</v>
      </c>
      <c r="O295" s="172" t="b">
        <v>0</v>
      </c>
      <c r="P295" s="28" t="b">
        <v>0</v>
      </c>
      <c r="Q295" s="28" t="b">
        <v>0</v>
      </c>
      <c r="R295" s="28" t="b">
        <v>0</v>
      </c>
      <c r="S295" s="28" t="b">
        <v>0</v>
      </c>
      <c r="T295" s="28" t="b">
        <v>0</v>
      </c>
      <c r="U295" s="28" t="b">
        <v>0</v>
      </c>
      <c r="V295" s="28" t="b">
        <v>0</v>
      </c>
      <c r="W295" s="28" t="b">
        <v>0</v>
      </c>
    </row>
    <row r="296" ht="69" customHeight="1" s="222">
      <c r="A296" s="164">
        <f>#REF!</f>
        <v/>
      </c>
      <c r="B296" s="145" t="b">
        <v>0</v>
      </c>
      <c r="C296" s="176">
        <f>#REF!</f>
        <v/>
      </c>
      <c r="D296" s="174" t="n"/>
      <c r="E296" s="174" t="n"/>
      <c r="F296" s="176">
        <f>#REF!</f>
        <v/>
      </c>
      <c r="G296" s="174">
        <f>#REF!</f>
        <v/>
      </c>
      <c r="H296" s="174">
        <f>#REF!</f>
        <v/>
      </c>
      <c r="I296" s="174">
        <f>#REF!</f>
        <v/>
      </c>
      <c r="J296" s="174">
        <f>#REF!</f>
        <v/>
      </c>
      <c r="K296" s="176">
        <f>#REF!</f>
        <v/>
      </c>
      <c r="L296" s="173" t="n"/>
      <c r="M296" s="9" t="n"/>
      <c r="N296" s="28" t="b">
        <v>0</v>
      </c>
      <c r="O296" s="172" t="b">
        <v>0</v>
      </c>
      <c r="P296" s="28" t="b">
        <v>0</v>
      </c>
      <c r="Q296" s="28" t="b">
        <v>0</v>
      </c>
      <c r="R296" s="28" t="b">
        <v>0</v>
      </c>
      <c r="S296" s="28" t="b">
        <v>0</v>
      </c>
      <c r="T296" s="28" t="b">
        <v>0</v>
      </c>
      <c r="U296" s="28" t="b">
        <v>0</v>
      </c>
      <c r="V296" s="28" t="b">
        <v>0</v>
      </c>
      <c r="W296" s="28" t="b">
        <v>0</v>
      </c>
    </row>
    <row r="297" ht="69" customHeight="1" s="222">
      <c r="A297" s="164">
        <f>Accounts!A269</f>
        <v/>
      </c>
      <c r="B297" s="145" t="b">
        <v>0</v>
      </c>
      <c r="C297" s="176">
        <f>Accounts!T269</f>
        <v/>
      </c>
      <c r="D297" s="174" t="n"/>
      <c r="E297" s="174" t="n"/>
      <c r="F297" s="176">
        <f>Accounts!F269</f>
        <v/>
      </c>
      <c r="G297" s="174">
        <f>Accounts!O269</f>
        <v/>
      </c>
      <c r="H297" s="174">
        <f>Accounts!P269</f>
        <v/>
      </c>
      <c r="I297" s="174">
        <f>Accounts!H269</f>
        <v/>
      </c>
      <c r="J297" s="174">
        <f>Accounts!I269</f>
        <v/>
      </c>
      <c r="K297" s="176">
        <f>#REF!</f>
        <v/>
      </c>
      <c r="L297" s="173" t="n"/>
      <c r="M297" s="9" t="n"/>
      <c r="N297" s="28" t="b">
        <v>0</v>
      </c>
      <c r="O297" s="172" t="b">
        <v>0</v>
      </c>
      <c r="P297" s="28" t="b">
        <v>0</v>
      </c>
      <c r="Q297" s="28" t="b">
        <v>0</v>
      </c>
      <c r="R297" s="28" t="b">
        <v>0</v>
      </c>
      <c r="S297" s="28" t="b">
        <v>0</v>
      </c>
      <c r="T297" s="28" t="b">
        <v>0</v>
      </c>
      <c r="U297" s="28" t="b">
        <v>0</v>
      </c>
      <c r="V297" s="28" t="b">
        <v>0</v>
      </c>
      <c r="W297" s="28" t="b">
        <v>0</v>
      </c>
    </row>
    <row r="298" ht="69" customHeight="1" s="222">
      <c r="A298" s="164">
        <f>Accounts!A270</f>
        <v/>
      </c>
      <c r="B298" s="145" t="b">
        <v>0</v>
      </c>
      <c r="C298" s="176">
        <f>Accounts!T270</f>
        <v/>
      </c>
      <c r="D298" s="174" t="n"/>
      <c r="E298" s="174" t="n"/>
      <c r="F298" s="176">
        <f>Accounts!F270</f>
        <v/>
      </c>
      <c r="G298" s="174">
        <f>Accounts!O270</f>
        <v/>
      </c>
      <c r="H298" s="174">
        <f>Accounts!P270</f>
        <v/>
      </c>
      <c r="I298" s="174">
        <f>Accounts!H270</f>
        <v/>
      </c>
      <c r="J298" s="174">
        <f>Accounts!I270</f>
        <v/>
      </c>
      <c r="K298" s="176">
        <f>#REF!</f>
        <v/>
      </c>
      <c r="L298" s="173" t="n"/>
      <c r="M298" s="9" t="n"/>
      <c r="N298" s="28" t="b">
        <v>0</v>
      </c>
      <c r="O298" s="172" t="b">
        <v>0</v>
      </c>
      <c r="P298" s="28" t="b">
        <v>0</v>
      </c>
      <c r="Q298" s="28" t="b">
        <v>0</v>
      </c>
      <c r="R298" s="28" t="b">
        <v>0</v>
      </c>
      <c r="S298" s="28" t="b">
        <v>0</v>
      </c>
      <c r="T298" s="28" t="b">
        <v>0</v>
      </c>
      <c r="U298" s="28" t="b">
        <v>0</v>
      </c>
      <c r="V298" s="28" t="b">
        <v>0</v>
      </c>
      <c r="W298" s="28" t="b">
        <v>0</v>
      </c>
    </row>
    <row r="299" ht="69" customHeight="1" s="222">
      <c r="A299" s="164">
        <f>Accounts!A271</f>
        <v/>
      </c>
      <c r="B299" s="145" t="b">
        <v>0</v>
      </c>
      <c r="C299" s="176">
        <f>Accounts!T271</f>
        <v/>
      </c>
      <c r="D299" s="174" t="n"/>
      <c r="E299" s="174" t="n"/>
      <c r="F299" s="176">
        <f>Accounts!F271</f>
        <v/>
      </c>
      <c r="G299" s="174">
        <f>Accounts!O271</f>
        <v/>
      </c>
      <c r="H299" s="174">
        <f>Accounts!P271</f>
        <v/>
      </c>
      <c r="I299" s="174">
        <f>Accounts!H271</f>
        <v/>
      </c>
      <c r="J299" s="174">
        <f>Accounts!I271</f>
        <v/>
      </c>
      <c r="K299" s="176">
        <f>#REF!</f>
        <v/>
      </c>
      <c r="L299" s="173" t="n"/>
      <c r="M299" s="9" t="n"/>
      <c r="N299" s="28" t="b">
        <v>0</v>
      </c>
      <c r="O299" s="172" t="b">
        <v>0</v>
      </c>
      <c r="P299" s="28" t="b">
        <v>0</v>
      </c>
      <c r="Q299" s="28" t="b">
        <v>0</v>
      </c>
      <c r="R299" s="28" t="b">
        <v>0</v>
      </c>
      <c r="S299" s="28" t="b">
        <v>0</v>
      </c>
      <c r="T299" s="28" t="b">
        <v>0</v>
      </c>
      <c r="U299" s="28" t="b">
        <v>0</v>
      </c>
      <c r="V299" s="28" t="b">
        <v>0</v>
      </c>
      <c r="W299" s="28" t="b">
        <v>0</v>
      </c>
    </row>
    <row r="300" ht="69" customHeight="1" s="222">
      <c r="A300" s="164">
        <f>Accounts!A272</f>
        <v/>
      </c>
      <c r="B300" s="145" t="b">
        <v>0</v>
      </c>
      <c r="C300" s="176">
        <f>Accounts!T272</f>
        <v/>
      </c>
      <c r="D300" s="174" t="n"/>
      <c r="E300" s="174" t="n"/>
      <c r="F300" s="176">
        <f>Accounts!F272</f>
        <v/>
      </c>
      <c r="G300" s="174">
        <f>Accounts!O272</f>
        <v/>
      </c>
      <c r="H300" s="174">
        <f>Accounts!P272</f>
        <v/>
      </c>
      <c r="I300" s="174">
        <f>Accounts!H272</f>
        <v/>
      </c>
      <c r="J300" s="174">
        <f>Accounts!I272</f>
        <v/>
      </c>
      <c r="K300" s="176">
        <f>#REF!</f>
        <v/>
      </c>
      <c r="L300" s="173" t="n"/>
      <c r="M300" s="9" t="n"/>
      <c r="N300" s="28" t="b">
        <v>0</v>
      </c>
      <c r="O300" s="172" t="b">
        <v>0</v>
      </c>
      <c r="P300" s="28" t="b">
        <v>0</v>
      </c>
      <c r="Q300" s="28" t="b">
        <v>0</v>
      </c>
      <c r="R300" s="28" t="b">
        <v>0</v>
      </c>
      <c r="S300" s="28" t="b">
        <v>0</v>
      </c>
      <c r="T300" s="28" t="b">
        <v>0</v>
      </c>
      <c r="U300" s="28" t="b">
        <v>0</v>
      </c>
      <c r="V300" s="28" t="b">
        <v>0</v>
      </c>
      <c r="W300" s="28" t="b">
        <v>0</v>
      </c>
    </row>
    <row r="301" ht="69" customHeight="1" s="222">
      <c r="A301" s="164">
        <f>Accounts!A273</f>
        <v/>
      </c>
      <c r="B301" s="145" t="b">
        <v>0</v>
      </c>
      <c r="C301" s="176">
        <f>Accounts!T273</f>
        <v/>
      </c>
      <c r="D301" s="174" t="n"/>
      <c r="E301" s="174" t="n"/>
      <c r="F301" s="176">
        <f>Accounts!F273</f>
        <v/>
      </c>
      <c r="G301" s="174">
        <f>Accounts!O273</f>
        <v/>
      </c>
      <c r="H301" s="174">
        <f>Accounts!P273</f>
        <v/>
      </c>
      <c r="I301" s="174">
        <f>Accounts!H273</f>
        <v/>
      </c>
      <c r="J301" s="174">
        <f>Accounts!I273</f>
        <v/>
      </c>
      <c r="K301" s="176">
        <f>#REF!</f>
        <v/>
      </c>
      <c r="L301" s="173" t="n"/>
      <c r="M301" s="9" t="n"/>
      <c r="N301" s="28" t="b">
        <v>0</v>
      </c>
      <c r="O301" s="172" t="b">
        <v>0</v>
      </c>
      <c r="P301" s="28" t="b">
        <v>0</v>
      </c>
      <c r="Q301" s="28" t="b">
        <v>0</v>
      </c>
      <c r="R301" s="28" t="b">
        <v>0</v>
      </c>
      <c r="S301" s="28" t="b">
        <v>0</v>
      </c>
      <c r="T301" s="28" t="b">
        <v>0</v>
      </c>
      <c r="U301" s="28" t="b">
        <v>0</v>
      </c>
      <c r="V301" s="28" t="b">
        <v>0</v>
      </c>
      <c r="W301" s="28" t="b">
        <v>0</v>
      </c>
    </row>
    <row r="302" ht="69" customHeight="1" s="222">
      <c r="A302" s="164">
        <f>Accounts!A274</f>
        <v/>
      </c>
      <c r="B302" s="145" t="b">
        <v>0</v>
      </c>
      <c r="C302" s="176">
        <f>Accounts!T274</f>
        <v/>
      </c>
      <c r="D302" s="174" t="n"/>
      <c r="E302" s="174" t="n"/>
      <c r="F302" s="176">
        <f>Accounts!F274</f>
        <v/>
      </c>
      <c r="G302" s="174">
        <f>Accounts!O274</f>
        <v/>
      </c>
      <c r="H302" s="174">
        <f>Accounts!P274</f>
        <v/>
      </c>
      <c r="I302" s="174">
        <f>Accounts!H274</f>
        <v/>
      </c>
      <c r="J302" s="174">
        <f>Accounts!I274</f>
        <v/>
      </c>
      <c r="K302" s="176">
        <f>#REF!</f>
        <v/>
      </c>
      <c r="L302" s="173" t="n"/>
      <c r="M302" s="9" t="n"/>
      <c r="N302" s="28" t="b">
        <v>0</v>
      </c>
      <c r="O302" s="172" t="b">
        <v>0</v>
      </c>
      <c r="P302" s="28" t="b">
        <v>0</v>
      </c>
      <c r="Q302" s="28" t="b">
        <v>0</v>
      </c>
      <c r="R302" s="28" t="b">
        <v>0</v>
      </c>
      <c r="S302" s="28" t="b">
        <v>0</v>
      </c>
      <c r="T302" s="28" t="b">
        <v>0</v>
      </c>
      <c r="U302" s="28" t="b">
        <v>0</v>
      </c>
      <c r="V302" s="28" t="b">
        <v>0</v>
      </c>
      <c r="W302" s="28" t="b">
        <v>0</v>
      </c>
    </row>
    <row r="303" ht="69" customHeight="1" s="222">
      <c r="A303" s="164">
        <f>Accounts!A275</f>
        <v/>
      </c>
      <c r="B303" s="145" t="b">
        <v>0</v>
      </c>
      <c r="C303" s="176">
        <f>Accounts!T275</f>
        <v/>
      </c>
      <c r="D303" s="174" t="n"/>
      <c r="E303" s="174" t="n"/>
      <c r="F303" s="176">
        <f>Accounts!F275</f>
        <v/>
      </c>
      <c r="G303" s="174">
        <f>Accounts!O275</f>
        <v/>
      </c>
      <c r="H303" s="174">
        <f>Accounts!P275</f>
        <v/>
      </c>
      <c r="I303" s="174">
        <f>Accounts!H275</f>
        <v/>
      </c>
      <c r="J303" s="174">
        <f>Accounts!I275</f>
        <v/>
      </c>
      <c r="K303" s="176">
        <f>#REF!</f>
        <v/>
      </c>
      <c r="L303" s="173" t="n"/>
      <c r="M303" s="9" t="n"/>
      <c r="N303" s="28" t="b">
        <v>0</v>
      </c>
      <c r="O303" s="172" t="b">
        <v>0</v>
      </c>
      <c r="P303" s="28" t="b">
        <v>0</v>
      </c>
      <c r="Q303" s="28" t="b">
        <v>0</v>
      </c>
      <c r="R303" s="28" t="b">
        <v>0</v>
      </c>
      <c r="S303" s="28" t="b">
        <v>0</v>
      </c>
      <c r="T303" s="28" t="b">
        <v>0</v>
      </c>
      <c r="U303" s="28" t="b">
        <v>0</v>
      </c>
      <c r="V303" s="28" t="b">
        <v>0</v>
      </c>
      <c r="W303" s="28" t="b">
        <v>0</v>
      </c>
    </row>
    <row r="304" ht="69" customHeight="1" s="222">
      <c r="A304" s="164">
        <f>Accounts!A276</f>
        <v/>
      </c>
      <c r="B304" s="145" t="b">
        <v>0</v>
      </c>
      <c r="C304" s="176">
        <f>Accounts!T276</f>
        <v/>
      </c>
      <c r="D304" s="174" t="n"/>
      <c r="E304" s="174" t="n"/>
      <c r="F304" s="176">
        <f>Accounts!F276</f>
        <v/>
      </c>
      <c r="G304" s="174">
        <f>Accounts!O276</f>
        <v/>
      </c>
      <c r="H304" s="174">
        <f>Accounts!P276</f>
        <v/>
      </c>
      <c r="I304" s="174">
        <f>Accounts!H276</f>
        <v/>
      </c>
      <c r="J304" s="174">
        <f>Accounts!I276</f>
        <v/>
      </c>
      <c r="K304" s="176">
        <f>#REF!</f>
        <v/>
      </c>
      <c r="L304" s="173" t="n"/>
      <c r="M304" s="9" t="n"/>
      <c r="N304" s="28" t="b">
        <v>0</v>
      </c>
      <c r="O304" s="172" t="b">
        <v>0</v>
      </c>
      <c r="P304" s="28" t="b">
        <v>0</v>
      </c>
      <c r="Q304" s="28" t="b">
        <v>0</v>
      </c>
      <c r="R304" s="28" t="b">
        <v>0</v>
      </c>
      <c r="S304" s="28" t="b">
        <v>0</v>
      </c>
      <c r="T304" s="28" t="b">
        <v>0</v>
      </c>
      <c r="U304" s="28" t="b">
        <v>0</v>
      </c>
      <c r="V304" s="28" t="b">
        <v>0</v>
      </c>
      <c r="W304" s="28" t="b">
        <v>0</v>
      </c>
    </row>
    <row r="305" ht="69" customHeight="1" s="222">
      <c r="A305" s="164">
        <f>Accounts!A277</f>
        <v/>
      </c>
      <c r="B305" s="145" t="b">
        <v>0</v>
      </c>
      <c r="C305" s="176">
        <f>Accounts!T277</f>
        <v/>
      </c>
      <c r="D305" s="174" t="n"/>
      <c r="E305" s="174" t="n"/>
      <c r="F305" s="176">
        <f>Accounts!F277</f>
        <v/>
      </c>
      <c r="G305" s="174">
        <f>Accounts!O277</f>
        <v/>
      </c>
      <c r="H305" s="174">
        <f>Accounts!P277</f>
        <v/>
      </c>
      <c r="I305" s="174">
        <f>Accounts!H277</f>
        <v/>
      </c>
      <c r="J305" s="174">
        <f>Accounts!I277</f>
        <v/>
      </c>
      <c r="K305" s="176">
        <f>#REF!</f>
        <v/>
      </c>
      <c r="L305" s="173" t="n"/>
      <c r="M305" s="9" t="n"/>
      <c r="N305" s="28" t="b">
        <v>0</v>
      </c>
      <c r="O305" s="172" t="b">
        <v>0</v>
      </c>
      <c r="P305" s="28" t="b">
        <v>0</v>
      </c>
      <c r="Q305" s="28" t="b">
        <v>0</v>
      </c>
      <c r="R305" s="28" t="b">
        <v>0</v>
      </c>
      <c r="S305" s="28" t="b">
        <v>0</v>
      </c>
      <c r="T305" s="28" t="b">
        <v>0</v>
      </c>
      <c r="U305" s="28" t="b">
        <v>0</v>
      </c>
      <c r="V305" s="28" t="b">
        <v>0</v>
      </c>
      <c r="W305" s="28" t="b">
        <v>0</v>
      </c>
    </row>
    <row r="306" ht="69" customHeight="1" s="222">
      <c r="A306" s="164">
        <f>Accounts!A278</f>
        <v/>
      </c>
      <c r="B306" s="145" t="b">
        <v>0</v>
      </c>
      <c r="C306" s="176">
        <f>Accounts!T278</f>
        <v/>
      </c>
      <c r="D306" s="174" t="n"/>
      <c r="E306" s="174" t="n"/>
      <c r="F306" s="176">
        <f>Accounts!F278</f>
        <v/>
      </c>
      <c r="G306" s="174">
        <f>Accounts!O278</f>
        <v/>
      </c>
      <c r="H306" s="174">
        <f>Accounts!P278</f>
        <v/>
      </c>
      <c r="I306" s="174">
        <f>Accounts!H278</f>
        <v/>
      </c>
      <c r="J306" s="174">
        <f>Accounts!I278</f>
        <v/>
      </c>
      <c r="K306" s="176">
        <f>#REF!</f>
        <v/>
      </c>
      <c r="L306" s="173" t="n"/>
      <c r="M306" s="9" t="n"/>
      <c r="N306" s="28" t="b">
        <v>0</v>
      </c>
      <c r="O306" s="172" t="b">
        <v>0</v>
      </c>
      <c r="P306" s="28" t="b">
        <v>0</v>
      </c>
      <c r="Q306" s="28" t="b">
        <v>0</v>
      </c>
      <c r="R306" s="28" t="b">
        <v>0</v>
      </c>
      <c r="S306" s="28" t="b">
        <v>0</v>
      </c>
      <c r="T306" s="28" t="b">
        <v>0</v>
      </c>
      <c r="U306" s="28" t="b">
        <v>0</v>
      </c>
      <c r="V306" s="28" t="b">
        <v>0</v>
      </c>
      <c r="W306" s="28" t="b">
        <v>0</v>
      </c>
    </row>
    <row r="307" ht="69" customHeight="1" s="222">
      <c r="A307" s="164">
        <f>Accounts!A279</f>
        <v/>
      </c>
      <c r="B307" s="145" t="b">
        <v>0</v>
      </c>
      <c r="C307" s="176">
        <f>Accounts!T279</f>
        <v/>
      </c>
      <c r="D307" s="174" t="n"/>
      <c r="E307" s="174" t="n"/>
      <c r="F307" s="176">
        <f>Accounts!F279</f>
        <v/>
      </c>
      <c r="G307" s="174">
        <f>Accounts!O279</f>
        <v/>
      </c>
      <c r="H307" s="174">
        <f>Accounts!P279</f>
        <v/>
      </c>
      <c r="I307" s="174">
        <f>Accounts!H279</f>
        <v/>
      </c>
      <c r="J307" s="174">
        <f>Accounts!I279</f>
        <v/>
      </c>
      <c r="K307" s="176">
        <f>#REF!</f>
        <v/>
      </c>
      <c r="L307" s="173" t="n"/>
      <c r="M307" s="9" t="n"/>
      <c r="N307" s="28" t="b">
        <v>0</v>
      </c>
      <c r="O307" s="172" t="b">
        <v>0</v>
      </c>
      <c r="P307" s="28" t="b">
        <v>0</v>
      </c>
      <c r="Q307" s="28" t="b">
        <v>0</v>
      </c>
      <c r="R307" s="28" t="b">
        <v>0</v>
      </c>
      <c r="S307" s="28" t="b">
        <v>0</v>
      </c>
      <c r="T307" s="28" t="b">
        <v>0</v>
      </c>
      <c r="U307" s="28" t="b">
        <v>0</v>
      </c>
      <c r="V307" s="28" t="b">
        <v>0</v>
      </c>
      <c r="W307" s="28" t="b">
        <v>0</v>
      </c>
    </row>
    <row r="308" ht="69" customHeight="1" s="222">
      <c r="A308" s="164">
        <f>Accounts!A280</f>
        <v/>
      </c>
      <c r="B308" s="145" t="b">
        <v>0</v>
      </c>
      <c r="C308" s="176">
        <f>Accounts!T280</f>
        <v/>
      </c>
      <c r="D308" s="174" t="n"/>
      <c r="E308" s="174" t="n"/>
      <c r="F308" s="176">
        <f>Accounts!F280</f>
        <v/>
      </c>
      <c r="G308" s="174">
        <f>Accounts!O280</f>
        <v/>
      </c>
      <c r="H308" s="174">
        <f>Accounts!P280</f>
        <v/>
      </c>
      <c r="I308" s="174">
        <f>Accounts!H280</f>
        <v/>
      </c>
      <c r="J308" s="174">
        <f>Accounts!I280</f>
        <v/>
      </c>
      <c r="K308" s="176">
        <f>#REF!</f>
        <v/>
      </c>
      <c r="L308" s="173" t="n"/>
      <c r="M308" s="9" t="n"/>
      <c r="N308" s="28" t="b">
        <v>0</v>
      </c>
      <c r="O308" s="172" t="b">
        <v>0</v>
      </c>
      <c r="P308" s="28" t="b">
        <v>0</v>
      </c>
      <c r="Q308" s="28" t="b">
        <v>0</v>
      </c>
      <c r="R308" s="28" t="b">
        <v>0</v>
      </c>
      <c r="S308" s="28" t="b">
        <v>0</v>
      </c>
      <c r="T308" s="28" t="b">
        <v>0</v>
      </c>
      <c r="U308" s="28" t="b">
        <v>0</v>
      </c>
      <c r="V308" s="28" t="b">
        <v>0</v>
      </c>
      <c r="W308" s="28" t="b">
        <v>0</v>
      </c>
    </row>
    <row r="309" ht="69" customHeight="1" s="222">
      <c r="A309" s="164">
        <f>Accounts!A282</f>
        <v/>
      </c>
      <c r="B309" s="145" t="b">
        <v>0</v>
      </c>
      <c r="C309" s="176">
        <f>Accounts!T282</f>
        <v/>
      </c>
      <c r="D309" s="174" t="n"/>
      <c r="E309" s="174" t="n"/>
      <c r="F309" s="176">
        <f>Accounts!F282</f>
        <v/>
      </c>
      <c r="G309" s="174">
        <f>Accounts!O282</f>
        <v/>
      </c>
      <c r="H309" s="174">
        <f>Accounts!P282</f>
        <v/>
      </c>
      <c r="I309" s="174">
        <f>Accounts!H282</f>
        <v/>
      </c>
      <c r="J309" s="174">
        <f>Accounts!I282</f>
        <v/>
      </c>
      <c r="K309" s="176">
        <f>#REF!</f>
        <v/>
      </c>
      <c r="L309" s="173" t="n"/>
      <c r="M309" s="9" t="n"/>
      <c r="N309" s="28" t="b">
        <v>0</v>
      </c>
      <c r="O309" s="172" t="b">
        <v>0</v>
      </c>
      <c r="P309" s="28" t="b">
        <v>0</v>
      </c>
      <c r="Q309" s="28" t="b">
        <v>0</v>
      </c>
      <c r="R309" s="28" t="b">
        <v>0</v>
      </c>
      <c r="S309" s="28" t="b">
        <v>0</v>
      </c>
      <c r="T309" s="28" t="b">
        <v>0</v>
      </c>
      <c r="U309" s="28" t="b">
        <v>0</v>
      </c>
      <c r="V309" s="28" t="b">
        <v>0</v>
      </c>
      <c r="W309" s="28" t="b">
        <v>0</v>
      </c>
    </row>
    <row r="310" ht="69" customHeight="1" s="222">
      <c r="A310" s="164">
        <f>Accounts!A283</f>
        <v/>
      </c>
      <c r="B310" s="145" t="b">
        <v>0</v>
      </c>
      <c r="C310" s="176">
        <f>Accounts!T283</f>
        <v/>
      </c>
      <c r="D310" s="174" t="n"/>
      <c r="E310" s="174" t="n"/>
      <c r="F310" s="176">
        <f>Accounts!F283</f>
        <v/>
      </c>
      <c r="G310" s="174">
        <f>Accounts!O283</f>
        <v/>
      </c>
      <c r="H310" s="174">
        <f>Accounts!P283</f>
        <v/>
      </c>
      <c r="I310" s="174">
        <f>Accounts!H283</f>
        <v/>
      </c>
      <c r="J310" s="174">
        <f>Accounts!I283</f>
        <v/>
      </c>
      <c r="K310" s="176">
        <f>#REF!</f>
        <v/>
      </c>
      <c r="L310" s="173" t="n"/>
      <c r="M310" s="9" t="n"/>
      <c r="N310" s="28" t="b">
        <v>0</v>
      </c>
      <c r="O310" s="172" t="b">
        <v>0</v>
      </c>
      <c r="P310" s="28" t="b">
        <v>0</v>
      </c>
      <c r="Q310" s="28" t="b">
        <v>0</v>
      </c>
      <c r="R310" s="28" t="b">
        <v>0</v>
      </c>
      <c r="S310" s="28" t="b">
        <v>0</v>
      </c>
      <c r="T310" s="28" t="b">
        <v>0</v>
      </c>
      <c r="U310" s="28" t="b">
        <v>0</v>
      </c>
      <c r="V310" s="28" t="b">
        <v>0</v>
      </c>
      <c r="W310" s="28" t="b">
        <v>0</v>
      </c>
    </row>
    <row r="311" ht="69" customHeight="1" s="222">
      <c r="A311" s="164">
        <f>Accounts!A281</f>
        <v/>
      </c>
      <c r="B311" s="145" t="b">
        <v>0</v>
      </c>
      <c r="C311" s="176">
        <f>Accounts!T281</f>
        <v/>
      </c>
      <c r="D311" s="174" t="n"/>
      <c r="E311" s="174" t="n"/>
      <c r="F311" s="176">
        <f>Accounts!F281</f>
        <v/>
      </c>
      <c r="G311" s="174">
        <f>Accounts!O281</f>
        <v/>
      </c>
      <c r="H311" s="174">
        <f>Accounts!P281</f>
        <v/>
      </c>
      <c r="I311" s="174">
        <f>Accounts!H281</f>
        <v/>
      </c>
      <c r="J311" s="174">
        <f>Accounts!I281</f>
        <v/>
      </c>
      <c r="K311" s="176">
        <f>#REF!</f>
        <v/>
      </c>
      <c r="L311" s="173" t="n"/>
      <c r="M311" s="9" t="n"/>
      <c r="N311" s="28" t="b">
        <v>0</v>
      </c>
      <c r="O311" s="172" t="b">
        <v>0</v>
      </c>
      <c r="P311" s="28" t="b">
        <v>0</v>
      </c>
      <c r="Q311" s="28" t="b">
        <v>0</v>
      </c>
      <c r="R311" s="28" t="b">
        <v>0</v>
      </c>
      <c r="S311" s="28" t="b">
        <v>0</v>
      </c>
      <c r="T311" s="28" t="b">
        <v>0</v>
      </c>
      <c r="U311" s="28" t="b">
        <v>0</v>
      </c>
      <c r="V311" s="28" t="b">
        <v>0</v>
      </c>
      <c r="W311" s="28" t="b">
        <v>0</v>
      </c>
    </row>
    <row r="312" ht="69" customHeight="1" s="222">
      <c r="A312" s="164">
        <f>Accounts!A284</f>
        <v/>
      </c>
      <c r="B312" s="145" t="b">
        <v>0</v>
      </c>
      <c r="C312" s="176">
        <f>Accounts!T284</f>
        <v/>
      </c>
      <c r="D312" s="174" t="n"/>
      <c r="E312" s="174" t="n"/>
      <c r="F312" s="176">
        <f>Accounts!F284</f>
        <v/>
      </c>
      <c r="G312" s="174">
        <f>Accounts!O284</f>
        <v/>
      </c>
      <c r="H312" s="174">
        <f>Accounts!P284</f>
        <v/>
      </c>
      <c r="I312" s="174">
        <f>Accounts!H284</f>
        <v/>
      </c>
      <c r="J312" s="174">
        <f>Accounts!I284</f>
        <v/>
      </c>
      <c r="K312" s="176">
        <f>#REF!</f>
        <v/>
      </c>
      <c r="L312" s="173" t="n"/>
      <c r="M312" s="9" t="n"/>
      <c r="N312" s="28" t="b">
        <v>0</v>
      </c>
      <c r="O312" s="172" t="b">
        <v>0</v>
      </c>
      <c r="P312" s="28" t="b">
        <v>0</v>
      </c>
      <c r="Q312" s="28" t="b">
        <v>0</v>
      </c>
      <c r="R312" s="28" t="b">
        <v>0</v>
      </c>
      <c r="S312" s="28" t="b">
        <v>0</v>
      </c>
      <c r="T312" s="28" t="b">
        <v>0</v>
      </c>
      <c r="U312" s="28" t="b">
        <v>0</v>
      </c>
      <c r="V312" s="28" t="b">
        <v>0</v>
      </c>
      <c r="W312" s="28" t="b">
        <v>0</v>
      </c>
    </row>
    <row r="313" ht="69" customHeight="1" s="222">
      <c r="A313" s="164">
        <f>Accounts!A285</f>
        <v/>
      </c>
      <c r="B313" s="145" t="b">
        <v>0</v>
      </c>
      <c r="C313" s="176">
        <f>Accounts!T285</f>
        <v/>
      </c>
      <c r="D313" s="174" t="n"/>
      <c r="E313" s="174" t="n"/>
      <c r="F313" s="176">
        <f>Accounts!F285</f>
        <v/>
      </c>
      <c r="G313" s="174">
        <f>Accounts!O285</f>
        <v/>
      </c>
      <c r="H313" s="174">
        <f>Accounts!P285</f>
        <v/>
      </c>
      <c r="I313" s="174">
        <f>Accounts!H285</f>
        <v/>
      </c>
      <c r="J313" s="174">
        <f>Accounts!I285</f>
        <v/>
      </c>
      <c r="K313" s="176">
        <f>#REF!</f>
        <v/>
      </c>
      <c r="L313" s="173" t="n"/>
      <c r="M313" s="9" t="n"/>
      <c r="N313" s="28" t="b">
        <v>0</v>
      </c>
      <c r="O313" s="172" t="b">
        <v>0</v>
      </c>
      <c r="P313" s="28" t="b">
        <v>0</v>
      </c>
      <c r="Q313" s="28" t="b">
        <v>0</v>
      </c>
      <c r="R313" s="28" t="b">
        <v>0</v>
      </c>
      <c r="S313" s="28" t="b">
        <v>0</v>
      </c>
      <c r="T313" s="28" t="b">
        <v>0</v>
      </c>
      <c r="U313" s="28" t="b">
        <v>0</v>
      </c>
      <c r="V313" s="28" t="b">
        <v>0</v>
      </c>
      <c r="W313" s="28" t="b">
        <v>0</v>
      </c>
    </row>
    <row r="314" ht="69" customHeight="1" s="222">
      <c r="A314" s="164">
        <f>Accounts!A286</f>
        <v/>
      </c>
      <c r="B314" s="145" t="b">
        <v>0</v>
      </c>
      <c r="C314" s="176">
        <f>Accounts!T286</f>
        <v/>
      </c>
      <c r="D314" s="174" t="n"/>
      <c r="E314" s="174" t="n"/>
      <c r="F314" s="176">
        <f>Accounts!F286</f>
        <v/>
      </c>
      <c r="G314" s="174">
        <f>Accounts!O286</f>
        <v/>
      </c>
      <c r="H314" s="174">
        <f>Accounts!P286</f>
        <v/>
      </c>
      <c r="I314" s="174">
        <f>Accounts!H286</f>
        <v/>
      </c>
      <c r="J314" s="174">
        <f>Accounts!I286</f>
        <v/>
      </c>
      <c r="K314" s="176">
        <f>#REF!</f>
        <v/>
      </c>
      <c r="L314" s="173" t="n"/>
      <c r="M314" s="9" t="n"/>
      <c r="N314" s="28" t="b">
        <v>0</v>
      </c>
      <c r="O314" s="172" t="b">
        <v>0</v>
      </c>
      <c r="P314" s="28" t="b">
        <v>0</v>
      </c>
      <c r="Q314" s="28" t="b">
        <v>0</v>
      </c>
      <c r="R314" s="28" t="b">
        <v>0</v>
      </c>
      <c r="S314" s="28" t="b">
        <v>0</v>
      </c>
      <c r="T314" s="28" t="b">
        <v>0</v>
      </c>
      <c r="U314" s="28" t="b">
        <v>0</v>
      </c>
      <c r="V314" s="28" t="b">
        <v>0</v>
      </c>
      <c r="W314" s="28" t="b">
        <v>0</v>
      </c>
    </row>
    <row r="315" ht="69" customHeight="1" s="222">
      <c r="A315" s="164">
        <f>Accounts!A287</f>
        <v/>
      </c>
      <c r="B315" s="145" t="b">
        <v>0</v>
      </c>
      <c r="C315" s="176">
        <f>Accounts!T287</f>
        <v/>
      </c>
      <c r="D315" s="174" t="n"/>
      <c r="E315" s="174" t="n"/>
      <c r="F315" s="176">
        <f>Accounts!F287</f>
        <v/>
      </c>
      <c r="G315" s="174">
        <f>Accounts!O287</f>
        <v/>
      </c>
      <c r="H315" s="174">
        <f>Accounts!P287</f>
        <v/>
      </c>
      <c r="I315" s="174">
        <f>Accounts!H287</f>
        <v/>
      </c>
      <c r="J315" s="174">
        <f>Accounts!I287</f>
        <v/>
      </c>
      <c r="K315" s="176">
        <f>#REF!</f>
        <v/>
      </c>
      <c r="L315" s="173" t="n"/>
      <c r="M315" s="9" t="n"/>
      <c r="N315" s="28" t="b">
        <v>0</v>
      </c>
      <c r="O315" s="172" t="b">
        <v>0</v>
      </c>
      <c r="P315" s="28" t="b">
        <v>0</v>
      </c>
      <c r="Q315" s="28" t="b">
        <v>0</v>
      </c>
      <c r="R315" s="28" t="b">
        <v>0</v>
      </c>
      <c r="S315" s="28" t="b">
        <v>0</v>
      </c>
      <c r="T315" s="28" t="b">
        <v>0</v>
      </c>
      <c r="U315" s="28" t="b">
        <v>0</v>
      </c>
      <c r="V315" s="28" t="b">
        <v>0</v>
      </c>
      <c r="W315" s="28" t="b">
        <v>0</v>
      </c>
    </row>
    <row r="316" ht="69" customHeight="1" s="222">
      <c r="A316" s="164">
        <f>Accounts!A288</f>
        <v/>
      </c>
      <c r="B316" s="145" t="b">
        <v>0</v>
      </c>
      <c r="C316" s="176">
        <f>Accounts!T288</f>
        <v/>
      </c>
      <c r="D316" s="174" t="n"/>
      <c r="E316" s="174" t="n"/>
      <c r="F316" s="176">
        <f>Accounts!F288</f>
        <v/>
      </c>
      <c r="G316" s="174">
        <f>Accounts!O288</f>
        <v/>
      </c>
      <c r="H316" s="174">
        <f>Accounts!P288</f>
        <v/>
      </c>
      <c r="I316" s="174">
        <f>Accounts!H288</f>
        <v/>
      </c>
      <c r="J316" s="174">
        <f>Accounts!I288</f>
        <v/>
      </c>
      <c r="K316" s="176">
        <f>#REF!</f>
        <v/>
      </c>
      <c r="L316" s="173" t="n"/>
      <c r="M316" s="9" t="n"/>
      <c r="N316" s="28" t="b">
        <v>0</v>
      </c>
      <c r="O316" s="172" t="b">
        <v>0</v>
      </c>
      <c r="P316" s="28" t="b">
        <v>0</v>
      </c>
      <c r="Q316" s="28" t="b">
        <v>0</v>
      </c>
      <c r="R316" s="28" t="b">
        <v>0</v>
      </c>
      <c r="S316" s="28" t="b">
        <v>0</v>
      </c>
      <c r="T316" s="28" t="b">
        <v>0</v>
      </c>
      <c r="U316" s="28" t="b">
        <v>0</v>
      </c>
      <c r="V316" s="28" t="b">
        <v>0</v>
      </c>
      <c r="W316" s="28" t="b">
        <v>0</v>
      </c>
    </row>
    <row r="317" ht="69" customHeight="1" s="222">
      <c r="A317" s="164">
        <f>Accounts!A289</f>
        <v/>
      </c>
      <c r="B317" s="145" t="b">
        <v>0</v>
      </c>
      <c r="C317" s="176">
        <f>Accounts!T289</f>
        <v/>
      </c>
      <c r="D317" s="174" t="n"/>
      <c r="E317" s="174" t="n"/>
      <c r="F317" s="176">
        <f>Accounts!F289</f>
        <v/>
      </c>
      <c r="G317" s="174">
        <f>Accounts!O289</f>
        <v/>
      </c>
      <c r="H317" s="174">
        <f>Accounts!P289</f>
        <v/>
      </c>
      <c r="I317" s="174">
        <f>Accounts!H289</f>
        <v/>
      </c>
      <c r="J317" s="174">
        <f>Accounts!I289</f>
        <v/>
      </c>
      <c r="K317" s="176">
        <f>#REF!</f>
        <v/>
      </c>
      <c r="L317" s="173" t="n"/>
      <c r="M317" s="9" t="n"/>
      <c r="N317" s="28" t="b">
        <v>0</v>
      </c>
      <c r="O317" s="172" t="b">
        <v>0</v>
      </c>
      <c r="P317" s="28" t="b">
        <v>0</v>
      </c>
      <c r="Q317" s="28" t="b">
        <v>0</v>
      </c>
      <c r="R317" s="28" t="b">
        <v>0</v>
      </c>
      <c r="S317" s="28" t="b">
        <v>0</v>
      </c>
      <c r="T317" s="28" t="b">
        <v>0</v>
      </c>
      <c r="U317" s="28" t="b">
        <v>0</v>
      </c>
      <c r="V317" s="28" t="b">
        <v>0</v>
      </c>
      <c r="W317" s="28" t="b">
        <v>0</v>
      </c>
    </row>
    <row r="318" ht="69" customHeight="1" s="222">
      <c r="A318" s="164">
        <f>Accounts!A290</f>
        <v/>
      </c>
      <c r="B318" s="145" t="b">
        <v>0</v>
      </c>
      <c r="C318" s="176">
        <f>Accounts!T290</f>
        <v/>
      </c>
      <c r="D318" s="174" t="n"/>
      <c r="E318" s="174" t="n"/>
      <c r="F318" s="176">
        <f>Accounts!F290</f>
        <v/>
      </c>
      <c r="G318" s="174">
        <f>Accounts!O290</f>
        <v/>
      </c>
      <c r="H318" s="174">
        <f>Accounts!P290</f>
        <v/>
      </c>
      <c r="I318" s="174">
        <f>Accounts!H290</f>
        <v/>
      </c>
      <c r="J318" s="174">
        <f>Accounts!I290</f>
        <v/>
      </c>
      <c r="K318" s="176">
        <f>#REF!</f>
        <v/>
      </c>
      <c r="L318" s="173" t="n"/>
      <c r="M318" s="9" t="n"/>
      <c r="N318" s="28" t="b">
        <v>0</v>
      </c>
      <c r="O318" s="172" t="b">
        <v>0</v>
      </c>
      <c r="P318" s="28" t="b">
        <v>0</v>
      </c>
      <c r="Q318" s="28" t="b">
        <v>0</v>
      </c>
      <c r="R318" s="28" t="b">
        <v>0</v>
      </c>
      <c r="S318" s="28" t="b">
        <v>0</v>
      </c>
      <c r="T318" s="28" t="b">
        <v>0</v>
      </c>
      <c r="U318" s="28" t="b">
        <v>0</v>
      </c>
      <c r="V318" s="28" t="b">
        <v>0</v>
      </c>
      <c r="W318" s="28" t="b">
        <v>0</v>
      </c>
    </row>
    <row r="319" ht="69" customHeight="1" s="222">
      <c r="A319" s="164">
        <f>Accounts!A291</f>
        <v/>
      </c>
      <c r="B319" s="145" t="b">
        <v>0</v>
      </c>
      <c r="C319" s="176">
        <f>Accounts!T291</f>
        <v/>
      </c>
      <c r="D319" s="174" t="n"/>
      <c r="E319" s="174" t="n"/>
      <c r="F319" s="176">
        <f>Accounts!F291</f>
        <v/>
      </c>
      <c r="G319" s="174">
        <f>Accounts!O291</f>
        <v/>
      </c>
      <c r="H319" s="174">
        <f>Accounts!P291</f>
        <v/>
      </c>
      <c r="I319" s="174">
        <f>Accounts!H291</f>
        <v/>
      </c>
      <c r="J319" s="174">
        <f>Accounts!I291</f>
        <v/>
      </c>
      <c r="K319" s="176">
        <f>#REF!</f>
        <v/>
      </c>
      <c r="L319" s="173" t="n"/>
      <c r="M319" s="9" t="n"/>
      <c r="N319" s="28" t="b">
        <v>0</v>
      </c>
      <c r="O319" s="172" t="b">
        <v>0</v>
      </c>
      <c r="P319" s="28" t="b">
        <v>0</v>
      </c>
      <c r="Q319" s="28" t="b">
        <v>0</v>
      </c>
      <c r="R319" s="28" t="b">
        <v>0</v>
      </c>
      <c r="S319" s="28" t="b">
        <v>0</v>
      </c>
      <c r="T319" s="28" t="b">
        <v>0</v>
      </c>
      <c r="U319" s="28" t="b">
        <v>0</v>
      </c>
      <c r="V319" s="28" t="b">
        <v>0</v>
      </c>
      <c r="W319" s="28" t="b">
        <v>0</v>
      </c>
    </row>
    <row r="320" ht="69" customHeight="1" s="222">
      <c r="A320" s="164">
        <f>Accounts!A292</f>
        <v/>
      </c>
      <c r="B320" s="145" t="b">
        <v>0</v>
      </c>
      <c r="C320" s="176">
        <f>Accounts!T292</f>
        <v/>
      </c>
      <c r="D320" s="174" t="n"/>
      <c r="E320" s="174" t="n"/>
      <c r="F320" s="176">
        <f>Accounts!F292</f>
        <v/>
      </c>
      <c r="G320" s="174">
        <f>Accounts!O292</f>
        <v/>
      </c>
      <c r="H320" s="174">
        <f>Accounts!P292</f>
        <v/>
      </c>
      <c r="I320" s="174">
        <f>Accounts!H292</f>
        <v/>
      </c>
      <c r="J320" s="174">
        <f>Accounts!I292</f>
        <v/>
      </c>
      <c r="K320" s="176">
        <f>#REF!</f>
        <v/>
      </c>
      <c r="L320" s="173" t="n"/>
      <c r="M320" s="9" t="n"/>
      <c r="N320" s="28" t="b">
        <v>0</v>
      </c>
      <c r="O320" s="172" t="b">
        <v>0</v>
      </c>
      <c r="P320" s="28" t="b">
        <v>0</v>
      </c>
      <c r="Q320" s="28" t="b">
        <v>0</v>
      </c>
      <c r="R320" s="28" t="b">
        <v>0</v>
      </c>
      <c r="S320" s="28" t="b">
        <v>0</v>
      </c>
      <c r="T320" s="28" t="b">
        <v>0</v>
      </c>
      <c r="U320" s="28" t="b">
        <v>0</v>
      </c>
      <c r="V320" s="28" t="b">
        <v>0</v>
      </c>
      <c r="W320" s="28" t="b">
        <v>0</v>
      </c>
    </row>
    <row r="321" ht="69" customHeight="1" s="222">
      <c r="A321" s="164">
        <f>Accounts!A293</f>
        <v/>
      </c>
      <c r="B321" s="145" t="b">
        <v>0</v>
      </c>
      <c r="C321" s="176">
        <f>Accounts!T293</f>
        <v/>
      </c>
      <c r="D321" s="174" t="n"/>
      <c r="E321" s="174" t="n"/>
      <c r="F321" s="176">
        <f>Accounts!F293</f>
        <v/>
      </c>
      <c r="G321" s="174">
        <f>Accounts!O293</f>
        <v/>
      </c>
      <c r="H321" s="174">
        <f>Accounts!P293</f>
        <v/>
      </c>
      <c r="I321" s="174">
        <f>Accounts!H293</f>
        <v/>
      </c>
      <c r="J321" s="174">
        <f>Accounts!I293</f>
        <v/>
      </c>
      <c r="K321" s="176">
        <f>#REF!</f>
        <v/>
      </c>
      <c r="L321" s="173" t="n"/>
      <c r="M321" s="9" t="n"/>
      <c r="N321" s="28" t="b">
        <v>0</v>
      </c>
      <c r="O321" s="172" t="b">
        <v>0</v>
      </c>
      <c r="P321" s="28" t="b">
        <v>0</v>
      </c>
      <c r="Q321" s="28" t="b">
        <v>0</v>
      </c>
      <c r="R321" s="28" t="b">
        <v>0</v>
      </c>
      <c r="S321" s="28" t="b">
        <v>0</v>
      </c>
      <c r="T321" s="28" t="b">
        <v>0</v>
      </c>
      <c r="U321" s="28" t="b">
        <v>0</v>
      </c>
      <c r="V321" s="28" t="b">
        <v>0</v>
      </c>
      <c r="W321" s="28" t="b">
        <v>0</v>
      </c>
    </row>
    <row r="322" ht="69" customHeight="1" s="222">
      <c r="A322" s="164">
        <f>Accounts!A294</f>
        <v/>
      </c>
      <c r="B322" s="145" t="b">
        <v>0</v>
      </c>
      <c r="C322" s="176">
        <f>Accounts!T294</f>
        <v/>
      </c>
      <c r="D322" s="174" t="n"/>
      <c r="E322" s="174" t="n"/>
      <c r="F322" s="176">
        <f>Accounts!F294</f>
        <v/>
      </c>
      <c r="G322" s="174">
        <f>Accounts!O294</f>
        <v/>
      </c>
      <c r="H322" s="174">
        <f>Accounts!P294</f>
        <v/>
      </c>
      <c r="I322" s="174">
        <f>Accounts!H294</f>
        <v/>
      </c>
      <c r="J322" s="174">
        <f>Accounts!I294</f>
        <v/>
      </c>
      <c r="K322" s="176">
        <f>#REF!</f>
        <v/>
      </c>
      <c r="L322" s="173" t="n"/>
      <c r="M322" s="9" t="n"/>
      <c r="N322" s="28" t="b">
        <v>0</v>
      </c>
      <c r="O322" s="172" t="b">
        <v>0</v>
      </c>
      <c r="P322" s="28" t="b">
        <v>0</v>
      </c>
      <c r="Q322" s="28" t="b">
        <v>0</v>
      </c>
      <c r="R322" s="28" t="b">
        <v>0</v>
      </c>
      <c r="S322" s="28" t="b">
        <v>0</v>
      </c>
      <c r="T322" s="28" t="b">
        <v>0</v>
      </c>
      <c r="U322" s="28" t="b">
        <v>0</v>
      </c>
      <c r="V322" s="28" t="b">
        <v>0</v>
      </c>
      <c r="W322" s="28" t="b">
        <v>0</v>
      </c>
    </row>
    <row r="323" ht="69" customHeight="1" s="222">
      <c r="A323" s="164">
        <f>Accounts!A295</f>
        <v/>
      </c>
      <c r="B323" s="145" t="b">
        <v>0</v>
      </c>
      <c r="C323" s="176">
        <f>Accounts!T295</f>
        <v/>
      </c>
      <c r="D323" s="174" t="n"/>
      <c r="E323" s="174" t="n"/>
      <c r="F323" s="176">
        <f>Accounts!F295</f>
        <v/>
      </c>
      <c r="G323" s="174">
        <f>Accounts!O295</f>
        <v/>
      </c>
      <c r="H323" s="174">
        <f>Accounts!P295</f>
        <v/>
      </c>
      <c r="I323" s="174">
        <f>Accounts!H295</f>
        <v/>
      </c>
      <c r="J323" s="174">
        <f>Accounts!I295</f>
        <v/>
      </c>
      <c r="K323" s="176">
        <f>#REF!</f>
        <v/>
      </c>
      <c r="L323" s="173" t="n"/>
      <c r="M323" s="9" t="n"/>
      <c r="N323" s="28" t="b">
        <v>0</v>
      </c>
      <c r="O323" s="172" t="b">
        <v>0</v>
      </c>
      <c r="P323" s="28" t="b">
        <v>0</v>
      </c>
      <c r="Q323" s="28" t="b">
        <v>0</v>
      </c>
      <c r="R323" s="28" t="b">
        <v>0</v>
      </c>
      <c r="S323" s="28" t="b">
        <v>0</v>
      </c>
      <c r="T323" s="28" t="b">
        <v>0</v>
      </c>
      <c r="U323" s="28" t="b">
        <v>0</v>
      </c>
      <c r="V323" s="28" t="b">
        <v>0</v>
      </c>
      <c r="W323" s="28" t="b">
        <v>0</v>
      </c>
    </row>
    <row r="324" ht="69" customHeight="1" s="222">
      <c r="A324" s="164">
        <f>Accounts!A296</f>
        <v/>
      </c>
      <c r="B324" s="145" t="b">
        <v>0</v>
      </c>
      <c r="C324" s="176">
        <f>Accounts!T296</f>
        <v/>
      </c>
      <c r="D324" s="174" t="n"/>
      <c r="E324" s="174" t="n"/>
      <c r="F324" s="176">
        <f>Accounts!F296</f>
        <v/>
      </c>
      <c r="G324" s="174">
        <f>Accounts!O296</f>
        <v/>
      </c>
      <c r="H324" s="174">
        <f>Accounts!P296</f>
        <v/>
      </c>
      <c r="I324" s="174">
        <f>Accounts!H296</f>
        <v/>
      </c>
      <c r="J324" s="174">
        <f>Accounts!I296</f>
        <v/>
      </c>
      <c r="K324" s="176">
        <f>#REF!</f>
        <v/>
      </c>
      <c r="L324" s="173" t="n"/>
      <c r="M324" s="9" t="n"/>
      <c r="N324" s="28" t="b">
        <v>0</v>
      </c>
      <c r="O324" s="172" t="b">
        <v>0</v>
      </c>
      <c r="P324" s="28" t="b">
        <v>0</v>
      </c>
      <c r="Q324" s="28" t="b">
        <v>0</v>
      </c>
      <c r="R324" s="28" t="b">
        <v>0</v>
      </c>
      <c r="S324" s="28" t="b">
        <v>0</v>
      </c>
      <c r="T324" s="28" t="b">
        <v>0</v>
      </c>
      <c r="U324" s="28" t="b">
        <v>0</v>
      </c>
      <c r="V324" s="28" t="b">
        <v>0</v>
      </c>
      <c r="W324" s="28" t="b">
        <v>0</v>
      </c>
    </row>
    <row r="325" ht="69" customHeight="1" s="222">
      <c r="A325" s="164">
        <f>Accounts!A297</f>
        <v/>
      </c>
      <c r="B325" s="145" t="b">
        <v>0</v>
      </c>
      <c r="C325" s="176">
        <f>Accounts!T297</f>
        <v/>
      </c>
      <c r="D325" s="174" t="n"/>
      <c r="E325" s="174" t="n"/>
      <c r="F325" s="176">
        <f>Accounts!F297</f>
        <v/>
      </c>
      <c r="G325" s="174">
        <f>Accounts!O297</f>
        <v/>
      </c>
      <c r="H325" s="174">
        <f>Accounts!P297</f>
        <v/>
      </c>
      <c r="I325" s="174">
        <f>Accounts!H297</f>
        <v/>
      </c>
      <c r="J325" s="174">
        <f>Accounts!I297</f>
        <v/>
      </c>
      <c r="K325" s="176">
        <f>#REF!</f>
        <v/>
      </c>
      <c r="L325" s="173" t="n"/>
      <c r="M325" s="9" t="n"/>
      <c r="N325" s="28" t="b">
        <v>0</v>
      </c>
      <c r="O325" s="172" t="b">
        <v>0</v>
      </c>
      <c r="P325" s="28" t="b">
        <v>0</v>
      </c>
      <c r="Q325" s="28" t="b">
        <v>0</v>
      </c>
      <c r="R325" s="28" t="b">
        <v>0</v>
      </c>
      <c r="S325" s="28" t="b">
        <v>0</v>
      </c>
      <c r="T325" s="28" t="b">
        <v>0</v>
      </c>
      <c r="U325" s="28" t="b">
        <v>0</v>
      </c>
      <c r="V325" s="28" t="b">
        <v>0</v>
      </c>
      <c r="W325" s="28" t="b">
        <v>0</v>
      </c>
    </row>
    <row r="326" ht="69" customHeight="1" s="222">
      <c r="A326" s="164">
        <f>Accounts!A298</f>
        <v/>
      </c>
      <c r="B326" s="145" t="b">
        <v>0</v>
      </c>
      <c r="C326" s="176">
        <f>Accounts!T298</f>
        <v/>
      </c>
      <c r="D326" s="174" t="n"/>
      <c r="E326" s="174" t="n"/>
      <c r="F326" s="176">
        <f>Accounts!F298</f>
        <v/>
      </c>
      <c r="G326" s="174">
        <f>Accounts!O298</f>
        <v/>
      </c>
      <c r="H326" s="174">
        <f>Accounts!P298</f>
        <v/>
      </c>
      <c r="I326" s="174">
        <f>Accounts!H298</f>
        <v/>
      </c>
      <c r="J326" s="174">
        <f>Accounts!I298</f>
        <v/>
      </c>
      <c r="K326" s="176">
        <f>#REF!</f>
        <v/>
      </c>
      <c r="L326" s="173" t="n"/>
      <c r="M326" s="9" t="n"/>
      <c r="N326" s="28" t="b">
        <v>0</v>
      </c>
      <c r="O326" s="172" t="b">
        <v>0</v>
      </c>
      <c r="P326" s="28" t="b">
        <v>0</v>
      </c>
      <c r="Q326" s="28" t="b">
        <v>0</v>
      </c>
      <c r="R326" s="28" t="b">
        <v>0</v>
      </c>
      <c r="S326" s="28" t="b">
        <v>0</v>
      </c>
      <c r="T326" s="28" t="b">
        <v>0</v>
      </c>
      <c r="U326" s="28" t="b">
        <v>0</v>
      </c>
      <c r="V326" s="28" t="b">
        <v>0</v>
      </c>
      <c r="W326" s="28" t="b">
        <v>0</v>
      </c>
    </row>
    <row r="327" ht="69" customHeight="1" s="222">
      <c r="A327" s="164">
        <f>Accounts!A299</f>
        <v/>
      </c>
      <c r="B327" s="145" t="b">
        <v>0</v>
      </c>
      <c r="C327" s="176">
        <f>Accounts!T299</f>
        <v/>
      </c>
      <c r="D327" s="174" t="n"/>
      <c r="E327" s="174" t="n"/>
      <c r="F327" s="176">
        <f>Accounts!F299</f>
        <v/>
      </c>
      <c r="G327" s="174">
        <f>Accounts!O299</f>
        <v/>
      </c>
      <c r="H327" s="174">
        <f>Accounts!P299</f>
        <v/>
      </c>
      <c r="I327" s="174">
        <f>Accounts!H299</f>
        <v/>
      </c>
      <c r="J327" s="174">
        <f>Accounts!I299</f>
        <v/>
      </c>
      <c r="K327" s="176">
        <f>#REF!</f>
        <v/>
      </c>
      <c r="L327" s="173" t="n"/>
      <c r="M327" s="9" t="n"/>
      <c r="N327" s="28" t="b">
        <v>0</v>
      </c>
      <c r="O327" s="172" t="b">
        <v>0</v>
      </c>
      <c r="P327" s="28" t="b">
        <v>0</v>
      </c>
      <c r="Q327" s="28" t="b">
        <v>0</v>
      </c>
      <c r="R327" s="28" t="b">
        <v>0</v>
      </c>
      <c r="S327" s="28" t="b">
        <v>0</v>
      </c>
      <c r="T327" s="28" t="b">
        <v>0</v>
      </c>
      <c r="U327" s="28" t="b">
        <v>0</v>
      </c>
      <c r="V327" s="28" t="b">
        <v>0</v>
      </c>
      <c r="W327" s="28" t="b">
        <v>0</v>
      </c>
    </row>
    <row r="328" ht="69" customHeight="1" s="222">
      <c r="A328" s="164">
        <f>Accounts!A300</f>
        <v/>
      </c>
      <c r="B328" s="145" t="b">
        <v>0</v>
      </c>
      <c r="C328" s="176">
        <f>Accounts!T300</f>
        <v/>
      </c>
      <c r="D328" s="174" t="n"/>
      <c r="E328" s="174" t="n"/>
      <c r="F328" s="176">
        <f>Accounts!F300</f>
        <v/>
      </c>
      <c r="G328" s="174">
        <f>Accounts!O300</f>
        <v/>
      </c>
      <c r="H328" s="174">
        <f>Accounts!P300</f>
        <v/>
      </c>
      <c r="I328" s="174">
        <f>Accounts!H300</f>
        <v/>
      </c>
      <c r="J328" s="174">
        <f>Accounts!I300</f>
        <v/>
      </c>
      <c r="K328" s="176">
        <f>#REF!</f>
        <v/>
      </c>
      <c r="L328" s="173" t="n"/>
      <c r="M328" s="9" t="n"/>
      <c r="N328" s="28" t="b">
        <v>0</v>
      </c>
      <c r="O328" s="172" t="b">
        <v>0</v>
      </c>
      <c r="P328" s="28" t="b">
        <v>0</v>
      </c>
      <c r="Q328" s="28" t="b">
        <v>0</v>
      </c>
      <c r="R328" s="28" t="b">
        <v>0</v>
      </c>
      <c r="S328" s="28" t="b">
        <v>0</v>
      </c>
      <c r="T328" s="28" t="b">
        <v>0</v>
      </c>
      <c r="U328" s="28" t="b">
        <v>0</v>
      </c>
      <c r="V328" s="28" t="b">
        <v>0</v>
      </c>
      <c r="W328" s="28" t="b">
        <v>0</v>
      </c>
    </row>
    <row r="329" ht="69" customHeight="1" s="222">
      <c r="A329" s="164">
        <f>Accounts!A301</f>
        <v/>
      </c>
      <c r="B329" s="145" t="b">
        <v>0</v>
      </c>
      <c r="C329" s="176">
        <f>Accounts!T301</f>
        <v/>
      </c>
      <c r="D329" s="174" t="n"/>
      <c r="E329" s="174" t="n"/>
      <c r="F329" s="176">
        <f>Accounts!F301</f>
        <v/>
      </c>
      <c r="G329" s="174">
        <f>Accounts!O301</f>
        <v/>
      </c>
      <c r="H329" s="174">
        <f>Accounts!P301</f>
        <v/>
      </c>
      <c r="I329" s="174">
        <f>Accounts!H301</f>
        <v/>
      </c>
      <c r="J329" s="174">
        <f>Accounts!I301</f>
        <v/>
      </c>
      <c r="K329" s="176">
        <f>#REF!</f>
        <v/>
      </c>
      <c r="L329" s="173" t="n"/>
      <c r="M329" s="9" t="n"/>
      <c r="N329" s="28" t="b">
        <v>0</v>
      </c>
      <c r="O329" s="172" t="b">
        <v>0</v>
      </c>
      <c r="P329" s="28" t="b">
        <v>0</v>
      </c>
      <c r="Q329" s="28" t="b">
        <v>0</v>
      </c>
      <c r="R329" s="28" t="b">
        <v>0</v>
      </c>
      <c r="S329" s="28" t="b">
        <v>0</v>
      </c>
      <c r="T329" s="28" t="b">
        <v>0</v>
      </c>
      <c r="U329" s="28" t="b">
        <v>0</v>
      </c>
      <c r="V329" s="28" t="b">
        <v>0</v>
      </c>
      <c r="W329" s="28" t="b">
        <v>0</v>
      </c>
    </row>
    <row r="330" ht="69" customHeight="1" s="222">
      <c r="A330" s="164">
        <f>Accounts!A302</f>
        <v/>
      </c>
      <c r="B330" s="145" t="b">
        <v>0</v>
      </c>
      <c r="C330" s="176">
        <f>Accounts!T302</f>
        <v/>
      </c>
      <c r="D330" s="174" t="n"/>
      <c r="E330" s="174" t="n"/>
      <c r="F330" s="176">
        <f>Accounts!F302</f>
        <v/>
      </c>
      <c r="G330" s="174">
        <f>Accounts!O302</f>
        <v/>
      </c>
      <c r="H330" s="174">
        <f>Accounts!P302</f>
        <v/>
      </c>
      <c r="I330" s="174">
        <f>Accounts!H302</f>
        <v/>
      </c>
      <c r="J330" s="174">
        <f>Accounts!I302</f>
        <v/>
      </c>
      <c r="K330" s="176">
        <f>#REF!</f>
        <v/>
      </c>
      <c r="L330" s="173" t="n"/>
      <c r="M330" s="9" t="n"/>
      <c r="N330" s="28" t="b">
        <v>0</v>
      </c>
      <c r="O330" s="172" t="b">
        <v>0</v>
      </c>
      <c r="P330" s="28" t="b">
        <v>0</v>
      </c>
      <c r="Q330" s="28" t="b">
        <v>0</v>
      </c>
      <c r="R330" s="28" t="b">
        <v>0</v>
      </c>
      <c r="S330" s="28" t="b">
        <v>0</v>
      </c>
      <c r="T330" s="28" t="b">
        <v>0</v>
      </c>
      <c r="U330" s="28" t="b">
        <v>0</v>
      </c>
      <c r="V330" s="28" t="b">
        <v>0</v>
      </c>
      <c r="W330" s="28" t="b">
        <v>0</v>
      </c>
    </row>
    <row r="331" ht="69" customHeight="1" s="222">
      <c r="A331" s="164">
        <f>Accounts!A303</f>
        <v/>
      </c>
      <c r="B331" s="145" t="b">
        <v>0</v>
      </c>
      <c r="C331" s="176">
        <f>Accounts!T303</f>
        <v/>
      </c>
      <c r="D331" s="174" t="n"/>
      <c r="E331" s="174" t="n"/>
      <c r="F331" s="176">
        <f>Accounts!F303</f>
        <v/>
      </c>
      <c r="G331" s="174">
        <f>Accounts!O303</f>
        <v/>
      </c>
      <c r="H331" s="174">
        <f>Accounts!P303</f>
        <v/>
      </c>
      <c r="I331" s="174">
        <f>Accounts!H303</f>
        <v/>
      </c>
      <c r="J331" s="174">
        <f>Accounts!I303</f>
        <v/>
      </c>
      <c r="K331" s="176">
        <f>#REF!</f>
        <v/>
      </c>
      <c r="L331" s="173" t="n"/>
      <c r="M331" s="9" t="n"/>
      <c r="N331" s="28" t="b">
        <v>0</v>
      </c>
      <c r="O331" s="172" t="b">
        <v>0</v>
      </c>
      <c r="P331" s="28" t="b">
        <v>0</v>
      </c>
      <c r="Q331" s="28" t="b">
        <v>0</v>
      </c>
      <c r="R331" s="28" t="b">
        <v>0</v>
      </c>
      <c r="S331" s="28" t="b">
        <v>0</v>
      </c>
      <c r="T331" s="28" t="b">
        <v>0</v>
      </c>
      <c r="U331" s="28" t="b">
        <v>0</v>
      </c>
      <c r="V331" s="28" t="b">
        <v>0</v>
      </c>
      <c r="W331" s="28" t="b">
        <v>0</v>
      </c>
    </row>
    <row r="332" ht="69" customHeight="1" s="222">
      <c r="A332" s="164">
        <f>Accounts!A304</f>
        <v/>
      </c>
      <c r="B332" s="145" t="b">
        <v>0</v>
      </c>
      <c r="C332" s="176">
        <f>Accounts!T304</f>
        <v/>
      </c>
      <c r="D332" s="174" t="n"/>
      <c r="E332" s="174" t="n"/>
      <c r="F332" s="176">
        <f>Accounts!F304</f>
        <v/>
      </c>
      <c r="G332" s="174">
        <f>Accounts!O304</f>
        <v/>
      </c>
      <c r="H332" s="174">
        <f>Accounts!P304</f>
        <v/>
      </c>
      <c r="I332" s="174">
        <f>Accounts!H304</f>
        <v/>
      </c>
      <c r="J332" s="174">
        <f>Accounts!I304</f>
        <v/>
      </c>
      <c r="K332" s="176">
        <f>#REF!</f>
        <v/>
      </c>
      <c r="L332" s="173" t="n"/>
      <c r="M332" s="9" t="n"/>
      <c r="N332" s="28" t="b">
        <v>0</v>
      </c>
      <c r="O332" s="172" t="b">
        <v>0</v>
      </c>
      <c r="P332" s="28" t="b">
        <v>0</v>
      </c>
      <c r="Q332" s="28" t="b">
        <v>0</v>
      </c>
      <c r="R332" s="28" t="b">
        <v>0</v>
      </c>
      <c r="S332" s="28" t="b">
        <v>0</v>
      </c>
      <c r="T332" s="28" t="b">
        <v>0</v>
      </c>
      <c r="U332" s="28" t="b">
        <v>0</v>
      </c>
      <c r="V332" s="28" t="b">
        <v>0</v>
      </c>
      <c r="W332" s="28" t="b">
        <v>0</v>
      </c>
    </row>
    <row r="333" ht="69" customHeight="1" s="222">
      <c r="A333" s="164">
        <f>Accounts!A305</f>
        <v/>
      </c>
      <c r="B333" s="145" t="b">
        <v>0</v>
      </c>
      <c r="C333" s="176">
        <f>Accounts!T305</f>
        <v/>
      </c>
      <c r="D333" s="174" t="n"/>
      <c r="E333" s="174" t="n"/>
      <c r="F333" s="176">
        <f>Accounts!F305</f>
        <v/>
      </c>
      <c r="G333" s="174">
        <f>Accounts!O305</f>
        <v/>
      </c>
      <c r="H333" s="174">
        <f>Accounts!P305</f>
        <v/>
      </c>
      <c r="I333" s="174">
        <f>Accounts!H305</f>
        <v/>
      </c>
      <c r="J333" s="174">
        <f>Accounts!I305</f>
        <v/>
      </c>
      <c r="K333" s="176">
        <f>#REF!</f>
        <v/>
      </c>
      <c r="L333" s="173" t="n"/>
      <c r="M333" s="9" t="n"/>
      <c r="N333" s="28" t="b">
        <v>0</v>
      </c>
      <c r="O333" s="172" t="b">
        <v>0</v>
      </c>
      <c r="P333" s="28" t="b">
        <v>0</v>
      </c>
      <c r="Q333" s="28" t="b">
        <v>0</v>
      </c>
      <c r="R333" s="28" t="b">
        <v>0</v>
      </c>
      <c r="S333" s="28" t="b">
        <v>0</v>
      </c>
      <c r="T333" s="28" t="b">
        <v>0</v>
      </c>
      <c r="U333" s="28" t="b">
        <v>0</v>
      </c>
      <c r="V333" s="28" t="b">
        <v>0</v>
      </c>
      <c r="W333" s="28" t="b">
        <v>0</v>
      </c>
    </row>
    <row r="334" ht="69" customHeight="1" s="222">
      <c r="A334" s="164">
        <f>Accounts!A306</f>
        <v/>
      </c>
      <c r="B334" s="145" t="b">
        <v>0</v>
      </c>
      <c r="C334" s="176">
        <f>Accounts!T306</f>
        <v/>
      </c>
      <c r="D334" s="174" t="n"/>
      <c r="E334" s="174" t="n"/>
      <c r="F334" s="176">
        <f>Accounts!F306</f>
        <v/>
      </c>
      <c r="G334" s="174">
        <f>Accounts!O306</f>
        <v/>
      </c>
      <c r="H334" s="174">
        <f>Accounts!P306</f>
        <v/>
      </c>
      <c r="I334" s="174">
        <f>Accounts!H306</f>
        <v/>
      </c>
      <c r="J334" s="174">
        <f>Accounts!I306</f>
        <v/>
      </c>
      <c r="K334" s="176">
        <f>#REF!</f>
        <v/>
      </c>
      <c r="L334" s="173" t="n"/>
      <c r="M334" s="9" t="n"/>
      <c r="N334" s="28" t="b">
        <v>0</v>
      </c>
      <c r="O334" s="172" t="b">
        <v>0</v>
      </c>
      <c r="P334" s="28" t="b">
        <v>0</v>
      </c>
      <c r="Q334" s="28" t="b">
        <v>0</v>
      </c>
      <c r="R334" s="28" t="b">
        <v>0</v>
      </c>
      <c r="S334" s="28" t="b">
        <v>0</v>
      </c>
      <c r="T334" s="28" t="b">
        <v>0</v>
      </c>
      <c r="U334" s="28" t="b">
        <v>0</v>
      </c>
      <c r="V334" s="28" t="b">
        <v>0</v>
      </c>
      <c r="W334" s="28" t="b">
        <v>0</v>
      </c>
    </row>
    <row r="335" ht="69" customHeight="1" s="222">
      <c r="A335" s="164">
        <f>Accounts!A307</f>
        <v/>
      </c>
      <c r="B335" s="145" t="b">
        <v>0</v>
      </c>
      <c r="C335" s="176">
        <f>Accounts!T307</f>
        <v/>
      </c>
      <c r="D335" s="174" t="n"/>
      <c r="E335" s="174" t="n"/>
      <c r="F335" s="176">
        <f>Accounts!F307</f>
        <v/>
      </c>
      <c r="G335" s="174">
        <f>Accounts!O307</f>
        <v/>
      </c>
      <c r="H335" s="174">
        <f>Accounts!P307</f>
        <v/>
      </c>
      <c r="I335" s="174">
        <f>Accounts!H307</f>
        <v/>
      </c>
      <c r="J335" s="174">
        <f>Accounts!I307</f>
        <v/>
      </c>
      <c r="K335" s="176">
        <f>#REF!</f>
        <v/>
      </c>
      <c r="L335" s="173" t="n"/>
      <c r="M335" s="9" t="n"/>
      <c r="N335" s="28" t="b">
        <v>0</v>
      </c>
      <c r="O335" s="172" t="b">
        <v>0</v>
      </c>
      <c r="P335" s="28" t="b">
        <v>0</v>
      </c>
      <c r="Q335" s="28" t="b">
        <v>0</v>
      </c>
      <c r="R335" s="28" t="b">
        <v>0</v>
      </c>
      <c r="S335" s="28" t="b">
        <v>0</v>
      </c>
      <c r="T335" s="28" t="b">
        <v>0</v>
      </c>
      <c r="U335" s="28" t="b">
        <v>0</v>
      </c>
      <c r="V335" s="28" t="b">
        <v>0</v>
      </c>
      <c r="W335" s="28" t="b">
        <v>0</v>
      </c>
    </row>
    <row r="336" ht="69" customHeight="1" s="222">
      <c r="A336" s="164">
        <f>Accounts!A308</f>
        <v/>
      </c>
      <c r="B336" s="145" t="b">
        <v>0</v>
      </c>
      <c r="C336" s="176">
        <f>Accounts!T308</f>
        <v/>
      </c>
      <c r="D336" s="174" t="n"/>
      <c r="E336" s="174" t="n"/>
      <c r="F336" s="176">
        <f>Accounts!F308</f>
        <v/>
      </c>
      <c r="G336" s="174">
        <f>Accounts!O308</f>
        <v/>
      </c>
      <c r="H336" s="174">
        <f>Accounts!P308</f>
        <v/>
      </c>
      <c r="I336" s="174">
        <f>Accounts!H308</f>
        <v/>
      </c>
      <c r="J336" s="174">
        <f>Accounts!I308</f>
        <v/>
      </c>
      <c r="K336" s="176">
        <f>#REF!</f>
        <v/>
      </c>
      <c r="L336" s="173" t="n"/>
      <c r="M336" s="9" t="n"/>
      <c r="N336" s="28" t="b">
        <v>0</v>
      </c>
      <c r="O336" s="172" t="b">
        <v>0</v>
      </c>
      <c r="P336" s="28" t="b">
        <v>0</v>
      </c>
      <c r="Q336" s="28" t="b">
        <v>0</v>
      </c>
      <c r="R336" s="28" t="b">
        <v>0</v>
      </c>
      <c r="S336" s="28" t="b">
        <v>0</v>
      </c>
      <c r="T336" s="28" t="b">
        <v>0</v>
      </c>
      <c r="U336" s="28" t="b">
        <v>0</v>
      </c>
      <c r="V336" s="28" t="b">
        <v>0</v>
      </c>
      <c r="W336" s="28" t="b">
        <v>0</v>
      </c>
    </row>
    <row r="337" ht="69" customHeight="1" s="222">
      <c r="A337" s="164">
        <f>Accounts!A309</f>
        <v/>
      </c>
      <c r="B337" s="145" t="b">
        <v>0</v>
      </c>
      <c r="C337" s="176">
        <f>Accounts!T309</f>
        <v/>
      </c>
      <c r="D337" s="174" t="n"/>
      <c r="E337" s="174" t="n"/>
      <c r="F337" s="176">
        <f>Accounts!F309</f>
        <v/>
      </c>
      <c r="G337" s="174">
        <f>Accounts!O309</f>
        <v/>
      </c>
      <c r="H337" s="174">
        <f>Accounts!P309</f>
        <v/>
      </c>
      <c r="I337" s="174">
        <f>Accounts!H309</f>
        <v/>
      </c>
      <c r="J337" s="174">
        <f>Accounts!I309</f>
        <v/>
      </c>
      <c r="K337" s="176">
        <f>#REF!</f>
        <v/>
      </c>
      <c r="L337" s="173" t="n"/>
      <c r="M337" s="9" t="n"/>
      <c r="N337" s="28" t="b">
        <v>0</v>
      </c>
      <c r="O337" s="172" t="b">
        <v>0</v>
      </c>
      <c r="P337" s="28" t="b">
        <v>0</v>
      </c>
      <c r="Q337" s="28" t="b">
        <v>0</v>
      </c>
      <c r="R337" s="28" t="b">
        <v>0</v>
      </c>
      <c r="S337" s="28" t="b">
        <v>0</v>
      </c>
      <c r="T337" s="28" t="b">
        <v>0</v>
      </c>
      <c r="U337" s="28" t="b">
        <v>0</v>
      </c>
      <c r="V337" s="28" t="b">
        <v>0</v>
      </c>
      <c r="W337" s="28" t="b">
        <v>0</v>
      </c>
    </row>
    <row r="338" ht="69" customHeight="1" s="222">
      <c r="A338" s="164">
        <f>Accounts!A310</f>
        <v/>
      </c>
      <c r="B338" s="145" t="b">
        <v>0</v>
      </c>
      <c r="C338" s="176">
        <f>Accounts!T310</f>
        <v/>
      </c>
      <c r="D338" s="174" t="n"/>
      <c r="E338" s="174" t="n"/>
      <c r="F338" s="176">
        <f>Accounts!F310</f>
        <v/>
      </c>
      <c r="G338" s="174">
        <f>Accounts!O310</f>
        <v/>
      </c>
      <c r="H338" s="174">
        <f>Accounts!P310</f>
        <v/>
      </c>
      <c r="I338" s="174">
        <f>Accounts!H310</f>
        <v/>
      </c>
      <c r="J338" s="174">
        <f>Accounts!I310</f>
        <v/>
      </c>
      <c r="K338" s="176">
        <f>#REF!</f>
        <v/>
      </c>
      <c r="L338" s="173" t="n"/>
      <c r="M338" s="9" t="n"/>
      <c r="N338" s="28" t="b">
        <v>0</v>
      </c>
      <c r="O338" s="172" t="b">
        <v>0</v>
      </c>
      <c r="P338" s="28" t="b">
        <v>0</v>
      </c>
      <c r="Q338" s="28" t="b">
        <v>0</v>
      </c>
      <c r="R338" s="28" t="b">
        <v>0</v>
      </c>
      <c r="S338" s="28" t="b">
        <v>0</v>
      </c>
      <c r="T338" s="28" t="b">
        <v>0</v>
      </c>
      <c r="U338" s="28" t="b">
        <v>0</v>
      </c>
      <c r="V338" s="28" t="b">
        <v>0</v>
      </c>
      <c r="W338" s="28" t="b">
        <v>0</v>
      </c>
    </row>
    <row r="339" ht="69" customHeight="1" s="222">
      <c r="A339" s="164">
        <f>Accounts!A311</f>
        <v/>
      </c>
      <c r="B339" s="145" t="b">
        <v>0</v>
      </c>
      <c r="C339" s="176">
        <f>Accounts!T311</f>
        <v/>
      </c>
      <c r="D339" s="174" t="n"/>
      <c r="E339" s="174" t="n"/>
      <c r="F339" s="176">
        <f>Accounts!F311</f>
        <v/>
      </c>
      <c r="G339" s="174">
        <f>Accounts!O311</f>
        <v/>
      </c>
      <c r="H339" s="174">
        <f>Accounts!P311</f>
        <v/>
      </c>
      <c r="I339" s="174">
        <f>Accounts!H311</f>
        <v/>
      </c>
      <c r="J339" s="174">
        <f>Accounts!I311</f>
        <v/>
      </c>
      <c r="K339" s="176">
        <f>#REF!</f>
        <v/>
      </c>
      <c r="L339" s="173" t="n"/>
      <c r="M339" s="9" t="n"/>
      <c r="N339" s="28" t="b">
        <v>0</v>
      </c>
      <c r="O339" s="172" t="b">
        <v>0</v>
      </c>
      <c r="P339" s="28" t="b">
        <v>0</v>
      </c>
      <c r="Q339" s="28" t="b">
        <v>0</v>
      </c>
      <c r="R339" s="28" t="b">
        <v>0</v>
      </c>
      <c r="S339" s="28" t="b">
        <v>0</v>
      </c>
      <c r="T339" s="28" t="b">
        <v>0</v>
      </c>
      <c r="U339" s="28" t="b">
        <v>0</v>
      </c>
      <c r="V339" s="28" t="b">
        <v>0</v>
      </c>
      <c r="W339" s="28" t="b">
        <v>0</v>
      </c>
    </row>
    <row r="340" ht="69" customHeight="1" s="222">
      <c r="A340" s="164">
        <f>Accounts!A312</f>
        <v/>
      </c>
      <c r="B340" s="145" t="b">
        <v>0</v>
      </c>
      <c r="C340" s="176">
        <f>Accounts!T312</f>
        <v/>
      </c>
      <c r="D340" s="174" t="n"/>
      <c r="E340" s="174" t="n"/>
      <c r="F340" s="176">
        <f>Accounts!F312</f>
        <v/>
      </c>
      <c r="G340" s="174">
        <f>Accounts!O312</f>
        <v/>
      </c>
      <c r="H340" s="174">
        <f>Accounts!P312</f>
        <v/>
      </c>
      <c r="I340" s="174">
        <f>Accounts!H312</f>
        <v/>
      </c>
      <c r="J340" s="174">
        <f>Accounts!I312</f>
        <v/>
      </c>
      <c r="K340" s="176">
        <f>#REF!</f>
        <v/>
      </c>
      <c r="L340" s="173" t="n"/>
      <c r="M340" s="9" t="n"/>
      <c r="N340" s="28" t="b">
        <v>0</v>
      </c>
      <c r="O340" s="172" t="b">
        <v>0</v>
      </c>
      <c r="P340" s="28" t="b">
        <v>0</v>
      </c>
      <c r="Q340" s="28" t="b">
        <v>0</v>
      </c>
      <c r="R340" s="28" t="b">
        <v>0</v>
      </c>
      <c r="S340" s="28" t="b">
        <v>0</v>
      </c>
      <c r="T340" s="28" t="b">
        <v>0</v>
      </c>
      <c r="U340" s="28" t="b">
        <v>0</v>
      </c>
      <c r="V340" s="28" t="b">
        <v>0</v>
      </c>
      <c r="W340" s="28" t="b">
        <v>0</v>
      </c>
    </row>
    <row r="341" ht="69" customHeight="1" s="222">
      <c r="A341" s="164">
        <f>Accounts!A313</f>
        <v/>
      </c>
      <c r="B341" s="145" t="b">
        <v>0</v>
      </c>
      <c r="C341" s="176">
        <f>Accounts!T313</f>
        <v/>
      </c>
      <c r="D341" s="174" t="n"/>
      <c r="E341" s="174" t="n"/>
      <c r="F341" s="176">
        <f>Accounts!F313</f>
        <v/>
      </c>
      <c r="G341" s="174">
        <f>Accounts!O313</f>
        <v/>
      </c>
      <c r="H341" s="174">
        <f>Accounts!P313</f>
        <v/>
      </c>
      <c r="I341" s="174">
        <f>Accounts!H313</f>
        <v/>
      </c>
      <c r="J341" s="174">
        <f>Accounts!I313</f>
        <v/>
      </c>
      <c r="K341" s="176">
        <f>#REF!</f>
        <v/>
      </c>
      <c r="L341" s="173" t="n"/>
      <c r="M341" s="9" t="n"/>
      <c r="N341" s="28" t="b">
        <v>0</v>
      </c>
      <c r="O341" s="172" t="b">
        <v>0</v>
      </c>
      <c r="P341" s="28" t="b">
        <v>0</v>
      </c>
      <c r="Q341" s="28" t="b">
        <v>0</v>
      </c>
      <c r="R341" s="28" t="b">
        <v>0</v>
      </c>
      <c r="S341" s="28" t="b">
        <v>0</v>
      </c>
      <c r="T341" s="28" t="b">
        <v>0</v>
      </c>
      <c r="U341" s="28" t="b">
        <v>0</v>
      </c>
      <c r="V341" s="28" t="b">
        <v>0</v>
      </c>
      <c r="W341" s="28" t="b">
        <v>0</v>
      </c>
    </row>
    <row r="342" ht="69" customHeight="1" s="222">
      <c r="A342" s="164">
        <f>Accounts!A314</f>
        <v/>
      </c>
      <c r="B342" s="145" t="b">
        <v>0</v>
      </c>
      <c r="C342" s="176">
        <f>Accounts!T314</f>
        <v/>
      </c>
      <c r="D342" s="174" t="n"/>
      <c r="E342" s="174" t="n"/>
      <c r="F342" s="176">
        <f>Accounts!F314</f>
        <v/>
      </c>
      <c r="G342" s="174">
        <f>Accounts!O314</f>
        <v/>
      </c>
      <c r="H342" s="174">
        <f>Accounts!P314</f>
        <v/>
      </c>
      <c r="I342" s="174">
        <f>Accounts!H314</f>
        <v/>
      </c>
      <c r="J342" s="174">
        <f>Accounts!I314</f>
        <v/>
      </c>
      <c r="K342" s="176">
        <f>#REF!</f>
        <v/>
      </c>
      <c r="L342" s="173" t="n"/>
      <c r="M342" s="9" t="n"/>
      <c r="N342" s="28" t="b">
        <v>0</v>
      </c>
      <c r="O342" s="172" t="b">
        <v>0</v>
      </c>
      <c r="P342" s="28" t="b">
        <v>0</v>
      </c>
      <c r="Q342" s="28" t="b">
        <v>0</v>
      </c>
      <c r="R342" s="28" t="b">
        <v>0</v>
      </c>
      <c r="S342" s="28" t="b">
        <v>0</v>
      </c>
      <c r="T342" s="28" t="b">
        <v>0</v>
      </c>
      <c r="U342" s="28" t="b">
        <v>0</v>
      </c>
      <c r="V342" s="28" t="b">
        <v>0</v>
      </c>
      <c r="W342" s="28" t="b">
        <v>0</v>
      </c>
    </row>
    <row r="343" ht="69" customHeight="1" s="222">
      <c r="A343" s="164">
        <f>Accounts!A315</f>
        <v/>
      </c>
      <c r="B343" s="145" t="b">
        <v>0</v>
      </c>
      <c r="C343" s="176">
        <f>Accounts!T315</f>
        <v/>
      </c>
      <c r="D343" s="174" t="n"/>
      <c r="E343" s="174" t="n"/>
      <c r="F343" s="176">
        <f>Accounts!F315</f>
        <v/>
      </c>
      <c r="G343" s="174">
        <f>Accounts!O315</f>
        <v/>
      </c>
      <c r="H343" s="174">
        <f>Accounts!P315</f>
        <v/>
      </c>
      <c r="I343" s="174">
        <f>Accounts!H315</f>
        <v/>
      </c>
      <c r="J343" s="174">
        <f>Accounts!I315</f>
        <v/>
      </c>
      <c r="K343" s="176">
        <f>#REF!</f>
        <v/>
      </c>
      <c r="L343" s="173" t="n"/>
      <c r="M343" s="9" t="n"/>
      <c r="N343" s="28" t="b">
        <v>0</v>
      </c>
      <c r="O343" s="172" t="b">
        <v>0</v>
      </c>
      <c r="P343" s="28" t="b">
        <v>0</v>
      </c>
      <c r="Q343" s="28" t="b">
        <v>0</v>
      </c>
      <c r="R343" s="28" t="b">
        <v>0</v>
      </c>
      <c r="S343" s="28" t="b">
        <v>0</v>
      </c>
      <c r="T343" s="28" t="b">
        <v>0</v>
      </c>
      <c r="U343" s="28" t="b">
        <v>0</v>
      </c>
      <c r="V343" s="28" t="b">
        <v>0</v>
      </c>
      <c r="W343" s="28" t="b">
        <v>0</v>
      </c>
    </row>
    <row r="344" ht="69" customHeight="1" s="222">
      <c r="A344" s="164">
        <f>Accounts!A316</f>
        <v/>
      </c>
      <c r="B344" s="145" t="b">
        <v>0</v>
      </c>
      <c r="C344" s="176">
        <f>Accounts!T316</f>
        <v/>
      </c>
      <c r="D344" s="174" t="n"/>
      <c r="E344" s="174" t="n"/>
      <c r="F344" s="176">
        <f>Accounts!F316</f>
        <v/>
      </c>
      <c r="G344" s="174">
        <f>Accounts!O316</f>
        <v/>
      </c>
      <c r="H344" s="174">
        <f>Accounts!P316</f>
        <v/>
      </c>
      <c r="I344" s="174">
        <f>Accounts!H316</f>
        <v/>
      </c>
      <c r="J344" s="174">
        <f>Accounts!I316</f>
        <v/>
      </c>
      <c r="K344" s="176">
        <f>#REF!</f>
        <v/>
      </c>
      <c r="L344" s="173" t="n"/>
      <c r="M344" s="9" t="n"/>
      <c r="N344" s="28" t="b">
        <v>0</v>
      </c>
      <c r="O344" s="172" t="b">
        <v>0</v>
      </c>
      <c r="P344" s="28" t="b">
        <v>0</v>
      </c>
      <c r="Q344" s="28" t="b">
        <v>0</v>
      </c>
      <c r="R344" s="28" t="b">
        <v>0</v>
      </c>
      <c r="S344" s="28" t="b">
        <v>0</v>
      </c>
      <c r="T344" s="28" t="b">
        <v>0</v>
      </c>
      <c r="U344" s="28" t="b">
        <v>0</v>
      </c>
      <c r="V344" s="28" t="b">
        <v>0</v>
      </c>
      <c r="W344" s="28" t="b">
        <v>0</v>
      </c>
    </row>
    <row r="345" ht="69" customHeight="1" s="222">
      <c r="A345" s="164">
        <f>Accounts!A317</f>
        <v/>
      </c>
      <c r="B345" s="145" t="b">
        <v>0</v>
      </c>
      <c r="C345" s="176">
        <f>Accounts!T317</f>
        <v/>
      </c>
      <c r="D345" s="174" t="n"/>
      <c r="E345" s="174" t="n"/>
      <c r="F345" s="176">
        <f>Accounts!F317</f>
        <v/>
      </c>
      <c r="G345" s="174">
        <f>Accounts!O317</f>
        <v/>
      </c>
      <c r="H345" s="174">
        <f>Accounts!P317</f>
        <v/>
      </c>
      <c r="I345" s="174">
        <f>Accounts!H317</f>
        <v/>
      </c>
      <c r="J345" s="174">
        <f>Accounts!I317</f>
        <v/>
      </c>
      <c r="K345" s="176">
        <f>#REF!</f>
        <v/>
      </c>
      <c r="L345" s="173" t="n"/>
      <c r="M345" s="9" t="n"/>
      <c r="N345" s="28" t="b">
        <v>0</v>
      </c>
      <c r="O345" s="172" t="b">
        <v>0</v>
      </c>
      <c r="P345" s="28" t="b">
        <v>0</v>
      </c>
      <c r="Q345" s="28" t="b">
        <v>0</v>
      </c>
      <c r="R345" s="28" t="b">
        <v>0</v>
      </c>
      <c r="S345" s="28" t="b">
        <v>0</v>
      </c>
      <c r="T345" s="28" t="b">
        <v>0</v>
      </c>
      <c r="U345" s="28" t="b">
        <v>0</v>
      </c>
      <c r="V345" s="28" t="b">
        <v>0</v>
      </c>
      <c r="W345" s="28" t="b">
        <v>0</v>
      </c>
    </row>
    <row r="346" ht="69" customHeight="1" s="222">
      <c r="A346" s="164">
        <f>Accounts!A318</f>
        <v/>
      </c>
      <c r="B346" s="145" t="b">
        <v>0</v>
      </c>
      <c r="C346" s="176">
        <f>Accounts!T318</f>
        <v/>
      </c>
      <c r="D346" s="174" t="n"/>
      <c r="E346" s="174" t="n"/>
      <c r="F346" s="176">
        <f>Accounts!F318</f>
        <v/>
      </c>
      <c r="G346" s="174">
        <f>Accounts!O318</f>
        <v/>
      </c>
      <c r="H346" s="174">
        <f>Accounts!P318</f>
        <v/>
      </c>
      <c r="I346" s="174">
        <f>Accounts!H318</f>
        <v/>
      </c>
      <c r="J346" s="174">
        <f>Accounts!I318</f>
        <v/>
      </c>
      <c r="K346" s="176">
        <f>#REF!</f>
        <v/>
      </c>
      <c r="L346" s="173" t="n"/>
      <c r="M346" s="9" t="n"/>
      <c r="N346" s="28" t="b">
        <v>0</v>
      </c>
      <c r="O346" s="172" t="b">
        <v>0</v>
      </c>
      <c r="P346" s="28" t="b">
        <v>0</v>
      </c>
      <c r="Q346" s="28" t="b">
        <v>0</v>
      </c>
      <c r="R346" s="28" t="b">
        <v>0</v>
      </c>
      <c r="S346" s="28" t="b">
        <v>0</v>
      </c>
      <c r="T346" s="28" t="b">
        <v>0</v>
      </c>
      <c r="U346" s="28" t="b">
        <v>0</v>
      </c>
      <c r="V346" s="28" t="b">
        <v>0</v>
      </c>
      <c r="W346" s="28" t="b">
        <v>0</v>
      </c>
    </row>
    <row r="347" ht="69" customHeight="1" s="222">
      <c r="A347" s="164">
        <f>Accounts!A319</f>
        <v/>
      </c>
      <c r="B347" s="145" t="b">
        <v>0</v>
      </c>
      <c r="C347" s="176">
        <f>Accounts!T319</f>
        <v/>
      </c>
      <c r="D347" s="174" t="n"/>
      <c r="E347" s="174" t="n"/>
      <c r="F347" s="176">
        <f>Accounts!F319</f>
        <v/>
      </c>
      <c r="G347" s="174">
        <f>Accounts!O319</f>
        <v/>
      </c>
      <c r="H347" s="174">
        <f>Accounts!P319</f>
        <v/>
      </c>
      <c r="I347" s="174">
        <f>Accounts!H319</f>
        <v/>
      </c>
      <c r="J347" s="174">
        <f>Accounts!I319</f>
        <v/>
      </c>
      <c r="K347" s="176">
        <f>#REF!</f>
        <v/>
      </c>
      <c r="L347" s="173" t="n"/>
      <c r="M347" s="9" t="n"/>
      <c r="N347" s="28" t="b">
        <v>0</v>
      </c>
      <c r="O347" s="172" t="b">
        <v>0</v>
      </c>
      <c r="P347" s="28" t="b">
        <v>0</v>
      </c>
      <c r="Q347" s="28" t="b">
        <v>0</v>
      </c>
      <c r="R347" s="28" t="b">
        <v>0</v>
      </c>
      <c r="S347" s="28" t="b">
        <v>0</v>
      </c>
      <c r="T347" s="28" t="b">
        <v>0</v>
      </c>
      <c r="U347" s="28" t="b">
        <v>0</v>
      </c>
      <c r="V347" s="28" t="b">
        <v>0</v>
      </c>
      <c r="W347" s="28" t="b">
        <v>0</v>
      </c>
    </row>
    <row r="348" ht="69" customHeight="1" s="222">
      <c r="A348" s="164">
        <f>Accounts!A320</f>
        <v/>
      </c>
      <c r="B348" s="145" t="b">
        <v>0</v>
      </c>
      <c r="C348" s="176">
        <f>Accounts!T320</f>
        <v/>
      </c>
      <c r="D348" s="174" t="n"/>
      <c r="E348" s="174" t="n"/>
      <c r="F348" s="176">
        <f>Accounts!F320</f>
        <v/>
      </c>
      <c r="G348" s="174">
        <f>Accounts!O320</f>
        <v/>
      </c>
      <c r="H348" s="174">
        <f>Accounts!P320</f>
        <v/>
      </c>
      <c r="I348" s="174">
        <f>Accounts!H320</f>
        <v/>
      </c>
      <c r="J348" s="174">
        <f>Accounts!I320</f>
        <v/>
      </c>
      <c r="K348" s="176">
        <f>#REF!</f>
        <v/>
      </c>
      <c r="L348" s="173" t="n"/>
      <c r="M348" s="9" t="n"/>
      <c r="N348" s="28" t="b">
        <v>0</v>
      </c>
      <c r="O348" s="172" t="b">
        <v>0</v>
      </c>
      <c r="P348" s="28" t="b">
        <v>0</v>
      </c>
      <c r="Q348" s="28" t="b">
        <v>0</v>
      </c>
      <c r="R348" s="28" t="b">
        <v>0</v>
      </c>
      <c r="S348" s="28" t="b">
        <v>0</v>
      </c>
      <c r="T348" s="28" t="b">
        <v>0</v>
      </c>
      <c r="U348" s="28" t="b">
        <v>0</v>
      </c>
      <c r="V348" s="28" t="b">
        <v>0</v>
      </c>
      <c r="W348" s="28" t="b">
        <v>0</v>
      </c>
    </row>
    <row r="349" ht="69" customHeight="1" s="222">
      <c r="A349" s="164">
        <f>Accounts!A321</f>
        <v/>
      </c>
      <c r="B349" s="145" t="b">
        <v>0</v>
      </c>
      <c r="C349" s="176">
        <f>Accounts!T321</f>
        <v/>
      </c>
      <c r="D349" s="174" t="n"/>
      <c r="E349" s="174" t="n"/>
      <c r="F349" s="176">
        <f>Accounts!F321</f>
        <v/>
      </c>
      <c r="G349" s="174">
        <f>Accounts!O321</f>
        <v/>
      </c>
      <c r="H349" s="174">
        <f>Accounts!P321</f>
        <v/>
      </c>
      <c r="I349" s="174">
        <f>Accounts!H321</f>
        <v/>
      </c>
      <c r="J349" s="174">
        <f>Accounts!I321</f>
        <v/>
      </c>
      <c r="K349" s="176">
        <f>#REF!</f>
        <v/>
      </c>
      <c r="L349" s="173" t="n"/>
      <c r="M349" s="9" t="n"/>
      <c r="N349" s="28" t="b">
        <v>0</v>
      </c>
      <c r="O349" s="172" t="b">
        <v>0</v>
      </c>
      <c r="P349" s="28" t="b">
        <v>0</v>
      </c>
      <c r="Q349" s="28" t="b">
        <v>0</v>
      </c>
      <c r="R349" s="28" t="b">
        <v>0</v>
      </c>
      <c r="S349" s="28" t="b">
        <v>0</v>
      </c>
      <c r="T349" s="28" t="b">
        <v>0</v>
      </c>
      <c r="U349" s="28" t="b">
        <v>0</v>
      </c>
      <c r="V349" s="28" t="b">
        <v>0</v>
      </c>
      <c r="W349" s="28" t="b">
        <v>0</v>
      </c>
    </row>
    <row r="350" ht="69" customHeight="1" s="222">
      <c r="A350" s="164">
        <f>Accounts!A322</f>
        <v/>
      </c>
      <c r="B350" s="145" t="b">
        <v>0</v>
      </c>
      <c r="C350" s="176">
        <f>Accounts!T322</f>
        <v/>
      </c>
      <c r="D350" s="174" t="n"/>
      <c r="E350" s="174" t="n"/>
      <c r="F350" s="176">
        <f>Accounts!F322</f>
        <v/>
      </c>
      <c r="G350" s="174">
        <f>Accounts!O322</f>
        <v/>
      </c>
      <c r="H350" s="174">
        <f>Accounts!P322</f>
        <v/>
      </c>
      <c r="I350" s="174">
        <f>Accounts!H322</f>
        <v/>
      </c>
      <c r="J350" s="174">
        <f>Accounts!I322</f>
        <v/>
      </c>
      <c r="K350" s="176">
        <f>#REF!</f>
        <v/>
      </c>
      <c r="L350" s="173" t="n"/>
      <c r="M350" s="9" t="n"/>
      <c r="N350" s="28" t="b">
        <v>0</v>
      </c>
      <c r="O350" s="172" t="b">
        <v>0</v>
      </c>
      <c r="P350" s="28" t="b">
        <v>0</v>
      </c>
      <c r="Q350" s="28" t="b">
        <v>0</v>
      </c>
      <c r="R350" s="28" t="b">
        <v>0</v>
      </c>
      <c r="S350" s="28" t="b">
        <v>0</v>
      </c>
      <c r="T350" s="28" t="b">
        <v>0</v>
      </c>
      <c r="U350" s="28" t="b">
        <v>0</v>
      </c>
      <c r="V350" s="28" t="b">
        <v>0</v>
      </c>
      <c r="W350" s="28" t="b">
        <v>0</v>
      </c>
    </row>
    <row r="351" ht="69" customHeight="1" s="222">
      <c r="A351" s="164">
        <f>Accounts!A323</f>
        <v/>
      </c>
      <c r="B351" s="145" t="b">
        <v>0</v>
      </c>
      <c r="C351" s="176">
        <f>Accounts!T323</f>
        <v/>
      </c>
      <c r="D351" s="174" t="n"/>
      <c r="E351" s="174" t="n"/>
      <c r="F351" s="176">
        <f>Accounts!F323</f>
        <v/>
      </c>
      <c r="G351" s="174">
        <f>Accounts!O323</f>
        <v/>
      </c>
      <c r="H351" s="174">
        <f>Accounts!P323</f>
        <v/>
      </c>
      <c r="I351" s="174">
        <f>Accounts!H323</f>
        <v/>
      </c>
      <c r="J351" s="174">
        <f>Accounts!I323</f>
        <v/>
      </c>
      <c r="K351" s="176">
        <f>#REF!</f>
        <v/>
      </c>
      <c r="L351" s="173" t="n"/>
      <c r="M351" s="9" t="n"/>
      <c r="N351" s="28" t="b">
        <v>0</v>
      </c>
      <c r="O351" s="172" t="b">
        <v>0</v>
      </c>
      <c r="P351" s="28" t="b">
        <v>0</v>
      </c>
      <c r="Q351" s="28" t="b">
        <v>0</v>
      </c>
      <c r="R351" s="28" t="b">
        <v>0</v>
      </c>
      <c r="S351" s="28" t="b">
        <v>0</v>
      </c>
      <c r="T351" s="28" t="b">
        <v>0</v>
      </c>
      <c r="U351" s="28" t="b">
        <v>0</v>
      </c>
      <c r="V351" s="28" t="b">
        <v>0</v>
      </c>
      <c r="W351" s="28" t="b">
        <v>0</v>
      </c>
    </row>
    <row r="352" ht="69" customHeight="1" s="222">
      <c r="A352" s="164">
        <f>Accounts!A324</f>
        <v/>
      </c>
      <c r="B352" s="145" t="b">
        <v>0</v>
      </c>
      <c r="C352" s="176">
        <f>Accounts!T324</f>
        <v/>
      </c>
      <c r="D352" s="174" t="n"/>
      <c r="E352" s="174" t="n"/>
      <c r="F352" s="176">
        <f>Accounts!F324</f>
        <v/>
      </c>
      <c r="G352" s="174">
        <f>Accounts!O324</f>
        <v/>
      </c>
      <c r="H352" s="174">
        <f>Accounts!P324</f>
        <v/>
      </c>
      <c r="I352" s="174">
        <f>Accounts!H324</f>
        <v/>
      </c>
      <c r="J352" s="174">
        <f>Accounts!I324</f>
        <v/>
      </c>
      <c r="K352" s="176">
        <f>#REF!</f>
        <v/>
      </c>
      <c r="L352" s="173" t="n"/>
      <c r="M352" s="9" t="n"/>
      <c r="N352" s="28" t="b">
        <v>0</v>
      </c>
      <c r="O352" s="172" t="b">
        <v>0</v>
      </c>
      <c r="P352" s="28" t="b">
        <v>0</v>
      </c>
      <c r="Q352" s="28" t="b">
        <v>0</v>
      </c>
      <c r="R352" s="28" t="b">
        <v>0</v>
      </c>
      <c r="S352" s="28" t="b">
        <v>0</v>
      </c>
      <c r="T352" s="28" t="b">
        <v>0</v>
      </c>
      <c r="U352" s="28" t="b">
        <v>0</v>
      </c>
      <c r="V352" s="28" t="b">
        <v>0</v>
      </c>
      <c r="W352" s="28" t="b">
        <v>0</v>
      </c>
    </row>
    <row r="353" ht="69" customHeight="1" s="222">
      <c r="A353" s="164">
        <f>Accounts!A325</f>
        <v/>
      </c>
      <c r="B353" s="145" t="b">
        <v>0</v>
      </c>
      <c r="C353" s="176">
        <f>Accounts!T325</f>
        <v/>
      </c>
      <c r="D353" s="174" t="n"/>
      <c r="E353" s="174" t="n"/>
      <c r="F353" s="176">
        <f>Accounts!F325</f>
        <v/>
      </c>
      <c r="G353" s="174">
        <f>Accounts!O325</f>
        <v/>
      </c>
      <c r="H353" s="174">
        <f>Accounts!P325</f>
        <v/>
      </c>
      <c r="I353" s="174">
        <f>Accounts!H325</f>
        <v/>
      </c>
      <c r="J353" s="174">
        <f>Accounts!I325</f>
        <v/>
      </c>
      <c r="K353" s="176">
        <f>#REF!</f>
        <v/>
      </c>
      <c r="L353" s="173" t="n"/>
      <c r="M353" s="9" t="n"/>
      <c r="N353" s="28" t="b">
        <v>0</v>
      </c>
      <c r="O353" s="172" t="b">
        <v>0</v>
      </c>
      <c r="P353" s="28" t="b">
        <v>0</v>
      </c>
      <c r="Q353" s="28" t="b">
        <v>0</v>
      </c>
      <c r="R353" s="28" t="b">
        <v>0</v>
      </c>
      <c r="S353" s="28" t="b">
        <v>0</v>
      </c>
      <c r="T353" s="28" t="b">
        <v>0</v>
      </c>
      <c r="U353" s="28" t="b">
        <v>0</v>
      </c>
      <c r="V353" s="28" t="b">
        <v>0</v>
      </c>
      <c r="W353" s="28" t="b">
        <v>0</v>
      </c>
    </row>
    <row r="354" ht="69" customHeight="1" s="222">
      <c r="A354" s="164">
        <f>Accounts!A326</f>
        <v/>
      </c>
      <c r="B354" s="145" t="b">
        <v>0</v>
      </c>
      <c r="C354" s="176">
        <f>Accounts!T326</f>
        <v/>
      </c>
      <c r="D354" s="174" t="n"/>
      <c r="E354" s="174" t="n"/>
      <c r="F354" s="176">
        <f>Accounts!F326</f>
        <v/>
      </c>
      <c r="G354" s="174">
        <f>Accounts!O326</f>
        <v/>
      </c>
      <c r="H354" s="174">
        <f>Accounts!P326</f>
        <v/>
      </c>
      <c r="I354" s="174">
        <f>Accounts!H326</f>
        <v/>
      </c>
      <c r="J354" s="174">
        <f>Accounts!I326</f>
        <v/>
      </c>
      <c r="K354" s="176">
        <f>#REF!</f>
        <v/>
      </c>
      <c r="L354" s="173" t="n"/>
      <c r="M354" s="9" t="n"/>
      <c r="N354" s="28" t="b">
        <v>0</v>
      </c>
      <c r="O354" s="172" t="b">
        <v>0</v>
      </c>
      <c r="P354" s="28" t="b">
        <v>0</v>
      </c>
      <c r="Q354" s="28" t="b">
        <v>0</v>
      </c>
      <c r="R354" s="28" t="b">
        <v>0</v>
      </c>
      <c r="S354" s="28" t="b">
        <v>0</v>
      </c>
      <c r="T354" s="28" t="b">
        <v>0</v>
      </c>
      <c r="U354" s="28" t="b">
        <v>0</v>
      </c>
      <c r="V354" s="28" t="b">
        <v>0</v>
      </c>
      <c r="W354" s="28" t="b">
        <v>0</v>
      </c>
    </row>
    <row r="355" ht="69" customHeight="1" s="222">
      <c r="A355" s="164">
        <f>Accounts!A327</f>
        <v/>
      </c>
      <c r="B355" s="145" t="b">
        <v>0</v>
      </c>
      <c r="C355" s="176">
        <f>Accounts!T327</f>
        <v/>
      </c>
      <c r="D355" s="174" t="n"/>
      <c r="E355" s="174" t="n"/>
      <c r="F355" s="176">
        <f>Accounts!F327</f>
        <v/>
      </c>
      <c r="G355" s="174">
        <f>Accounts!O327</f>
        <v/>
      </c>
      <c r="H355" s="174">
        <f>Accounts!P327</f>
        <v/>
      </c>
      <c r="I355" s="174">
        <f>Accounts!H327</f>
        <v/>
      </c>
      <c r="J355" s="174">
        <f>Accounts!I327</f>
        <v/>
      </c>
      <c r="K355" s="176">
        <f>#REF!</f>
        <v/>
      </c>
      <c r="L355" s="173" t="n"/>
      <c r="M355" s="9" t="n"/>
      <c r="N355" s="28" t="b">
        <v>0</v>
      </c>
      <c r="O355" s="172" t="b">
        <v>0</v>
      </c>
      <c r="P355" s="28" t="b">
        <v>0</v>
      </c>
      <c r="Q355" s="28" t="b">
        <v>0</v>
      </c>
      <c r="R355" s="28" t="b">
        <v>0</v>
      </c>
      <c r="S355" s="28" t="b">
        <v>0</v>
      </c>
      <c r="T355" s="28" t="b">
        <v>0</v>
      </c>
      <c r="U355" s="28" t="b">
        <v>0</v>
      </c>
      <c r="V355" s="28" t="b">
        <v>0</v>
      </c>
      <c r="W355" s="28" t="b">
        <v>0</v>
      </c>
    </row>
    <row r="356" ht="69" customHeight="1" s="222">
      <c r="A356" s="164">
        <f>Accounts!A328</f>
        <v/>
      </c>
      <c r="B356" s="145" t="b">
        <v>0</v>
      </c>
      <c r="C356" s="176">
        <f>Accounts!T328</f>
        <v/>
      </c>
      <c r="D356" s="174" t="n"/>
      <c r="E356" s="174" t="n"/>
      <c r="F356" s="176">
        <f>Accounts!F328</f>
        <v/>
      </c>
      <c r="G356" s="174">
        <f>Accounts!O328</f>
        <v/>
      </c>
      <c r="H356" s="174">
        <f>Accounts!P328</f>
        <v/>
      </c>
      <c r="I356" s="174">
        <f>Accounts!H328</f>
        <v/>
      </c>
      <c r="J356" s="174">
        <f>Accounts!I328</f>
        <v/>
      </c>
      <c r="K356" s="176">
        <f>#REF!</f>
        <v/>
      </c>
      <c r="L356" s="173" t="n"/>
      <c r="M356" s="9" t="n"/>
      <c r="N356" s="28" t="b">
        <v>0</v>
      </c>
      <c r="O356" s="172" t="b">
        <v>0</v>
      </c>
      <c r="P356" s="28" t="b">
        <v>0</v>
      </c>
      <c r="Q356" s="28" t="b">
        <v>0</v>
      </c>
      <c r="R356" s="28" t="b">
        <v>0</v>
      </c>
      <c r="S356" s="28" t="b">
        <v>0</v>
      </c>
      <c r="T356" s="28" t="b">
        <v>0</v>
      </c>
      <c r="U356" s="28" t="b">
        <v>0</v>
      </c>
      <c r="V356" s="28" t="b">
        <v>0</v>
      </c>
      <c r="W356" s="28" t="b">
        <v>0</v>
      </c>
    </row>
    <row r="357" ht="69" customHeight="1" s="222">
      <c r="A357" s="164">
        <f>Accounts!A329</f>
        <v/>
      </c>
      <c r="B357" s="145" t="b">
        <v>0</v>
      </c>
      <c r="C357" s="176">
        <f>Accounts!T329</f>
        <v/>
      </c>
      <c r="D357" s="174" t="n"/>
      <c r="E357" s="174" t="n"/>
      <c r="F357" s="176">
        <f>Accounts!F329</f>
        <v/>
      </c>
      <c r="G357" s="174">
        <f>Accounts!O329</f>
        <v/>
      </c>
      <c r="H357" s="174">
        <f>Accounts!P329</f>
        <v/>
      </c>
      <c r="I357" s="174">
        <f>Accounts!H329</f>
        <v/>
      </c>
      <c r="J357" s="174">
        <f>Accounts!I329</f>
        <v/>
      </c>
      <c r="K357" s="176">
        <f>#REF!</f>
        <v/>
      </c>
      <c r="L357" s="173" t="n"/>
      <c r="M357" s="9" t="n"/>
      <c r="N357" s="28" t="b">
        <v>0</v>
      </c>
      <c r="O357" s="172" t="b">
        <v>0</v>
      </c>
      <c r="P357" s="28" t="b">
        <v>0</v>
      </c>
      <c r="Q357" s="28" t="b">
        <v>0</v>
      </c>
      <c r="R357" s="28" t="b">
        <v>0</v>
      </c>
      <c r="S357" s="28" t="b">
        <v>0</v>
      </c>
      <c r="T357" s="28" t="b">
        <v>0</v>
      </c>
      <c r="U357" s="28" t="b">
        <v>0</v>
      </c>
      <c r="V357" s="28" t="b">
        <v>0</v>
      </c>
      <c r="W357" s="28" t="b">
        <v>0</v>
      </c>
    </row>
    <row r="358" ht="69" customHeight="1" s="222">
      <c r="A358" s="164">
        <f>Accounts!A330</f>
        <v/>
      </c>
      <c r="B358" s="145" t="b">
        <v>0</v>
      </c>
      <c r="C358" s="176">
        <f>Accounts!T330</f>
        <v/>
      </c>
      <c r="D358" s="174" t="n"/>
      <c r="E358" s="174" t="n"/>
      <c r="F358" s="176">
        <f>Accounts!F330</f>
        <v/>
      </c>
      <c r="G358" s="174">
        <f>Accounts!O330</f>
        <v/>
      </c>
      <c r="H358" s="174">
        <f>Accounts!P330</f>
        <v/>
      </c>
      <c r="I358" s="174">
        <f>Accounts!H330</f>
        <v/>
      </c>
      <c r="J358" s="174">
        <f>Accounts!I330</f>
        <v/>
      </c>
      <c r="K358" s="176">
        <f>#REF!</f>
        <v/>
      </c>
      <c r="L358" s="173" t="n"/>
      <c r="M358" s="9" t="n"/>
      <c r="N358" s="28" t="b">
        <v>0</v>
      </c>
      <c r="O358" s="172" t="b">
        <v>0</v>
      </c>
      <c r="P358" s="28" t="b">
        <v>0</v>
      </c>
      <c r="Q358" s="28" t="b">
        <v>0</v>
      </c>
      <c r="R358" s="28" t="b">
        <v>0</v>
      </c>
      <c r="S358" s="28" t="b">
        <v>0</v>
      </c>
      <c r="T358" s="28" t="b">
        <v>0</v>
      </c>
      <c r="U358" s="28" t="b">
        <v>0</v>
      </c>
      <c r="V358" s="28" t="b">
        <v>0</v>
      </c>
      <c r="W358" s="28" t="b">
        <v>0</v>
      </c>
    </row>
    <row r="359" ht="69" customHeight="1" s="222">
      <c r="A359" s="164">
        <f>Accounts!A331</f>
        <v/>
      </c>
      <c r="B359" s="145" t="b">
        <v>0</v>
      </c>
      <c r="C359" s="176">
        <f>Accounts!T331</f>
        <v/>
      </c>
      <c r="D359" s="174" t="n"/>
      <c r="E359" s="174" t="n"/>
      <c r="F359" s="176">
        <f>Accounts!F331</f>
        <v/>
      </c>
      <c r="G359" s="174">
        <f>Accounts!O331</f>
        <v/>
      </c>
      <c r="H359" s="174">
        <f>Accounts!P331</f>
        <v/>
      </c>
      <c r="I359" s="174">
        <f>Accounts!H331</f>
        <v/>
      </c>
      <c r="J359" s="174">
        <f>Accounts!I331</f>
        <v/>
      </c>
      <c r="K359" s="176">
        <f>#REF!</f>
        <v/>
      </c>
      <c r="L359" s="173" t="n"/>
      <c r="M359" s="9" t="n"/>
      <c r="N359" s="28" t="b">
        <v>0</v>
      </c>
      <c r="O359" s="172" t="b">
        <v>0</v>
      </c>
      <c r="P359" s="28" t="b">
        <v>0</v>
      </c>
      <c r="Q359" s="28" t="b">
        <v>0</v>
      </c>
      <c r="R359" s="28" t="b">
        <v>0</v>
      </c>
      <c r="S359" s="28" t="b">
        <v>0</v>
      </c>
      <c r="T359" s="28" t="b">
        <v>0</v>
      </c>
      <c r="U359" s="28" t="b">
        <v>0</v>
      </c>
      <c r="V359" s="28" t="b">
        <v>0</v>
      </c>
      <c r="W359" s="28" t="b">
        <v>0</v>
      </c>
    </row>
    <row r="360" ht="69" customHeight="1" s="222">
      <c r="A360" s="164">
        <f>Accounts!A332</f>
        <v/>
      </c>
      <c r="B360" s="145" t="b">
        <v>0</v>
      </c>
      <c r="C360" s="176">
        <f>Accounts!T332</f>
        <v/>
      </c>
      <c r="D360" s="174" t="n"/>
      <c r="E360" s="174" t="n"/>
      <c r="F360" s="176">
        <f>Accounts!F332</f>
        <v/>
      </c>
      <c r="G360" s="174">
        <f>Accounts!O332</f>
        <v/>
      </c>
      <c r="H360" s="174">
        <f>Accounts!P332</f>
        <v/>
      </c>
      <c r="I360" s="174">
        <f>Accounts!H332</f>
        <v/>
      </c>
      <c r="J360" s="174">
        <f>Accounts!I332</f>
        <v/>
      </c>
      <c r="K360" s="176">
        <f>#REF!</f>
        <v/>
      </c>
      <c r="L360" s="173" t="n"/>
      <c r="M360" s="9" t="n"/>
      <c r="N360" s="28" t="b">
        <v>0</v>
      </c>
      <c r="O360" s="172" t="b">
        <v>0</v>
      </c>
      <c r="P360" s="28" t="b">
        <v>0</v>
      </c>
      <c r="Q360" s="28" t="b">
        <v>0</v>
      </c>
      <c r="R360" s="28" t="b">
        <v>0</v>
      </c>
      <c r="S360" s="28" t="b">
        <v>0</v>
      </c>
      <c r="T360" s="28" t="b">
        <v>0</v>
      </c>
      <c r="U360" s="28" t="b">
        <v>0</v>
      </c>
      <c r="V360" s="28" t="b">
        <v>0</v>
      </c>
      <c r="W360" s="28" t="b">
        <v>0</v>
      </c>
    </row>
    <row r="361" ht="69" customHeight="1" s="222">
      <c r="A361" s="164">
        <f>Accounts!A333</f>
        <v/>
      </c>
      <c r="B361" s="145" t="b">
        <v>0</v>
      </c>
      <c r="C361" s="176">
        <f>Accounts!T333</f>
        <v/>
      </c>
      <c r="D361" s="174" t="n"/>
      <c r="E361" s="174" t="n"/>
      <c r="F361" s="176">
        <f>Accounts!F333</f>
        <v/>
      </c>
      <c r="G361" s="174">
        <f>Accounts!O333</f>
        <v/>
      </c>
      <c r="H361" s="174">
        <f>Accounts!P333</f>
        <v/>
      </c>
      <c r="I361" s="174">
        <f>Accounts!H333</f>
        <v/>
      </c>
      <c r="J361" s="174">
        <f>Accounts!I333</f>
        <v/>
      </c>
      <c r="K361" s="176">
        <f>#REF!</f>
        <v/>
      </c>
      <c r="L361" s="173" t="n"/>
      <c r="M361" s="9" t="n"/>
      <c r="N361" s="28" t="b">
        <v>0</v>
      </c>
      <c r="O361" s="172" t="b">
        <v>0</v>
      </c>
      <c r="P361" s="28" t="b">
        <v>0</v>
      </c>
      <c r="Q361" s="28" t="b">
        <v>0</v>
      </c>
      <c r="R361" s="28" t="b">
        <v>0</v>
      </c>
      <c r="S361" s="28" t="b">
        <v>0</v>
      </c>
      <c r="T361" s="28" t="b">
        <v>0</v>
      </c>
      <c r="U361" s="28" t="b">
        <v>0</v>
      </c>
      <c r="V361" s="28" t="b">
        <v>0</v>
      </c>
      <c r="W361" s="28" t="b">
        <v>0</v>
      </c>
    </row>
    <row r="362" ht="69" customHeight="1" s="222">
      <c r="A362" s="164">
        <f>Accounts!A334</f>
        <v/>
      </c>
      <c r="B362" s="145" t="b">
        <v>0</v>
      </c>
      <c r="C362" s="176">
        <f>Accounts!T334</f>
        <v/>
      </c>
      <c r="D362" s="174" t="n"/>
      <c r="E362" s="174" t="n"/>
      <c r="F362" s="176">
        <f>Accounts!F334</f>
        <v/>
      </c>
      <c r="G362" s="174">
        <f>Accounts!O334</f>
        <v/>
      </c>
      <c r="H362" s="174">
        <f>Accounts!P334</f>
        <v/>
      </c>
      <c r="I362" s="174">
        <f>Accounts!H334</f>
        <v/>
      </c>
      <c r="J362" s="174">
        <f>Accounts!I334</f>
        <v/>
      </c>
      <c r="K362" s="176">
        <f>#REF!</f>
        <v/>
      </c>
      <c r="L362" s="173" t="n"/>
      <c r="M362" s="9" t="n"/>
      <c r="N362" s="28" t="b">
        <v>0</v>
      </c>
      <c r="O362" s="172" t="b">
        <v>0</v>
      </c>
      <c r="P362" s="28" t="b">
        <v>0</v>
      </c>
      <c r="Q362" s="28" t="b">
        <v>0</v>
      </c>
      <c r="R362" s="28" t="b">
        <v>0</v>
      </c>
      <c r="S362" s="28" t="b">
        <v>0</v>
      </c>
      <c r="T362" s="28" t="b">
        <v>0</v>
      </c>
      <c r="U362" s="28" t="b">
        <v>0</v>
      </c>
      <c r="V362" s="28" t="b">
        <v>0</v>
      </c>
      <c r="W362" s="28" t="b">
        <v>0</v>
      </c>
    </row>
    <row r="363" ht="69" customHeight="1" s="222">
      <c r="A363" s="164">
        <f>Accounts!A335</f>
        <v/>
      </c>
      <c r="B363" s="145" t="b">
        <v>0</v>
      </c>
      <c r="C363" s="176">
        <f>Accounts!T335</f>
        <v/>
      </c>
      <c r="D363" s="174" t="n"/>
      <c r="E363" s="174" t="n"/>
      <c r="F363" s="176">
        <f>Accounts!F335</f>
        <v/>
      </c>
      <c r="G363" s="174">
        <f>Accounts!O335</f>
        <v/>
      </c>
      <c r="H363" s="174">
        <f>Accounts!P335</f>
        <v/>
      </c>
      <c r="I363" s="174">
        <f>Accounts!H335</f>
        <v/>
      </c>
      <c r="J363" s="174">
        <f>Accounts!I335</f>
        <v/>
      </c>
      <c r="K363" s="176">
        <f>#REF!</f>
        <v/>
      </c>
      <c r="L363" s="173" t="n"/>
      <c r="M363" s="9" t="n"/>
      <c r="N363" s="28" t="b">
        <v>0</v>
      </c>
      <c r="O363" s="172" t="b">
        <v>0</v>
      </c>
      <c r="P363" s="28" t="b">
        <v>0</v>
      </c>
      <c r="Q363" s="28" t="b">
        <v>0</v>
      </c>
      <c r="R363" s="28" t="b">
        <v>0</v>
      </c>
      <c r="S363" s="28" t="b">
        <v>0</v>
      </c>
      <c r="T363" s="28" t="b">
        <v>0</v>
      </c>
      <c r="U363" s="28" t="b">
        <v>0</v>
      </c>
      <c r="V363" s="28" t="b">
        <v>0</v>
      </c>
      <c r="W363" s="28" t="b">
        <v>0</v>
      </c>
    </row>
    <row r="364" ht="69" customHeight="1" s="222">
      <c r="A364" s="164">
        <f>Accounts!A336</f>
        <v/>
      </c>
      <c r="B364" s="145" t="b">
        <v>0</v>
      </c>
      <c r="C364" s="176">
        <f>Accounts!T336</f>
        <v/>
      </c>
      <c r="D364" s="174" t="n"/>
      <c r="E364" s="174" t="n"/>
      <c r="F364" s="176">
        <f>Accounts!F336</f>
        <v/>
      </c>
      <c r="G364" s="174">
        <f>Accounts!O336</f>
        <v/>
      </c>
      <c r="H364" s="174">
        <f>Accounts!P336</f>
        <v/>
      </c>
      <c r="I364" s="174">
        <f>Accounts!H336</f>
        <v/>
      </c>
      <c r="J364" s="174">
        <f>Accounts!I336</f>
        <v/>
      </c>
      <c r="K364" s="176">
        <f>#REF!</f>
        <v/>
      </c>
      <c r="L364" s="173" t="n"/>
      <c r="M364" s="9" t="n"/>
      <c r="N364" s="28" t="b">
        <v>0</v>
      </c>
      <c r="O364" s="172" t="b">
        <v>0</v>
      </c>
      <c r="P364" s="28" t="b">
        <v>0</v>
      </c>
      <c r="Q364" s="28" t="b">
        <v>0</v>
      </c>
      <c r="R364" s="28" t="b">
        <v>0</v>
      </c>
      <c r="S364" s="28" t="b">
        <v>0</v>
      </c>
      <c r="T364" s="28" t="b">
        <v>0</v>
      </c>
      <c r="U364" s="28" t="b">
        <v>0</v>
      </c>
      <c r="V364" s="28" t="b">
        <v>0</v>
      </c>
      <c r="W364" s="28" t="b">
        <v>0</v>
      </c>
    </row>
    <row r="365" ht="69" customHeight="1" s="222">
      <c r="A365" s="164">
        <f>Accounts!A337</f>
        <v/>
      </c>
      <c r="B365" s="145" t="b">
        <v>0</v>
      </c>
      <c r="C365" s="176">
        <f>Accounts!T337</f>
        <v/>
      </c>
      <c r="D365" s="174" t="n"/>
      <c r="E365" s="174" t="n"/>
      <c r="F365" s="176">
        <f>Accounts!F337</f>
        <v/>
      </c>
      <c r="G365" s="174">
        <f>Accounts!O337</f>
        <v/>
      </c>
      <c r="H365" s="174">
        <f>Accounts!P337</f>
        <v/>
      </c>
      <c r="I365" s="174">
        <f>Accounts!H337</f>
        <v/>
      </c>
      <c r="J365" s="174">
        <f>Accounts!I337</f>
        <v/>
      </c>
      <c r="K365" s="176">
        <f>#REF!</f>
        <v/>
      </c>
      <c r="L365" s="173" t="n"/>
      <c r="M365" s="9" t="n"/>
      <c r="N365" s="28" t="b">
        <v>0</v>
      </c>
      <c r="O365" s="172" t="b">
        <v>0</v>
      </c>
      <c r="P365" s="28" t="b">
        <v>0</v>
      </c>
      <c r="Q365" s="28" t="b">
        <v>0</v>
      </c>
      <c r="R365" s="28" t="b">
        <v>0</v>
      </c>
      <c r="S365" s="28" t="b">
        <v>0</v>
      </c>
      <c r="T365" s="28" t="b">
        <v>0</v>
      </c>
      <c r="U365" s="28" t="b">
        <v>0</v>
      </c>
      <c r="V365" s="28" t="b">
        <v>0</v>
      </c>
      <c r="W365" s="28" t="b">
        <v>0</v>
      </c>
    </row>
    <row r="366" ht="69" customHeight="1" s="222">
      <c r="A366" s="164">
        <f>Accounts!A338</f>
        <v/>
      </c>
      <c r="B366" s="145" t="b">
        <v>0</v>
      </c>
      <c r="C366" s="176">
        <f>Accounts!T338</f>
        <v/>
      </c>
      <c r="D366" s="174" t="n"/>
      <c r="E366" s="174" t="n"/>
      <c r="F366" s="176">
        <f>Accounts!F338</f>
        <v/>
      </c>
      <c r="G366" s="174">
        <f>Accounts!O338</f>
        <v/>
      </c>
      <c r="H366" s="174">
        <f>Accounts!P338</f>
        <v/>
      </c>
      <c r="I366" s="174">
        <f>Accounts!H338</f>
        <v/>
      </c>
      <c r="J366" s="174">
        <f>Accounts!I338</f>
        <v/>
      </c>
      <c r="K366" s="176">
        <f>#REF!</f>
        <v/>
      </c>
      <c r="L366" s="173" t="n"/>
      <c r="M366" s="9" t="n"/>
      <c r="N366" s="28" t="b">
        <v>0</v>
      </c>
      <c r="O366" s="172" t="b">
        <v>0</v>
      </c>
      <c r="P366" s="28" t="b">
        <v>0</v>
      </c>
      <c r="Q366" s="28" t="b">
        <v>0</v>
      </c>
      <c r="R366" s="28" t="b">
        <v>0</v>
      </c>
      <c r="S366" s="28" t="b">
        <v>0</v>
      </c>
      <c r="T366" s="28" t="b">
        <v>0</v>
      </c>
      <c r="U366" s="28" t="b">
        <v>0</v>
      </c>
      <c r="V366" s="28" t="b">
        <v>0</v>
      </c>
      <c r="W366" s="28" t="b">
        <v>0</v>
      </c>
    </row>
    <row r="367" ht="69" customHeight="1" s="222">
      <c r="A367" s="164">
        <f>Accounts!A339</f>
        <v/>
      </c>
      <c r="B367" s="145" t="b">
        <v>0</v>
      </c>
      <c r="C367" s="176">
        <f>Accounts!T339</f>
        <v/>
      </c>
      <c r="D367" s="174" t="n"/>
      <c r="E367" s="174" t="n"/>
      <c r="F367" s="176">
        <f>Accounts!F339</f>
        <v/>
      </c>
      <c r="G367" s="174">
        <f>Accounts!O339</f>
        <v/>
      </c>
      <c r="H367" s="174">
        <f>Accounts!P339</f>
        <v/>
      </c>
      <c r="I367" s="174">
        <f>Accounts!H339</f>
        <v/>
      </c>
      <c r="J367" s="174">
        <f>Accounts!I339</f>
        <v/>
      </c>
      <c r="K367" s="176">
        <f>#REF!</f>
        <v/>
      </c>
      <c r="L367" s="173" t="n"/>
      <c r="M367" s="9" t="n"/>
      <c r="N367" s="28" t="b">
        <v>0</v>
      </c>
      <c r="O367" s="172" t="b">
        <v>0</v>
      </c>
      <c r="P367" s="28" t="b">
        <v>0</v>
      </c>
      <c r="Q367" s="28" t="b">
        <v>0</v>
      </c>
      <c r="R367" s="28" t="b">
        <v>0</v>
      </c>
      <c r="S367" s="28" t="b">
        <v>0</v>
      </c>
      <c r="T367" s="28" t="b">
        <v>0</v>
      </c>
      <c r="U367" s="28" t="b">
        <v>0</v>
      </c>
      <c r="V367" s="28" t="b">
        <v>0</v>
      </c>
      <c r="W367" s="28" t="b">
        <v>0</v>
      </c>
    </row>
    <row r="368" ht="69" customHeight="1" s="222">
      <c r="A368" s="164">
        <f>Accounts!A340</f>
        <v/>
      </c>
      <c r="B368" s="145" t="b">
        <v>0</v>
      </c>
      <c r="C368" s="176">
        <f>Accounts!T340</f>
        <v/>
      </c>
      <c r="D368" s="174" t="n"/>
      <c r="E368" s="174" t="n"/>
      <c r="F368" s="176">
        <f>Accounts!F340</f>
        <v/>
      </c>
      <c r="G368" s="174">
        <f>Accounts!O340</f>
        <v/>
      </c>
      <c r="H368" s="174">
        <f>Accounts!P340</f>
        <v/>
      </c>
      <c r="I368" s="174">
        <f>Accounts!H340</f>
        <v/>
      </c>
      <c r="J368" s="174">
        <f>Accounts!I340</f>
        <v/>
      </c>
      <c r="K368" s="176">
        <f>#REF!</f>
        <v/>
      </c>
      <c r="L368" s="173" t="n"/>
      <c r="M368" s="9" t="n"/>
      <c r="N368" s="28" t="b">
        <v>0</v>
      </c>
      <c r="O368" s="172" t="b">
        <v>0</v>
      </c>
      <c r="P368" s="28" t="b">
        <v>0</v>
      </c>
      <c r="Q368" s="28" t="b">
        <v>0</v>
      </c>
      <c r="R368" s="28" t="b">
        <v>0</v>
      </c>
      <c r="S368" s="28" t="b">
        <v>0</v>
      </c>
      <c r="T368" s="28" t="b">
        <v>0</v>
      </c>
      <c r="U368" s="28" t="b">
        <v>0</v>
      </c>
      <c r="V368" s="28" t="b">
        <v>0</v>
      </c>
      <c r="W368" s="28" t="b">
        <v>0</v>
      </c>
    </row>
    <row r="369" ht="69" customHeight="1" s="222">
      <c r="A369" s="164">
        <f>#REF!</f>
        <v/>
      </c>
      <c r="B369" s="145" t="b">
        <v>0</v>
      </c>
      <c r="C369" s="176">
        <f>#REF!</f>
        <v/>
      </c>
      <c r="D369" s="174" t="n"/>
      <c r="E369" s="174" t="n"/>
      <c r="F369" s="176">
        <f>#REF!</f>
        <v/>
      </c>
      <c r="G369" s="174">
        <f>#REF!</f>
        <v/>
      </c>
      <c r="H369" s="174">
        <f>#REF!</f>
        <v/>
      </c>
      <c r="I369" s="174">
        <f>#REF!</f>
        <v/>
      </c>
      <c r="J369" s="174">
        <f>#REF!</f>
        <v/>
      </c>
      <c r="K369" s="176">
        <f>#REF!</f>
        <v/>
      </c>
      <c r="L369" s="173" t="n"/>
      <c r="M369" s="9" t="n"/>
      <c r="N369" s="28" t="b">
        <v>0</v>
      </c>
      <c r="O369" s="172" t="b">
        <v>0</v>
      </c>
      <c r="P369" s="28" t="b">
        <v>0</v>
      </c>
      <c r="Q369" s="28" t="b">
        <v>0</v>
      </c>
      <c r="R369" s="28" t="b">
        <v>0</v>
      </c>
      <c r="S369" s="28" t="b">
        <v>0</v>
      </c>
      <c r="T369" s="28" t="b">
        <v>0</v>
      </c>
      <c r="U369" s="28" t="b">
        <v>0</v>
      </c>
      <c r="V369" s="28" t="b">
        <v>0</v>
      </c>
      <c r="W369" s="28" t="b">
        <v>0</v>
      </c>
    </row>
    <row r="370" ht="69" customHeight="1" s="222">
      <c r="A370" s="164">
        <f>Accounts!A341</f>
        <v/>
      </c>
      <c r="B370" s="145" t="b">
        <v>0</v>
      </c>
      <c r="C370" s="176">
        <f>Accounts!T341</f>
        <v/>
      </c>
      <c r="D370" s="174" t="n"/>
      <c r="E370" s="174" t="n"/>
      <c r="F370" s="176">
        <f>Accounts!F341</f>
        <v/>
      </c>
      <c r="G370" s="174">
        <f>Accounts!O341</f>
        <v/>
      </c>
      <c r="H370" s="174">
        <f>Accounts!P341</f>
        <v/>
      </c>
      <c r="I370" s="174">
        <f>Accounts!H341</f>
        <v/>
      </c>
      <c r="J370" s="174">
        <f>Accounts!I341</f>
        <v/>
      </c>
      <c r="K370" s="176">
        <f>#REF!</f>
        <v/>
      </c>
      <c r="L370" s="173" t="n"/>
      <c r="M370" s="9" t="n"/>
      <c r="N370" s="28" t="b">
        <v>0</v>
      </c>
      <c r="O370" s="172" t="b">
        <v>0</v>
      </c>
      <c r="P370" s="28" t="b">
        <v>0</v>
      </c>
      <c r="Q370" s="28" t="b">
        <v>0</v>
      </c>
      <c r="R370" s="28" t="b">
        <v>0</v>
      </c>
      <c r="S370" s="28" t="b">
        <v>0</v>
      </c>
      <c r="T370" s="28" t="b">
        <v>0</v>
      </c>
      <c r="U370" s="28" t="b">
        <v>0</v>
      </c>
      <c r="V370" s="28" t="b">
        <v>0</v>
      </c>
      <c r="W370" s="28" t="b">
        <v>0</v>
      </c>
    </row>
    <row r="371" ht="69" customHeight="1" s="222">
      <c r="A371" s="164">
        <f>Accounts!A342</f>
        <v/>
      </c>
      <c r="B371" s="145" t="b">
        <v>0</v>
      </c>
      <c r="C371" s="176">
        <f>Accounts!T342</f>
        <v/>
      </c>
      <c r="D371" s="174" t="n"/>
      <c r="E371" s="174" t="n"/>
      <c r="F371" s="176">
        <f>Accounts!F342</f>
        <v/>
      </c>
      <c r="G371" s="174">
        <f>Accounts!O342</f>
        <v/>
      </c>
      <c r="H371" s="174">
        <f>Accounts!P342</f>
        <v/>
      </c>
      <c r="I371" s="174">
        <f>Accounts!H342</f>
        <v/>
      </c>
      <c r="J371" s="174">
        <f>Accounts!I342</f>
        <v/>
      </c>
      <c r="K371" s="176">
        <f>#REF!</f>
        <v/>
      </c>
      <c r="L371" s="173" t="n"/>
      <c r="M371" s="9" t="n"/>
      <c r="N371" s="28" t="b">
        <v>0</v>
      </c>
      <c r="O371" s="172" t="b">
        <v>0</v>
      </c>
      <c r="P371" s="28" t="b">
        <v>0</v>
      </c>
      <c r="Q371" s="28" t="b">
        <v>0</v>
      </c>
      <c r="R371" s="28" t="b">
        <v>0</v>
      </c>
      <c r="S371" s="28" t="b">
        <v>0</v>
      </c>
      <c r="T371" s="28" t="b">
        <v>0</v>
      </c>
      <c r="U371" s="28" t="b">
        <v>0</v>
      </c>
      <c r="V371" s="28" t="b">
        <v>0</v>
      </c>
      <c r="W371" s="28" t="b">
        <v>0</v>
      </c>
    </row>
    <row r="372" ht="69" customHeight="1" s="222">
      <c r="A372" s="164">
        <f>Accounts!A343</f>
        <v/>
      </c>
      <c r="B372" s="145" t="b">
        <v>0</v>
      </c>
      <c r="C372" s="176">
        <f>Accounts!T343</f>
        <v/>
      </c>
      <c r="D372" s="174" t="n"/>
      <c r="E372" s="174" t="n"/>
      <c r="F372" s="176">
        <f>Accounts!F343</f>
        <v/>
      </c>
      <c r="G372" s="174">
        <f>Accounts!O343</f>
        <v/>
      </c>
      <c r="H372" s="174">
        <f>Accounts!P343</f>
        <v/>
      </c>
      <c r="I372" s="174">
        <f>Accounts!H343</f>
        <v/>
      </c>
      <c r="J372" s="174">
        <f>Accounts!I343</f>
        <v/>
      </c>
      <c r="K372" s="176">
        <f>#REF!</f>
        <v/>
      </c>
      <c r="L372" s="173" t="n"/>
      <c r="M372" s="9" t="n"/>
      <c r="N372" s="28" t="b">
        <v>0</v>
      </c>
      <c r="O372" s="172" t="b">
        <v>0</v>
      </c>
      <c r="P372" s="28" t="b">
        <v>0</v>
      </c>
      <c r="Q372" s="28" t="b">
        <v>0</v>
      </c>
      <c r="R372" s="28" t="b">
        <v>0</v>
      </c>
      <c r="S372" s="28" t="b">
        <v>0</v>
      </c>
      <c r="T372" s="28" t="b">
        <v>0</v>
      </c>
      <c r="U372" s="28" t="b">
        <v>0</v>
      </c>
      <c r="V372" s="28" t="b">
        <v>0</v>
      </c>
      <c r="W372" s="28" t="b">
        <v>0</v>
      </c>
    </row>
    <row r="373" ht="69" customHeight="1" s="222">
      <c r="A373" s="164">
        <f>Accounts!A344</f>
        <v/>
      </c>
      <c r="B373" s="145" t="b">
        <v>0</v>
      </c>
      <c r="C373" s="176">
        <f>Accounts!T344</f>
        <v/>
      </c>
      <c r="D373" s="174" t="n"/>
      <c r="E373" s="174" t="n"/>
      <c r="F373" s="176">
        <f>Accounts!F344</f>
        <v/>
      </c>
      <c r="G373" s="174">
        <f>Accounts!O344</f>
        <v/>
      </c>
      <c r="H373" s="174">
        <f>Accounts!P344</f>
        <v/>
      </c>
      <c r="I373" s="174">
        <f>Accounts!H344</f>
        <v/>
      </c>
      <c r="J373" s="174">
        <f>Accounts!I344</f>
        <v/>
      </c>
      <c r="K373" s="176">
        <f>#REF!</f>
        <v/>
      </c>
      <c r="L373" s="173" t="n"/>
      <c r="M373" s="9" t="n"/>
      <c r="N373" s="28" t="b">
        <v>0</v>
      </c>
      <c r="O373" s="172" t="b">
        <v>0</v>
      </c>
      <c r="P373" s="28" t="b">
        <v>0</v>
      </c>
      <c r="Q373" s="28" t="b">
        <v>0</v>
      </c>
      <c r="R373" s="28" t="b">
        <v>0</v>
      </c>
      <c r="S373" s="28" t="b">
        <v>0</v>
      </c>
      <c r="T373" s="28" t="b">
        <v>0</v>
      </c>
      <c r="U373" s="28" t="b">
        <v>0</v>
      </c>
      <c r="V373" s="28" t="b">
        <v>0</v>
      </c>
      <c r="W373" s="28" t="b">
        <v>0</v>
      </c>
    </row>
    <row r="374" ht="69" customHeight="1" s="222">
      <c r="A374" s="164">
        <f>Accounts!A345</f>
        <v/>
      </c>
      <c r="B374" s="145" t="b">
        <v>0</v>
      </c>
      <c r="C374" s="176">
        <f>Accounts!T345</f>
        <v/>
      </c>
      <c r="D374" s="174" t="n"/>
      <c r="E374" s="174" t="n"/>
      <c r="F374" s="176">
        <f>Accounts!F345</f>
        <v/>
      </c>
      <c r="G374" s="174">
        <f>Accounts!O345</f>
        <v/>
      </c>
      <c r="H374" s="174">
        <f>Accounts!P345</f>
        <v/>
      </c>
      <c r="I374" s="174">
        <f>Accounts!H345</f>
        <v/>
      </c>
      <c r="J374" s="174">
        <f>Accounts!I345</f>
        <v/>
      </c>
      <c r="K374" s="176">
        <f>#REF!</f>
        <v/>
      </c>
      <c r="L374" s="173" t="n"/>
      <c r="M374" s="9" t="n"/>
      <c r="N374" s="28" t="b">
        <v>0</v>
      </c>
      <c r="O374" s="172" t="b">
        <v>0</v>
      </c>
      <c r="P374" s="28" t="b">
        <v>0</v>
      </c>
      <c r="Q374" s="28" t="b">
        <v>0</v>
      </c>
      <c r="R374" s="28" t="b">
        <v>0</v>
      </c>
      <c r="S374" s="28" t="b">
        <v>0</v>
      </c>
      <c r="T374" s="28" t="b">
        <v>0</v>
      </c>
      <c r="U374" s="28" t="b">
        <v>0</v>
      </c>
      <c r="V374" s="28" t="b">
        <v>0</v>
      </c>
      <c r="W374" s="28" t="b">
        <v>0</v>
      </c>
    </row>
    <row r="375" ht="69" customHeight="1" s="222">
      <c r="A375" s="164">
        <f>#REF!</f>
        <v/>
      </c>
      <c r="B375" s="145" t="b">
        <v>0</v>
      </c>
      <c r="C375" s="176">
        <f>#REF!</f>
        <v/>
      </c>
      <c r="D375" s="174" t="n"/>
      <c r="E375" s="174" t="n"/>
      <c r="F375" s="176">
        <f>#REF!</f>
        <v/>
      </c>
      <c r="G375" s="174">
        <f>#REF!</f>
        <v/>
      </c>
      <c r="H375" s="174">
        <f>#REF!</f>
        <v/>
      </c>
      <c r="I375" s="174">
        <f>#REF!</f>
        <v/>
      </c>
      <c r="J375" s="174">
        <f>#REF!</f>
        <v/>
      </c>
      <c r="K375" s="176">
        <f>#REF!</f>
        <v/>
      </c>
      <c r="L375" s="173" t="n"/>
      <c r="M375" s="9" t="n"/>
      <c r="N375" s="28" t="b">
        <v>0</v>
      </c>
      <c r="O375" s="172" t="b">
        <v>0</v>
      </c>
      <c r="P375" s="28" t="b">
        <v>0</v>
      </c>
      <c r="Q375" s="28" t="b">
        <v>0</v>
      </c>
      <c r="R375" s="28" t="b">
        <v>0</v>
      </c>
      <c r="S375" s="28" t="b">
        <v>0</v>
      </c>
      <c r="T375" s="28" t="b">
        <v>0</v>
      </c>
      <c r="U375" s="28" t="b">
        <v>0</v>
      </c>
      <c r="V375" s="28" t="b">
        <v>0</v>
      </c>
      <c r="W375" s="28" t="b">
        <v>0</v>
      </c>
    </row>
    <row r="376" ht="69" customHeight="1" s="222">
      <c r="A376" s="164">
        <f>Accounts!A346</f>
        <v/>
      </c>
      <c r="B376" s="145" t="b">
        <v>0</v>
      </c>
      <c r="C376" s="176">
        <f>Accounts!T346</f>
        <v/>
      </c>
      <c r="D376" s="174" t="n"/>
      <c r="E376" s="174" t="n"/>
      <c r="F376" s="176">
        <f>Accounts!F346</f>
        <v/>
      </c>
      <c r="G376" s="174">
        <f>Accounts!O346</f>
        <v/>
      </c>
      <c r="H376" s="174">
        <f>Accounts!P346</f>
        <v/>
      </c>
      <c r="I376" s="174">
        <f>Accounts!H346</f>
        <v/>
      </c>
      <c r="J376" s="174">
        <f>Accounts!I346</f>
        <v/>
      </c>
      <c r="K376" s="176">
        <f>#REF!</f>
        <v/>
      </c>
      <c r="L376" s="173" t="n"/>
      <c r="M376" s="9" t="n"/>
      <c r="N376" s="28" t="b">
        <v>0</v>
      </c>
      <c r="O376" s="172" t="b">
        <v>0</v>
      </c>
      <c r="P376" s="28" t="b">
        <v>0</v>
      </c>
      <c r="Q376" s="28" t="b">
        <v>0</v>
      </c>
      <c r="R376" s="28" t="b">
        <v>0</v>
      </c>
      <c r="S376" s="28" t="b">
        <v>0</v>
      </c>
      <c r="T376" s="28" t="b">
        <v>0</v>
      </c>
      <c r="U376" s="28" t="b">
        <v>0</v>
      </c>
      <c r="V376" s="28" t="b">
        <v>0</v>
      </c>
      <c r="W376" s="28" t="b">
        <v>0</v>
      </c>
    </row>
    <row r="377" ht="69" customHeight="1" s="222">
      <c r="A377" s="164">
        <f>Accounts!A347</f>
        <v/>
      </c>
      <c r="B377" s="145" t="b">
        <v>0</v>
      </c>
      <c r="C377" s="176">
        <f>Accounts!T347</f>
        <v/>
      </c>
      <c r="D377" s="174" t="n"/>
      <c r="E377" s="174" t="n"/>
      <c r="F377" s="176">
        <f>Accounts!F347</f>
        <v/>
      </c>
      <c r="G377" s="174">
        <f>Accounts!O347</f>
        <v/>
      </c>
      <c r="H377" s="174">
        <f>Accounts!P347</f>
        <v/>
      </c>
      <c r="I377" s="174">
        <f>Accounts!H347</f>
        <v/>
      </c>
      <c r="J377" s="174">
        <f>Accounts!I347</f>
        <v/>
      </c>
      <c r="K377" s="176">
        <f>#REF!</f>
        <v/>
      </c>
      <c r="L377" s="173" t="n"/>
      <c r="M377" s="9" t="n"/>
      <c r="N377" s="28" t="b">
        <v>0</v>
      </c>
      <c r="O377" s="172" t="b">
        <v>0</v>
      </c>
      <c r="P377" s="28" t="b">
        <v>0</v>
      </c>
      <c r="Q377" s="28" t="b">
        <v>0</v>
      </c>
      <c r="R377" s="28" t="b">
        <v>0</v>
      </c>
      <c r="S377" s="28" t="b">
        <v>0</v>
      </c>
      <c r="T377" s="28" t="b">
        <v>0</v>
      </c>
      <c r="U377" s="28" t="b">
        <v>0</v>
      </c>
      <c r="V377" s="28" t="b">
        <v>0</v>
      </c>
      <c r="W377" s="28" t="b">
        <v>0</v>
      </c>
    </row>
    <row r="378" ht="69" customHeight="1" s="222">
      <c r="A378" s="164">
        <f>Accounts!A348</f>
        <v/>
      </c>
      <c r="B378" s="145" t="b">
        <v>0</v>
      </c>
      <c r="C378" s="176">
        <f>Accounts!T348</f>
        <v/>
      </c>
      <c r="D378" s="174" t="n"/>
      <c r="E378" s="174" t="n"/>
      <c r="F378" s="176">
        <f>Accounts!F348</f>
        <v/>
      </c>
      <c r="G378" s="174">
        <f>Accounts!O348</f>
        <v/>
      </c>
      <c r="H378" s="174">
        <f>Accounts!P348</f>
        <v/>
      </c>
      <c r="I378" s="174">
        <f>Accounts!H348</f>
        <v/>
      </c>
      <c r="J378" s="174">
        <f>Accounts!I348</f>
        <v/>
      </c>
      <c r="K378" s="176">
        <f>#REF!</f>
        <v/>
      </c>
      <c r="L378" s="173" t="n"/>
      <c r="M378" s="9" t="n"/>
      <c r="N378" s="28" t="b">
        <v>0</v>
      </c>
      <c r="O378" s="172" t="b">
        <v>0</v>
      </c>
      <c r="P378" s="28" t="b">
        <v>0</v>
      </c>
      <c r="Q378" s="28" t="b">
        <v>0</v>
      </c>
      <c r="R378" s="28" t="b">
        <v>0</v>
      </c>
      <c r="S378" s="28" t="b">
        <v>0</v>
      </c>
      <c r="T378" s="28" t="b">
        <v>0</v>
      </c>
      <c r="U378" s="28" t="b">
        <v>0</v>
      </c>
      <c r="V378" s="28" t="b">
        <v>0</v>
      </c>
      <c r="W378" s="28" t="b">
        <v>0</v>
      </c>
    </row>
    <row r="379" ht="69" customHeight="1" s="222">
      <c r="A379" s="164">
        <f>Accounts!A349</f>
        <v/>
      </c>
      <c r="B379" s="145" t="b">
        <v>0</v>
      </c>
      <c r="C379" s="176">
        <f>Accounts!T349</f>
        <v/>
      </c>
      <c r="D379" s="174" t="n"/>
      <c r="E379" s="174" t="n"/>
      <c r="F379" s="176">
        <f>Accounts!F349</f>
        <v/>
      </c>
      <c r="G379" s="174">
        <f>Accounts!O349</f>
        <v/>
      </c>
      <c r="H379" s="174">
        <f>Accounts!P349</f>
        <v/>
      </c>
      <c r="I379" s="174">
        <f>Accounts!H349</f>
        <v/>
      </c>
      <c r="J379" s="174">
        <f>Accounts!I349</f>
        <v/>
      </c>
      <c r="K379" s="176">
        <f>#REF!</f>
        <v/>
      </c>
      <c r="L379" s="173" t="n"/>
      <c r="M379" s="9" t="n"/>
      <c r="N379" s="28" t="b">
        <v>0</v>
      </c>
      <c r="O379" s="172" t="b">
        <v>0</v>
      </c>
      <c r="P379" s="28" t="b">
        <v>0</v>
      </c>
      <c r="Q379" s="28" t="b">
        <v>0</v>
      </c>
      <c r="R379" s="28" t="b">
        <v>0</v>
      </c>
      <c r="S379" s="28" t="b">
        <v>0</v>
      </c>
      <c r="T379" s="28" t="b">
        <v>0</v>
      </c>
      <c r="U379" s="28" t="b">
        <v>0</v>
      </c>
      <c r="V379" s="28" t="b">
        <v>0</v>
      </c>
      <c r="W379" s="28" t="b">
        <v>0</v>
      </c>
    </row>
    <row r="380" ht="69" customHeight="1" s="222">
      <c r="A380" s="164">
        <f>Accounts!A350</f>
        <v/>
      </c>
      <c r="B380" s="145" t="b">
        <v>0</v>
      </c>
      <c r="C380" s="176">
        <f>Accounts!T350</f>
        <v/>
      </c>
      <c r="D380" s="174" t="n"/>
      <c r="E380" s="174" t="n"/>
      <c r="F380" s="176">
        <f>Accounts!F350</f>
        <v/>
      </c>
      <c r="G380" s="174">
        <f>Accounts!O350</f>
        <v/>
      </c>
      <c r="H380" s="174">
        <f>Accounts!P350</f>
        <v/>
      </c>
      <c r="I380" s="174">
        <f>Accounts!H350</f>
        <v/>
      </c>
      <c r="J380" s="174">
        <f>Accounts!I350</f>
        <v/>
      </c>
      <c r="K380" s="176">
        <f>#REF!</f>
        <v/>
      </c>
      <c r="L380" s="173" t="n"/>
      <c r="M380" s="9" t="n"/>
      <c r="N380" s="28" t="b">
        <v>0</v>
      </c>
      <c r="O380" s="172" t="b">
        <v>0</v>
      </c>
      <c r="P380" s="28" t="b">
        <v>0</v>
      </c>
      <c r="Q380" s="28" t="b">
        <v>0</v>
      </c>
      <c r="R380" s="28" t="b">
        <v>0</v>
      </c>
      <c r="S380" s="28" t="b">
        <v>0</v>
      </c>
      <c r="T380" s="28" t="b">
        <v>0</v>
      </c>
      <c r="U380" s="28" t="b">
        <v>0</v>
      </c>
      <c r="V380" s="28" t="b">
        <v>0</v>
      </c>
      <c r="W380" s="28" t="b">
        <v>0</v>
      </c>
    </row>
    <row r="381" ht="69" customHeight="1" s="222">
      <c r="A381" s="164">
        <f>Accounts!A351</f>
        <v/>
      </c>
      <c r="B381" s="145" t="b">
        <v>0</v>
      </c>
      <c r="C381" s="176">
        <f>Accounts!T351</f>
        <v/>
      </c>
      <c r="D381" s="174" t="n"/>
      <c r="E381" s="174" t="n"/>
      <c r="F381" s="176">
        <f>Accounts!F351</f>
        <v/>
      </c>
      <c r="G381" s="174">
        <f>Accounts!O351</f>
        <v/>
      </c>
      <c r="H381" s="174">
        <f>Accounts!P351</f>
        <v/>
      </c>
      <c r="I381" s="174">
        <f>Accounts!H351</f>
        <v/>
      </c>
      <c r="J381" s="174">
        <f>Accounts!I351</f>
        <v/>
      </c>
      <c r="K381" s="176">
        <f>#REF!</f>
        <v/>
      </c>
      <c r="L381" s="173" t="n"/>
      <c r="M381" s="9" t="n"/>
      <c r="N381" s="28" t="b">
        <v>0</v>
      </c>
      <c r="O381" s="172" t="b">
        <v>0</v>
      </c>
      <c r="P381" s="28" t="b">
        <v>0</v>
      </c>
      <c r="Q381" s="28" t="b">
        <v>0</v>
      </c>
      <c r="R381" s="28" t="b">
        <v>0</v>
      </c>
      <c r="S381" s="28" t="b">
        <v>0</v>
      </c>
      <c r="T381" s="28" t="b">
        <v>0</v>
      </c>
      <c r="U381" s="28" t="b">
        <v>0</v>
      </c>
      <c r="V381" s="28" t="b">
        <v>0</v>
      </c>
      <c r="W381" s="28" t="b">
        <v>0</v>
      </c>
    </row>
    <row r="382" ht="69" customHeight="1" s="222">
      <c r="A382" s="164">
        <f>Accounts!A352</f>
        <v/>
      </c>
      <c r="B382" s="145" t="b">
        <v>0</v>
      </c>
      <c r="C382" s="176">
        <f>Accounts!T352</f>
        <v/>
      </c>
      <c r="D382" s="174" t="n"/>
      <c r="E382" s="174" t="n"/>
      <c r="F382" s="176">
        <f>Accounts!F352</f>
        <v/>
      </c>
      <c r="G382" s="174">
        <f>Accounts!O352</f>
        <v/>
      </c>
      <c r="H382" s="174">
        <f>Accounts!P352</f>
        <v/>
      </c>
      <c r="I382" s="174">
        <f>Accounts!H352</f>
        <v/>
      </c>
      <c r="J382" s="174">
        <f>Accounts!I352</f>
        <v/>
      </c>
      <c r="K382" s="176">
        <f>#REF!</f>
        <v/>
      </c>
      <c r="L382" s="173" t="n"/>
      <c r="M382" s="9" t="n"/>
      <c r="N382" s="28" t="b">
        <v>0</v>
      </c>
      <c r="O382" s="172" t="b">
        <v>0</v>
      </c>
      <c r="P382" s="28" t="b">
        <v>0</v>
      </c>
      <c r="Q382" s="28" t="b">
        <v>0</v>
      </c>
      <c r="R382" s="28" t="b">
        <v>0</v>
      </c>
      <c r="S382" s="28" t="b">
        <v>0</v>
      </c>
      <c r="T382" s="28" t="b">
        <v>0</v>
      </c>
      <c r="U382" s="28" t="b">
        <v>0</v>
      </c>
      <c r="V382" s="28" t="b">
        <v>0</v>
      </c>
      <c r="W382" s="28" t="b">
        <v>0</v>
      </c>
    </row>
    <row r="383" ht="69" customHeight="1" s="222">
      <c r="A383" s="164">
        <f>Accounts!A353</f>
        <v/>
      </c>
      <c r="B383" s="145" t="b">
        <v>0</v>
      </c>
      <c r="C383" s="176">
        <f>Accounts!T353</f>
        <v/>
      </c>
      <c r="D383" s="174" t="n"/>
      <c r="E383" s="174" t="n"/>
      <c r="F383" s="176">
        <f>Accounts!F353</f>
        <v/>
      </c>
      <c r="G383" s="174">
        <f>Accounts!O353</f>
        <v/>
      </c>
      <c r="H383" s="174">
        <f>Accounts!P353</f>
        <v/>
      </c>
      <c r="I383" s="174">
        <f>Accounts!H353</f>
        <v/>
      </c>
      <c r="J383" s="174">
        <f>Accounts!I353</f>
        <v/>
      </c>
      <c r="K383" s="176">
        <f>#REF!</f>
        <v/>
      </c>
      <c r="L383" s="173" t="n"/>
      <c r="M383" s="9" t="n"/>
      <c r="N383" s="28" t="b">
        <v>0</v>
      </c>
      <c r="O383" s="172" t="b">
        <v>0</v>
      </c>
      <c r="P383" s="28" t="b">
        <v>0</v>
      </c>
      <c r="Q383" s="28" t="b">
        <v>0</v>
      </c>
      <c r="R383" s="28" t="b">
        <v>0</v>
      </c>
      <c r="S383" s="28" t="b">
        <v>0</v>
      </c>
      <c r="T383" s="28" t="b">
        <v>0</v>
      </c>
      <c r="U383" s="28" t="b">
        <v>0</v>
      </c>
      <c r="V383" s="28" t="b">
        <v>0</v>
      </c>
      <c r="W383" s="28" t="b">
        <v>0</v>
      </c>
    </row>
    <row r="384" ht="69" customHeight="1" s="222">
      <c r="A384" s="164">
        <f>Accounts!A354</f>
        <v/>
      </c>
      <c r="B384" s="145" t="b">
        <v>0</v>
      </c>
      <c r="C384" s="176">
        <f>Accounts!T354</f>
        <v/>
      </c>
      <c r="D384" s="174" t="n"/>
      <c r="E384" s="174" t="n"/>
      <c r="F384" s="176">
        <f>Accounts!F354</f>
        <v/>
      </c>
      <c r="G384" s="174">
        <f>Accounts!O354</f>
        <v/>
      </c>
      <c r="H384" s="174">
        <f>Accounts!P354</f>
        <v/>
      </c>
      <c r="I384" s="174">
        <f>Accounts!H354</f>
        <v/>
      </c>
      <c r="J384" s="174">
        <f>Accounts!I354</f>
        <v/>
      </c>
      <c r="K384" s="176">
        <f>#REF!</f>
        <v/>
      </c>
      <c r="L384" s="173" t="n"/>
      <c r="M384" s="9" t="n"/>
      <c r="N384" s="28" t="b">
        <v>0</v>
      </c>
      <c r="O384" s="172" t="b">
        <v>0</v>
      </c>
      <c r="P384" s="28" t="b">
        <v>0</v>
      </c>
      <c r="Q384" s="28" t="b">
        <v>0</v>
      </c>
      <c r="R384" s="28" t="b">
        <v>0</v>
      </c>
      <c r="S384" s="28" t="b">
        <v>0</v>
      </c>
      <c r="T384" s="28" t="b">
        <v>0</v>
      </c>
      <c r="U384" s="28" t="b">
        <v>0</v>
      </c>
      <c r="V384" s="28" t="b">
        <v>0</v>
      </c>
      <c r="W384" s="28" t="b">
        <v>0</v>
      </c>
    </row>
    <row r="385" ht="69" customHeight="1" s="222">
      <c r="A385" s="164">
        <f>Accounts!A355</f>
        <v/>
      </c>
      <c r="B385" s="145" t="b">
        <v>0</v>
      </c>
      <c r="C385" s="176">
        <f>Accounts!T355</f>
        <v/>
      </c>
      <c r="D385" s="174" t="n"/>
      <c r="E385" s="174" t="n"/>
      <c r="F385" s="176">
        <f>Accounts!F355</f>
        <v/>
      </c>
      <c r="G385" s="174">
        <f>Accounts!O355</f>
        <v/>
      </c>
      <c r="H385" s="174">
        <f>Accounts!P355</f>
        <v/>
      </c>
      <c r="I385" s="174">
        <f>Accounts!H355</f>
        <v/>
      </c>
      <c r="J385" s="174">
        <f>Accounts!I355</f>
        <v/>
      </c>
      <c r="K385" s="176">
        <f>#REF!</f>
        <v/>
      </c>
      <c r="L385" s="173" t="n"/>
      <c r="M385" s="9" t="n"/>
      <c r="N385" s="28" t="b">
        <v>0</v>
      </c>
      <c r="O385" s="172" t="b">
        <v>0</v>
      </c>
      <c r="P385" s="28" t="b">
        <v>0</v>
      </c>
      <c r="Q385" s="28" t="b">
        <v>0</v>
      </c>
      <c r="R385" s="28" t="b">
        <v>0</v>
      </c>
      <c r="S385" s="28" t="b">
        <v>0</v>
      </c>
      <c r="T385" s="28" t="b">
        <v>0</v>
      </c>
      <c r="U385" s="28" t="b">
        <v>0</v>
      </c>
      <c r="V385" s="28" t="b">
        <v>0</v>
      </c>
      <c r="W385" s="28" t="b">
        <v>0</v>
      </c>
    </row>
    <row r="386" ht="69" customHeight="1" s="222">
      <c r="A386" s="164">
        <f>Accounts!A356</f>
        <v/>
      </c>
      <c r="B386" s="145" t="b">
        <v>0</v>
      </c>
      <c r="C386" s="176">
        <f>Accounts!T356</f>
        <v/>
      </c>
      <c r="D386" s="174" t="n"/>
      <c r="E386" s="174" t="n"/>
      <c r="F386" s="176">
        <f>Accounts!F356</f>
        <v/>
      </c>
      <c r="G386" s="174">
        <f>Accounts!O356</f>
        <v/>
      </c>
      <c r="H386" s="174">
        <f>Accounts!P356</f>
        <v/>
      </c>
      <c r="I386" s="174">
        <f>Accounts!H356</f>
        <v/>
      </c>
      <c r="J386" s="174">
        <f>Accounts!I356</f>
        <v/>
      </c>
      <c r="K386" s="176">
        <f>#REF!</f>
        <v/>
      </c>
      <c r="L386" s="173" t="n"/>
      <c r="M386" s="9" t="n"/>
      <c r="N386" s="28" t="b">
        <v>0</v>
      </c>
      <c r="O386" s="172" t="b">
        <v>0</v>
      </c>
      <c r="P386" s="28" t="b">
        <v>0</v>
      </c>
      <c r="Q386" s="28" t="b">
        <v>0</v>
      </c>
      <c r="R386" s="28" t="b">
        <v>0</v>
      </c>
      <c r="S386" s="28" t="b">
        <v>0</v>
      </c>
      <c r="T386" s="28" t="b">
        <v>0</v>
      </c>
      <c r="U386" s="28" t="b">
        <v>0</v>
      </c>
      <c r="V386" s="28" t="b">
        <v>0</v>
      </c>
      <c r="W386" s="28" t="b">
        <v>0</v>
      </c>
    </row>
    <row r="387" ht="69" customHeight="1" s="222">
      <c r="A387" s="164">
        <f>Accounts!A357</f>
        <v/>
      </c>
      <c r="B387" s="145" t="b">
        <v>0</v>
      </c>
      <c r="C387" s="176">
        <f>Accounts!T357</f>
        <v/>
      </c>
      <c r="D387" s="174" t="n"/>
      <c r="E387" s="174" t="n"/>
      <c r="F387" s="176">
        <f>Accounts!F357</f>
        <v/>
      </c>
      <c r="G387" s="174">
        <f>Accounts!O357</f>
        <v/>
      </c>
      <c r="H387" s="174">
        <f>Accounts!P357</f>
        <v/>
      </c>
      <c r="I387" s="174">
        <f>Accounts!H357</f>
        <v/>
      </c>
      <c r="J387" s="174">
        <f>Accounts!I357</f>
        <v/>
      </c>
      <c r="K387" s="176">
        <f>#REF!</f>
        <v/>
      </c>
      <c r="L387" s="173" t="n"/>
      <c r="M387" s="9" t="n"/>
      <c r="N387" s="28" t="b">
        <v>0</v>
      </c>
      <c r="O387" s="172" t="b">
        <v>0</v>
      </c>
      <c r="P387" s="28" t="b">
        <v>0</v>
      </c>
      <c r="Q387" s="28" t="b">
        <v>0</v>
      </c>
      <c r="R387" s="28" t="b">
        <v>0</v>
      </c>
      <c r="S387" s="28" t="b">
        <v>0</v>
      </c>
      <c r="T387" s="28" t="b">
        <v>0</v>
      </c>
      <c r="U387" s="28" t="b">
        <v>0</v>
      </c>
      <c r="V387" s="28" t="b">
        <v>0</v>
      </c>
      <c r="W387" s="28" t="b">
        <v>0</v>
      </c>
    </row>
    <row r="388" ht="69" customHeight="1" s="222">
      <c r="A388" s="164">
        <f>Accounts!A358</f>
        <v/>
      </c>
      <c r="B388" s="145" t="b">
        <v>0</v>
      </c>
      <c r="C388" s="176">
        <f>Accounts!T358</f>
        <v/>
      </c>
      <c r="D388" s="174" t="n"/>
      <c r="E388" s="174" t="n"/>
      <c r="F388" s="176">
        <f>Accounts!F358</f>
        <v/>
      </c>
      <c r="G388" s="174">
        <f>Accounts!O358</f>
        <v/>
      </c>
      <c r="H388" s="174">
        <f>Accounts!P358</f>
        <v/>
      </c>
      <c r="I388" s="174">
        <f>Accounts!H358</f>
        <v/>
      </c>
      <c r="J388" s="174">
        <f>Accounts!I358</f>
        <v/>
      </c>
      <c r="K388" s="176">
        <f>#REF!</f>
        <v/>
      </c>
      <c r="L388" s="173" t="n"/>
      <c r="M388" s="9" t="n"/>
      <c r="N388" s="28" t="b">
        <v>0</v>
      </c>
      <c r="O388" s="172" t="b">
        <v>0</v>
      </c>
      <c r="P388" s="28" t="b">
        <v>0</v>
      </c>
      <c r="Q388" s="28" t="b">
        <v>0</v>
      </c>
      <c r="R388" s="28" t="b">
        <v>0</v>
      </c>
      <c r="S388" s="28" t="b">
        <v>0</v>
      </c>
      <c r="T388" s="28" t="b">
        <v>0</v>
      </c>
      <c r="U388" s="28" t="b">
        <v>0</v>
      </c>
      <c r="V388" s="28" t="b">
        <v>0</v>
      </c>
      <c r="W388" s="28" t="b">
        <v>0</v>
      </c>
    </row>
    <row r="389" ht="69" customHeight="1" s="222">
      <c r="A389" s="164">
        <f>Accounts!A359</f>
        <v/>
      </c>
      <c r="B389" s="145" t="b">
        <v>0</v>
      </c>
      <c r="C389" s="176">
        <f>Accounts!T359</f>
        <v/>
      </c>
      <c r="D389" s="174" t="n"/>
      <c r="E389" s="174" t="n"/>
      <c r="F389" s="176">
        <f>Accounts!F359</f>
        <v/>
      </c>
      <c r="G389" s="174">
        <f>Accounts!O359</f>
        <v/>
      </c>
      <c r="H389" s="174">
        <f>Accounts!P359</f>
        <v/>
      </c>
      <c r="I389" s="174">
        <f>Accounts!H359</f>
        <v/>
      </c>
      <c r="J389" s="174">
        <f>Accounts!I359</f>
        <v/>
      </c>
      <c r="K389" s="176">
        <f>#REF!</f>
        <v/>
      </c>
      <c r="L389" s="173" t="n"/>
      <c r="M389" s="9" t="n"/>
      <c r="N389" s="28" t="b">
        <v>0</v>
      </c>
      <c r="O389" s="172" t="b">
        <v>0</v>
      </c>
      <c r="P389" s="28" t="b">
        <v>0</v>
      </c>
      <c r="Q389" s="28" t="b">
        <v>0</v>
      </c>
      <c r="R389" s="28" t="b">
        <v>0</v>
      </c>
      <c r="S389" s="28" t="b">
        <v>0</v>
      </c>
      <c r="T389" s="28" t="b">
        <v>0</v>
      </c>
      <c r="U389" s="28" t="b">
        <v>0</v>
      </c>
      <c r="V389" s="28" t="b">
        <v>0</v>
      </c>
      <c r="W389" s="28" t="b">
        <v>0</v>
      </c>
    </row>
    <row r="390" ht="69" customHeight="1" s="222">
      <c r="A390" s="164">
        <f>Accounts!A360</f>
        <v/>
      </c>
      <c r="B390" s="145" t="b">
        <v>0</v>
      </c>
      <c r="C390" s="176">
        <f>Accounts!T360</f>
        <v/>
      </c>
      <c r="D390" s="174" t="n"/>
      <c r="E390" s="174" t="n"/>
      <c r="F390" s="176">
        <f>Accounts!F360</f>
        <v/>
      </c>
      <c r="G390" s="174">
        <f>Accounts!O360</f>
        <v/>
      </c>
      <c r="H390" s="174">
        <f>Accounts!P360</f>
        <v/>
      </c>
      <c r="I390" s="174">
        <f>Accounts!H360</f>
        <v/>
      </c>
      <c r="J390" s="174">
        <f>Accounts!I360</f>
        <v/>
      </c>
      <c r="K390" s="176">
        <f>#REF!</f>
        <v/>
      </c>
      <c r="L390" s="173" t="n"/>
      <c r="M390" s="9" t="n"/>
      <c r="N390" s="28" t="b">
        <v>0</v>
      </c>
      <c r="O390" s="172" t="b">
        <v>0</v>
      </c>
      <c r="P390" s="28" t="b">
        <v>0</v>
      </c>
      <c r="Q390" s="28" t="b">
        <v>0</v>
      </c>
      <c r="R390" s="28" t="b">
        <v>0</v>
      </c>
      <c r="S390" s="28" t="b">
        <v>0</v>
      </c>
      <c r="T390" s="28" t="b">
        <v>0</v>
      </c>
      <c r="U390" s="28" t="b">
        <v>0</v>
      </c>
      <c r="V390" s="28" t="b">
        <v>0</v>
      </c>
      <c r="W390" s="28" t="b">
        <v>0</v>
      </c>
    </row>
    <row r="391" ht="69" customHeight="1" s="222">
      <c r="A391" s="164">
        <f>Accounts!A361</f>
        <v/>
      </c>
      <c r="B391" s="145" t="b">
        <v>0</v>
      </c>
      <c r="C391" s="176">
        <f>Accounts!T361</f>
        <v/>
      </c>
      <c r="D391" s="174" t="n"/>
      <c r="E391" s="174" t="n"/>
      <c r="F391" s="176">
        <f>Accounts!F361</f>
        <v/>
      </c>
      <c r="G391" s="174">
        <f>Accounts!O361</f>
        <v/>
      </c>
      <c r="H391" s="174">
        <f>Accounts!P361</f>
        <v/>
      </c>
      <c r="I391" s="174">
        <f>Accounts!H361</f>
        <v/>
      </c>
      <c r="J391" s="174">
        <f>Accounts!I361</f>
        <v/>
      </c>
      <c r="K391" s="176">
        <f>#REF!</f>
        <v/>
      </c>
      <c r="L391" s="173" t="n"/>
      <c r="M391" s="9" t="n"/>
      <c r="N391" s="28" t="b">
        <v>0</v>
      </c>
      <c r="O391" s="172" t="b">
        <v>0</v>
      </c>
      <c r="P391" s="28" t="b">
        <v>0</v>
      </c>
      <c r="Q391" s="28" t="b">
        <v>0</v>
      </c>
      <c r="R391" s="28" t="b">
        <v>0</v>
      </c>
      <c r="S391" s="28" t="b">
        <v>0</v>
      </c>
      <c r="T391" s="28" t="b">
        <v>0</v>
      </c>
      <c r="U391" s="28" t="b">
        <v>0</v>
      </c>
      <c r="V391" s="28" t="b">
        <v>0</v>
      </c>
      <c r="W391" s="28" t="b">
        <v>0</v>
      </c>
    </row>
    <row r="392" ht="69" customHeight="1" s="222">
      <c r="A392" s="164">
        <f>Accounts!A362</f>
        <v/>
      </c>
      <c r="B392" s="145" t="b">
        <v>0</v>
      </c>
      <c r="C392" s="176">
        <f>Accounts!T362</f>
        <v/>
      </c>
      <c r="D392" s="174" t="n"/>
      <c r="E392" s="174" t="n"/>
      <c r="F392" s="176">
        <f>Accounts!F362</f>
        <v/>
      </c>
      <c r="G392" s="174">
        <f>Accounts!O362</f>
        <v/>
      </c>
      <c r="H392" s="174">
        <f>Accounts!P362</f>
        <v/>
      </c>
      <c r="I392" s="174">
        <f>Accounts!H362</f>
        <v/>
      </c>
      <c r="J392" s="174">
        <f>Accounts!I362</f>
        <v/>
      </c>
      <c r="K392" s="176">
        <f>#REF!</f>
        <v/>
      </c>
      <c r="L392" s="173" t="n"/>
      <c r="M392" s="9" t="n"/>
      <c r="N392" s="28" t="b">
        <v>0</v>
      </c>
      <c r="O392" s="172" t="b">
        <v>0</v>
      </c>
      <c r="P392" s="28" t="b">
        <v>0</v>
      </c>
      <c r="Q392" s="28" t="b">
        <v>0</v>
      </c>
      <c r="R392" s="28" t="b">
        <v>0</v>
      </c>
      <c r="S392" s="28" t="b">
        <v>0</v>
      </c>
      <c r="T392" s="28" t="b">
        <v>0</v>
      </c>
      <c r="U392" s="28" t="b">
        <v>0</v>
      </c>
      <c r="V392" s="28" t="b">
        <v>0</v>
      </c>
      <c r="W392" s="28" t="b">
        <v>0</v>
      </c>
    </row>
    <row r="393" ht="69" customHeight="1" s="222">
      <c r="A393" s="164">
        <f>Accounts!A363</f>
        <v/>
      </c>
      <c r="B393" s="145" t="b">
        <v>0</v>
      </c>
      <c r="C393" s="176">
        <f>Accounts!T363</f>
        <v/>
      </c>
      <c r="D393" s="174" t="n"/>
      <c r="E393" s="174" t="n"/>
      <c r="F393" s="176">
        <f>Accounts!F363</f>
        <v/>
      </c>
      <c r="G393" s="174">
        <f>Accounts!O363</f>
        <v/>
      </c>
      <c r="H393" s="174">
        <f>Accounts!P363</f>
        <v/>
      </c>
      <c r="I393" s="174">
        <f>Accounts!H363</f>
        <v/>
      </c>
      <c r="J393" s="174">
        <f>Accounts!I363</f>
        <v/>
      </c>
      <c r="K393" s="176">
        <f>#REF!</f>
        <v/>
      </c>
      <c r="L393" s="173" t="n"/>
      <c r="M393" s="9" t="n"/>
      <c r="N393" s="28" t="b">
        <v>0</v>
      </c>
      <c r="O393" s="172" t="b">
        <v>0</v>
      </c>
      <c r="P393" s="28" t="b">
        <v>0</v>
      </c>
      <c r="Q393" s="28" t="b">
        <v>0</v>
      </c>
      <c r="R393" s="28" t="b">
        <v>0</v>
      </c>
      <c r="S393" s="28" t="b">
        <v>0</v>
      </c>
      <c r="T393" s="28" t="b">
        <v>0</v>
      </c>
      <c r="U393" s="28" t="b">
        <v>0</v>
      </c>
      <c r="V393" s="28" t="b">
        <v>0</v>
      </c>
      <c r="W393" s="28" t="b">
        <v>0</v>
      </c>
    </row>
    <row r="394" ht="69" customHeight="1" s="222">
      <c r="A394" s="164">
        <f>Accounts!A364</f>
        <v/>
      </c>
      <c r="B394" s="145" t="b">
        <v>0</v>
      </c>
      <c r="C394" s="176">
        <f>Accounts!T364</f>
        <v/>
      </c>
      <c r="D394" s="174" t="n"/>
      <c r="E394" s="174" t="n"/>
      <c r="F394" s="176">
        <f>Accounts!F364</f>
        <v/>
      </c>
      <c r="G394" s="174">
        <f>Accounts!O364</f>
        <v/>
      </c>
      <c r="H394" s="174">
        <f>Accounts!P364</f>
        <v/>
      </c>
      <c r="I394" s="174">
        <f>Accounts!H364</f>
        <v/>
      </c>
      <c r="J394" s="174">
        <f>Accounts!I364</f>
        <v/>
      </c>
      <c r="K394" s="176">
        <f>#REF!</f>
        <v/>
      </c>
      <c r="L394" s="173" t="n"/>
      <c r="M394" s="9" t="n"/>
      <c r="N394" s="28" t="b">
        <v>0</v>
      </c>
      <c r="O394" s="172" t="b">
        <v>0</v>
      </c>
      <c r="P394" s="28" t="b">
        <v>0</v>
      </c>
      <c r="Q394" s="28" t="b">
        <v>0</v>
      </c>
      <c r="R394" s="28" t="b">
        <v>0</v>
      </c>
      <c r="S394" s="28" t="b">
        <v>0</v>
      </c>
      <c r="T394" s="28" t="b">
        <v>0</v>
      </c>
      <c r="U394" s="28" t="b">
        <v>0</v>
      </c>
      <c r="V394" s="28" t="b">
        <v>0</v>
      </c>
      <c r="W394" s="28" t="b">
        <v>0</v>
      </c>
    </row>
    <row r="395" ht="69" customHeight="1" s="222">
      <c r="A395" s="164">
        <f>Accounts!A365</f>
        <v/>
      </c>
      <c r="B395" s="145" t="b">
        <v>0</v>
      </c>
      <c r="C395" s="176">
        <f>Accounts!T365</f>
        <v/>
      </c>
      <c r="D395" s="174" t="n"/>
      <c r="E395" s="174" t="n"/>
      <c r="F395" s="176">
        <f>Accounts!F365</f>
        <v/>
      </c>
      <c r="G395" s="174">
        <f>Accounts!O365</f>
        <v/>
      </c>
      <c r="H395" s="174">
        <f>Accounts!P365</f>
        <v/>
      </c>
      <c r="I395" s="174">
        <f>Accounts!H365</f>
        <v/>
      </c>
      <c r="J395" s="174">
        <f>Accounts!I365</f>
        <v/>
      </c>
      <c r="K395" s="176">
        <f>#REF!</f>
        <v/>
      </c>
      <c r="L395" s="173" t="n"/>
      <c r="M395" s="9" t="n"/>
      <c r="N395" s="28" t="b">
        <v>0</v>
      </c>
      <c r="O395" s="172" t="b">
        <v>0</v>
      </c>
      <c r="P395" s="28" t="b">
        <v>0</v>
      </c>
      <c r="Q395" s="28" t="b">
        <v>0</v>
      </c>
      <c r="R395" s="28" t="b">
        <v>0</v>
      </c>
      <c r="S395" s="28" t="b">
        <v>0</v>
      </c>
      <c r="T395" s="28" t="b">
        <v>0</v>
      </c>
      <c r="U395" s="28" t="b">
        <v>0</v>
      </c>
      <c r="V395" s="28" t="b">
        <v>0</v>
      </c>
      <c r="W395" s="28" t="b">
        <v>0</v>
      </c>
    </row>
    <row r="396" ht="69" customHeight="1" s="222">
      <c r="A396" s="164">
        <f>Accounts!A366</f>
        <v/>
      </c>
      <c r="B396" s="145" t="b">
        <v>0</v>
      </c>
      <c r="C396" s="176">
        <f>Accounts!T366</f>
        <v/>
      </c>
      <c r="D396" s="174" t="n"/>
      <c r="E396" s="174" t="n"/>
      <c r="F396" s="176">
        <f>Accounts!F366</f>
        <v/>
      </c>
      <c r="G396" s="174">
        <f>Accounts!O366</f>
        <v/>
      </c>
      <c r="H396" s="174">
        <f>Accounts!P366</f>
        <v/>
      </c>
      <c r="I396" s="174">
        <f>Accounts!H366</f>
        <v/>
      </c>
      <c r="J396" s="174">
        <f>Accounts!I366</f>
        <v/>
      </c>
      <c r="K396" s="176">
        <f>#REF!</f>
        <v/>
      </c>
      <c r="L396" s="173" t="n"/>
      <c r="M396" s="9" t="n"/>
      <c r="N396" s="28" t="b">
        <v>0</v>
      </c>
      <c r="O396" s="172" t="b">
        <v>0</v>
      </c>
      <c r="P396" s="28" t="b">
        <v>0</v>
      </c>
      <c r="Q396" s="28" t="b">
        <v>0</v>
      </c>
      <c r="R396" s="28" t="b">
        <v>0</v>
      </c>
      <c r="S396" s="28" t="b">
        <v>0</v>
      </c>
      <c r="T396" s="28" t="b">
        <v>0</v>
      </c>
      <c r="U396" s="28" t="b">
        <v>0</v>
      </c>
      <c r="V396" s="28" t="b">
        <v>0</v>
      </c>
      <c r="W396" s="28" t="b">
        <v>0</v>
      </c>
    </row>
    <row r="397" ht="69" customHeight="1" s="222">
      <c r="A397" s="164">
        <f>Accounts!A367</f>
        <v/>
      </c>
      <c r="B397" s="145" t="b">
        <v>0</v>
      </c>
      <c r="C397" s="176">
        <f>Accounts!T367</f>
        <v/>
      </c>
      <c r="D397" s="174" t="n"/>
      <c r="E397" s="174" t="n"/>
      <c r="F397" s="176">
        <f>Accounts!F367</f>
        <v/>
      </c>
      <c r="G397" s="174">
        <f>Accounts!O367</f>
        <v/>
      </c>
      <c r="H397" s="174">
        <f>Accounts!P367</f>
        <v/>
      </c>
      <c r="I397" s="174">
        <f>Accounts!H367</f>
        <v/>
      </c>
      <c r="J397" s="174">
        <f>Accounts!I367</f>
        <v/>
      </c>
      <c r="K397" s="176">
        <f>#REF!</f>
        <v/>
      </c>
      <c r="L397" s="173" t="n"/>
      <c r="M397" s="9" t="n"/>
      <c r="N397" s="28" t="b">
        <v>0</v>
      </c>
      <c r="O397" s="172" t="b">
        <v>0</v>
      </c>
      <c r="P397" s="28" t="b">
        <v>0</v>
      </c>
      <c r="Q397" s="28" t="b">
        <v>0</v>
      </c>
      <c r="R397" s="28" t="b">
        <v>0</v>
      </c>
      <c r="S397" s="28" t="b">
        <v>0</v>
      </c>
      <c r="T397" s="28" t="b">
        <v>0</v>
      </c>
      <c r="U397" s="28" t="b">
        <v>0</v>
      </c>
      <c r="V397" s="28" t="b">
        <v>0</v>
      </c>
      <c r="W397" s="28" t="b">
        <v>0</v>
      </c>
    </row>
    <row r="398" ht="69" customHeight="1" s="222">
      <c r="A398" s="164">
        <f>Accounts!A368</f>
        <v/>
      </c>
      <c r="B398" s="145" t="b">
        <v>0</v>
      </c>
      <c r="C398" s="176">
        <f>Accounts!T368</f>
        <v/>
      </c>
      <c r="D398" s="174" t="n"/>
      <c r="E398" s="174" t="n"/>
      <c r="F398" s="176">
        <f>Accounts!F368</f>
        <v/>
      </c>
      <c r="G398" s="174">
        <f>Accounts!O368</f>
        <v/>
      </c>
      <c r="H398" s="174">
        <f>Accounts!P368</f>
        <v/>
      </c>
      <c r="I398" s="174">
        <f>Accounts!H368</f>
        <v/>
      </c>
      <c r="J398" s="174">
        <f>Accounts!I368</f>
        <v/>
      </c>
      <c r="K398" s="176">
        <f>#REF!</f>
        <v/>
      </c>
      <c r="L398" s="173" t="n"/>
      <c r="M398" s="9" t="n"/>
      <c r="N398" s="28" t="b">
        <v>0</v>
      </c>
      <c r="O398" s="172" t="b">
        <v>0</v>
      </c>
      <c r="P398" s="28" t="b">
        <v>0</v>
      </c>
      <c r="Q398" s="28" t="b">
        <v>0</v>
      </c>
      <c r="R398" s="28" t="b">
        <v>0</v>
      </c>
      <c r="S398" s="28" t="b">
        <v>0</v>
      </c>
      <c r="T398" s="28" t="b">
        <v>0</v>
      </c>
      <c r="U398" s="28" t="b">
        <v>0</v>
      </c>
      <c r="V398" s="28" t="b">
        <v>0</v>
      </c>
      <c r="W398" s="28" t="b">
        <v>0</v>
      </c>
    </row>
    <row r="399" ht="69" customHeight="1" s="222">
      <c r="A399" s="164">
        <f>Accounts!A369</f>
        <v/>
      </c>
      <c r="B399" s="145" t="b">
        <v>0</v>
      </c>
      <c r="C399" s="176">
        <f>Accounts!T369</f>
        <v/>
      </c>
      <c r="D399" s="174" t="n"/>
      <c r="E399" s="174" t="n"/>
      <c r="F399" s="176">
        <f>Accounts!F369</f>
        <v/>
      </c>
      <c r="G399" s="174">
        <f>Accounts!O369</f>
        <v/>
      </c>
      <c r="H399" s="174">
        <f>Accounts!P369</f>
        <v/>
      </c>
      <c r="I399" s="174">
        <f>Accounts!H369</f>
        <v/>
      </c>
      <c r="J399" s="174">
        <f>Accounts!I369</f>
        <v/>
      </c>
      <c r="K399" s="176">
        <f>#REF!</f>
        <v/>
      </c>
      <c r="L399" s="173" t="n"/>
      <c r="M399" s="9" t="n"/>
      <c r="N399" s="28" t="b">
        <v>0</v>
      </c>
      <c r="O399" s="172" t="b">
        <v>0</v>
      </c>
      <c r="P399" s="28" t="b">
        <v>0</v>
      </c>
      <c r="Q399" s="28" t="b">
        <v>0</v>
      </c>
      <c r="R399" s="28" t="b">
        <v>0</v>
      </c>
      <c r="S399" s="28" t="b">
        <v>0</v>
      </c>
      <c r="T399" s="28" t="b">
        <v>0</v>
      </c>
      <c r="U399" s="28" t="b">
        <v>0</v>
      </c>
      <c r="V399" s="28" t="b">
        <v>0</v>
      </c>
      <c r="W399" s="28" t="b">
        <v>0</v>
      </c>
    </row>
    <row r="400" ht="69" customHeight="1" s="222">
      <c r="A400" s="164">
        <f>Accounts!A370</f>
        <v/>
      </c>
      <c r="B400" s="145" t="b">
        <v>0</v>
      </c>
      <c r="C400" s="176">
        <f>Accounts!T370</f>
        <v/>
      </c>
      <c r="D400" s="174" t="n"/>
      <c r="E400" s="174" t="n"/>
      <c r="F400" s="176">
        <f>Accounts!F370</f>
        <v/>
      </c>
      <c r="G400" s="174">
        <f>Accounts!O370</f>
        <v/>
      </c>
      <c r="H400" s="174">
        <f>Accounts!P370</f>
        <v/>
      </c>
      <c r="I400" s="174">
        <f>Accounts!H370</f>
        <v/>
      </c>
      <c r="J400" s="174">
        <f>Accounts!I370</f>
        <v/>
      </c>
      <c r="K400" s="176">
        <f>#REF!</f>
        <v/>
      </c>
      <c r="L400" s="173" t="n"/>
      <c r="M400" s="9" t="n"/>
      <c r="N400" s="28" t="b">
        <v>0</v>
      </c>
      <c r="O400" s="172" t="b">
        <v>0</v>
      </c>
      <c r="P400" s="28" t="b">
        <v>0</v>
      </c>
      <c r="Q400" s="28" t="b">
        <v>0</v>
      </c>
      <c r="R400" s="28" t="b">
        <v>0</v>
      </c>
      <c r="S400" s="28" t="b">
        <v>0</v>
      </c>
      <c r="T400" s="28" t="b">
        <v>0</v>
      </c>
      <c r="U400" s="28" t="b">
        <v>0</v>
      </c>
      <c r="V400" s="28" t="b">
        <v>0</v>
      </c>
      <c r="W400" s="28" t="b">
        <v>0</v>
      </c>
    </row>
    <row r="401" ht="69" customHeight="1" s="222">
      <c r="A401" s="164">
        <f>Accounts!A371</f>
        <v/>
      </c>
      <c r="B401" s="145" t="b">
        <v>0</v>
      </c>
      <c r="C401" s="176">
        <f>Accounts!T371</f>
        <v/>
      </c>
      <c r="D401" s="174" t="n"/>
      <c r="E401" s="174" t="n"/>
      <c r="F401" s="176">
        <f>Accounts!F371</f>
        <v/>
      </c>
      <c r="G401" s="174">
        <f>Accounts!O371</f>
        <v/>
      </c>
      <c r="H401" s="174">
        <f>Accounts!P371</f>
        <v/>
      </c>
      <c r="I401" s="174">
        <f>Accounts!H371</f>
        <v/>
      </c>
      <c r="J401" s="174">
        <f>Accounts!I371</f>
        <v/>
      </c>
      <c r="K401" s="176">
        <f>#REF!</f>
        <v/>
      </c>
      <c r="L401" s="173" t="n"/>
      <c r="M401" s="9" t="n"/>
      <c r="N401" s="28" t="b">
        <v>0</v>
      </c>
      <c r="O401" s="172" t="b">
        <v>0</v>
      </c>
      <c r="P401" s="28" t="b">
        <v>0</v>
      </c>
      <c r="Q401" s="28" t="b">
        <v>0</v>
      </c>
      <c r="R401" s="28" t="b">
        <v>0</v>
      </c>
      <c r="S401" s="28" t="b">
        <v>0</v>
      </c>
      <c r="T401" s="28" t="b">
        <v>0</v>
      </c>
      <c r="U401" s="28" t="b">
        <v>0</v>
      </c>
      <c r="V401" s="28" t="b">
        <v>0</v>
      </c>
      <c r="W401" s="28" t="b">
        <v>0</v>
      </c>
    </row>
    <row r="402" ht="69" customHeight="1" s="222">
      <c r="A402" s="164">
        <f>Accounts!A372</f>
        <v/>
      </c>
      <c r="B402" s="145" t="b">
        <v>0</v>
      </c>
      <c r="C402" s="176">
        <f>Accounts!T372</f>
        <v/>
      </c>
      <c r="D402" s="174" t="n"/>
      <c r="E402" s="174" t="n"/>
      <c r="F402" s="176">
        <f>Accounts!F372</f>
        <v/>
      </c>
      <c r="G402" s="174">
        <f>Accounts!O372</f>
        <v/>
      </c>
      <c r="H402" s="174">
        <f>Accounts!P372</f>
        <v/>
      </c>
      <c r="I402" s="174">
        <f>Accounts!H372</f>
        <v/>
      </c>
      <c r="J402" s="174">
        <f>Accounts!I372</f>
        <v/>
      </c>
      <c r="K402" s="176">
        <f>#REF!</f>
        <v/>
      </c>
      <c r="L402" s="173" t="n"/>
      <c r="M402" s="9" t="n"/>
      <c r="N402" s="28" t="b">
        <v>0</v>
      </c>
      <c r="O402" s="172" t="b">
        <v>0</v>
      </c>
      <c r="P402" s="28" t="b">
        <v>0</v>
      </c>
      <c r="Q402" s="28" t="b">
        <v>0</v>
      </c>
      <c r="R402" s="28" t="b">
        <v>0</v>
      </c>
      <c r="S402" s="28" t="b">
        <v>0</v>
      </c>
      <c r="T402" s="28" t="b">
        <v>0</v>
      </c>
      <c r="U402" s="28" t="b">
        <v>0</v>
      </c>
      <c r="V402" s="28" t="b">
        <v>0</v>
      </c>
      <c r="W402" s="28" t="b">
        <v>0</v>
      </c>
    </row>
    <row r="403" ht="69" customHeight="1" s="222">
      <c r="A403" s="164">
        <f>Accounts!A373</f>
        <v/>
      </c>
      <c r="B403" s="145" t="b">
        <v>0</v>
      </c>
      <c r="C403" s="176">
        <f>Accounts!T373</f>
        <v/>
      </c>
      <c r="D403" s="174" t="n"/>
      <c r="E403" s="174" t="n"/>
      <c r="F403" s="176">
        <f>Accounts!F373</f>
        <v/>
      </c>
      <c r="G403" s="174">
        <f>Accounts!O373</f>
        <v/>
      </c>
      <c r="H403" s="174">
        <f>Accounts!P373</f>
        <v/>
      </c>
      <c r="I403" s="174">
        <f>Accounts!H373</f>
        <v/>
      </c>
      <c r="J403" s="174">
        <f>Accounts!I373</f>
        <v/>
      </c>
      <c r="K403" s="176">
        <f>#REF!</f>
        <v/>
      </c>
      <c r="L403" s="173" t="n"/>
      <c r="M403" s="9" t="n"/>
      <c r="N403" s="28" t="b">
        <v>0</v>
      </c>
      <c r="O403" s="172" t="b">
        <v>0</v>
      </c>
      <c r="P403" s="28" t="b">
        <v>0</v>
      </c>
      <c r="Q403" s="28" t="b">
        <v>0</v>
      </c>
      <c r="R403" s="28" t="b">
        <v>0</v>
      </c>
      <c r="S403" s="28" t="b">
        <v>0</v>
      </c>
      <c r="T403" s="28" t="b">
        <v>0</v>
      </c>
      <c r="U403" s="28" t="b">
        <v>0</v>
      </c>
      <c r="V403" s="28" t="b">
        <v>0</v>
      </c>
      <c r="W403" s="28" t="b">
        <v>0</v>
      </c>
    </row>
    <row r="404" ht="69" customHeight="1" s="222">
      <c r="A404" s="164">
        <f>#REF!</f>
        <v/>
      </c>
      <c r="B404" s="145" t="b">
        <v>0</v>
      </c>
      <c r="C404" s="176">
        <f>#REF!</f>
        <v/>
      </c>
      <c r="D404" s="174" t="n"/>
      <c r="E404" s="174" t="n"/>
      <c r="F404" s="176">
        <f>#REF!</f>
        <v/>
      </c>
      <c r="G404" s="174">
        <f>#REF!</f>
        <v/>
      </c>
      <c r="H404" s="174">
        <f>#REF!</f>
        <v/>
      </c>
      <c r="I404" s="174">
        <f>#REF!</f>
        <v/>
      </c>
      <c r="J404" s="174">
        <f>#REF!</f>
        <v/>
      </c>
      <c r="K404" s="176">
        <f>#REF!</f>
        <v/>
      </c>
      <c r="L404" s="173" t="n"/>
      <c r="M404" s="9" t="n"/>
      <c r="N404" s="28" t="b">
        <v>0</v>
      </c>
      <c r="O404" s="172" t="b">
        <v>0</v>
      </c>
      <c r="P404" s="28" t="b">
        <v>0</v>
      </c>
      <c r="Q404" s="28" t="b">
        <v>0</v>
      </c>
      <c r="R404" s="28" t="b">
        <v>0</v>
      </c>
      <c r="S404" s="28" t="b">
        <v>0</v>
      </c>
      <c r="T404" s="28" t="b">
        <v>0</v>
      </c>
      <c r="U404" s="28" t="b">
        <v>0</v>
      </c>
      <c r="V404" s="28" t="b">
        <v>0</v>
      </c>
      <c r="W404" s="28" t="b">
        <v>0</v>
      </c>
    </row>
    <row r="405" ht="69" customHeight="1" s="222">
      <c r="A405" s="164">
        <f>#REF!</f>
        <v/>
      </c>
      <c r="B405" s="145" t="b">
        <v>0</v>
      </c>
      <c r="C405" s="176">
        <f>#REF!</f>
        <v/>
      </c>
      <c r="D405" s="174" t="n"/>
      <c r="E405" s="174" t="n"/>
      <c r="F405" s="176">
        <f>#REF!</f>
        <v/>
      </c>
      <c r="G405" s="174">
        <f>#REF!</f>
        <v/>
      </c>
      <c r="H405" s="174">
        <f>#REF!</f>
        <v/>
      </c>
      <c r="I405" s="174">
        <f>#REF!</f>
        <v/>
      </c>
      <c r="J405" s="174">
        <f>#REF!</f>
        <v/>
      </c>
      <c r="K405" s="176">
        <f>#REF!</f>
        <v/>
      </c>
      <c r="L405" s="173" t="n"/>
      <c r="M405" s="9" t="n"/>
      <c r="N405" s="28" t="b">
        <v>0</v>
      </c>
      <c r="O405" s="172" t="b">
        <v>0</v>
      </c>
      <c r="P405" s="28" t="b">
        <v>0</v>
      </c>
      <c r="Q405" s="28" t="b">
        <v>0</v>
      </c>
      <c r="R405" s="28" t="b">
        <v>0</v>
      </c>
      <c r="S405" s="28" t="b">
        <v>0</v>
      </c>
      <c r="T405" s="28" t="b">
        <v>0</v>
      </c>
      <c r="U405" s="28" t="b">
        <v>0</v>
      </c>
      <c r="V405" s="28" t="b">
        <v>0</v>
      </c>
      <c r="W405" s="28" t="b">
        <v>0</v>
      </c>
    </row>
    <row r="406" ht="69" customHeight="1" s="222">
      <c r="A406" s="164">
        <f>#REF!</f>
        <v/>
      </c>
      <c r="B406" s="145" t="b">
        <v>0</v>
      </c>
      <c r="C406" s="176">
        <f>#REF!</f>
        <v/>
      </c>
      <c r="D406" s="174" t="n"/>
      <c r="E406" s="174" t="n"/>
      <c r="F406" s="176">
        <f>#REF!</f>
        <v/>
      </c>
      <c r="G406" s="174">
        <f>#REF!</f>
        <v/>
      </c>
      <c r="H406" s="174">
        <f>#REF!</f>
        <v/>
      </c>
      <c r="I406" s="174">
        <f>#REF!</f>
        <v/>
      </c>
      <c r="J406" s="174">
        <f>#REF!</f>
        <v/>
      </c>
      <c r="K406" s="176">
        <f>#REF!</f>
        <v/>
      </c>
      <c r="L406" s="173" t="n"/>
      <c r="M406" s="9" t="n"/>
      <c r="N406" s="28" t="b">
        <v>0</v>
      </c>
      <c r="O406" s="172" t="b">
        <v>0</v>
      </c>
      <c r="P406" s="28" t="b">
        <v>0</v>
      </c>
      <c r="Q406" s="28" t="b">
        <v>0</v>
      </c>
      <c r="R406" s="28" t="b">
        <v>0</v>
      </c>
      <c r="S406" s="28" t="b">
        <v>0</v>
      </c>
      <c r="T406" s="28" t="b">
        <v>0</v>
      </c>
      <c r="U406" s="28" t="b">
        <v>0</v>
      </c>
      <c r="V406" s="28" t="b">
        <v>0</v>
      </c>
      <c r="W406" s="28" t="b">
        <v>0</v>
      </c>
    </row>
    <row r="407" ht="69" customHeight="1" s="222">
      <c r="A407" s="164">
        <f>#REF!</f>
        <v/>
      </c>
      <c r="B407" s="145" t="b">
        <v>0</v>
      </c>
      <c r="C407" s="176">
        <f>#REF!</f>
        <v/>
      </c>
      <c r="D407" s="174" t="n"/>
      <c r="E407" s="174" t="n"/>
      <c r="F407" s="176">
        <f>#REF!</f>
        <v/>
      </c>
      <c r="G407" s="174">
        <f>#REF!</f>
        <v/>
      </c>
      <c r="H407" s="174">
        <f>#REF!</f>
        <v/>
      </c>
      <c r="I407" s="174">
        <f>#REF!</f>
        <v/>
      </c>
      <c r="J407" s="174">
        <f>#REF!</f>
        <v/>
      </c>
      <c r="K407" s="176">
        <f>#REF!</f>
        <v/>
      </c>
      <c r="L407" s="173" t="n"/>
      <c r="M407" s="9" t="n"/>
      <c r="N407" s="28" t="b">
        <v>0</v>
      </c>
      <c r="O407" s="172" t="b">
        <v>0</v>
      </c>
      <c r="P407" s="28" t="b">
        <v>0</v>
      </c>
      <c r="Q407" s="28" t="b">
        <v>0</v>
      </c>
      <c r="R407" s="28" t="b">
        <v>0</v>
      </c>
      <c r="S407" s="28" t="b">
        <v>0</v>
      </c>
      <c r="T407" s="28" t="b">
        <v>0</v>
      </c>
      <c r="U407" s="28" t="b">
        <v>0</v>
      </c>
      <c r="V407" s="28" t="b">
        <v>0</v>
      </c>
      <c r="W407" s="28" t="b">
        <v>0</v>
      </c>
    </row>
    <row r="408" ht="69" customHeight="1" s="222">
      <c r="A408" s="164">
        <f>#REF!</f>
        <v/>
      </c>
      <c r="B408" s="145" t="b">
        <v>0</v>
      </c>
      <c r="C408" s="176">
        <f>#REF!</f>
        <v/>
      </c>
      <c r="D408" s="174" t="n"/>
      <c r="E408" s="174" t="n"/>
      <c r="F408" s="176">
        <f>#REF!</f>
        <v/>
      </c>
      <c r="G408" s="174">
        <f>#REF!</f>
        <v/>
      </c>
      <c r="H408" s="174">
        <f>#REF!</f>
        <v/>
      </c>
      <c r="I408" s="174">
        <f>#REF!</f>
        <v/>
      </c>
      <c r="J408" s="174">
        <f>#REF!</f>
        <v/>
      </c>
      <c r="K408" s="176">
        <f>#REF!</f>
        <v/>
      </c>
      <c r="L408" s="173" t="n"/>
      <c r="M408" s="9" t="n"/>
      <c r="N408" s="28" t="b">
        <v>0</v>
      </c>
      <c r="O408" s="172" t="b">
        <v>0</v>
      </c>
      <c r="P408" s="28" t="b">
        <v>0</v>
      </c>
      <c r="Q408" s="28" t="b">
        <v>0</v>
      </c>
      <c r="R408" s="28" t="b">
        <v>0</v>
      </c>
      <c r="S408" s="28" t="b">
        <v>0</v>
      </c>
      <c r="T408" s="28" t="b">
        <v>0</v>
      </c>
      <c r="U408" s="28" t="b">
        <v>0</v>
      </c>
      <c r="V408" s="28" t="b">
        <v>0</v>
      </c>
      <c r="W408" s="28" t="b">
        <v>0</v>
      </c>
    </row>
    <row r="409" ht="69" customHeight="1" s="222">
      <c r="A409" s="164">
        <f>#REF!</f>
        <v/>
      </c>
      <c r="B409" s="145" t="b">
        <v>0</v>
      </c>
      <c r="C409" s="176">
        <f>#REF!</f>
        <v/>
      </c>
      <c r="D409" s="174" t="n"/>
      <c r="E409" s="174" t="n"/>
      <c r="F409" s="176">
        <f>#REF!</f>
        <v/>
      </c>
      <c r="G409" s="174">
        <f>#REF!</f>
        <v/>
      </c>
      <c r="H409" s="174">
        <f>#REF!</f>
        <v/>
      </c>
      <c r="I409" s="174">
        <f>#REF!</f>
        <v/>
      </c>
      <c r="J409" s="174">
        <f>#REF!</f>
        <v/>
      </c>
      <c r="K409" s="176">
        <f>#REF!</f>
        <v/>
      </c>
      <c r="L409" s="173" t="n"/>
      <c r="M409" s="9" t="n"/>
      <c r="N409" s="28" t="b">
        <v>0</v>
      </c>
      <c r="O409" s="172" t="b">
        <v>0</v>
      </c>
      <c r="P409" s="28" t="b">
        <v>0</v>
      </c>
      <c r="Q409" s="28" t="b">
        <v>0</v>
      </c>
      <c r="R409" s="28" t="b">
        <v>0</v>
      </c>
      <c r="S409" s="28" t="b">
        <v>0</v>
      </c>
      <c r="T409" s="28" t="b">
        <v>0</v>
      </c>
      <c r="U409" s="28" t="b">
        <v>0</v>
      </c>
      <c r="V409" s="28" t="b">
        <v>0</v>
      </c>
      <c r="W409" s="28" t="b">
        <v>0</v>
      </c>
    </row>
    <row r="410" ht="69" customHeight="1" s="222">
      <c r="A410" s="164">
        <f>#REF!</f>
        <v/>
      </c>
      <c r="B410" s="145" t="b">
        <v>0</v>
      </c>
      <c r="C410" s="176">
        <f>#REF!</f>
        <v/>
      </c>
      <c r="D410" s="174" t="n"/>
      <c r="E410" s="174" t="n"/>
      <c r="F410" s="176">
        <f>#REF!</f>
        <v/>
      </c>
      <c r="G410" s="174">
        <f>#REF!</f>
        <v/>
      </c>
      <c r="H410" s="174">
        <f>#REF!</f>
        <v/>
      </c>
      <c r="I410" s="174">
        <f>#REF!</f>
        <v/>
      </c>
      <c r="J410" s="174">
        <f>#REF!</f>
        <v/>
      </c>
      <c r="K410" s="176">
        <f>#REF!</f>
        <v/>
      </c>
      <c r="L410" s="173" t="n"/>
      <c r="M410" s="9" t="n"/>
      <c r="N410" s="28" t="b">
        <v>0</v>
      </c>
      <c r="O410" s="172" t="b">
        <v>0</v>
      </c>
      <c r="P410" s="28" t="b">
        <v>0</v>
      </c>
      <c r="Q410" s="28" t="b">
        <v>0</v>
      </c>
      <c r="R410" s="28" t="b">
        <v>0</v>
      </c>
      <c r="S410" s="28" t="b">
        <v>0</v>
      </c>
      <c r="T410" s="28" t="b">
        <v>0</v>
      </c>
      <c r="U410" s="28" t="b">
        <v>0</v>
      </c>
      <c r="V410" s="28" t="b">
        <v>0</v>
      </c>
      <c r="W410" s="28" t="b">
        <v>0</v>
      </c>
    </row>
    <row r="411" ht="69" customHeight="1" s="222">
      <c r="A411" s="164">
        <f>#REF!</f>
        <v/>
      </c>
      <c r="B411" s="145" t="b">
        <v>0</v>
      </c>
      <c r="C411" s="176">
        <f>#REF!</f>
        <v/>
      </c>
      <c r="D411" s="174" t="n"/>
      <c r="E411" s="174" t="n"/>
      <c r="F411" s="176">
        <f>#REF!</f>
        <v/>
      </c>
      <c r="G411" s="174">
        <f>#REF!</f>
        <v/>
      </c>
      <c r="H411" s="174">
        <f>#REF!</f>
        <v/>
      </c>
      <c r="I411" s="174">
        <f>#REF!</f>
        <v/>
      </c>
      <c r="J411" s="174">
        <f>#REF!</f>
        <v/>
      </c>
      <c r="K411" s="176">
        <f>#REF!</f>
        <v/>
      </c>
      <c r="L411" s="173" t="n"/>
      <c r="M411" s="9" t="n"/>
      <c r="N411" s="28" t="b">
        <v>0</v>
      </c>
      <c r="O411" s="172" t="b">
        <v>0</v>
      </c>
      <c r="P411" s="28" t="b">
        <v>0</v>
      </c>
      <c r="Q411" s="28" t="b">
        <v>0</v>
      </c>
      <c r="R411" s="28" t="b">
        <v>0</v>
      </c>
      <c r="S411" s="28" t="b">
        <v>0</v>
      </c>
      <c r="T411" s="28" t="b">
        <v>0</v>
      </c>
      <c r="U411" s="28" t="b">
        <v>0</v>
      </c>
      <c r="V411" s="28" t="b">
        <v>0</v>
      </c>
      <c r="W411" s="28" t="b">
        <v>0</v>
      </c>
    </row>
    <row r="412" ht="69" customHeight="1" s="222">
      <c r="A412" s="164">
        <f>#REF!</f>
        <v/>
      </c>
      <c r="B412" s="145" t="b">
        <v>0</v>
      </c>
      <c r="C412" s="176">
        <f>#REF!</f>
        <v/>
      </c>
      <c r="D412" s="174" t="n"/>
      <c r="E412" s="174" t="n"/>
      <c r="F412" s="176">
        <f>#REF!</f>
        <v/>
      </c>
      <c r="G412" s="174">
        <f>#REF!</f>
        <v/>
      </c>
      <c r="H412" s="174">
        <f>#REF!</f>
        <v/>
      </c>
      <c r="I412" s="174">
        <f>#REF!</f>
        <v/>
      </c>
      <c r="J412" s="174">
        <f>#REF!</f>
        <v/>
      </c>
      <c r="K412" s="176">
        <f>#REF!</f>
        <v/>
      </c>
      <c r="L412" s="173" t="n"/>
      <c r="M412" s="9" t="n"/>
      <c r="N412" s="28" t="b">
        <v>0</v>
      </c>
      <c r="O412" s="172" t="b">
        <v>0</v>
      </c>
      <c r="P412" s="28" t="b">
        <v>0</v>
      </c>
      <c r="Q412" s="28" t="b">
        <v>0</v>
      </c>
      <c r="R412" s="28" t="b">
        <v>0</v>
      </c>
      <c r="S412" s="28" t="b">
        <v>0</v>
      </c>
      <c r="T412" s="28" t="b">
        <v>0</v>
      </c>
      <c r="U412" s="28" t="b">
        <v>0</v>
      </c>
      <c r="V412" s="28" t="b">
        <v>0</v>
      </c>
      <c r="W412" s="28" t="b">
        <v>0</v>
      </c>
    </row>
    <row r="413" ht="69" customHeight="1" s="222">
      <c r="A413" s="164">
        <f>#REF!</f>
        <v/>
      </c>
      <c r="B413" s="145" t="b">
        <v>0</v>
      </c>
      <c r="C413" s="176">
        <f>#REF!</f>
        <v/>
      </c>
      <c r="D413" s="174" t="n"/>
      <c r="E413" s="174" t="n"/>
      <c r="F413" s="176">
        <f>#REF!</f>
        <v/>
      </c>
      <c r="G413" s="174">
        <f>#REF!</f>
        <v/>
      </c>
      <c r="H413" s="174">
        <f>#REF!</f>
        <v/>
      </c>
      <c r="I413" s="174">
        <f>#REF!</f>
        <v/>
      </c>
      <c r="J413" s="174">
        <f>#REF!</f>
        <v/>
      </c>
      <c r="K413" s="176">
        <f>#REF!</f>
        <v/>
      </c>
      <c r="L413" s="173" t="n"/>
      <c r="M413" s="9" t="n"/>
      <c r="N413" s="28" t="b">
        <v>0</v>
      </c>
      <c r="O413" s="172" t="b">
        <v>0</v>
      </c>
      <c r="P413" s="28" t="b">
        <v>0</v>
      </c>
      <c r="Q413" s="28" t="b">
        <v>0</v>
      </c>
      <c r="R413" s="28" t="b">
        <v>0</v>
      </c>
      <c r="S413" s="28" t="b">
        <v>0</v>
      </c>
      <c r="T413" s="28" t="b">
        <v>0</v>
      </c>
      <c r="U413" s="28" t="b">
        <v>0</v>
      </c>
      <c r="V413" s="28" t="b">
        <v>0</v>
      </c>
      <c r="W413" s="28" t="b">
        <v>0</v>
      </c>
    </row>
    <row r="414" ht="69" customHeight="1" s="222">
      <c r="A414" s="164">
        <f>#REF!</f>
        <v/>
      </c>
      <c r="B414" s="145" t="b">
        <v>0</v>
      </c>
      <c r="C414" s="176">
        <f>#REF!</f>
        <v/>
      </c>
      <c r="D414" s="174" t="n"/>
      <c r="E414" s="174" t="n"/>
      <c r="F414" s="176">
        <f>#REF!</f>
        <v/>
      </c>
      <c r="G414" s="174">
        <f>#REF!</f>
        <v/>
      </c>
      <c r="H414" s="174">
        <f>#REF!</f>
        <v/>
      </c>
      <c r="I414" s="174">
        <f>#REF!</f>
        <v/>
      </c>
      <c r="J414" s="174">
        <f>#REF!</f>
        <v/>
      </c>
      <c r="K414" s="176">
        <f>#REF!</f>
        <v/>
      </c>
      <c r="L414" s="173" t="n"/>
      <c r="M414" s="9" t="n"/>
      <c r="N414" s="28" t="b">
        <v>0</v>
      </c>
      <c r="O414" s="172" t="b">
        <v>0</v>
      </c>
      <c r="P414" s="28" t="b">
        <v>0</v>
      </c>
      <c r="Q414" s="28" t="b">
        <v>0</v>
      </c>
      <c r="R414" s="28" t="b">
        <v>0</v>
      </c>
      <c r="S414" s="28" t="b">
        <v>0</v>
      </c>
      <c r="T414" s="28" t="b">
        <v>0</v>
      </c>
      <c r="U414" s="28" t="b">
        <v>0</v>
      </c>
      <c r="V414" s="28" t="b">
        <v>0</v>
      </c>
      <c r="W414" s="28" t="b">
        <v>0</v>
      </c>
    </row>
    <row r="415" ht="69" customHeight="1" s="222">
      <c r="A415" s="164">
        <f>#REF!</f>
        <v/>
      </c>
      <c r="B415" s="145" t="b">
        <v>0</v>
      </c>
      <c r="C415" s="176">
        <f>#REF!</f>
        <v/>
      </c>
      <c r="D415" s="174" t="n"/>
      <c r="E415" s="174" t="n"/>
      <c r="F415" s="176">
        <f>#REF!</f>
        <v/>
      </c>
      <c r="G415" s="174">
        <f>#REF!</f>
        <v/>
      </c>
      <c r="H415" s="174">
        <f>#REF!</f>
        <v/>
      </c>
      <c r="I415" s="174">
        <f>#REF!</f>
        <v/>
      </c>
      <c r="J415" s="174">
        <f>#REF!</f>
        <v/>
      </c>
      <c r="K415" s="176">
        <f>#REF!</f>
        <v/>
      </c>
      <c r="L415" s="173" t="n"/>
      <c r="M415" s="9" t="n"/>
      <c r="N415" s="28" t="b">
        <v>0</v>
      </c>
      <c r="O415" s="172" t="b">
        <v>0</v>
      </c>
      <c r="P415" s="28" t="b">
        <v>0</v>
      </c>
      <c r="Q415" s="28" t="b">
        <v>0</v>
      </c>
      <c r="R415" s="28" t="b">
        <v>0</v>
      </c>
      <c r="S415" s="28" t="b">
        <v>0</v>
      </c>
      <c r="T415" s="28" t="b">
        <v>0</v>
      </c>
      <c r="U415" s="28" t="b">
        <v>0</v>
      </c>
      <c r="V415" s="28" t="b">
        <v>0</v>
      </c>
      <c r="W415" s="28" t="b">
        <v>0</v>
      </c>
    </row>
    <row r="416" ht="69" customHeight="1" s="222">
      <c r="A416" s="164">
        <f>#REF!</f>
        <v/>
      </c>
      <c r="B416" s="145" t="b">
        <v>0</v>
      </c>
      <c r="C416" s="176">
        <f>#REF!</f>
        <v/>
      </c>
      <c r="D416" s="174" t="n"/>
      <c r="E416" s="174" t="n"/>
      <c r="F416" s="176">
        <f>#REF!</f>
        <v/>
      </c>
      <c r="G416" s="174">
        <f>#REF!</f>
        <v/>
      </c>
      <c r="H416" s="174">
        <f>#REF!</f>
        <v/>
      </c>
      <c r="I416" s="174">
        <f>#REF!</f>
        <v/>
      </c>
      <c r="J416" s="174">
        <f>#REF!</f>
        <v/>
      </c>
      <c r="K416" s="176">
        <f>#REF!</f>
        <v/>
      </c>
      <c r="L416" s="173" t="n"/>
      <c r="M416" s="9" t="n"/>
      <c r="N416" s="28" t="b">
        <v>0</v>
      </c>
      <c r="O416" s="172" t="b">
        <v>0</v>
      </c>
      <c r="P416" s="28" t="b">
        <v>0</v>
      </c>
      <c r="Q416" s="28" t="b">
        <v>0</v>
      </c>
      <c r="R416" s="28" t="b">
        <v>0</v>
      </c>
      <c r="S416" s="28" t="b">
        <v>0</v>
      </c>
      <c r="T416" s="28" t="b">
        <v>0</v>
      </c>
      <c r="U416" s="28" t="b">
        <v>0</v>
      </c>
      <c r="V416" s="28" t="b">
        <v>0</v>
      </c>
      <c r="W416" s="28" t="b">
        <v>0</v>
      </c>
    </row>
    <row r="417" ht="69" customHeight="1" s="222">
      <c r="A417" s="164">
        <f>#REF!</f>
        <v/>
      </c>
      <c r="B417" s="145" t="b">
        <v>0</v>
      </c>
      <c r="C417" s="176">
        <f>#REF!</f>
        <v/>
      </c>
      <c r="D417" s="174" t="n"/>
      <c r="E417" s="174" t="n"/>
      <c r="F417" s="176">
        <f>#REF!</f>
        <v/>
      </c>
      <c r="G417" s="174">
        <f>#REF!</f>
        <v/>
      </c>
      <c r="H417" s="174">
        <f>#REF!</f>
        <v/>
      </c>
      <c r="I417" s="174">
        <f>#REF!</f>
        <v/>
      </c>
      <c r="J417" s="174">
        <f>#REF!</f>
        <v/>
      </c>
      <c r="K417" s="176">
        <f>#REF!</f>
        <v/>
      </c>
      <c r="L417" s="173" t="n"/>
      <c r="M417" s="9" t="n"/>
      <c r="N417" s="28" t="b">
        <v>0</v>
      </c>
      <c r="O417" s="172" t="b">
        <v>0</v>
      </c>
      <c r="P417" s="28" t="b">
        <v>0</v>
      </c>
      <c r="Q417" s="28" t="b">
        <v>0</v>
      </c>
      <c r="R417" s="28" t="b">
        <v>0</v>
      </c>
      <c r="S417" s="28" t="b">
        <v>0</v>
      </c>
      <c r="T417" s="28" t="b">
        <v>0</v>
      </c>
      <c r="U417" s="28" t="b">
        <v>0</v>
      </c>
      <c r="V417" s="28" t="b">
        <v>0</v>
      </c>
      <c r="W417" s="28" t="b">
        <v>0</v>
      </c>
    </row>
    <row r="418" ht="69" customHeight="1" s="222">
      <c r="A418" s="164">
        <f>#REF!</f>
        <v/>
      </c>
      <c r="B418" s="145" t="b">
        <v>0</v>
      </c>
      <c r="C418" s="176">
        <f>#REF!</f>
        <v/>
      </c>
      <c r="D418" s="174" t="n"/>
      <c r="E418" s="174" t="n"/>
      <c r="F418" s="176">
        <f>#REF!</f>
        <v/>
      </c>
      <c r="G418" s="174">
        <f>#REF!</f>
        <v/>
      </c>
      <c r="H418" s="174">
        <f>#REF!</f>
        <v/>
      </c>
      <c r="I418" s="174">
        <f>#REF!</f>
        <v/>
      </c>
      <c r="J418" s="174">
        <f>#REF!</f>
        <v/>
      </c>
      <c r="K418" s="176">
        <f>#REF!</f>
        <v/>
      </c>
      <c r="L418" s="173" t="n"/>
      <c r="M418" s="9" t="n"/>
      <c r="N418" s="28" t="b">
        <v>0</v>
      </c>
      <c r="O418" s="172" t="b">
        <v>0</v>
      </c>
      <c r="P418" s="28" t="b">
        <v>0</v>
      </c>
      <c r="Q418" s="28" t="b">
        <v>0</v>
      </c>
      <c r="R418" s="28" t="b">
        <v>0</v>
      </c>
      <c r="S418" s="28" t="b">
        <v>0</v>
      </c>
      <c r="T418" s="28" t="b">
        <v>0</v>
      </c>
      <c r="U418" s="28" t="b">
        <v>0</v>
      </c>
      <c r="V418" s="28" t="b">
        <v>0</v>
      </c>
      <c r="W418" s="28" t="b">
        <v>0</v>
      </c>
    </row>
    <row r="419" ht="69" customHeight="1" s="222">
      <c r="A419" s="164">
        <f>#REF!</f>
        <v/>
      </c>
      <c r="B419" s="145" t="b">
        <v>0</v>
      </c>
      <c r="C419" s="176">
        <f>#REF!</f>
        <v/>
      </c>
      <c r="D419" s="174" t="n"/>
      <c r="E419" s="174" t="n"/>
      <c r="F419" s="176">
        <f>#REF!</f>
        <v/>
      </c>
      <c r="G419" s="174">
        <f>#REF!</f>
        <v/>
      </c>
      <c r="H419" s="174">
        <f>#REF!</f>
        <v/>
      </c>
      <c r="I419" s="174">
        <f>#REF!</f>
        <v/>
      </c>
      <c r="J419" s="174">
        <f>#REF!</f>
        <v/>
      </c>
      <c r="K419" s="176">
        <f>#REF!</f>
        <v/>
      </c>
      <c r="L419" s="173" t="n"/>
      <c r="M419" s="9" t="n"/>
      <c r="N419" s="28" t="b">
        <v>0</v>
      </c>
      <c r="O419" s="172" t="b">
        <v>0</v>
      </c>
      <c r="P419" s="28" t="b">
        <v>0</v>
      </c>
      <c r="Q419" s="28" t="b">
        <v>0</v>
      </c>
      <c r="R419" s="28" t="b">
        <v>0</v>
      </c>
      <c r="S419" s="28" t="b">
        <v>0</v>
      </c>
      <c r="T419" s="28" t="b">
        <v>0</v>
      </c>
      <c r="U419" s="28" t="b">
        <v>0</v>
      </c>
      <c r="V419" s="28" t="b">
        <v>0</v>
      </c>
      <c r="W419" s="28" t="b">
        <v>0</v>
      </c>
    </row>
    <row r="420" ht="69" customHeight="1" s="222">
      <c r="A420" s="164">
        <f>#REF!</f>
        <v/>
      </c>
      <c r="B420" s="145" t="b">
        <v>0</v>
      </c>
      <c r="C420" s="176">
        <f>#REF!</f>
        <v/>
      </c>
      <c r="D420" s="174" t="n"/>
      <c r="E420" s="174" t="n"/>
      <c r="F420" s="176">
        <f>#REF!</f>
        <v/>
      </c>
      <c r="G420" s="174">
        <f>#REF!</f>
        <v/>
      </c>
      <c r="H420" s="174">
        <f>#REF!</f>
        <v/>
      </c>
      <c r="I420" s="174">
        <f>#REF!</f>
        <v/>
      </c>
      <c r="J420" s="174">
        <f>#REF!</f>
        <v/>
      </c>
      <c r="K420" s="176">
        <f>#REF!</f>
        <v/>
      </c>
      <c r="L420" s="173" t="n"/>
      <c r="M420" s="9" t="n"/>
      <c r="N420" s="28" t="b">
        <v>0</v>
      </c>
      <c r="O420" s="172" t="b">
        <v>0</v>
      </c>
      <c r="P420" s="28" t="b">
        <v>0</v>
      </c>
      <c r="Q420" s="28" t="b">
        <v>0</v>
      </c>
      <c r="R420" s="28" t="b">
        <v>0</v>
      </c>
      <c r="S420" s="28" t="b">
        <v>0</v>
      </c>
      <c r="T420" s="28" t="b">
        <v>0</v>
      </c>
      <c r="U420" s="28" t="b">
        <v>0</v>
      </c>
      <c r="V420" s="28" t="b">
        <v>0</v>
      </c>
      <c r="W420" s="28" t="b">
        <v>0</v>
      </c>
    </row>
    <row r="421" ht="69" customHeight="1" s="222">
      <c r="A421" s="164">
        <f>#REF!</f>
        <v/>
      </c>
      <c r="B421" s="145" t="b">
        <v>0</v>
      </c>
      <c r="C421" s="176">
        <f>#REF!</f>
        <v/>
      </c>
      <c r="D421" s="174" t="n"/>
      <c r="E421" s="174" t="n"/>
      <c r="F421" s="176">
        <f>#REF!</f>
        <v/>
      </c>
      <c r="G421" s="174">
        <f>#REF!</f>
        <v/>
      </c>
      <c r="H421" s="174">
        <f>#REF!</f>
        <v/>
      </c>
      <c r="I421" s="174">
        <f>#REF!</f>
        <v/>
      </c>
      <c r="J421" s="174">
        <f>#REF!</f>
        <v/>
      </c>
      <c r="K421" s="176">
        <f>#REF!</f>
        <v/>
      </c>
      <c r="L421" s="173" t="n"/>
      <c r="M421" s="9" t="n"/>
      <c r="N421" s="28" t="b">
        <v>0</v>
      </c>
      <c r="O421" s="172" t="b">
        <v>0</v>
      </c>
      <c r="P421" s="28" t="b">
        <v>0</v>
      </c>
      <c r="Q421" s="28" t="b">
        <v>0</v>
      </c>
      <c r="R421" s="28" t="b">
        <v>0</v>
      </c>
      <c r="S421" s="28" t="b">
        <v>0</v>
      </c>
      <c r="T421" s="28" t="b">
        <v>0</v>
      </c>
      <c r="U421" s="28" t="b">
        <v>0</v>
      </c>
      <c r="V421" s="28" t="b">
        <v>0</v>
      </c>
      <c r="W421" s="28" t="b">
        <v>0</v>
      </c>
    </row>
    <row r="422" ht="69" customHeight="1" s="222">
      <c r="A422" s="164">
        <f>#REF!</f>
        <v/>
      </c>
      <c r="B422" s="145" t="b">
        <v>0</v>
      </c>
      <c r="C422" s="176">
        <f>#REF!</f>
        <v/>
      </c>
      <c r="D422" s="174" t="n"/>
      <c r="E422" s="174" t="n"/>
      <c r="F422" s="176">
        <f>#REF!</f>
        <v/>
      </c>
      <c r="G422" s="174">
        <f>#REF!</f>
        <v/>
      </c>
      <c r="H422" s="174">
        <f>#REF!</f>
        <v/>
      </c>
      <c r="I422" s="174">
        <f>#REF!</f>
        <v/>
      </c>
      <c r="J422" s="174">
        <f>#REF!</f>
        <v/>
      </c>
      <c r="K422" s="176">
        <f>#REF!</f>
        <v/>
      </c>
      <c r="L422" s="173" t="n"/>
      <c r="M422" s="9" t="n"/>
      <c r="N422" s="28" t="b">
        <v>0</v>
      </c>
      <c r="O422" s="172" t="b">
        <v>0</v>
      </c>
      <c r="P422" s="28" t="b">
        <v>0</v>
      </c>
      <c r="Q422" s="28" t="b">
        <v>0</v>
      </c>
      <c r="R422" s="28" t="b">
        <v>0</v>
      </c>
      <c r="S422" s="28" t="b">
        <v>0</v>
      </c>
      <c r="T422" s="28" t="b">
        <v>0</v>
      </c>
      <c r="U422" s="28" t="b">
        <v>0</v>
      </c>
      <c r="V422" s="28" t="b">
        <v>0</v>
      </c>
      <c r="W422" s="28" t="b">
        <v>0</v>
      </c>
    </row>
    <row r="423" ht="69" customHeight="1" s="222">
      <c r="A423" s="164">
        <f>#REF!</f>
        <v/>
      </c>
      <c r="B423" s="145" t="b">
        <v>0</v>
      </c>
      <c r="C423" s="176">
        <f>#REF!</f>
        <v/>
      </c>
      <c r="D423" s="174" t="n"/>
      <c r="E423" s="174" t="n"/>
      <c r="F423" s="176">
        <f>#REF!</f>
        <v/>
      </c>
      <c r="G423" s="174">
        <f>#REF!</f>
        <v/>
      </c>
      <c r="H423" s="174">
        <f>#REF!</f>
        <v/>
      </c>
      <c r="I423" s="174">
        <f>#REF!</f>
        <v/>
      </c>
      <c r="J423" s="174">
        <f>#REF!</f>
        <v/>
      </c>
      <c r="K423" s="176">
        <f>#REF!</f>
        <v/>
      </c>
      <c r="L423" s="173" t="n"/>
      <c r="M423" s="9" t="n"/>
      <c r="N423" s="28" t="b">
        <v>0</v>
      </c>
      <c r="O423" s="172" t="b">
        <v>0</v>
      </c>
      <c r="P423" s="28" t="b">
        <v>0</v>
      </c>
      <c r="Q423" s="28" t="b">
        <v>0</v>
      </c>
      <c r="R423" s="28" t="b">
        <v>0</v>
      </c>
      <c r="S423" s="28" t="b">
        <v>0</v>
      </c>
      <c r="T423" s="28" t="b">
        <v>0</v>
      </c>
      <c r="U423" s="28" t="b">
        <v>0</v>
      </c>
      <c r="V423" s="28" t="b">
        <v>0</v>
      </c>
      <c r="W423" s="28" t="b">
        <v>0</v>
      </c>
    </row>
    <row r="424" ht="69" customHeight="1" s="222">
      <c r="A424" s="164">
        <f>#REF!</f>
        <v/>
      </c>
      <c r="B424" s="145" t="b">
        <v>0</v>
      </c>
      <c r="C424" s="176">
        <f>#REF!</f>
        <v/>
      </c>
      <c r="D424" s="174" t="n"/>
      <c r="E424" s="174" t="n"/>
      <c r="F424" s="176">
        <f>#REF!</f>
        <v/>
      </c>
      <c r="G424" s="174">
        <f>#REF!</f>
        <v/>
      </c>
      <c r="H424" s="174">
        <f>#REF!</f>
        <v/>
      </c>
      <c r="I424" s="174">
        <f>#REF!</f>
        <v/>
      </c>
      <c r="J424" s="174">
        <f>#REF!</f>
        <v/>
      </c>
      <c r="K424" s="176">
        <f>#REF!</f>
        <v/>
      </c>
      <c r="L424" s="173" t="n"/>
      <c r="M424" s="9" t="n"/>
      <c r="N424" s="28" t="b">
        <v>0</v>
      </c>
      <c r="O424" s="172" t="b">
        <v>0</v>
      </c>
      <c r="P424" s="28" t="b">
        <v>0</v>
      </c>
      <c r="Q424" s="28" t="b">
        <v>0</v>
      </c>
      <c r="R424" s="28" t="b">
        <v>0</v>
      </c>
      <c r="S424" s="28" t="b">
        <v>0</v>
      </c>
      <c r="T424" s="28" t="b">
        <v>0</v>
      </c>
      <c r="U424" s="28" t="b">
        <v>0</v>
      </c>
      <c r="V424" s="28" t="b">
        <v>0</v>
      </c>
      <c r="W424" s="28" t="b">
        <v>0</v>
      </c>
    </row>
    <row r="425" ht="69" customHeight="1" s="222">
      <c r="A425" s="164">
        <f>#REF!</f>
        <v/>
      </c>
      <c r="B425" s="145" t="b">
        <v>0</v>
      </c>
      <c r="C425" s="176">
        <f>#REF!</f>
        <v/>
      </c>
      <c r="D425" s="174" t="n"/>
      <c r="E425" s="174" t="n"/>
      <c r="F425" s="176">
        <f>#REF!</f>
        <v/>
      </c>
      <c r="G425" s="174">
        <f>#REF!</f>
        <v/>
      </c>
      <c r="H425" s="174">
        <f>#REF!</f>
        <v/>
      </c>
      <c r="I425" s="174">
        <f>#REF!</f>
        <v/>
      </c>
      <c r="J425" s="174">
        <f>#REF!</f>
        <v/>
      </c>
      <c r="K425" s="176">
        <f>#REF!</f>
        <v/>
      </c>
      <c r="L425" s="173" t="n"/>
      <c r="M425" s="9" t="n"/>
      <c r="N425" s="28" t="b">
        <v>0</v>
      </c>
      <c r="O425" s="172" t="b">
        <v>0</v>
      </c>
      <c r="P425" s="28" t="b">
        <v>0</v>
      </c>
      <c r="Q425" s="28" t="b">
        <v>0</v>
      </c>
      <c r="R425" s="28" t="b">
        <v>0</v>
      </c>
      <c r="S425" s="28" t="b">
        <v>0</v>
      </c>
      <c r="T425" s="28" t="b">
        <v>0</v>
      </c>
      <c r="U425" s="28" t="b">
        <v>0</v>
      </c>
      <c r="V425" s="28" t="b">
        <v>0</v>
      </c>
      <c r="W425" s="28" t="b">
        <v>0</v>
      </c>
    </row>
    <row r="426" ht="69" customHeight="1" s="222">
      <c r="A426" s="164">
        <f>#REF!</f>
        <v/>
      </c>
      <c r="B426" s="145" t="b">
        <v>0</v>
      </c>
      <c r="C426" s="176">
        <f>#REF!</f>
        <v/>
      </c>
      <c r="D426" s="174" t="n"/>
      <c r="E426" s="174" t="n"/>
      <c r="F426" s="176">
        <f>#REF!</f>
        <v/>
      </c>
      <c r="G426" s="174">
        <f>#REF!</f>
        <v/>
      </c>
      <c r="H426" s="174">
        <f>#REF!</f>
        <v/>
      </c>
      <c r="I426" s="174">
        <f>#REF!</f>
        <v/>
      </c>
      <c r="J426" s="174">
        <f>#REF!</f>
        <v/>
      </c>
      <c r="K426" s="176">
        <f>#REF!</f>
        <v/>
      </c>
      <c r="L426" s="173" t="n"/>
      <c r="M426" s="9" t="n"/>
      <c r="N426" s="28" t="b">
        <v>0</v>
      </c>
      <c r="O426" s="172" t="b">
        <v>0</v>
      </c>
      <c r="P426" s="28" t="b">
        <v>0</v>
      </c>
      <c r="Q426" s="28" t="b">
        <v>0</v>
      </c>
      <c r="R426" s="28" t="b">
        <v>0</v>
      </c>
      <c r="S426" s="28" t="b">
        <v>0</v>
      </c>
      <c r="T426" s="28" t="b">
        <v>0</v>
      </c>
      <c r="U426" s="28" t="b">
        <v>0</v>
      </c>
      <c r="V426" s="28" t="b">
        <v>0</v>
      </c>
      <c r="W426" s="28" t="b">
        <v>0</v>
      </c>
    </row>
    <row r="427" ht="69" customHeight="1" s="222">
      <c r="A427" s="164">
        <f>#REF!</f>
        <v/>
      </c>
      <c r="B427" s="145" t="b">
        <v>0</v>
      </c>
      <c r="C427" s="176">
        <f>#REF!</f>
        <v/>
      </c>
      <c r="D427" s="174" t="n"/>
      <c r="E427" s="174" t="n"/>
      <c r="F427" s="176">
        <f>#REF!</f>
        <v/>
      </c>
      <c r="G427" s="174">
        <f>#REF!</f>
        <v/>
      </c>
      <c r="H427" s="174">
        <f>#REF!</f>
        <v/>
      </c>
      <c r="I427" s="174">
        <f>#REF!</f>
        <v/>
      </c>
      <c r="J427" s="174">
        <f>#REF!</f>
        <v/>
      </c>
      <c r="K427" s="176">
        <f>#REF!</f>
        <v/>
      </c>
      <c r="L427" s="173" t="n"/>
      <c r="M427" s="9" t="n"/>
      <c r="N427" s="28" t="b">
        <v>0</v>
      </c>
      <c r="O427" s="172" t="b">
        <v>0</v>
      </c>
      <c r="P427" s="28" t="b">
        <v>0</v>
      </c>
      <c r="Q427" s="28" t="b">
        <v>0</v>
      </c>
      <c r="R427" s="28" t="b">
        <v>0</v>
      </c>
      <c r="S427" s="28" t="b">
        <v>0</v>
      </c>
      <c r="T427" s="28" t="b">
        <v>0</v>
      </c>
      <c r="U427" s="28" t="b">
        <v>0</v>
      </c>
      <c r="V427" s="28" t="b">
        <v>0</v>
      </c>
      <c r="W427" s="28" t="b">
        <v>0</v>
      </c>
    </row>
    <row r="428" ht="69" customHeight="1" s="222">
      <c r="A428" s="164">
        <f>#REF!</f>
        <v/>
      </c>
      <c r="B428" s="145" t="b">
        <v>0</v>
      </c>
      <c r="C428" s="176">
        <f>#REF!</f>
        <v/>
      </c>
      <c r="D428" s="174" t="n"/>
      <c r="E428" s="174" t="n"/>
      <c r="F428" s="176">
        <f>#REF!</f>
        <v/>
      </c>
      <c r="G428" s="174">
        <f>#REF!</f>
        <v/>
      </c>
      <c r="H428" s="174">
        <f>#REF!</f>
        <v/>
      </c>
      <c r="I428" s="174">
        <f>#REF!</f>
        <v/>
      </c>
      <c r="J428" s="174">
        <f>#REF!</f>
        <v/>
      </c>
      <c r="K428" s="176">
        <f>#REF!</f>
        <v/>
      </c>
      <c r="L428" s="173" t="n"/>
      <c r="M428" s="9" t="n"/>
      <c r="N428" s="28" t="b">
        <v>0</v>
      </c>
      <c r="O428" s="172" t="b">
        <v>0</v>
      </c>
      <c r="P428" s="28" t="b">
        <v>0</v>
      </c>
      <c r="Q428" s="28" t="b">
        <v>0</v>
      </c>
      <c r="R428" s="28" t="b">
        <v>0</v>
      </c>
      <c r="S428" s="28" t="b">
        <v>0</v>
      </c>
      <c r="T428" s="28" t="b">
        <v>0</v>
      </c>
      <c r="U428" s="28" t="b">
        <v>0</v>
      </c>
      <c r="V428" s="28" t="b">
        <v>0</v>
      </c>
      <c r="W428" s="28" t="b">
        <v>0</v>
      </c>
    </row>
    <row r="429" ht="69" customHeight="1" s="222">
      <c r="A429" s="164">
        <f>#REF!</f>
        <v/>
      </c>
      <c r="B429" s="145" t="b">
        <v>0</v>
      </c>
      <c r="C429" s="176">
        <f>#REF!</f>
        <v/>
      </c>
      <c r="D429" s="174" t="n"/>
      <c r="E429" s="174" t="n"/>
      <c r="F429" s="176">
        <f>#REF!</f>
        <v/>
      </c>
      <c r="G429" s="174">
        <f>#REF!</f>
        <v/>
      </c>
      <c r="H429" s="174">
        <f>#REF!</f>
        <v/>
      </c>
      <c r="I429" s="174">
        <f>#REF!</f>
        <v/>
      </c>
      <c r="J429" s="174">
        <f>#REF!</f>
        <v/>
      </c>
      <c r="K429" s="176">
        <f>#REF!</f>
        <v/>
      </c>
      <c r="L429" s="173" t="n"/>
      <c r="M429" s="9" t="n"/>
      <c r="N429" s="28" t="b">
        <v>0</v>
      </c>
      <c r="O429" s="172" t="b">
        <v>0</v>
      </c>
      <c r="P429" s="28" t="b">
        <v>0</v>
      </c>
      <c r="Q429" s="28" t="b">
        <v>0</v>
      </c>
      <c r="R429" s="28" t="b">
        <v>0</v>
      </c>
      <c r="S429" s="28" t="b">
        <v>0</v>
      </c>
      <c r="T429" s="28" t="b">
        <v>0</v>
      </c>
      <c r="U429" s="28" t="b">
        <v>0</v>
      </c>
      <c r="V429" s="28" t="b">
        <v>0</v>
      </c>
      <c r="W429" s="28" t="b">
        <v>0</v>
      </c>
    </row>
    <row r="430" ht="69" customHeight="1" s="222">
      <c r="A430" s="164">
        <f>#REF!</f>
        <v/>
      </c>
      <c r="B430" s="145" t="b">
        <v>0</v>
      </c>
      <c r="C430" s="176">
        <f>#REF!</f>
        <v/>
      </c>
      <c r="D430" s="174" t="n"/>
      <c r="E430" s="174" t="n"/>
      <c r="F430" s="176">
        <f>#REF!</f>
        <v/>
      </c>
      <c r="G430" s="174">
        <f>#REF!</f>
        <v/>
      </c>
      <c r="H430" s="174">
        <f>#REF!</f>
        <v/>
      </c>
      <c r="I430" s="174">
        <f>#REF!</f>
        <v/>
      </c>
      <c r="J430" s="174">
        <f>#REF!</f>
        <v/>
      </c>
      <c r="K430" s="176">
        <f>#REF!</f>
        <v/>
      </c>
      <c r="L430" s="173" t="n"/>
      <c r="M430" s="9" t="n"/>
      <c r="N430" s="28" t="b">
        <v>0</v>
      </c>
      <c r="O430" s="172" t="b">
        <v>0</v>
      </c>
      <c r="P430" s="28" t="b">
        <v>0</v>
      </c>
      <c r="Q430" s="28" t="b">
        <v>0</v>
      </c>
      <c r="R430" s="28" t="b">
        <v>0</v>
      </c>
      <c r="S430" s="28" t="b">
        <v>0</v>
      </c>
      <c r="T430" s="28" t="b">
        <v>0</v>
      </c>
      <c r="U430" s="28" t="b">
        <v>0</v>
      </c>
      <c r="V430" s="28" t="b">
        <v>0</v>
      </c>
      <c r="W430" s="28" t="b">
        <v>0</v>
      </c>
    </row>
    <row r="431" ht="69" customHeight="1" s="222">
      <c r="A431" s="164">
        <f>#REF!</f>
        <v/>
      </c>
      <c r="B431" s="145" t="b">
        <v>0</v>
      </c>
      <c r="C431" s="176">
        <f>#REF!</f>
        <v/>
      </c>
      <c r="D431" s="174" t="n"/>
      <c r="E431" s="174" t="n"/>
      <c r="F431" s="176">
        <f>#REF!</f>
        <v/>
      </c>
      <c r="G431" s="174">
        <f>#REF!</f>
        <v/>
      </c>
      <c r="H431" s="174">
        <f>#REF!</f>
        <v/>
      </c>
      <c r="I431" s="174">
        <f>#REF!</f>
        <v/>
      </c>
      <c r="J431" s="174">
        <f>#REF!</f>
        <v/>
      </c>
      <c r="K431" s="176">
        <f>#REF!</f>
        <v/>
      </c>
      <c r="L431" s="173" t="n"/>
      <c r="M431" s="9" t="n"/>
      <c r="N431" s="28" t="b">
        <v>0</v>
      </c>
      <c r="O431" s="172" t="b">
        <v>0</v>
      </c>
      <c r="P431" s="28" t="b">
        <v>0</v>
      </c>
      <c r="Q431" s="28" t="b">
        <v>0</v>
      </c>
      <c r="R431" s="28" t="b">
        <v>0</v>
      </c>
      <c r="S431" s="28" t="b">
        <v>0</v>
      </c>
      <c r="T431" s="28" t="b">
        <v>0</v>
      </c>
      <c r="U431" s="28" t="b">
        <v>0</v>
      </c>
      <c r="V431" s="28" t="b">
        <v>0</v>
      </c>
      <c r="W431" s="28" t="b">
        <v>0</v>
      </c>
    </row>
    <row r="432" ht="69" customHeight="1" s="222">
      <c r="A432" s="164">
        <f>#REF!</f>
        <v/>
      </c>
      <c r="B432" s="145" t="b">
        <v>0</v>
      </c>
      <c r="C432" s="176">
        <f>#REF!</f>
        <v/>
      </c>
      <c r="D432" s="174" t="n"/>
      <c r="E432" s="174" t="n"/>
      <c r="F432" s="176">
        <f>#REF!</f>
        <v/>
      </c>
      <c r="G432" s="174">
        <f>#REF!</f>
        <v/>
      </c>
      <c r="H432" s="174">
        <f>#REF!</f>
        <v/>
      </c>
      <c r="I432" s="174">
        <f>#REF!</f>
        <v/>
      </c>
      <c r="J432" s="174">
        <f>#REF!</f>
        <v/>
      </c>
      <c r="K432" s="176">
        <f>#REF!</f>
        <v/>
      </c>
      <c r="L432" s="173" t="n"/>
      <c r="M432" s="9" t="n"/>
      <c r="N432" s="28" t="b">
        <v>0</v>
      </c>
      <c r="O432" s="172" t="b">
        <v>0</v>
      </c>
      <c r="P432" s="28" t="b">
        <v>0</v>
      </c>
      <c r="Q432" s="28" t="b">
        <v>0</v>
      </c>
      <c r="R432" s="28" t="b">
        <v>0</v>
      </c>
      <c r="S432" s="28" t="b">
        <v>0</v>
      </c>
      <c r="T432" s="28" t="b">
        <v>0</v>
      </c>
      <c r="U432" s="28" t="b">
        <v>0</v>
      </c>
      <c r="V432" s="28" t="b">
        <v>0</v>
      </c>
      <c r="W432" s="28" t="b">
        <v>0</v>
      </c>
    </row>
    <row r="433" ht="69" customHeight="1" s="222">
      <c r="A433" s="164">
        <f>#REF!</f>
        <v/>
      </c>
      <c r="B433" s="145" t="b">
        <v>0</v>
      </c>
      <c r="C433" s="176">
        <f>#REF!</f>
        <v/>
      </c>
      <c r="D433" s="174" t="n"/>
      <c r="E433" s="174" t="n"/>
      <c r="F433" s="176">
        <f>#REF!</f>
        <v/>
      </c>
      <c r="G433" s="174">
        <f>#REF!</f>
        <v/>
      </c>
      <c r="H433" s="174">
        <f>#REF!</f>
        <v/>
      </c>
      <c r="I433" s="174">
        <f>#REF!</f>
        <v/>
      </c>
      <c r="J433" s="174">
        <f>#REF!</f>
        <v/>
      </c>
      <c r="K433" s="176">
        <f>#REF!</f>
        <v/>
      </c>
      <c r="L433" s="173" t="n"/>
      <c r="M433" s="9" t="n"/>
      <c r="N433" s="28" t="b">
        <v>0</v>
      </c>
      <c r="O433" s="172" t="b">
        <v>0</v>
      </c>
      <c r="P433" s="28" t="b">
        <v>0</v>
      </c>
      <c r="Q433" s="28" t="b">
        <v>0</v>
      </c>
      <c r="R433" s="28" t="b">
        <v>0</v>
      </c>
      <c r="S433" s="28" t="b">
        <v>0</v>
      </c>
      <c r="T433" s="28" t="b">
        <v>0</v>
      </c>
      <c r="U433" s="28" t="b">
        <v>0</v>
      </c>
      <c r="V433" s="28" t="b">
        <v>0</v>
      </c>
      <c r="W433" s="28" t="b">
        <v>0</v>
      </c>
    </row>
    <row r="434" ht="69" customHeight="1" s="222">
      <c r="A434" s="164">
        <f>#REF!</f>
        <v/>
      </c>
      <c r="B434" s="145" t="b">
        <v>0</v>
      </c>
      <c r="C434" s="176">
        <f>#REF!</f>
        <v/>
      </c>
      <c r="D434" s="174" t="n"/>
      <c r="E434" s="174" t="n"/>
      <c r="F434" s="176">
        <f>#REF!</f>
        <v/>
      </c>
      <c r="G434" s="174">
        <f>#REF!</f>
        <v/>
      </c>
      <c r="H434" s="174">
        <f>#REF!</f>
        <v/>
      </c>
      <c r="I434" s="174">
        <f>#REF!</f>
        <v/>
      </c>
      <c r="J434" s="174">
        <f>#REF!</f>
        <v/>
      </c>
      <c r="K434" s="176">
        <f>#REF!</f>
        <v/>
      </c>
      <c r="L434" s="173" t="n"/>
      <c r="M434" s="9" t="n"/>
      <c r="N434" s="28" t="b">
        <v>0</v>
      </c>
      <c r="O434" s="172" t="b">
        <v>0</v>
      </c>
      <c r="P434" s="28" t="b">
        <v>0</v>
      </c>
      <c r="Q434" s="28" t="b">
        <v>0</v>
      </c>
      <c r="R434" s="28" t="b">
        <v>0</v>
      </c>
      <c r="S434" s="28" t="b">
        <v>0</v>
      </c>
      <c r="T434" s="28" t="b">
        <v>0</v>
      </c>
      <c r="U434" s="28" t="b">
        <v>0</v>
      </c>
      <c r="V434" s="28" t="b">
        <v>0</v>
      </c>
      <c r="W434" s="28" t="b">
        <v>0</v>
      </c>
    </row>
    <row r="435" ht="69" customHeight="1" s="222">
      <c r="A435" s="164">
        <f>#REF!</f>
        <v/>
      </c>
      <c r="B435" s="145" t="b">
        <v>0</v>
      </c>
      <c r="C435" s="176">
        <f>#REF!</f>
        <v/>
      </c>
      <c r="D435" s="174" t="n"/>
      <c r="E435" s="174" t="n"/>
      <c r="F435" s="176">
        <f>#REF!</f>
        <v/>
      </c>
      <c r="G435" s="174">
        <f>#REF!</f>
        <v/>
      </c>
      <c r="H435" s="174">
        <f>#REF!</f>
        <v/>
      </c>
      <c r="I435" s="174">
        <f>#REF!</f>
        <v/>
      </c>
      <c r="J435" s="174">
        <f>#REF!</f>
        <v/>
      </c>
      <c r="K435" s="176">
        <f>#REF!</f>
        <v/>
      </c>
      <c r="L435" s="173" t="n"/>
      <c r="M435" s="9" t="n"/>
      <c r="N435" s="28" t="b">
        <v>0</v>
      </c>
      <c r="O435" s="172" t="b">
        <v>0</v>
      </c>
      <c r="P435" s="28" t="b">
        <v>0</v>
      </c>
      <c r="Q435" s="28" t="b">
        <v>0</v>
      </c>
      <c r="R435" s="28" t="b">
        <v>0</v>
      </c>
      <c r="S435" s="28" t="b">
        <v>0</v>
      </c>
      <c r="T435" s="28" t="b">
        <v>0</v>
      </c>
      <c r="U435" s="28" t="b">
        <v>0</v>
      </c>
      <c r="V435" s="28" t="b">
        <v>0</v>
      </c>
      <c r="W435" s="28" t="b">
        <v>0</v>
      </c>
    </row>
    <row r="436" ht="69" customHeight="1" s="222">
      <c r="A436" s="164">
        <f>#REF!</f>
        <v/>
      </c>
      <c r="B436" s="145" t="b">
        <v>0</v>
      </c>
      <c r="C436" s="176">
        <f>#REF!</f>
        <v/>
      </c>
      <c r="D436" s="174" t="n"/>
      <c r="E436" s="174" t="n"/>
      <c r="F436" s="176">
        <f>#REF!</f>
        <v/>
      </c>
      <c r="G436" s="174">
        <f>#REF!</f>
        <v/>
      </c>
      <c r="H436" s="174">
        <f>#REF!</f>
        <v/>
      </c>
      <c r="I436" s="174">
        <f>#REF!</f>
        <v/>
      </c>
      <c r="J436" s="174">
        <f>#REF!</f>
        <v/>
      </c>
      <c r="K436" s="176">
        <f>#REF!</f>
        <v/>
      </c>
      <c r="L436" s="173" t="n"/>
      <c r="M436" s="9" t="n"/>
      <c r="N436" s="28" t="b">
        <v>0</v>
      </c>
      <c r="O436" s="172" t="b">
        <v>0</v>
      </c>
      <c r="P436" s="28" t="b">
        <v>0</v>
      </c>
      <c r="Q436" s="28" t="b">
        <v>0</v>
      </c>
      <c r="R436" s="28" t="b">
        <v>0</v>
      </c>
      <c r="S436" s="28" t="b">
        <v>0</v>
      </c>
      <c r="T436" s="28" t="b">
        <v>0</v>
      </c>
      <c r="U436" s="28" t="b">
        <v>0</v>
      </c>
      <c r="V436" s="28" t="b">
        <v>0</v>
      </c>
      <c r="W436" s="28" t="b">
        <v>0</v>
      </c>
    </row>
    <row r="437" ht="69" customHeight="1" s="222">
      <c r="A437" s="164">
        <f>#REF!</f>
        <v/>
      </c>
      <c r="B437" s="145" t="b">
        <v>0</v>
      </c>
      <c r="C437" s="176">
        <f>#REF!</f>
        <v/>
      </c>
      <c r="D437" s="174" t="n"/>
      <c r="E437" s="174" t="n"/>
      <c r="F437" s="176">
        <f>#REF!</f>
        <v/>
      </c>
      <c r="G437" s="174">
        <f>#REF!</f>
        <v/>
      </c>
      <c r="H437" s="174">
        <f>#REF!</f>
        <v/>
      </c>
      <c r="I437" s="174">
        <f>#REF!</f>
        <v/>
      </c>
      <c r="J437" s="174">
        <f>#REF!</f>
        <v/>
      </c>
      <c r="K437" s="176">
        <f>#REF!</f>
        <v/>
      </c>
      <c r="L437" s="173" t="n"/>
      <c r="M437" s="9" t="n"/>
      <c r="N437" s="28" t="b">
        <v>0</v>
      </c>
      <c r="O437" s="172" t="b">
        <v>0</v>
      </c>
      <c r="P437" s="28" t="b">
        <v>0</v>
      </c>
      <c r="Q437" s="28" t="b">
        <v>0</v>
      </c>
      <c r="R437" s="28" t="b">
        <v>0</v>
      </c>
      <c r="S437" s="28" t="b">
        <v>0</v>
      </c>
      <c r="T437" s="28" t="b">
        <v>0</v>
      </c>
      <c r="U437" s="28" t="b">
        <v>0</v>
      </c>
      <c r="V437" s="28" t="b">
        <v>0</v>
      </c>
      <c r="W437" s="28" t="b">
        <v>0</v>
      </c>
    </row>
    <row r="438" ht="69" customHeight="1" s="222">
      <c r="A438" s="164">
        <f>#REF!</f>
        <v/>
      </c>
      <c r="B438" s="145" t="b">
        <v>0</v>
      </c>
      <c r="C438" s="176">
        <f>#REF!</f>
        <v/>
      </c>
      <c r="D438" s="174" t="n"/>
      <c r="E438" s="174" t="n"/>
      <c r="F438" s="176">
        <f>#REF!</f>
        <v/>
      </c>
      <c r="G438" s="174">
        <f>#REF!</f>
        <v/>
      </c>
      <c r="H438" s="174">
        <f>#REF!</f>
        <v/>
      </c>
      <c r="I438" s="174">
        <f>#REF!</f>
        <v/>
      </c>
      <c r="J438" s="174">
        <f>#REF!</f>
        <v/>
      </c>
      <c r="K438" s="176">
        <f>#REF!</f>
        <v/>
      </c>
      <c r="L438" s="173" t="n"/>
      <c r="M438" s="9" t="n"/>
      <c r="N438" s="28" t="b">
        <v>0</v>
      </c>
      <c r="O438" s="172" t="b">
        <v>0</v>
      </c>
      <c r="P438" s="28" t="b">
        <v>0</v>
      </c>
      <c r="Q438" s="28" t="b">
        <v>0</v>
      </c>
      <c r="R438" s="28" t="b">
        <v>0</v>
      </c>
      <c r="S438" s="28" t="b">
        <v>0</v>
      </c>
      <c r="T438" s="28" t="b">
        <v>0</v>
      </c>
      <c r="U438" s="28" t="b">
        <v>0</v>
      </c>
      <c r="V438" s="28" t="b">
        <v>0</v>
      </c>
      <c r="W438" s="28" t="b">
        <v>0</v>
      </c>
    </row>
    <row r="439" ht="69" customHeight="1" s="222">
      <c r="A439" s="164">
        <f>#REF!</f>
        <v/>
      </c>
      <c r="B439" s="145" t="b">
        <v>0</v>
      </c>
      <c r="C439" s="176">
        <f>#REF!</f>
        <v/>
      </c>
      <c r="D439" s="174" t="n"/>
      <c r="E439" s="174" t="n"/>
      <c r="F439" s="176">
        <f>#REF!</f>
        <v/>
      </c>
      <c r="G439" s="174">
        <f>#REF!</f>
        <v/>
      </c>
      <c r="H439" s="174">
        <f>#REF!</f>
        <v/>
      </c>
      <c r="I439" s="174">
        <f>#REF!</f>
        <v/>
      </c>
      <c r="J439" s="174">
        <f>#REF!</f>
        <v/>
      </c>
      <c r="K439" s="176">
        <f>#REF!</f>
        <v/>
      </c>
      <c r="L439" s="173" t="n"/>
      <c r="M439" s="9" t="n"/>
      <c r="N439" s="28" t="b">
        <v>0</v>
      </c>
      <c r="O439" s="172" t="b">
        <v>0</v>
      </c>
      <c r="P439" s="28" t="b">
        <v>0</v>
      </c>
      <c r="Q439" s="28" t="b">
        <v>0</v>
      </c>
      <c r="R439" s="28" t="b">
        <v>0</v>
      </c>
      <c r="S439" s="28" t="b">
        <v>0</v>
      </c>
      <c r="T439" s="28" t="b">
        <v>0</v>
      </c>
      <c r="U439" s="28" t="b">
        <v>0</v>
      </c>
      <c r="V439" s="28" t="b">
        <v>0</v>
      </c>
      <c r="W439" s="28" t="b">
        <v>0</v>
      </c>
    </row>
    <row r="440" ht="69" customHeight="1" s="222">
      <c r="A440" s="164">
        <f>#REF!</f>
        <v/>
      </c>
      <c r="B440" s="145" t="b">
        <v>0</v>
      </c>
      <c r="C440" s="176">
        <f>#REF!</f>
        <v/>
      </c>
      <c r="D440" s="174" t="n"/>
      <c r="E440" s="174" t="n"/>
      <c r="F440" s="176">
        <f>#REF!</f>
        <v/>
      </c>
      <c r="G440" s="174">
        <f>#REF!</f>
        <v/>
      </c>
      <c r="H440" s="174">
        <f>#REF!</f>
        <v/>
      </c>
      <c r="I440" s="174">
        <f>#REF!</f>
        <v/>
      </c>
      <c r="J440" s="174">
        <f>#REF!</f>
        <v/>
      </c>
      <c r="K440" s="176">
        <f>#REF!</f>
        <v/>
      </c>
      <c r="L440" s="173" t="n"/>
      <c r="M440" s="9" t="n"/>
      <c r="N440" s="28" t="b">
        <v>0</v>
      </c>
      <c r="O440" s="172" t="b">
        <v>0</v>
      </c>
      <c r="P440" s="28" t="b">
        <v>0</v>
      </c>
      <c r="Q440" s="28" t="b">
        <v>0</v>
      </c>
      <c r="R440" s="28" t="b">
        <v>0</v>
      </c>
      <c r="S440" s="28" t="b">
        <v>0</v>
      </c>
      <c r="T440" s="28" t="b">
        <v>0</v>
      </c>
      <c r="U440" s="28" t="b">
        <v>0</v>
      </c>
      <c r="V440" s="28" t="b">
        <v>0</v>
      </c>
      <c r="W440" s="28" t="b">
        <v>0</v>
      </c>
    </row>
    <row r="441" ht="69" customHeight="1" s="222">
      <c r="A441" s="164">
        <f>#REF!</f>
        <v/>
      </c>
      <c r="B441" s="145" t="b">
        <v>0</v>
      </c>
      <c r="C441" s="176">
        <f>#REF!</f>
        <v/>
      </c>
      <c r="D441" s="174" t="n"/>
      <c r="E441" s="174" t="n"/>
      <c r="F441" s="176">
        <f>#REF!</f>
        <v/>
      </c>
      <c r="G441" s="174">
        <f>#REF!</f>
        <v/>
      </c>
      <c r="H441" s="174">
        <f>#REF!</f>
        <v/>
      </c>
      <c r="I441" s="174">
        <f>#REF!</f>
        <v/>
      </c>
      <c r="J441" s="174">
        <f>#REF!</f>
        <v/>
      </c>
      <c r="K441" s="176">
        <f>#REF!</f>
        <v/>
      </c>
      <c r="L441" s="173" t="n"/>
      <c r="M441" s="9" t="n"/>
      <c r="N441" s="28" t="b">
        <v>0</v>
      </c>
      <c r="O441" s="172" t="b">
        <v>0</v>
      </c>
      <c r="P441" s="28" t="b">
        <v>0</v>
      </c>
      <c r="Q441" s="28" t="b">
        <v>0</v>
      </c>
      <c r="R441" s="28" t="b">
        <v>0</v>
      </c>
      <c r="S441" s="28" t="b">
        <v>0</v>
      </c>
      <c r="T441" s="28" t="b">
        <v>0</v>
      </c>
      <c r="U441" s="28" t="b">
        <v>0</v>
      </c>
      <c r="V441" s="28" t="b">
        <v>0</v>
      </c>
      <c r="W441" s="28" t="b">
        <v>0</v>
      </c>
    </row>
    <row r="442" ht="69" customHeight="1" s="222">
      <c r="A442" s="164">
        <f>#REF!</f>
        <v/>
      </c>
      <c r="B442" s="145" t="b">
        <v>0</v>
      </c>
      <c r="C442" s="176">
        <f>#REF!</f>
        <v/>
      </c>
      <c r="D442" s="174" t="n"/>
      <c r="E442" s="174" t="n"/>
      <c r="F442" s="176">
        <f>#REF!</f>
        <v/>
      </c>
      <c r="G442" s="174">
        <f>#REF!</f>
        <v/>
      </c>
      <c r="H442" s="174">
        <f>#REF!</f>
        <v/>
      </c>
      <c r="I442" s="174">
        <f>#REF!</f>
        <v/>
      </c>
      <c r="J442" s="174">
        <f>#REF!</f>
        <v/>
      </c>
      <c r="K442" s="176">
        <f>#REF!</f>
        <v/>
      </c>
      <c r="L442" s="173" t="n"/>
      <c r="M442" s="9" t="n"/>
      <c r="N442" s="28" t="b">
        <v>0</v>
      </c>
      <c r="O442" s="172" t="b">
        <v>0</v>
      </c>
      <c r="P442" s="28" t="b">
        <v>0</v>
      </c>
      <c r="Q442" s="28" t="b">
        <v>0</v>
      </c>
      <c r="R442" s="28" t="b">
        <v>0</v>
      </c>
      <c r="S442" s="28" t="b">
        <v>0</v>
      </c>
      <c r="T442" s="28" t="b">
        <v>0</v>
      </c>
      <c r="U442" s="28" t="b">
        <v>0</v>
      </c>
      <c r="V442" s="28" t="b">
        <v>0</v>
      </c>
      <c r="W442" s="28" t="b">
        <v>0</v>
      </c>
    </row>
    <row r="443" ht="69" customHeight="1" s="222">
      <c r="A443" s="164">
        <f>#REF!</f>
        <v/>
      </c>
      <c r="B443" s="145" t="b">
        <v>0</v>
      </c>
      <c r="C443" s="176">
        <f>#REF!</f>
        <v/>
      </c>
      <c r="D443" s="174" t="n"/>
      <c r="E443" s="174" t="n"/>
      <c r="F443" s="176">
        <f>#REF!</f>
        <v/>
      </c>
      <c r="G443" s="174">
        <f>#REF!</f>
        <v/>
      </c>
      <c r="H443" s="174">
        <f>#REF!</f>
        <v/>
      </c>
      <c r="I443" s="174">
        <f>#REF!</f>
        <v/>
      </c>
      <c r="J443" s="174">
        <f>#REF!</f>
        <v/>
      </c>
      <c r="K443" s="176">
        <f>#REF!</f>
        <v/>
      </c>
      <c r="L443" s="173" t="n"/>
      <c r="M443" s="9" t="n"/>
      <c r="N443" s="28" t="b">
        <v>0</v>
      </c>
      <c r="O443" s="172" t="b">
        <v>0</v>
      </c>
      <c r="P443" s="28" t="b">
        <v>0</v>
      </c>
      <c r="Q443" s="28" t="b">
        <v>0</v>
      </c>
      <c r="R443" s="28" t="b">
        <v>0</v>
      </c>
      <c r="S443" s="28" t="b">
        <v>0</v>
      </c>
      <c r="T443" s="28" t="b">
        <v>0</v>
      </c>
      <c r="U443" s="28" t="b">
        <v>0</v>
      </c>
      <c r="V443" s="28" t="b">
        <v>0</v>
      </c>
      <c r="W443" s="28" t="b">
        <v>0</v>
      </c>
    </row>
    <row r="444" ht="69" customHeight="1" s="222">
      <c r="A444" s="164">
        <f>#REF!</f>
        <v/>
      </c>
      <c r="B444" s="145" t="b">
        <v>0</v>
      </c>
      <c r="C444" s="176">
        <f>#REF!</f>
        <v/>
      </c>
      <c r="D444" s="174" t="n"/>
      <c r="E444" s="174" t="n"/>
      <c r="F444" s="176">
        <f>#REF!</f>
        <v/>
      </c>
      <c r="G444" s="174">
        <f>#REF!</f>
        <v/>
      </c>
      <c r="H444" s="174">
        <f>#REF!</f>
        <v/>
      </c>
      <c r="I444" s="174">
        <f>#REF!</f>
        <v/>
      </c>
      <c r="J444" s="174">
        <f>#REF!</f>
        <v/>
      </c>
      <c r="K444" s="176">
        <f>#REF!</f>
        <v/>
      </c>
      <c r="L444" s="173" t="n"/>
      <c r="M444" s="9" t="n"/>
      <c r="N444" s="28" t="b">
        <v>0</v>
      </c>
      <c r="O444" s="172" t="b">
        <v>0</v>
      </c>
      <c r="P444" s="28" t="b">
        <v>0</v>
      </c>
      <c r="Q444" s="28" t="b">
        <v>0</v>
      </c>
      <c r="R444" s="28" t="b">
        <v>0</v>
      </c>
      <c r="S444" s="28" t="b">
        <v>0</v>
      </c>
      <c r="T444" s="28" t="b">
        <v>0</v>
      </c>
      <c r="U444" s="28" t="b">
        <v>0</v>
      </c>
      <c r="V444" s="28" t="b">
        <v>0</v>
      </c>
      <c r="W444" s="28" t="b">
        <v>0</v>
      </c>
    </row>
    <row r="445" ht="69" customHeight="1" s="222">
      <c r="A445" s="164">
        <f>#REF!</f>
        <v/>
      </c>
      <c r="B445" s="145" t="b">
        <v>0</v>
      </c>
      <c r="C445" s="176">
        <f>#REF!</f>
        <v/>
      </c>
      <c r="D445" s="174" t="n"/>
      <c r="E445" s="174" t="n"/>
      <c r="F445" s="176">
        <f>#REF!</f>
        <v/>
      </c>
      <c r="G445" s="174">
        <f>#REF!</f>
        <v/>
      </c>
      <c r="H445" s="174">
        <f>#REF!</f>
        <v/>
      </c>
      <c r="I445" s="174">
        <f>#REF!</f>
        <v/>
      </c>
      <c r="J445" s="174">
        <f>#REF!</f>
        <v/>
      </c>
      <c r="K445" s="176">
        <f>#REF!</f>
        <v/>
      </c>
      <c r="L445" s="173" t="n"/>
      <c r="M445" s="9" t="n"/>
      <c r="N445" s="28" t="b">
        <v>0</v>
      </c>
      <c r="O445" s="172" t="b">
        <v>0</v>
      </c>
      <c r="P445" s="28" t="b">
        <v>0</v>
      </c>
      <c r="Q445" s="28" t="b">
        <v>0</v>
      </c>
      <c r="R445" s="28" t="b">
        <v>0</v>
      </c>
      <c r="S445" s="28" t="b">
        <v>0</v>
      </c>
      <c r="T445" s="28" t="b">
        <v>0</v>
      </c>
      <c r="U445" s="28" t="b">
        <v>0</v>
      </c>
      <c r="V445" s="28" t="b">
        <v>0</v>
      </c>
      <c r="W445" s="28" t="b">
        <v>0</v>
      </c>
    </row>
    <row r="446" ht="69" customHeight="1" s="222">
      <c r="A446" s="164">
        <f>#REF!</f>
        <v/>
      </c>
      <c r="B446" s="145" t="b">
        <v>0</v>
      </c>
      <c r="C446" s="176">
        <f>#REF!</f>
        <v/>
      </c>
      <c r="D446" s="174" t="n"/>
      <c r="E446" s="174" t="n"/>
      <c r="F446" s="176">
        <f>#REF!</f>
        <v/>
      </c>
      <c r="G446" s="174">
        <f>#REF!</f>
        <v/>
      </c>
      <c r="H446" s="174">
        <f>#REF!</f>
        <v/>
      </c>
      <c r="I446" s="174">
        <f>#REF!</f>
        <v/>
      </c>
      <c r="J446" s="174">
        <f>#REF!</f>
        <v/>
      </c>
      <c r="K446" s="176">
        <f>#REF!</f>
        <v/>
      </c>
      <c r="L446" s="173" t="n"/>
      <c r="M446" s="9" t="n"/>
      <c r="N446" s="28" t="b">
        <v>0</v>
      </c>
      <c r="O446" s="172" t="b">
        <v>0</v>
      </c>
      <c r="P446" s="28" t="b">
        <v>0</v>
      </c>
      <c r="Q446" s="28" t="b">
        <v>0</v>
      </c>
      <c r="R446" s="28" t="b">
        <v>0</v>
      </c>
      <c r="S446" s="28" t="b">
        <v>0</v>
      </c>
      <c r="T446" s="28" t="b">
        <v>0</v>
      </c>
      <c r="U446" s="28" t="b">
        <v>0</v>
      </c>
      <c r="V446" s="28" t="b">
        <v>0</v>
      </c>
      <c r="W446" s="28" t="b">
        <v>0</v>
      </c>
    </row>
    <row r="447" ht="69" customHeight="1" s="222">
      <c r="A447" s="164">
        <f>#REF!</f>
        <v/>
      </c>
      <c r="B447" s="145" t="b">
        <v>0</v>
      </c>
      <c r="C447" s="176">
        <f>#REF!</f>
        <v/>
      </c>
      <c r="D447" s="174" t="n"/>
      <c r="E447" s="174" t="n"/>
      <c r="F447" s="176">
        <f>#REF!</f>
        <v/>
      </c>
      <c r="G447" s="174">
        <f>#REF!</f>
        <v/>
      </c>
      <c r="H447" s="174">
        <f>#REF!</f>
        <v/>
      </c>
      <c r="I447" s="174">
        <f>#REF!</f>
        <v/>
      </c>
      <c r="J447" s="174">
        <f>#REF!</f>
        <v/>
      </c>
      <c r="K447" s="176">
        <f>#REF!</f>
        <v/>
      </c>
      <c r="L447" s="173" t="n"/>
      <c r="M447" s="9" t="n"/>
      <c r="N447" s="28" t="b">
        <v>0</v>
      </c>
      <c r="O447" s="172" t="b">
        <v>0</v>
      </c>
      <c r="P447" s="28" t="b">
        <v>0</v>
      </c>
      <c r="Q447" s="28" t="b">
        <v>0</v>
      </c>
      <c r="R447" s="28" t="b">
        <v>0</v>
      </c>
      <c r="S447" s="28" t="b">
        <v>0</v>
      </c>
      <c r="T447" s="28" t="b">
        <v>0</v>
      </c>
      <c r="U447" s="28" t="b">
        <v>0</v>
      </c>
      <c r="V447" s="28" t="b">
        <v>0</v>
      </c>
      <c r="W447" s="28" t="b">
        <v>0</v>
      </c>
    </row>
    <row r="448" ht="69" customHeight="1" s="222">
      <c r="A448" s="164">
        <f>#REF!</f>
        <v/>
      </c>
      <c r="B448" s="145" t="b">
        <v>0</v>
      </c>
      <c r="C448" s="176">
        <f>#REF!</f>
        <v/>
      </c>
      <c r="D448" s="174" t="n"/>
      <c r="E448" s="174" t="n"/>
      <c r="F448" s="176">
        <f>#REF!</f>
        <v/>
      </c>
      <c r="G448" s="174">
        <f>#REF!</f>
        <v/>
      </c>
      <c r="H448" s="174">
        <f>#REF!</f>
        <v/>
      </c>
      <c r="I448" s="174">
        <f>#REF!</f>
        <v/>
      </c>
      <c r="J448" s="174">
        <f>#REF!</f>
        <v/>
      </c>
      <c r="K448" s="176">
        <f>#REF!</f>
        <v/>
      </c>
      <c r="L448" s="173" t="n"/>
      <c r="M448" s="9" t="n"/>
      <c r="N448" s="28" t="b">
        <v>0</v>
      </c>
      <c r="O448" s="172" t="b">
        <v>0</v>
      </c>
      <c r="P448" s="28" t="b">
        <v>0</v>
      </c>
      <c r="Q448" s="28" t="b">
        <v>0</v>
      </c>
      <c r="R448" s="28" t="b">
        <v>0</v>
      </c>
      <c r="S448" s="28" t="b">
        <v>0</v>
      </c>
      <c r="T448" s="28" t="b">
        <v>0</v>
      </c>
      <c r="U448" s="28" t="b">
        <v>0</v>
      </c>
      <c r="V448" s="28" t="b">
        <v>0</v>
      </c>
      <c r="W448" s="28" t="b">
        <v>0</v>
      </c>
    </row>
    <row r="449" ht="69" customHeight="1" s="222">
      <c r="A449" s="164">
        <f>#REF!</f>
        <v/>
      </c>
      <c r="B449" s="145" t="b">
        <v>0</v>
      </c>
      <c r="C449" s="176">
        <f>#REF!</f>
        <v/>
      </c>
      <c r="D449" s="174" t="n"/>
      <c r="E449" s="174" t="n"/>
      <c r="F449" s="176">
        <f>#REF!</f>
        <v/>
      </c>
      <c r="G449" s="174">
        <f>#REF!</f>
        <v/>
      </c>
      <c r="H449" s="174">
        <f>#REF!</f>
        <v/>
      </c>
      <c r="I449" s="174">
        <f>#REF!</f>
        <v/>
      </c>
      <c r="J449" s="174">
        <f>#REF!</f>
        <v/>
      </c>
      <c r="K449" s="176">
        <f>#REF!</f>
        <v/>
      </c>
      <c r="L449" s="173" t="n"/>
      <c r="M449" s="9" t="n"/>
      <c r="N449" s="28" t="b">
        <v>0</v>
      </c>
      <c r="O449" s="172" t="b">
        <v>0</v>
      </c>
      <c r="P449" s="28" t="b">
        <v>0</v>
      </c>
      <c r="Q449" s="28" t="b">
        <v>0</v>
      </c>
      <c r="R449" s="28" t="b">
        <v>0</v>
      </c>
      <c r="S449" s="28" t="b">
        <v>0</v>
      </c>
      <c r="T449" s="28" t="b">
        <v>0</v>
      </c>
      <c r="U449" s="28" t="b">
        <v>0</v>
      </c>
      <c r="V449" s="28" t="b">
        <v>0</v>
      </c>
      <c r="W449" s="28" t="b">
        <v>0</v>
      </c>
    </row>
    <row r="450" ht="69" customHeight="1" s="222">
      <c r="A450" s="164">
        <f>#REF!</f>
        <v/>
      </c>
      <c r="B450" s="145" t="b">
        <v>0</v>
      </c>
      <c r="C450" s="176">
        <f>#REF!</f>
        <v/>
      </c>
      <c r="D450" s="174" t="n"/>
      <c r="E450" s="174" t="n"/>
      <c r="F450" s="176">
        <f>#REF!</f>
        <v/>
      </c>
      <c r="G450" s="174">
        <f>#REF!</f>
        <v/>
      </c>
      <c r="H450" s="174">
        <f>#REF!</f>
        <v/>
      </c>
      <c r="I450" s="174">
        <f>#REF!</f>
        <v/>
      </c>
      <c r="J450" s="174">
        <f>#REF!</f>
        <v/>
      </c>
      <c r="K450" s="176">
        <f>#REF!</f>
        <v/>
      </c>
      <c r="L450" s="173" t="n"/>
      <c r="M450" s="9" t="n"/>
      <c r="N450" s="28" t="b">
        <v>0</v>
      </c>
      <c r="O450" s="172" t="b">
        <v>0</v>
      </c>
      <c r="P450" s="28" t="b">
        <v>0</v>
      </c>
      <c r="Q450" s="28" t="b">
        <v>0</v>
      </c>
      <c r="R450" s="28" t="b">
        <v>0</v>
      </c>
      <c r="S450" s="28" t="b">
        <v>0</v>
      </c>
      <c r="T450" s="28" t="b">
        <v>0</v>
      </c>
      <c r="U450" s="28" t="b">
        <v>0</v>
      </c>
      <c r="V450" s="28" t="b">
        <v>0</v>
      </c>
      <c r="W450" s="28" t="b">
        <v>0</v>
      </c>
    </row>
    <row r="451" ht="69" customHeight="1" s="222">
      <c r="A451" s="164">
        <f>#REF!</f>
        <v/>
      </c>
      <c r="B451" s="145" t="b">
        <v>0</v>
      </c>
      <c r="C451" s="176">
        <f>#REF!</f>
        <v/>
      </c>
      <c r="D451" s="174" t="n"/>
      <c r="E451" s="174" t="n"/>
      <c r="F451" s="176">
        <f>#REF!</f>
        <v/>
      </c>
      <c r="G451" s="174">
        <f>#REF!</f>
        <v/>
      </c>
      <c r="H451" s="174">
        <f>#REF!</f>
        <v/>
      </c>
      <c r="I451" s="174">
        <f>#REF!</f>
        <v/>
      </c>
      <c r="J451" s="174">
        <f>#REF!</f>
        <v/>
      </c>
      <c r="K451" s="176">
        <f>#REF!</f>
        <v/>
      </c>
      <c r="L451" s="173" t="n"/>
      <c r="M451" s="9" t="n"/>
      <c r="N451" s="28" t="b">
        <v>0</v>
      </c>
      <c r="O451" s="172" t="b">
        <v>0</v>
      </c>
      <c r="P451" s="28" t="b">
        <v>0</v>
      </c>
      <c r="Q451" s="28" t="b">
        <v>0</v>
      </c>
      <c r="R451" s="28" t="b">
        <v>0</v>
      </c>
      <c r="S451" s="28" t="b">
        <v>0</v>
      </c>
      <c r="T451" s="28" t="b">
        <v>0</v>
      </c>
      <c r="U451" s="28" t="b">
        <v>0</v>
      </c>
      <c r="V451" s="28" t="b">
        <v>0</v>
      </c>
      <c r="W451" s="28" t="b">
        <v>0</v>
      </c>
    </row>
    <row r="452" ht="69" customHeight="1" s="222">
      <c r="A452" s="164">
        <f>#REF!</f>
        <v/>
      </c>
      <c r="B452" s="145" t="b">
        <v>0</v>
      </c>
      <c r="C452" s="176">
        <f>#REF!</f>
        <v/>
      </c>
      <c r="D452" s="174" t="n"/>
      <c r="E452" s="174" t="n"/>
      <c r="F452" s="176">
        <f>#REF!</f>
        <v/>
      </c>
      <c r="G452" s="174">
        <f>#REF!</f>
        <v/>
      </c>
      <c r="H452" s="174">
        <f>#REF!</f>
        <v/>
      </c>
      <c r="I452" s="174">
        <f>#REF!</f>
        <v/>
      </c>
      <c r="J452" s="174">
        <f>#REF!</f>
        <v/>
      </c>
      <c r="K452" s="176">
        <f>#REF!</f>
        <v/>
      </c>
      <c r="L452" s="173" t="n"/>
      <c r="M452" s="9" t="n"/>
      <c r="N452" s="28" t="b">
        <v>0</v>
      </c>
      <c r="O452" s="172" t="b">
        <v>0</v>
      </c>
      <c r="P452" s="28" t="b">
        <v>0</v>
      </c>
      <c r="Q452" s="28" t="b">
        <v>0</v>
      </c>
      <c r="R452" s="28" t="b">
        <v>0</v>
      </c>
      <c r="S452" s="28" t="b">
        <v>0</v>
      </c>
      <c r="T452" s="28" t="b">
        <v>0</v>
      </c>
      <c r="U452" s="28" t="b">
        <v>0</v>
      </c>
      <c r="V452" s="28" t="b">
        <v>0</v>
      </c>
      <c r="W452" s="28" t="b">
        <v>0</v>
      </c>
    </row>
    <row r="453" ht="69" customHeight="1" s="222">
      <c r="A453" s="164">
        <f>#REF!</f>
        <v/>
      </c>
      <c r="B453" s="145" t="b">
        <v>0</v>
      </c>
      <c r="C453" s="176">
        <f>#REF!</f>
        <v/>
      </c>
      <c r="D453" s="174" t="n"/>
      <c r="E453" s="174" t="n"/>
      <c r="F453" s="176">
        <f>#REF!</f>
        <v/>
      </c>
      <c r="G453" s="174">
        <f>#REF!</f>
        <v/>
      </c>
      <c r="H453" s="174">
        <f>#REF!</f>
        <v/>
      </c>
      <c r="I453" s="174">
        <f>#REF!</f>
        <v/>
      </c>
      <c r="J453" s="174">
        <f>#REF!</f>
        <v/>
      </c>
      <c r="K453" s="176">
        <f>#REF!</f>
        <v/>
      </c>
      <c r="L453" s="173" t="n"/>
      <c r="M453" s="9" t="n"/>
      <c r="N453" s="28" t="b">
        <v>0</v>
      </c>
      <c r="O453" s="172" t="b">
        <v>0</v>
      </c>
      <c r="P453" s="28" t="b">
        <v>0</v>
      </c>
      <c r="Q453" s="28" t="b">
        <v>0</v>
      </c>
      <c r="R453" s="28" t="b">
        <v>0</v>
      </c>
      <c r="S453" s="28" t="b">
        <v>0</v>
      </c>
      <c r="T453" s="28" t="b">
        <v>0</v>
      </c>
      <c r="U453" s="28" t="b">
        <v>0</v>
      </c>
      <c r="V453" s="28" t="b">
        <v>0</v>
      </c>
      <c r="W453" s="28" t="b">
        <v>0</v>
      </c>
    </row>
    <row r="454" ht="69" customHeight="1" s="222">
      <c r="A454" s="164">
        <f>#REF!</f>
        <v/>
      </c>
      <c r="B454" s="145" t="b">
        <v>0</v>
      </c>
      <c r="C454" s="176">
        <f>#REF!</f>
        <v/>
      </c>
      <c r="D454" s="174" t="n"/>
      <c r="E454" s="174" t="n"/>
      <c r="F454" s="176">
        <f>#REF!</f>
        <v/>
      </c>
      <c r="G454" s="174">
        <f>#REF!</f>
        <v/>
      </c>
      <c r="H454" s="174">
        <f>#REF!</f>
        <v/>
      </c>
      <c r="I454" s="174">
        <f>#REF!</f>
        <v/>
      </c>
      <c r="J454" s="174">
        <f>#REF!</f>
        <v/>
      </c>
      <c r="K454" s="176">
        <f>#REF!</f>
        <v/>
      </c>
      <c r="L454" s="173" t="n"/>
      <c r="M454" s="9" t="n"/>
      <c r="N454" s="28" t="b">
        <v>0</v>
      </c>
      <c r="O454" s="172" t="b">
        <v>0</v>
      </c>
      <c r="P454" s="28" t="b">
        <v>0</v>
      </c>
      <c r="Q454" s="28" t="b">
        <v>0</v>
      </c>
      <c r="R454" s="28" t="b">
        <v>0</v>
      </c>
      <c r="S454" s="28" t="b">
        <v>0</v>
      </c>
      <c r="T454" s="28" t="b">
        <v>0</v>
      </c>
      <c r="U454" s="28" t="b">
        <v>0</v>
      </c>
      <c r="V454" s="28" t="b">
        <v>0</v>
      </c>
      <c r="W454" s="28" t="b">
        <v>0</v>
      </c>
    </row>
    <row r="455" ht="69" customHeight="1" s="222">
      <c r="A455" s="164">
        <f>#REF!</f>
        <v/>
      </c>
      <c r="B455" s="145" t="b">
        <v>0</v>
      </c>
      <c r="C455" s="176">
        <f>#REF!</f>
        <v/>
      </c>
      <c r="D455" s="174" t="n"/>
      <c r="E455" s="174" t="n"/>
      <c r="F455" s="176">
        <f>#REF!</f>
        <v/>
      </c>
      <c r="G455" s="174">
        <f>#REF!</f>
        <v/>
      </c>
      <c r="H455" s="174">
        <f>#REF!</f>
        <v/>
      </c>
      <c r="I455" s="174">
        <f>#REF!</f>
        <v/>
      </c>
      <c r="J455" s="174">
        <f>#REF!</f>
        <v/>
      </c>
      <c r="K455" s="176">
        <f>#REF!</f>
        <v/>
      </c>
      <c r="L455" s="173" t="n"/>
      <c r="M455" s="9" t="n"/>
      <c r="N455" s="28" t="b">
        <v>0</v>
      </c>
      <c r="O455" s="172" t="b">
        <v>0</v>
      </c>
      <c r="P455" s="28" t="b">
        <v>0</v>
      </c>
      <c r="Q455" s="28" t="b">
        <v>0</v>
      </c>
      <c r="R455" s="28" t="b">
        <v>0</v>
      </c>
      <c r="S455" s="28" t="b">
        <v>0</v>
      </c>
      <c r="T455" s="28" t="b">
        <v>0</v>
      </c>
      <c r="U455" s="28" t="b">
        <v>0</v>
      </c>
      <c r="V455" s="28" t="b">
        <v>0</v>
      </c>
      <c r="W455" s="28" t="b">
        <v>0</v>
      </c>
    </row>
    <row r="456" ht="69" customHeight="1" s="222">
      <c r="A456" s="164">
        <f>#REF!</f>
        <v/>
      </c>
      <c r="B456" s="145" t="b">
        <v>0</v>
      </c>
      <c r="C456" s="176">
        <f>#REF!</f>
        <v/>
      </c>
      <c r="D456" s="174" t="n"/>
      <c r="E456" s="174" t="n"/>
      <c r="F456" s="176">
        <f>#REF!</f>
        <v/>
      </c>
      <c r="G456" s="174">
        <f>#REF!</f>
        <v/>
      </c>
      <c r="H456" s="174">
        <f>#REF!</f>
        <v/>
      </c>
      <c r="I456" s="174">
        <f>#REF!</f>
        <v/>
      </c>
      <c r="J456" s="174">
        <f>#REF!</f>
        <v/>
      </c>
      <c r="K456" s="176">
        <f>#REF!</f>
        <v/>
      </c>
      <c r="L456" s="173" t="n"/>
      <c r="M456" s="9" t="n"/>
      <c r="N456" s="28" t="b">
        <v>0</v>
      </c>
      <c r="O456" s="172" t="b">
        <v>0</v>
      </c>
      <c r="P456" s="28" t="b">
        <v>0</v>
      </c>
      <c r="Q456" s="28" t="b">
        <v>0</v>
      </c>
      <c r="R456" s="28" t="b">
        <v>0</v>
      </c>
      <c r="S456" s="28" t="b">
        <v>0</v>
      </c>
      <c r="T456" s="28" t="b">
        <v>0</v>
      </c>
      <c r="U456" s="28" t="b">
        <v>0</v>
      </c>
      <c r="V456" s="28" t="b">
        <v>0</v>
      </c>
      <c r="W456" s="28" t="b">
        <v>0</v>
      </c>
    </row>
    <row r="457" ht="69" customHeight="1" s="222">
      <c r="A457" s="164">
        <f>#REF!</f>
        <v/>
      </c>
      <c r="B457" s="145" t="b">
        <v>0</v>
      </c>
      <c r="C457" s="176">
        <f>#REF!</f>
        <v/>
      </c>
      <c r="D457" s="174" t="n"/>
      <c r="E457" s="174" t="n"/>
      <c r="F457" s="176">
        <f>#REF!</f>
        <v/>
      </c>
      <c r="G457" s="174">
        <f>#REF!</f>
        <v/>
      </c>
      <c r="H457" s="174">
        <f>#REF!</f>
        <v/>
      </c>
      <c r="I457" s="174">
        <f>#REF!</f>
        <v/>
      </c>
      <c r="J457" s="174">
        <f>#REF!</f>
        <v/>
      </c>
      <c r="K457" s="176">
        <f>#REF!</f>
        <v/>
      </c>
      <c r="L457" s="173" t="n"/>
      <c r="M457" s="9" t="n"/>
      <c r="N457" s="28" t="b">
        <v>0</v>
      </c>
      <c r="O457" s="172" t="b">
        <v>0</v>
      </c>
      <c r="P457" s="28" t="b">
        <v>0</v>
      </c>
      <c r="Q457" s="28" t="b">
        <v>0</v>
      </c>
      <c r="R457" s="28" t="b">
        <v>0</v>
      </c>
      <c r="S457" s="28" t="b">
        <v>0</v>
      </c>
      <c r="T457" s="28" t="b">
        <v>0</v>
      </c>
      <c r="U457" s="28" t="b">
        <v>0</v>
      </c>
      <c r="V457" s="28" t="b">
        <v>0</v>
      </c>
      <c r="W457" s="28" t="b">
        <v>0</v>
      </c>
    </row>
    <row r="458" ht="69" customHeight="1" s="222">
      <c r="A458" s="164">
        <f>#REF!</f>
        <v/>
      </c>
      <c r="B458" s="145" t="b">
        <v>0</v>
      </c>
      <c r="C458" s="176">
        <f>#REF!</f>
        <v/>
      </c>
      <c r="D458" s="174" t="n"/>
      <c r="E458" s="174" t="n"/>
      <c r="F458" s="176">
        <f>#REF!</f>
        <v/>
      </c>
      <c r="G458" s="174">
        <f>#REF!</f>
        <v/>
      </c>
      <c r="H458" s="174">
        <f>#REF!</f>
        <v/>
      </c>
      <c r="I458" s="174">
        <f>#REF!</f>
        <v/>
      </c>
      <c r="J458" s="174">
        <f>#REF!</f>
        <v/>
      </c>
      <c r="K458" s="176">
        <f>#REF!</f>
        <v/>
      </c>
      <c r="L458" s="173" t="n"/>
      <c r="M458" s="9" t="n"/>
      <c r="N458" s="28" t="b">
        <v>0</v>
      </c>
      <c r="O458" s="172" t="b">
        <v>0</v>
      </c>
      <c r="P458" s="28" t="b">
        <v>0</v>
      </c>
      <c r="Q458" s="28" t="b">
        <v>0</v>
      </c>
      <c r="R458" s="28" t="b">
        <v>0</v>
      </c>
      <c r="S458" s="28" t="b">
        <v>0</v>
      </c>
      <c r="T458" s="28" t="b">
        <v>0</v>
      </c>
      <c r="U458" s="28" t="b">
        <v>0</v>
      </c>
      <c r="V458" s="28" t="b">
        <v>0</v>
      </c>
      <c r="W458" s="28" t="b">
        <v>0</v>
      </c>
    </row>
    <row r="459" ht="69" customHeight="1" s="222">
      <c r="A459" s="164">
        <f>#REF!</f>
        <v/>
      </c>
      <c r="B459" s="145" t="b">
        <v>0</v>
      </c>
      <c r="C459" s="176">
        <f>#REF!</f>
        <v/>
      </c>
      <c r="D459" s="174" t="n"/>
      <c r="E459" s="174" t="n"/>
      <c r="F459" s="176">
        <f>#REF!</f>
        <v/>
      </c>
      <c r="G459" s="174">
        <f>#REF!</f>
        <v/>
      </c>
      <c r="H459" s="174">
        <f>#REF!</f>
        <v/>
      </c>
      <c r="I459" s="174">
        <f>#REF!</f>
        <v/>
      </c>
      <c r="J459" s="174">
        <f>#REF!</f>
        <v/>
      </c>
      <c r="K459" s="176">
        <f>#REF!</f>
        <v/>
      </c>
      <c r="L459" s="173" t="n"/>
      <c r="M459" s="9" t="n"/>
      <c r="N459" s="28" t="b">
        <v>0</v>
      </c>
      <c r="O459" s="172" t="b">
        <v>0</v>
      </c>
      <c r="P459" s="28" t="b">
        <v>0</v>
      </c>
      <c r="Q459" s="28" t="b">
        <v>0</v>
      </c>
      <c r="R459" s="28" t="b">
        <v>0</v>
      </c>
      <c r="S459" s="28" t="b">
        <v>0</v>
      </c>
      <c r="T459" s="28" t="b">
        <v>0</v>
      </c>
      <c r="U459" s="28" t="b">
        <v>0</v>
      </c>
      <c r="V459" s="28" t="b">
        <v>0</v>
      </c>
      <c r="W459" s="28" t="b">
        <v>0</v>
      </c>
    </row>
    <row r="460" ht="69" customHeight="1" s="222">
      <c r="A460" s="164">
        <f>#REF!</f>
        <v/>
      </c>
      <c r="B460" s="145" t="b">
        <v>0</v>
      </c>
      <c r="C460" s="176">
        <f>#REF!</f>
        <v/>
      </c>
      <c r="D460" s="174" t="n"/>
      <c r="E460" s="174" t="n"/>
      <c r="F460" s="176">
        <f>#REF!</f>
        <v/>
      </c>
      <c r="G460" s="174">
        <f>#REF!</f>
        <v/>
      </c>
      <c r="H460" s="174">
        <f>#REF!</f>
        <v/>
      </c>
      <c r="I460" s="174">
        <f>#REF!</f>
        <v/>
      </c>
      <c r="J460" s="174">
        <f>#REF!</f>
        <v/>
      </c>
      <c r="K460" s="176">
        <f>#REF!</f>
        <v/>
      </c>
      <c r="L460" s="173" t="n"/>
      <c r="M460" s="9" t="n"/>
      <c r="N460" s="28" t="b">
        <v>0</v>
      </c>
      <c r="O460" s="172" t="b">
        <v>0</v>
      </c>
      <c r="P460" s="28" t="b">
        <v>0</v>
      </c>
      <c r="Q460" s="28" t="b">
        <v>0</v>
      </c>
      <c r="R460" s="28" t="b">
        <v>0</v>
      </c>
      <c r="S460" s="28" t="b">
        <v>0</v>
      </c>
      <c r="T460" s="28" t="b">
        <v>0</v>
      </c>
      <c r="U460" s="28" t="b">
        <v>0</v>
      </c>
      <c r="V460" s="28" t="b">
        <v>0</v>
      </c>
      <c r="W460" s="28" t="b">
        <v>0</v>
      </c>
    </row>
    <row r="461" ht="69" customHeight="1" s="222">
      <c r="A461" s="164">
        <f>#REF!</f>
        <v/>
      </c>
      <c r="B461" s="145" t="b">
        <v>0</v>
      </c>
      <c r="C461" s="176">
        <f>#REF!</f>
        <v/>
      </c>
      <c r="D461" s="174" t="n"/>
      <c r="E461" s="174" t="n"/>
      <c r="F461" s="176">
        <f>#REF!</f>
        <v/>
      </c>
      <c r="G461" s="174">
        <f>#REF!</f>
        <v/>
      </c>
      <c r="H461" s="174">
        <f>#REF!</f>
        <v/>
      </c>
      <c r="I461" s="174">
        <f>#REF!</f>
        <v/>
      </c>
      <c r="J461" s="174">
        <f>#REF!</f>
        <v/>
      </c>
      <c r="K461" s="176">
        <f>#REF!</f>
        <v/>
      </c>
      <c r="L461" s="173" t="n"/>
      <c r="M461" s="9" t="n"/>
      <c r="N461" s="28" t="b">
        <v>0</v>
      </c>
      <c r="O461" s="172" t="b">
        <v>0</v>
      </c>
      <c r="P461" s="28" t="b">
        <v>0</v>
      </c>
      <c r="Q461" s="28" t="b">
        <v>0</v>
      </c>
      <c r="R461" s="28" t="b">
        <v>0</v>
      </c>
      <c r="S461" s="28" t="b">
        <v>0</v>
      </c>
      <c r="T461" s="28" t="b">
        <v>0</v>
      </c>
      <c r="U461" s="28" t="b">
        <v>0</v>
      </c>
      <c r="V461" s="28" t="b">
        <v>0</v>
      </c>
      <c r="W461" s="28" t="b">
        <v>0</v>
      </c>
    </row>
    <row r="462" ht="69" customHeight="1" s="222">
      <c r="A462" s="164">
        <f>#REF!</f>
        <v/>
      </c>
      <c r="B462" s="145" t="b">
        <v>0</v>
      </c>
      <c r="C462" s="176">
        <f>#REF!</f>
        <v/>
      </c>
      <c r="D462" s="174" t="n"/>
      <c r="E462" s="174" t="n"/>
      <c r="F462" s="176">
        <f>#REF!</f>
        <v/>
      </c>
      <c r="G462" s="174">
        <f>#REF!</f>
        <v/>
      </c>
      <c r="H462" s="174">
        <f>#REF!</f>
        <v/>
      </c>
      <c r="I462" s="174">
        <f>#REF!</f>
        <v/>
      </c>
      <c r="J462" s="174">
        <f>#REF!</f>
        <v/>
      </c>
      <c r="K462" s="176">
        <f>#REF!</f>
        <v/>
      </c>
      <c r="L462" s="173" t="n"/>
      <c r="M462" s="9" t="n"/>
      <c r="N462" s="28" t="b">
        <v>0</v>
      </c>
      <c r="O462" s="172" t="b">
        <v>0</v>
      </c>
      <c r="P462" s="28" t="b">
        <v>0</v>
      </c>
      <c r="Q462" s="28" t="b">
        <v>0</v>
      </c>
      <c r="R462" s="28" t="b">
        <v>0</v>
      </c>
      <c r="S462" s="28" t="b">
        <v>0</v>
      </c>
      <c r="T462" s="28" t="b">
        <v>0</v>
      </c>
      <c r="U462" s="28" t="b">
        <v>0</v>
      </c>
      <c r="V462" s="28" t="b">
        <v>0</v>
      </c>
      <c r="W462" s="28" t="b">
        <v>0</v>
      </c>
    </row>
    <row r="463" ht="69" customHeight="1" s="222">
      <c r="A463" s="164">
        <f>#REF!</f>
        <v/>
      </c>
      <c r="B463" s="145" t="b">
        <v>0</v>
      </c>
      <c r="C463" s="176">
        <f>#REF!</f>
        <v/>
      </c>
      <c r="D463" s="174" t="n"/>
      <c r="E463" s="174" t="n"/>
      <c r="F463" s="176">
        <f>#REF!</f>
        <v/>
      </c>
      <c r="G463" s="174">
        <f>#REF!</f>
        <v/>
      </c>
      <c r="H463" s="174">
        <f>#REF!</f>
        <v/>
      </c>
      <c r="I463" s="174">
        <f>#REF!</f>
        <v/>
      </c>
      <c r="J463" s="174">
        <f>#REF!</f>
        <v/>
      </c>
      <c r="K463" s="176">
        <f>#REF!</f>
        <v/>
      </c>
      <c r="L463" s="173" t="n"/>
      <c r="M463" s="9" t="n"/>
      <c r="N463" s="28" t="b">
        <v>0</v>
      </c>
      <c r="O463" s="172" t="b">
        <v>0</v>
      </c>
      <c r="P463" s="28" t="b">
        <v>0</v>
      </c>
      <c r="Q463" s="28" t="b">
        <v>0</v>
      </c>
      <c r="R463" s="28" t="b">
        <v>0</v>
      </c>
      <c r="S463" s="28" t="b">
        <v>0</v>
      </c>
      <c r="T463" s="28" t="b">
        <v>0</v>
      </c>
      <c r="U463" s="28" t="b">
        <v>0</v>
      </c>
      <c r="V463" s="28" t="b">
        <v>0</v>
      </c>
      <c r="W463" s="28" t="b">
        <v>0</v>
      </c>
    </row>
    <row r="464" ht="69" customHeight="1" s="222">
      <c r="A464" s="164">
        <f>#REF!</f>
        <v/>
      </c>
      <c r="B464" s="145" t="b">
        <v>0</v>
      </c>
      <c r="C464" s="176">
        <f>#REF!</f>
        <v/>
      </c>
      <c r="D464" s="174" t="n"/>
      <c r="E464" s="174" t="n"/>
      <c r="F464" s="176">
        <f>#REF!</f>
        <v/>
      </c>
      <c r="G464" s="174">
        <f>#REF!</f>
        <v/>
      </c>
      <c r="H464" s="174">
        <f>#REF!</f>
        <v/>
      </c>
      <c r="I464" s="174">
        <f>#REF!</f>
        <v/>
      </c>
      <c r="J464" s="174">
        <f>#REF!</f>
        <v/>
      </c>
      <c r="K464" s="176">
        <f>#REF!</f>
        <v/>
      </c>
      <c r="L464" s="173" t="n"/>
      <c r="M464" s="9" t="n"/>
      <c r="N464" s="28" t="b">
        <v>0</v>
      </c>
      <c r="O464" s="172" t="b">
        <v>0</v>
      </c>
      <c r="P464" s="28" t="b">
        <v>0</v>
      </c>
      <c r="Q464" s="28" t="b">
        <v>0</v>
      </c>
      <c r="R464" s="28" t="b">
        <v>0</v>
      </c>
      <c r="S464" s="28" t="b">
        <v>0</v>
      </c>
      <c r="T464" s="28" t="b">
        <v>0</v>
      </c>
      <c r="U464" s="28" t="b">
        <v>0</v>
      </c>
      <c r="V464" s="28" t="b">
        <v>0</v>
      </c>
      <c r="W464" s="28" t="b">
        <v>0</v>
      </c>
    </row>
    <row r="465" ht="69" customHeight="1" s="222">
      <c r="A465" s="164">
        <f>#REF!</f>
        <v/>
      </c>
      <c r="B465" s="145" t="b">
        <v>0</v>
      </c>
      <c r="C465" s="176">
        <f>#REF!</f>
        <v/>
      </c>
      <c r="D465" s="174" t="n"/>
      <c r="E465" s="174" t="n"/>
      <c r="F465" s="176">
        <f>#REF!</f>
        <v/>
      </c>
      <c r="G465" s="174">
        <f>#REF!</f>
        <v/>
      </c>
      <c r="H465" s="174">
        <f>#REF!</f>
        <v/>
      </c>
      <c r="I465" s="174">
        <f>#REF!</f>
        <v/>
      </c>
      <c r="J465" s="174">
        <f>#REF!</f>
        <v/>
      </c>
      <c r="K465" s="176">
        <f>#REF!</f>
        <v/>
      </c>
      <c r="L465" s="173" t="n"/>
      <c r="M465" s="9" t="n"/>
      <c r="N465" s="28" t="b">
        <v>0</v>
      </c>
      <c r="O465" s="172" t="b">
        <v>0</v>
      </c>
      <c r="P465" s="28" t="b">
        <v>0</v>
      </c>
      <c r="Q465" s="28" t="b">
        <v>0</v>
      </c>
      <c r="R465" s="28" t="b">
        <v>0</v>
      </c>
      <c r="S465" s="28" t="b">
        <v>0</v>
      </c>
      <c r="T465" s="28" t="b">
        <v>0</v>
      </c>
      <c r="U465" s="28" t="b">
        <v>0</v>
      </c>
      <c r="V465" s="28" t="b">
        <v>0</v>
      </c>
      <c r="W465" s="28" t="b">
        <v>0</v>
      </c>
    </row>
    <row r="466" ht="69" customHeight="1" s="222">
      <c r="A466" s="164">
        <f>#REF!</f>
        <v/>
      </c>
      <c r="B466" s="145" t="b">
        <v>0</v>
      </c>
      <c r="C466" s="176">
        <f>#REF!</f>
        <v/>
      </c>
      <c r="D466" s="174" t="n"/>
      <c r="E466" s="174" t="n"/>
      <c r="F466" s="176">
        <f>#REF!</f>
        <v/>
      </c>
      <c r="G466" s="174">
        <f>#REF!</f>
        <v/>
      </c>
      <c r="H466" s="174">
        <f>#REF!</f>
        <v/>
      </c>
      <c r="I466" s="174">
        <f>#REF!</f>
        <v/>
      </c>
      <c r="J466" s="174">
        <f>#REF!</f>
        <v/>
      </c>
      <c r="K466" s="176">
        <f>#REF!</f>
        <v/>
      </c>
      <c r="L466" s="173" t="n"/>
      <c r="M466" s="9" t="n"/>
      <c r="N466" s="28" t="b">
        <v>0</v>
      </c>
      <c r="O466" s="172" t="b">
        <v>0</v>
      </c>
      <c r="P466" s="28" t="b">
        <v>0</v>
      </c>
      <c r="Q466" s="28" t="b">
        <v>0</v>
      </c>
      <c r="R466" s="28" t="b">
        <v>0</v>
      </c>
      <c r="S466" s="28" t="b">
        <v>0</v>
      </c>
      <c r="T466" s="28" t="b">
        <v>0</v>
      </c>
      <c r="U466" s="28" t="b">
        <v>0</v>
      </c>
      <c r="V466" s="28" t="b">
        <v>0</v>
      </c>
      <c r="W466" s="28" t="b">
        <v>0</v>
      </c>
    </row>
    <row r="467" ht="69" customHeight="1" s="222">
      <c r="A467" s="164">
        <f>#REF!</f>
        <v/>
      </c>
      <c r="B467" s="145" t="b">
        <v>0</v>
      </c>
      <c r="C467" s="176">
        <f>#REF!</f>
        <v/>
      </c>
      <c r="D467" s="174" t="n"/>
      <c r="E467" s="174" t="n"/>
      <c r="F467" s="176">
        <f>#REF!</f>
        <v/>
      </c>
      <c r="G467" s="174">
        <f>#REF!</f>
        <v/>
      </c>
      <c r="H467" s="174">
        <f>#REF!</f>
        <v/>
      </c>
      <c r="I467" s="174">
        <f>#REF!</f>
        <v/>
      </c>
      <c r="J467" s="174">
        <f>#REF!</f>
        <v/>
      </c>
      <c r="K467" s="176">
        <f>#REF!</f>
        <v/>
      </c>
      <c r="L467" s="173" t="n"/>
      <c r="M467" s="9" t="n"/>
      <c r="N467" s="28" t="b">
        <v>0</v>
      </c>
      <c r="O467" s="172" t="b">
        <v>0</v>
      </c>
      <c r="P467" s="28" t="b">
        <v>0</v>
      </c>
      <c r="Q467" s="28" t="b">
        <v>0</v>
      </c>
      <c r="R467" s="28" t="b">
        <v>0</v>
      </c>
      <c r="S467" s="28" t="b">
        <v>0</v>
      </c>
      <c r="T467" s="28" t="b">
        <v>0</v>
      </c>
      <c r="U467" s="28" t="b">
        <v>0</v>
      </c>
      <c r="V467" s="28" t="b">
        <v>0</v>
      </c>
      <c r="W467" s="28" t="b">
        <v>0</v>
      </c>
    </row>
    <row r="468" ht="69" customHeight="1" s="222">
      <c r="A468" s="164">
        <f>#REF!</f>
        <v/>
      </c>
      <c r="B468" s="145" t="b">
        <v>0</v>
      </c>
      <c r="C468" s="176">
        <f>#REF!</f>
        <v/>
      </c>
      <c r="D468" s="174" t="n"/>
      <c r="E468" s="174" t="n"/>
      <c r="F468" s="176">
        <f>#REF!</f>
        <v/>
      </c>
      <c r="G468" s="174">
        <f>#REF!</f>
        <v/>
      </c>
      <c r="H468" s="174">
        <f>#REF!</f>
        <v/>
      </c>
      <c r="I468" s="174">
        <f>#REF!</f>
        <v/>
      </c>
      <c r="J468" s="174">
        <f>#REF!</f>
        <v/>
      </c>
      <c r="K468" s="176">
        <f>#REF!</f>
        <v/>
      </c>
      <c r="L468" s="173" t="n"/>
      <c r="M468" s="9" t="n"/>
      <c r="N468" s="28" t="b">
        <v>0</v>
      </c>
      <c r="O468" s="172" t="b">
        <v>0</v>
      </c>
      <c r="P468" s="28" t="b">
        <v>0</v>
      </c>
      <c r="Q468" s="28" t="b">
        <v>0</v>
      </c>
      <c r="R468" s="28" t="b">
        <v>0</v>
      </c>
      <c r="S468" s="28" t="b">
        <v>0</v>
      </c>
      <c r="T468" s="28" t="b">
        <v>0</v>
      </c>
      <c r="U468" s="28" t="b">
        <v>0</v>
      </c>
      <c r="V468" s="28" t="b">
        <v>0</v>
      </c>
      <c r="W468" s="28" t="b">
        <v>0</v>
      </c>
    </row>
    <row r="469" ht="69" customHeight="1" s="222">
      <c r="A469" s="164">
        <f>#REF!</f>
        <v/>
      </c>
      <c r="B469" s="145" t="b">
        <v>0</v>
      </c>
      <c r="C469" s="176">
        <f>#REF!</f>
        <v/>
      </c>
      <c r="D469" s="174" t="n"/>
      <c r="E469" s="174" t="n"/>
      <c r="F469" s="176">
        <f>#REF!</f>
        <v/>
      </c>
      <c r="G469" s="174">
        <f>#REF!</f>
        <v/>
      </c>
      <c r="H469" s="174">
        <f>#REF!</f>
        <v/>
      </c>
      <c r="I469" s="174">
        <f>#REF!</f>
        <v/>
      </c>
      <c r="J469" s="174">
        <f>#REF!</f>
        <v/>
      </c>
      <c r="K469" s="176">
        <f>#REF!</f>
        <v/>
      </c>
      <c r="L469" s="173" t="n"/>
      <c r="M469" s="9" t="n"/>
      <c r="N469" s="28" t="b">
        <v>0</v>
      </c>
      <c r="O469" s="172" t="b">
        <v>0</v>
      </c>
      <c r="P469" s="28" t="b">
        <v>0</v>
      </c>
      <c r="Q469" s="28" t="b">
        <v>0</v>
      </c>
      <c r="R469" s="28" t="b">
        <v>0</v>
      </c>
      <c r="S469" s="28" t="b">
        <v>0</v>
      </c>
      <c r="T469" s="28" t="b">
        <v>0</v>
      </c>
      <c r="U469" s="28" t="b">
        <v>0</v>
      </c>
      <c r="V469" s="28" t="b">
        <v>0</v>
      </c>
      <c r="W469" s="28" t="b">
        <v>0</v>
      </c>
    </row>
    <row r="470" ht="69" customHeight="1" s="222">
      <c r="A470" s="164">
        <f>#REF!</f>
        <v/>
      </c>
      <c r="B470" s="145" t="b">
        <v>0</v>
      </c>
      <c r="C470" s="176">
        <f>#REF!</f>
        <v/>
      </c>
      <c r="D470" s="174" t="n"/>
      <c r="E470" s="174" t="n"/>
      <c r="F470" s="176">
        <f>#REF!</f>
        <v/>
      </c>
      <c r="G470" s="174">
        <f>#REF!</f>
        <v/>
      </c>
      <c r="H470" s="174">
        <f>#REF!</f>
        <v/>
      </c>
      <c r="I470" s="174">
        <f>#REF!</f>
        <v/>
      </c>
      <c r="J470" s="174">
        <f>#REF!</f>
        <v/>
      </c>
      <c r="K470" s="176">
        <f>#REF!</f>
        <v/>
      </c>
      <c r="L470" s="173" t="n"/>
      <c r="M470" s="9" t="n"/>
      <c r="N470" s="28" t="b">
        <v>0</v>
      </c>
      <c r="O470" s="172" t="b">
        <v>0</v>
      </c>
      <c r="P470" s="28" t="b">
        <v>0</v>
      </c>
      <c r="Q470" s="28" t="b">
        <v>0</v>
      </c>
      <c r="R470" s="28" t="b">
        <v>0</v>
      </c>
      <c r="S470" s="28" t="b">
        <v>0</v>
      </c>
      <c r="T470" s="28" t="b">
        <v>0</v>
      </c>
      <c r="U470" s="28" t="b">
        <v>0</v>
      </c>
      <c r="V470" s="28" t="b">
        <v>0</v>
      </c>
      <c r="W470" s="28" t="b">
        <v>0</v>
      </c>
    </row>
    <row r="471" ht="69" customHeight="1" s="222">
      <c r="A471" s="164">
        <f>#REF!</f>
        <v/>
      </c>
      <c r="B471" s="145" t="b">
        <v>0</v>
      </c>
      <c r="C471" s="176">
        <f>#REF!</f>
        <v/>
      </c>
      <c r="D471" s="174" t="n"/>
      <c r="E471" s="174" t="n"/>
      <c r="F471" s="176">
        <f>#REF!</f>
        <v/>
      </c>
      <c r="G471" s="174">
        <f>#REF!</f>
        <v/>
      </c>
      <c r="H471" s="174">
        <f>#REF!</f>
        <v/>
      </c>
      <c r="I471" s="174">
        <f>#REF!</f>
        <v/>
      </c>
      <c r="J471" s="174">
        <f>#REF!</f>
        <v/>
      </c>
      <c r="K471" s="176">
        <f>#REF!</f>
        <v/>
      </c>
      <c r="L471" s="173" t="n"/>
      <c r="M471" s="9" t="n"/>
      <c r="N471" s="28" t="b">
        <v>0</v>
      </c>
      <c r="O471" s="172" t="b">
        <v>0</v>
      </c>
      <c r="P471" s="28" t="b">
        <v>0</v>
      </c>
      <c r="Q471" s="28" t="b">
        <v>0</v>
      </c>
      <c r="R471" s="28" t="b">
        <v>0</v>
      </c>
      <c r="S471" s="28" t="b">
        <v>0</v>
      </c>
      <c r="T471" s="28" t="b">
        <v>0</v>
      </c>
      <c r="U471" s="28" t="b">
        <v>0</v>
      </c>
      <c r="V471" s="28" t="b">
        <v>0</v>
      </c>
      <c r="W471" s="28" t="b">
        <v>0</v>
      </c>
    </row>
    <row r="472" ht="69" customHeight="1" s="222">
      <c r="A472" s="164">
        <f>#REF!</f>
        <v/>
      </c>
      <c r="B472" s="145" t="b">
        <v>0</v>
      </c>
      <c r="C472" s="176">
        <f>#REF!</f>
        <v/>
      </c>
      <c r="D472" s="174" t="n"/>
      <c r="E472" s="174" t="n"/>
      <c r="F472" s="176">
        <f>#REF!</f>
        <v/>
      </c>
      <c r="G472" s="174">
        <f>#REF!</f>
        <v/>
      </c>
      <c r="H472" s="174">
        <f>#REF!</f>
        <v/>
      </c>
      <c r="I472" s="174">
        <f>#REF!</f>
        <v/>
      </c>
      <c r="J472" s="174">
        <f>#REF!</f>
        <v/>
      </c>
      <c r="K472" s="176">
        <f>#REF!</f>
        <v/>
      </c>
      <c r="L472" s="173" t="n"/>
      <c r="M472" s="9" t="n"/>
      <c r="N472" s="28" t="b">
        <v>0</v>
      </c>
      <c r="O472" s="172" t="b">
        <v>0</v>
      </c>
      <c r="P472" s="28" t="b">
        <v>0</v>
      </c>
      <c r="Q472" s="28" t="b">
        <v>0</v>
      </c>
      <c r="R472" s="28" t="b">
        <v>0</v>
      </c>
      <c r="S472" s="28" t="b">
        <v>0</v>
      </c>
      <c r="T472" s="28" t="b">
        <v>0</v>
      </c>
      <c r="U472" s="28" t="b">
        <v>0</v>
      </c>
      <c r="V472" s="28" t="b">
        <v>0</v>
      </c>
      <c r="W472" s="28" t="b">
        <v>0</v>
      </c>
    </row>
    <row r="473" ht="69" customHeight="1" s="222">
      <c r="A473" s="164">
        <f>#REF!</f>
        <v/>
      </c>
      <c r="B473" s="145" t="b">
        <v>0</v>
      </c>
      <c r="C473" s="176">
        <f>#REF!</f>
        <v/>
      </c>
      <c r="D473" s="174" t="n"/>
      <c r="E473" s="174" t="n"/>
      <c r="F473" s="176">
        <f>#REF!</f>
        <v/>
      </c>
      <c r="G473" s="174">
        <f>#REF!</f>
        <v/>
      </c>
      <c r="H473" s="174">
        <f>#REF!</f>
        <v/>
      </c>
      <c r="I473" s="174">
        <f>#REF!</f>
        <v/>
      </c>
      <c r="J473" s="174">
        <f>#REF!</f>
        <v/>
      </c>
      <c r="K473" s="176">
        <f>#REF!</f>
        <v/>
      </c>
      <c r="L473" s="173" t="n"/>
      <c r="M473" s="9" t="n"/>
      <c r="N473" s="28" t="b">
        <v>0</v>
      </c>
      <c r="O473" s="172" t="b">
        <v>0</v>
      </c>
      <c r="P473" s="28" t="b">
        <v>0</v>
      </c>
      <c r="Q473" s="28" t="b">
        <v>0</v>
      </c>
      <c r="R473" s="28" t="b">
        <v>0</v>
      </c>
      <c r="S473" s="28" t="b">
        <v>0</v>
      </c>
      <c r="T473" s="28" t="b">
        <v>0</v>
      </c>
      <c r="U473" s="28" t="b">
        <v>0</v>
      </c>
      <c r="V473" s="28" t="b">
        <v>0</v>
      </c>
      <c r="W473" s="28" t="b">
        <v>0</v>
      </c>
    </row>
    <row r="474" ht="69" customHeight="1" s="222">
      <c r="A474" s="164">
        <f>#REF!</f>
        <v/>
      </c>
      <c r="B474" s="145" t="b">
        <v>0</v>
      </c>
      <c r="C474" s="176">
        <f>#REF!</f>
        <v/>
      </c>
      <c r="D474" s="174" t="n"/>
      <c r="E474" s="174" t="n"/>
      <c r="F474" s="176">
        <f>#REF!</f>
        <v/>
      </c>
      <c r="G474" s="174">
        <f>#REF!</f>
        <v/>
      </c>
      <c r="H474" s="174">
        <f>#REF!</f>
        <v/>
      </c>
      <c r="I474" s="174">
        <f>#REF!</f>
        <v/>
      </c>
      <c r="J474" s="174">
        <f>#REF!</f>
        <v/>
      </c>
      <c r="K474" s="176">
        <f>#REF!</f>
        <v/>
      </c>
      <c r="L474" s="173" t="n"/>
      <c r="M474" s="9" t="n"/>
      <c r="N474" s="28" t="b">
        <v>0</v>
      </c>
      <c r="O474" s="172" t="b">
        <v>0</v>
      </c>
      <c r="P474" s="28" t="b">
        <v>0</v>
      </c>
      <c r="Q474" s="28" t="b">
        <v>0</v>
      </c>
      <c r="R474" s="28" t="b">
        <v>0</v>
      </c>
      <c r="S474" s="28" t="b">
        <v>0</v>
      </c>
      <c r="T474" s="28" t="b">
        <v>0</v>
      </c>
      <c r="U474" s="28" t="b">
        <v>0</v>
      </c>
      <c r="V474" s="28" t="b">
        <v>0</v>
      </c>
      <c r="W474" s="28" t="b">
        <v>0</v>
      </c>
    </row>
    <row r="475" ht="69" customHeight="1" s="222">
      <c r="A475" s="164">
        <f>#REF!</f>
        <v/>
      </c>
      <c r="B475" s="145" t="b">
        <v>0</v>
      </c>
      <c r="C475" s="176">
        <f>#REF!</f>
        <v/>
      </c>
      <c r="D475" s="174" t="n"/>
      <c r="E475" s="174" t="n"/>
      <c r="F475" s="176">
        <f>#REF!</f>
        <v/>
      </c>
      <c r="G475" s="174">
        <f>#REF!</f>
        <v/>
      </c>
      <c r="H475" s="174">
        <f>#REF!</f>
        <v/>
      </c>
      <c r="I475" s="174">
        <f>#REF!</f>
        <v/>
      </c>
      <c r="J475" s="174">
        <f>#REF!</f>
        <v/>
      </c>
      <c r="K475" s="176">
        <f>#REF!</f>
        <v/>
      </c>
      <c r="L475" s="173" t="n"/>
      <c r="M475" s="9" t="n"/>
      <c r="N475" s="28" t="b">
        <v>0</v>
      </c>
      <c r="O475" s="172" t="b">
        <v>0</v>
      </c>
      <c r="P475" s="28" t="b">
        <v>0</v>
      </c>
      <c r="Q475" s="28" t="b">
        <v>0</v>
      </c>
      <c r="R475" s="28" t="b">
        <v>0</v>
      </c>
      <c r="S475" s="28" t="b">
        <v>0</v>
      </c>
      <c r="T475" s="28" t="b">
        <v>0</v>
      </c>
      <c r="U475" s="28" t="b">
        <v>0</v>
      </c>
      <c r="V475" s="28" t="b">
        <v>0</v>
      </c>
      <c r="W475" s="28" t="b">
        <v>0</v>
      </c>
    </row>
    <row r="476" ht="69" customHeight="1" s="222">
      <c r="A476" s="164">
        <f>#REF!</f>
        <v/>
      </c>
      <c r="B476" s="145" t="b">
        <v>0</v>
      </c>
      <c r="C476" s="176">
        <f>#REF!</f>
        <v/>
      </c>
      <c r="D476" s="174" t="n"/>
      <c r="E476" s="174" t="n"/>
      <c r="F476" s="176">
        <f>#REF!</f>
        <v/>
      </c>
      <c r="G476" s="174">
        <f>#REF!</f>
        <v/>
      </c>
      <c r="H476" s="174">
        <f>#REF!</f>
        <v/>
      </c>
      <c r="I476" s="174">
        <f>#REF!</f>
        <v/>
      </c>
      <c r="J476" s="174">
        <f>#REF!</f>
        <v/>
      </c>
      <c r="K476" s="176">
        <f>#REF!</f>
        <v/>
      </c>
      <c r="L476" s="173" t="n"/>
      <c r="M476" s="9" t="n"/>
      <c r="N476" s="28" t="b">
        <v>0</v>
      </c>
      <c r="O476" s="172" t="b">
        <v>0</v>
      </c>
      <c r="P476" s="28" t="b">
        <v>0</v>
      </c>
      <c r="Q476" s="28" t="b">
        <v>0</v>
      </c>
      <c r="R476" s="28" t="b">
        <v>0</v>
      </c>
      <c r="S476" s="28" t="b">
        <v>0</v>
      </c>
      <c r="T476" s="28" t="b">
        <v>0</v>
      </c>
      <c r="U476" s="28" t="b">
        <v>0</v>
      </c>
      <c r="V476" s="28" t="b">
        <v>0</v>
      </c>
      <c r="W476" s="28" t="b">
        <v>0</v>
      </c>
    </row>
    <row r="477" ht="69" customHeight="1" s="222">
      <c r="A477" s="164">
        <f>#REF!</f>
        <v/>
      </c>
      <c r="B477" s="145" t="b">
        <v>0</v>
      </c>
      <c r="C477" s="176">
        <f>#REF!</f>
        <v/>
      </c>
      <c r="D477" s="174" t="n"/>
      <c r="E477" s="174" t="n"/>
      <c r="F477" s="176">
        <f>#REF!</f>
        <v/>
      </c>
      <c r="G477" s="174">
        <f>#REF!</f>
        <v/>
      </c>
      <c r="H477" s="174">
        <f>#REF!</f>
        <v/>
      </c>
      <c r="I477" s="174">
        <f>#REF!</f>
        <v/>
      </c>
      <c r="J477" s="174">
        <f>#REF!</f>
        <v/>
      </c>
      <c r="K477" s="176">
        <f>#REF!</f>
        <v/>
      </c>
      <c r="L477" s="173" t="n"/>
      <c r="M477" s="9" t="n"/>
      <c r="N477" s="28" t="b">
        <v>0</v>
      </c>
      <c r="O477" s="172" t="b">
        <v>0</v>
      </c>
      <c r="P477" s="28" t="b">
        <v>0</v>
      </c>
      <c r="Q477" s="28" t="b">
        <v>0</v>
      </c>
      <c r="R477" s="28" t="b">
        <v>0</v>
      </c>
      <c r="S477" s="28" t="b">
        <v>0</v>
      </c>
      <c r="T477" s="28" t="b">
        <v>0</v>
      </c>
      <c r="U477" s="28" t="b">
        <v>0</v>
      </c>
      <c r="V477" s="28" t="b">
        <v>0</v>
      </c>
      <c r="W477" s="28" t="b">
        <v>0</v>
      </c>
    </row>
    <row r="478" ht="69" customHeight="1" s="222">
      <c r="A478" s="164">
        <f>#REF!</f>
        <v/>
      </c>
      <c r="B478" s="145" t="b">
        <v>0</v>
      </c>
      <c r="C478" s="176">
        <f>#REF!</f>
        <v/>
      </c>
      <c r="D478" s="174" t="n"/>
      <c r="E478" s="174" t="n"/>
      <c r="F478" s="176">
        <f>#REF!</f>
        <v/>
      </c>
      <c r="G478" s="174">
        <f>#REF!</f>
        <v/>
      </c>
      <c r="H478" s="174">
        <f>#REF!</f>
        <v/>
      </c>
      <c r="I478" s="174">
        <f>#REF!</f>
        <v/>
      </c>
      <c r="J478" s="174">
        <f>#REF!</f>
        <v/>
      </c>
      <c r="K478" s="176">
        <f>#REF!</f>
        <v/>
      </c>
      <c r="L478" s="173" t="n"/>
      <c r="M478" s="9" t="n"/>
      <c r="N478" s="28" t="b">
        <v>0</v>
      </c>
      <c r="O478" s="172" t="b">
        <v>0</v>
      </c>
      <c r="P478" s="28" t="b">
        <v>0</v>
      </c>
      <c r="Q478" s="28" t="b">
        <v>0</v>
      </c>
      <c r="R478" s="28" t="b">
        <v>0</v>
      </c>
      <c r="S478" s="28" t="b">
        <v>0</v>
      </c>
      <c r="T478" s="28" t="b">
        <v>0</v>
      </c>
      <c r="U478" s="28" t="b">
        <v>0</v>
      </c>
      <c r="V478" s="28" t="b">
        <v>0</v>
      </c>
      <c r="W478" s="28" t="b">
        <v>0</v>
      </c>
    </row>
    <row r="479" ht="69" customHeight="1" s="222">
      <c r="A479" s="164">
        <f>#REF!</f>
        <v/>
      </c>
      <c r="B479" s="145" t="b">
        <v>0</v>
      </c>
      <c r="C479" s="176">
        <f>#REF!</f>
        <v/>
      </c>
      <c r="D479" s="174" t="n"/>
      <c r="E479" s="174" t="n"/>
      <c r="F479" s="176">
        <f>#REF!</f>
        <v/>
      </c>
      <c r="G479" s="174">
        <f>#REF!</f>
        <v/>
      </c>
      <c r="H479" s="174">
        <f>#REF!</f>
        <v/>
      </c>
      <c r="I479" s="174">
        <f>#REF!</f>
        <v/>
      </c>
      <c r="J479" s="174">
        <f>#REF!</f>
        <v/>
      </c>
      <c r="K479" s="176">
        <f>#REF!</f>
        <v/>
      </c>
      <c r="L479" s="173" t="n"/>
      <c r="M479" s="9" t="n"/>
      <c r="N479" s="28" t="b">
        <v>0</v>
      </c>
      <c r="O479" s="172" t="b">
        <v>0</v>
      </c>
      <c r="P479" s="28" t="b">
        <v>0</v>
      </c>
      <c r="Q479" s="28" t="b">
        <v>0</v>
      </c>
      <c r="R479" s="28" t="b">
        <v>0</v>
      </c>
      <c r="S479" s="28" t="b">
        <v>0</v>
      </c>
      <c r="T479" s="28" t="b">
        <v>0</v>
      </c>
      <c r="U479" s="28" t="b">
        <v>0</v>
      </c>
      <c r="V479" s="28" t="b">
        <v>0</v>
      </c>
      <c r="W479" s="28" t="b">
        <v>0</v>
      </c>
    </row>
    <row r="480" ht="69" customHeight="1" s="222">
      <c r="A480" s="164">
        <f>#REF!</f>
        <v/>
      </c>
      <c r="B480" s="145" t="b">
        <v>0</v>
      </c>
      <c r="C480" s="176">
        <f>#REF!</f>
        <v/>
      </c>
      <c r="D480" s="174" t="n"/>
      <c r="E480" s="174" t="n"/>
      <c r="F480" s="176">
        <f>#REF!</f>
        <v/>
      </c>
      <c r="G480" s="174">
        <f>#REF!</f>
        <v/>
      </c>
      <c r="H480" s="174">
        <f>#REF!</f>
        <v/>
      </c>
      <c r="I480" s="174">
        <f>#REF!</f>
        <v/>
      </c>
      <c r="J480" s="174">
        <f>#REF!</f>
        <v/>
      </c>
      <c r="K480" s="176">
        <f>#REF!</f>
        <v/>
      </c>
      <c r="L480" s="173" t="n"/>
      <c r="M480" s="9" t="n"/>
      <c r="N480" s="28" t="b">
        <v>0</v>
      </c>
      <c r="O480" s="172" t="b">
        <v>0</v>
      </c>
      <c r="P480" s="28" t="b">
        <v>0</v>
      </c>
      <c r="Q480" s="28" t="b">
        <v>0</v>
      </c>
      <c r="R480" s="28" t="b">
        <v>0</v>
      </c>
      <c r="S480" s="28" t="b">
        <v>0</v>
      </c>
      <c r="T480" s="28" t="b">
        <v>0</v>
      </c>
      <c r="U480" s="28" t="b">
        <v>0</v>
      </c>
      <c r="V480" s="28" t="b">
        <v>0</v>
      </c>
      <c r="W480" s="28" t="b">
        <v>0</v>
      </c>
    </row>
    <row r="481" ht="69" customHeight="1" s="222">
      <c r="A481" s="164">
        <f>#REF!</f>
        <v/>
      </c>
      <c r="B481" s="145" t="b">
        <v>0</v>
      </c>
      <c r="C481" s="176">
        <f>#REF!</f>
        <v/>
      </c>
      <c r="D481" s="174" t="n"/>
      <c r="E481" s="174" t="n"/>
      <c r="F481" s="176">
        <f>#REF!</f>
        <v/>
      </c>
      <c r="G481" s="174">
        <f>#REF!</f>
        <v/>
      </c>
      <c r="H481" s="174">
        <f>#REF!</f>
        <v/>
      </c>
      <c r="I481" s="174">
        <f>#REF!</f>
        <v/>
      </c>
      <c r="J481" s="174">
        <f>#REF!</f>
        <v/>
      </c>
      <c r="K481" s="176">
        <f>#REF!</f>
        <v/>
      </c>
      <c r="L481" s="173" t="n"/>
      <c r="M481" s="9" t="n"/>
      <c r="N481" s="28" t="b">
        <v>0</v>
      </c>
      <c r="O481" s="172" t="b">
        <v>0</v>
      </c>
      <c r="P481" s="28" t="b">
        <v>0</v>
      </c>
      <c r="Q481" s="28" t="b">
        <v>0</v>
      </c>
      <c r="R481" s="28" t="b">
        <v>0</v>
      </c>
      <c r="S481" s="28" t="b">
        <v>0</v>
      </c>
      <c r="T481" s="28" t="b">
        <v>0</v>
      </c>
      <c r="U481" s="28" t="b">
        <v>0</v>
      </c>
      <c r="V481" s="28" t="b">
        <v>0</v>
      </c>
      <c r="W481" s="28" t="b">
        <v>0</v>
      </c>
    </row>
    <row r="482" ht="69" customHeight="1" s="222">
      <c r="A482" s="164">
        <f>#REF!</f>
        <v/>
      </c>
      <c r="B482" s="145" t="b">
        <v>0</v>
      </c>
      <c r="C482" s="176">
        <f>#REF!</f>
        <v/>
      </c>
      <c r="D482" s="174" t="n"/>
      <c r="E482" s="174" t="n"/>
      <c r="F482" s="176">
        <f>#REF!</f>
        <v/>
      </c>
      <c r="G482" s="174">
        <f>#REF!</f>
        <v/>
      </c>
      <c r="H482" s="174">
        <f>#REF!</f>
        <v/>
      </c>
      <c r="I482" s="174">
        <f>#REF!</f>
        <v/>
      </c>
      <c r="J482" s="174">
        <f>#REF!</f>
        <v/>
      </c>
      <c r="K482" s="176">
        <f>#REF!</f>
        <v/>
      </c>
      <c r="L482" s="173" t="n"/>
      <c r="M482" s="9" t="n"/>
      <c r="N482" s="28" t="b">
        <v>0</v>
      </c>
      <c r="O482" s="172" t="b">
        <v>0</v>
      </c>
      <c r="P482" s="28" t="b">
        <v>0</v>
      </c>
      <c r="Q482" s="28" t="b">
        <v>0</v>
      </c>
      <c r="R482" s="28" t="b">
        <v>0</v>
      </c>
      <c r="S482" s="28" t="b">
        <v>0</v>
      </c>
      <c r="T482" s="28" t="b">
        <v>0</v>
      </c>
      <c r="U482" s="28" t="b">
        <v>0</v>
      </c>
      <c r="V482" s="28" t="b">
        <v>0</v>
      </c>
      <c r="W482" s="28" t="b">
        <v>0</v>
      </c>
    </row>
    <row r="483" ht="69" customHeight="1" s="222">
      <c r="A483" s="164">
        <f>#REF!</f>
        <v/>
      </c>
      <c r="B483" s="145" t="b">
        <v>0</v>
      </c>
      <c r="C483" s="176">
        <f>#REF!</f>
        <v/>
      </c>
      <c r="D483" s="174" t="n"/>
      <c r="E483" s="174" t="n"/>
      <c r="F483" s="176">
        <f>#REF!</f>
        <v/>
      </c>
      <c r="G483" s="174">
        <f>#REF!</f>
        <v/>
      </c>
      <c r="H483" s="174">
        <f>#REF!</f>
        <v/>
      </c>
      <c r="I483" s="174">
        <f>#REF!</f>
        <v/>
      </c>
      <c r="J483" s="174">
        <f>#REF!</f>
        <v/>
      </c>
      <c r="K483" s="176">
        <f>#REF!</f>
        <v/>
      </c>
      <c r="L483" s="173" t="n"/>
      <c r="M483" s="9" t="n"/>
      <c r="N483" s="28" t="b">
        <v>0</v>
      </c>
      <c r="O483" s="172" t="b">
        <v>0</v>
      </c>
      <c r="P483" s="28" t="b">
        <v>0</v>
      </c>
      <c r="Q483" s="28" t="b">
        <v>0</v>
      </c>
      <c r="R483" s="28" t="b">
        <v>0</v>
      </c>
      <c r="S483" s="28" t="b">
        <v>0</v>
      </c>
      <c r="T483" s="28" t="b">
        <v>0</v>
      </c>
      <c r="U483" s="28" t="b">
        <v>0</v>
      </c>
      <c r="V483" s="28" t="b">
        <v>0</v>
      </c>
      <c r="W483" s="28" t="b">
        <v>0</v>
      </c>
    </row>
    <row r="484" ht="69" customHeight="1" s="222">
      <c r="A484" s="164">
        <f>#REF!</f>
        <v/>
      </c>
      <c r="B484" s="145" t="b">
        <v>0</v>
      </c>
      <c r="C484" s="176">
        <f>#REF!</f>
        <v/>
      </c>
      <c r="D484" s="174" t="n"/>
      <c r="E484" s="174" t="n"/>
      <c r="F484" s="176">
        <f>#REF!</f>
        <v/>
      </c>
      <c r="G484" s="174">
        <f>#REF!</f>
        <v/>
      </c>
      <c r="H484" s="174">
        <f>#REF!</f>
        <v/>
      </c>
      <c r="I484" s="174">
        <f>#REF!</f>
        <v/>
      </c>
      <c r="J484" s="174">
        <f>#REF!</f>
        <v/>
      </c>
      <c r="K484" s="176">
        <f>#REF!</f>
        <v/>
      </c>
      <c r="L484" s="173" t="n"/>
      <c r="M484" s="9" t="n"/>
      <c r="N484" s="28" t="b">
        <v>0</v>
      </c>
      <c r="O484" s="172" t="b">
        <v>0</v>
      </c>
      <c r="P484" s="28" t="b">
        <v>0</v>
      </c>
      <c r="Q484" s="28" t="b">
        <v>0</v>
      </c>
      <c r="R484" s="28" t="b">
        <v>0</v>
      </c>
      <c r="S484" s="28" t="b">
        <v>0</v>
      </c>
      <c r="T484" s="28" t="b">
        <v>0</v>
      </c>
      <c r="U484" s="28" t="b">
        <v>0</v>
      </c>
      <c r="V484" s="28" t="b">
        <v>0</v>
      </c>
      <c r="W484" s="28" t="b">
        <v>0</v>
      </c>
    </row>
    <row r="485" ht="69" customHeight="1" s="222">
      <c r="A485" s="164">
        <f>#REF!</f>
        <v/>
      </c>
      <c r="B485" s="145" t="b">
        <v>0</v>
      </c>
      <c r="C485" s="176">
        <f>#REF!</f>
        <v/>
      </c>
      <c r="D485" s="174" t="n"/>
      <c r="E485" s="174" t="n"/>
      <c r="F485" s="176">
        <f>#REF!</f>
        <v/>
      </c>
      <c r="G485" s="174">
        <f>#REF!</f>
        <v/>
      </c>
      <c r="H485" s="174">
        <f>#REF!</f>
        <v/>
      </c>
      <c r="I485" s="174">
        <f>#REF!</f>
        <v/>
      </c>
      <c r="J485" s="174">
        <f>#REF!</f>
        <v/>
      </c>
      <c r="K485" s="176">
        <f>#REF!</f>
        <v/>
      </c>
      <c r="L485" s="173" t="n"/>
      <c r="M485" s="9" t="n"/>
      <c r="N485" s="28" t="b">
        <v>0</v>
      </c>
      <c r="O485" s="172" t="b">
        <v>0</v>
      </c>
      <c r="P485" s="28" t="b">
        <v>0</v>
      </c>
      <c r="Q485" s="28" t="b">
        <v>0</v>
      </c>
      <c r="R485" s="28" t="b">
        <v>0</v>
      </c>
      <c r="S485" s="28" t="b">
        <v>0</v>
      </c>
      <c r="T485" s="28" t="b">
        <v>0</v>
      </c>
      <c r="U485" s="28" t="b">
        <v>0</v>
      </c>
      <c r="V485" s="28" t="b">
        <v>0</v>
      </c>
      <c r="W485" s="28" t="b">
        <v>0</v>
      </c>
    </row>
    <row r="486" ht="69" customHeight="1" s="222">
      <c r="A486" s="164">
        <f>#REF!</f>
        <v/>
      </c>
      <c r="B486" s="145" t="b">
        <v>0</v>
      </c>
      <c r="C486" s="176">
        <f>#REF!</f>
        <v/>
      </c>
      <c r="D486" s="174" t="n"/>
      <c r="E486" s="174" t="n"/>
      <c r="F486" s="176">
        <f>#REF!</f>
        <v/>
      </c>
      <c r="G486" s="174">
        <f>#REF!</f>
        <v/>
      </c>
      <c r="H486" s="174">
        <f>#REF!</f>
        <v/>
      </c>
      <c r="I486" s="174">
        <f>#REF!</f>
        <v/>
      </c>
      <c r="J486" s="174">
        <f>#REF!</f>
        <v/>
      </c>
      <c r="K486" s="176">
        <f>#REF!</f>
        <v/>
      </c>
      <c r="L486" s="173" t="n"/>
      <c r="M486" s="9" t="n"/>
      <c r="N486" s="28" t="b">
        <v>0</v>
      </c>
      <c r="O486" s="172" t="b">
        <v>0</v>
      </c>
      <c r="P486" s="28" t="b">
        <v>0</v>
      </c>
      <c r="Q486" s="28" t="b">
        <v>0</v>
      </c>
      <c r="R486" s="28" t="b">
        <v>0</v>
      </c>
      <c r="S486" s="28" t="b">
        <v>0</v>
      </c>
      <c r="T486" s="28" t="b">
        <v>0</v>
      </c>
      <c r="U486" s="28" t="b">
        <v>0</v>
      </c>
      <c r="V486" s="28" t="b">
        <v>0</v>
      </c>
      <c r="W486" s="28" t="b">
        <v>0</v>
      </c>
    </row>
    <row r="487" ht="69" customHeight="1" s="222">
      <c r="A487" s="164">
        <f>#REF!</f>
        <v/>
      </c>
      <c r="B487" s="145" t="b">
        <v>0</v>
      </c>
      <c r="C487" s="176">
        <f>#REF!</f>
        <v/>
      </c>
      <c r="D487" s="174" t="n"/>
      <c r="E487" s="174" t="n"/>
      <c r="F487" s="176">
        <f>#REF!</f>
        <v/>
      </c>
      <c r="G487" s="174">
        <f>#REF!</f>
        <v/>
      </c>
      <c r="H487" s="174">
        <f>#REF!</f>
        <v/>
      </c>
      <c r="I487" s="174">
        <f>#REF!</f>
        <v/>
      </c>
      <c r="J487" s="174">
        <f>#REF!</f>
        <v/>
      </c>
      <c r="K487" s="176">
        <f>#REF!</f>
        <v/>
      </c>
      <c r="L487" s="173" t="n"/>
      <c r="M487" s="9" t="n"/>
      <c r="N487" s="28" t="b">
        <v>0</v>
      </c>
      <c r="O487" s="172" t="b">
        <v>0</v>
      </c>
      <c r="P487" s="28" t="b">
        <v>0</v>
      </c>
      <c r="Q487" s="28" t="b">
        <v>0</v>
      </c>
      <c r="R487" s="28" t="b">
        <v>0</v>
      </c>
      <c r="S487" s="28" t="b">
        <v>0</v>
      </c>
      <c r="T487" s="28" t="b">
        <v>0</v>
      </c>
      <c r="U487" s="28" t="b">
        <v>0</v>
      </c>
      <c r="V487" s="28" t="b">
        <v>0</v>
      </c>
      <c r="W487" s="28" t="b">
        <v>0</v>
      </c>
    </row>
    <row r="488" ht="69" customHeight="1" s="222">
      <c r="A488" s="164">
        <f>#REF!</f>
        <v/>
      </c>
      <c r="B488" s="145" t="b">
        <v>0</v>
      </c>
      <c r="C488" s="176">
        <f>#REF!</f>
        <v/>
      </c>
      <c r="D488" s="174" t="n"/>
      <c r="E488" s="174" t="n"/>
      <c r="F488" s="176">
        <f>#REF!</f>
        <v/>
      </c>
      <c r="G488" s="174">
        <f>#REF!</f>
        <v/>
      </c>
      <c r="H488" s="174">
        <f>#REF!</f>
        <v/>
      </c>
      <c r="I488" s="174">
        <f>#REF!</f>
        <v/>
      </c>
      <c r="J488" s="174">
        <f>#REF!</f>
        <v/>
      </c>
      <c r="K488" s="176">
        <f>#REF!</f>
        <v/>
      </c>
      <c r="L488" s="173" t="n"/>
      <c r="M488" s="9" t="n"/>
      <c r="N488" s="28" t="b">
        <v>0</v>
      </c>
      <c r="O488" s="172" t="b">
        <v>0</v>
      </c>
      <c r="P488" s="28" t="b">
        <v>0</v>
      </c>
      <c r="Q488" s="28" t="b">
        <v>0</v>
      </c>
      <c r="R488" s="28" t="b">
        <v>0</v>
      </c>
      <c r="S488" s="28" t="b">
        <v>0</v>
      </c>
      <c r="T488" s="28" t="b">
        <v>0</v>
      </c>
      <c r="U488" s="28" t="b">
        <v>0</v>
      </c>
      <c r="V488" s="28" t="b">
        <v>0</v>
      </c>
      <c r="W488" s="28" t="b">
        <v>0</v>
      </c>
    </row>
    <row r="489" ht="69" customHeight="1" s="222">
      <c r="A489" s="164">
        <f>#REF!</f>
        <v/>
      </c>
      <c r="B489" s="145" t="b">
        <v>0</v>
      </c>
      <c r="C489" s="176">
        <f>#REF!</f>
        <v/>
      </c>
      <c r="D489" s="174" t="n"/>
      <c r="E489" s="174" t="n"/>
      <c r="F489" s="176">
        <f>#REF!</f>
        <v/>
      </c>
      <c r="G489" s="174">
        <f>#REF!</f>
        <v/>
      </c>
      <c r="H489" s="174">
        <f>#REF!</f>
        <v/>
      </c>
      <c r="I489" s="174">
        <f>#REF!</f>
        <v/>
      </c>
      <c r="J489" s="174">
        <f>#REF!</f>
        <v/>
      </c>
      <c r="K489" s="176">
        <f>#REF!</f>
        <v/>
      </c>
      <c r="L489" s="173" t="n"/>
      <c r="M489" s="9" t="n"/>
      <c r="N489" s="28" t="b">
        <v>0</v>
      </c>
      <c r="O489" s="172" t="b">
        <v>0</v>
      </c>
      <c r="P489" s="28" t="b">
        <v>0</v>
      </c>
      <c r="Q489" s="28" t="b">
        <v>0</v>
      </c>
      <c r="R489" s="28" t="b">
        <v>0</v>
      </c>
      <c r="S489" s="28" t="b">
        <v>0</v>
      </c>
      <c r="T489" s="28" t="b">
        <v>0</v>
      </c>
      <c r="U489" s="28" t="b">
        <v>0</v>
      </c>
      <c r="V489" s="28" t="b">
        <v>0</v>
      </c>
      <c r="W489" s="28" t="b">
        <v>0</v>
      </c>
    </row>
    <row r="490" ht="69" customHeight="1" s="222">
      <c r="A490" s="164">
        <f>#REF!</f>
        <v/>
      </c>
      <c r="B490" s="145" t="b">
        <v>0</v>
      </c>
      <c r="C490" s="176">
        <f>#REF!</f>
        <v/>
      </c>
      <c r="D490" s="174" t="n"/>
      <c r="E490" s="174" t="n"/>
      <c r="F490" s="176">
        <f>#REF!</f>
        <v/>
      </c>
      <c r="G490" s="174">
        <f>#REF!</f>
        <v/>
      </c>
      <c r="H490" s="174">
        <f>#REF!</f>
        <v/>
      </c>
      <c r="I490" s="174">
        <f>#REF!</f>
        <v/>
      </c>
      <c r="J490" s="174">
        <f>#REF!</f>
        <v/>
      </c>
      <c r="K490" s="176">
        <f>#REF!</f>
        <v/>
      </c>
      <c r="L490" s="173" t="n"/>
      <c r="M490" s="9" t="n"/>
      <c r="N490" s="28" t="b">
        <v>0</v>
      </c>
      <c r="O490" s="172" t="b">
        <v>0</v>
      </c>
      <c r="P490" s="28" t="b">
        <v>0</v>
      </c>
      <c r="Q490" s="28" t="b">
        <v>0</v>
      </c>
      <c r="R490" s="28" t="b">
        <v>0</v>
      </c>
      <c r="S490" s="28" t="b">
        <v>0</v>
      </c>
      <c r="T490" s="28" t="b">
        <v>0</v>
      </c>
      <c r="U490" s="28" t="b">
        <v>0</v>
      </c>
      <c r="V490" s="28" t="b">
        <v>0</v>
      </c>
      <c r="W490" s="28" t="b">
        <v>0</v>
      </c>
    </row>
    <row r="491" ht="69" customHeight="1" s="222">
      <c r="A491" s="164">
        <f>#REF!</f>
        <v/>
      </c>
      <c r="B491" s="145" t="b">
        <v>0</v>
      </c>
      <c r="C491" s="176">
        <f>#REF!</f>
        <v/>
      </c>
      <c r="D491" s="174" t="n"/>
      <c r="E491" s="174" t="n"/>
      <c r="F491" s="176">
        <f>#REF!</f>
        <v/>
      </c>
      <c r="G491" s="174">
        <f>#REF!</f>
        <v/>
      </c>
      <c r="H491" s="174">
        <f>#REF!</f>
        <v/>
      </c>
      <c r="I491" s="174">
        <f>#REF!</f>
        <v/>
      </c>
      <c r="J491" s="174">
        <f>#REF!</f>
        <v/>
      </c>
      <c r="K491" s="176">
        <f>#REF!</f>
        <v/>
      </c>
      <c r="L491" s="173" t="n"/>
      <c r="M491" s="9" t="n"/>
      <c r="N491" s="28" t="b">
        <v>0</v>
      </c>
      <c r="O491" s="172" t="b">
        <v>0</v>
      </c>
      <c r="P491" s="28" t="b">
        <v>0</v>
      </c>
      <c r="Q491" s="28" t="b">
        <v>0</v>
      </c>
      <c r="R491" s="28" t="b">
        <v>0</v>
      </c>
      <c r="S491" s="28" t="b">
        <v>0</v>
      </c>
      <c r="T491" s="28" t="b">
        <v>0</v>
      </c>
      <c r="U491" s="28" t="b">
        <v>0</v>
      </c>
      <c r="V491" s="28" t="b">
        <v>0</v>
      </c>
      <c r="W491" s="28" t="b">
        <v>0</v>
      </c>
    </row>
    <row r="492" ht="69" customHeight="1" s="222">
      <c r="A492" s="164">
        <f>#REF!</f>
        <v/>
      </c>
      <c r="B492" s="145" t="b">
        <v>0</v>
      </c>
      <c r="C492" s="176">
        <f>#REF!</f>
        <v/>
      </c>
      <c r="D492" s="174" t="n"/>
      <c r="E492" s="174" t="n"/>
      <c r="F492" s="176">
        <f>#REF!</f>
        <v/>
      </c>
      <c r="G492" s="174">
        <f>#REF!</f>
        <v/>
      </c>
      <c r="H492" s="174">
        <f>#REF!</f>
        <v/>
      </c>
      <c r="I492" s="174">
        <f>#REF!</f>
        <v/>
      </c>
      <c r="J492" s="174">
        <f>#REF!</f>
        <v/>
      </c>
      <c r="K492" s="176">
        <f>#REF!</f>
        <v/>
      </c>
      <c r="L492" s="173" t="n"/>
      <c r="M492" s="9" t="n"/>
      <c r="N492" s="28" t="b">
        <v>0</v>
      </c>
      <c r="O492" s="172" t="b">
        <v>0</v>
      </c>
      <c r="P492" s="28" t="b">
        <v>0</v>
      </c>
      <c r="Q492" s="28" t="b">
        <v>0</v>
      </c>
      <c r="R492" s="28" t="b">
        <v>0</v>
      </c>
      <c r="S492" s="28" t="b">
        <v>0</v>
      </c>
      <c r="T492" s="28" t="b">
        <v>0</v>
      </c>
      <c r="U492" s="28" t="b">
        <v>0</v>
      </c>
      <c r="V492" s="28" t="b">
        <v>0</v>
      </c>
      <c r="W492" s="28" t="b">
        <v>0</v>
      </c>
    </row>
    <row r="493" ht="69" customHeight="1" s="222">
      <c r="A493" s="164">
        <f>#REF!</f>
        <v/>
      </c>
      <c r="B493" s="145" t="b">
        <v>0</v>
      </c>
      <c r="C493" s="176">
        <f>#REF!</f>
        <v/>
      </c>
      <c r="D493" s="174" t="n"/>
      <c r="E493" s="174" t="n"/>
      <c r="F493" s="176">
        <f>#REF!</f>
        <v/>
      </c>
      <c r="G493" s="174">
        <f>#REF!</f>
        <v/>
      </c>
      <c r="H493" s="174">
        <f>#REF!</f>
        <v/>
      </c>
      <c r="I493" s="174">
        <f>#REF!</f>
        <v/>
      </c>
      <c r="J493" s="174">
        <f>#REF!</f>
        <v/>
      </c>
      <c r="K493" s="176">
        <f>#REF!</f>
        <v/>
      </c>
      <c r="L493" s="173" t="n"/>
      <c r="M493" s="9" t="n"/>
      <c r="N493" s="28" t="b">
        <v>0</v>
      </c>
      <c r="O493" s="172" t="b">
        <v>0</v>
      </c>
      <c r="P493" s="28" t="b">
        <v>0</v>
      </c>
      <c r="Q493" s="28" t="b">
        <v>0</v>
      </c>
      <c r="R493" s="28" t="b">
        <v>0</v>
      </c>
      <c r="S493" s="28" t="b">
        <v>0</v>
      </c>
      <c r="T493" s="28" t="b">
        <v>0</v>
      </c>
      <c r="U493" s="28" t="b">
        <v>0</v>
      </c>
      <c r="V493" s="28" t="b">
        <v>0</v>
      </c>
      <c r="W493" s="28" t="b">
        <v>0</v>
      </c>
    </row>
    <row r="494" ht="69" customHeight="1" s="222">
      <c r="A494" s="164">
        <f>#REF!</f>
        <v/>
      </c>
      <c r="B494" s="145" t="b">
        <v>0</v>
      </c>
      <c r="C494" s="176">
        <f>#REF!</f>
        <v/>
      </c>
      <c r="D494" s="174" t="n"/>
      <c r="E494" s="174" t="n"/>
      <c r="F494" s="176">
        <f>#REF!</f>
        <v/>
      </c>
      <c r="G494" s="174">
        <f>#REF!</f>
        <v/>
      </c>
      <c r="H494" s="174">
        <f>#REF!</f>
        <v/>
      </c>
      <c r="I494" s="174">
        <f>#REF!</f>
        <v/>
      </c>
      <c r="J494" s="174">
        <f>#REF!</f>
        <v/>
      </c>
      <c r="K494" s="176">
        <f>#REF!</f>
        <v/>
      </c>
      <c r="L494" s="173" t="n"/>
      <c r="M494" s="9" t="n"/>
      <c r="N494" s="28" t="b">
        <v>0</v>
      </c>
      <c r="O494" s="172" t="b">
        <v>0</v>
      </c>
      <c r="P494" s="28" t="b">
        <v>0</v>
      </c>
      <c r="Q494" s="28" t="b">
        <v>0</v>
      </c>
      <c r="R494" s="28" t="b">
        <v>0</v>
      </c>
      <c r="S494" s="28" t="b">
        <v>0</v>
      </c>
      <c r="T494" s="28" t="b">
        <v>0</v>
      </c>
      <c r="U494" s="28" t="b">
        <v>0</v>
      </c>
      <c r="V494" s="28" t="b">
        <v>0</v>
      </c>
      <c r="W494" s="28" t="b">
        <v>0</v>
      </c>
    </row>
    <row r="495" ht="69" customHeight="1" s="222">
      <c r="A495" s="164">
        <f>#REF!</f>
        <v/>
      </c>
      <c r="B495" s="145" t="b">
        <v>0</v>
      </c>
      <c r="C495" s="176">
        <f>#REF!</f>
        <v/>
      </c>
      <c r="D495" s="174" t="n"/>
      <c r="E495" s="174" t="n"/>
      <c r="F495" s="176">
        <f>#REF!</f>
        <v/>
      </c>
      <c r="G495" s="174">
        <f>#REF!</f>
        <v/>
      </c>
      <c r="H495" s="174">
        <f>#REF!</f>
        <v/>
      </c>
      <c r="I495" s="174">
        <f>#REF!</f>
        <v/>
      </c>
      <c r="J495" s="174">
        <f>#REF!</f>
        <v/>
      </c>
      <c r="K495" s="176">
        <f>#REF!</f>
        <v/>
      </c>
      <c r="L495" s="173" t="n"/>
      <c r="M495" s="9" t="n"/>
      <c r="N495" s="28" t="b">
        <v>0</v>
      </c>
      <c r="O495" s="172" t="b">
        <v>0</v>
      </c>
      <c r="P495" s="28" t="b">
        <v>0</v>
      </c>
      <c r="Q495" s="28" t="b">
        <v>0</v>
      </c>
      <c r="R495" s="28" t="b">
        <v>0</v>
      </c>
      <c r="S495" s="28" t="b">
        <v>0</v>
      </c>
      <c r="T495" s="28" t="b">
        <v>0</v>
      </c>
      <c r="U495" s="28" t="b">
        <v>0</v>
      </c>
      <c r="V495" s="28" t="b">
        <v>0</v>
      </c>
      <c r="W495" s="28" t="b">
        <v>0</v>
      </c>
    </row>
    <row r="496" ht="69" customHeight="1" s="222">
      <c r="A496" s="164">
        <f>#REF!</f>
        <v/>
      </c>
      <c r="B496" s="145" t="b">
        <v>0</v>
      </c>
      <c r="C496" s="176">
        <f>#REF!</f>
        <v/>
      </c>
      <c r="D496" s="174" t="n"/>
      <c r="E496" s="174" t="n"/>
      <c r="F496" s="176">
        <f>#REF!</f>
        <v/>
      </c>
      <c r="G496" s="174">
        <f>#REF!</f>
        <v/>
      </c>
      <c r="H496" s="174">
        <f>#REF!</f>
        <v/>
      </c>
      <c r="I496" s="174">
        <f>#REF!</f>
        <v/>
      </c>
      <c r="J496" s="174">
        <f>#REF!</f>
        <v/>
      </c>
      <c r="K496" s="176">
        <f>#REF!</f>
        <v/>
      </c>
      <c r="L496" s="173" t="n"/>
      <c r="M496" s="9" t="n"/>
      <c r="N496" s="28" t="b">
        <v>0</v>
      </c>
      <c r="O496" s="172" t="b">
        <v>0</v>
      </c>
      <c r="P496" s="28" t="b">
        <v>0</v>
      </c>
      <c r="Q496" s="28" t="b">
        <v>0</v>
      </c>
      <c r="R496" s="28" t="b">
        <v>0</v>
      </c>
      <c r="S496" s="28" t="b">
        <v>0</v>
      </c>
      <c r="T496" s="28" t="b">
        <v>0</v>
      </c>
      <c r="U496" s="28" t="b">
        <v>0</v>
      </c>
      <c r="V496" s="28" t="b">
        <v>0</v>
      </c>
      <c r="W496" s="28" t="b">
        <v>0</v>
      </c>
    </row>
    <row r="497" ht="69" customHeight="1" s="222">
      <c r="A497" s="164">
        <f>#REF!</f>
        <v/>
      </c>
      <c r="B497" s="145" t="b">
        <v>0</v>
      </c>
      <c r="C497" s="176">
        <f>#REF!</f>
        <v/>
      </c>
      <c r="D497" s="174" t="n"/>
      <c r="E497" s="174" t="n"/>
      <c r="F497" s="176">
        <f>#REF!</f>
        <v/>
      </c>
      <c r="G497" s="174">
        <f>#REF!</f>
        <v/>
      </c>
      <c r="H497" s="174">
        <f>#REF!</f>
        <v/>
      </c>
      <c r="I497" s="174">
        <f>#REF!</f>
        <v/>
      </c>
      <c r="J497" s="174">
        <f>#REF!</f>
        <v/>
      </c>
      <c r="K497" s="176">
        <f>#REF!</f>
        <v/>
      </c>
      <c r="L497" s="173" t="n"/>
      <c r="M497" s="9" t="n"/>
      <c r="N497" s="28" t="b">
        <v>0</v>
      </c>
      <c r="O497" s="172" t="b">
        <v>0</v>
      </c>
      <c r="P497" s="28" t="b">
        <v>0</v>
      </c>
      <c r="Q497" s="28" t="b">
        <v>0</v>
      </c>
      <c r="R497" s="28" t="b">
        <v>0</v>
      </c>
      <c r="S497" s="28" t="b">
        <v>0</v>
      </c>
      <c r="T497" s="28" t="b">
        <v>0</v>
      </c>
      <c r="U497" s="28" t="b">
        <v>0</v>
      </c>
      <c r="V497" s="28" t="b">
        <v>0</v>
      </c>
      <c r="W497" s="28" t="b">
        <v>0</v>
      </c>
    </row>
    <row r="498" ht="69" customHeight="1" s="222">
      <c r="A498" s="164">
        <f>#REF!</f>
        <v/>
      </c>
      <c r="B498" s="145" t="b">
        <v>0</v>
      </c>
      <c r="C498" s="176">
        <f>#REF!</f>
        <v/>
      </c>
      <c r="D498" s="174" t="n"/>
      <c r="E498" s="174" t="n"/>
      <c r="F498" s="176">
        <f>#REF!</f>
        <v/>
      </c>
      <c r="G498" s="174">
        <f>#REF!</f>
        <v/>
      </c>
      <c r="H498" s="174">
        <f>#REF!</f>
        <v/>
      </c>
      <c r="I498" s="174">
        <f>#REF!</f>
        <v/>
      </c>
      <c r="J498" s="174">
        <f>#REF!</f>
        <v/>
      </c>
      <c r="K498" s="176">
        <f>#REF!</f>
        <v/>
      </c>
      <c r="L498" s="173" t="n"/>
      <c r="M498" s="9" t="n"/>
      <c r="N498" s="28" t="b">
        <v>0</v>
      </c>
      <c r="O498" s="172" t="b">
        <v>0</v>
      </c>
      <c r="P498" s="28" t="b">
        <v>0</v>
      </c>
      <c r="Q498" s="28" t="b">
        <v>0</v>
      </c>
      <c r="R498" s="28" t="b">
        <v>0</v>
      </c>
      <c r="S498" s="28" t="b">
        <v>0</v>
      </c>
      <c r="T498" s="28" t="b">
        <v>0</v>
      </c>
      <c r="U498" s="28" t="b">
        <v>0</v>
      </c>
      <c r="V498" s="28" t="b">
        <v>0</v>
      </c>
      <c r="W498" s="28" t="b">
        <v>0</v>
      </c>
    </row>
    <row r="499" ht="69" customHeight="1" s="222">
      <c r="A499" s="164">
        <f>#REF!</f>
        <v/>
      </c>
      <c r="B499" s="145" t="b">
        <v>0</v>
      </c>
      <c r="C499" s="176">
        <f>#REF!</f>
        <v/>
      </c>
      <c r="D499" s="174" t="n"/>
      <c r="E499" s="174" t="n"/>
      <c r="F499" s="176">
        <f>#REF!</f>
        <v/>
      </c>
      <c r="G499" s="174">
        <f>#REF!</f>
        <v/>
      </c>
      <c r="H499" s="174">
        <f>#REF!</f>
        <v/>
      </c>
      <c r="I499" s="174">
        <f>#REF!</f>
        <v/>
      </c>
      <c r="J499" s="174">
        <f>#REF!</f>
        <v/>
      </c>
      <c r="K499" s="176">
        <f>#REF!</f>
        <v/>
      </c>
      <c r="L499" s="173" t="n"/>
      <c r="M499" s="9" t="n"/>
      <c r="N499" s="28" t="b">
        <v>0</v>
      </c>
      <c r="O499" s="172" t="b">
        <v>0</v>
      </c>
      <c r="P499" s="28" t="b">
        <v>0</v>
      </c>
      <c r="Q499" s="28" t="b">
        <v>0</v>
      </c>
      <c r="R499" s="28" t="b">
        <v>0</v>
      </c>
      <c r="S499" s="28" t="b">
        <v>0</v>
      </c>
      <c r="T499" s="28" t="b">
        <v>0</v>
      </c>
      <c r="U499" s="28" t="b">
        <v>0</v>
      </c>
      <c r="V499" s="28" t="b">
        <v>0</v>
      </c>
      <c r="W499" s="28" t="b">
        <v>0</v>
      </c>
    </row>
    <row r="500" ht="69" customHeight="1" s="222">
      <c r="A500" s="164">
        <f>#REF!</f>
        <v/>
      </c>
      <c r="B500" s="145" t="b">
        <v>0</v>
      </c>
      <c r="C500" s="176">
        <f>#REF!</f>
        <v/>
      </c>
      <c r="D500" s="174" t="n"/>
      <c r="E500" s="174" t="n"/>
      <c r="F500" s="176">
        <f>#REF!</f>
        <v/>
      </c>
      <c r="G500" s="174">
        <f>#REF!</f>
        <v/>
      </c>
      <c r="H500" s="174">
        <f>#REF!</f>
        <v/>
      </c>
      <c r="I500" s="174">
        <f>#REF!</f>
        <v/>
      </c>
      <c r="J500" s="174">
        <f>#REF!</f>
        <v/>
      </c>
      <c r="K500" s="176">
        <f>#REF!</f>
        <v/>
      </c>
      <c r="L500" s="173" t="n"/>
      <c r="M500" s="9" t="n"/>
      <c r="N500" s="28" t="b">
        <v>0</v>
      </c>
      <c r="O500" s="172" t="b">
        <v>0</v>
      </c>
      <c r="P500" s="28" t="b">
        <v>0</v>
      </c>
      <c r="Q500" s="28" t="b">
        <v>0</v>
      </c>
      <c r="R500" s="28" t="b">
        <v>0</v>
      </c>
      <c r="S500" s="28" t="b">
        <v>0</v>
      </c>
      <c r="T500" s="28" t="b">
        <v>0</v>
      </c>
      <c r="U500" s="28" t="b">
        <v>0</v>
      </c>
      <c r="V500" s="28" t="b">
        <v>0</v>
      </c>
      <c r="W500" s="28" t="b">
        <v>0</v>
      </c>
    </row>
    <row r="501" ht="69" customHeight="1" s="222">
      <c r="A501" s="164">
        <f>#REF!</f>
        <v/>
      </c>
      <c r="B501" s="145" t="b">
        <v>0</v>
      </c>
      <c r="C501" s="176">
        <f>#REF!</f>
        <v/>
      </c>
      <c r="D501" s="174" t="n"/>
      <c r="E501" s="174" t="n"/>
      <c r="F501" s="176">
        <f>#REF!</f>
        <v/>
      </c>
      <c r="G501" s="174">
        <f>#REF!</f>
        <v/>
      </c>
      <c r="H501" s="174">
        <f>#REF!</f>
        <v/>
      </c>
      <c r="I501" s="174">
        <f>#REF!</f>
        <v/>
      </c>
      <c r="J501" s="174">
        <f>#REF!</f>
        <v/>
      </c>
      <c r="K501" s="176">
        <f>#REF!</f>
        <v/>
      </c>
      <c r="L501" s="173" t="n"/>
      <c r="M501" s="9" t="n"/>
      <c r="N501" s="28" t="b">
        <v>0</v>
      </c>
      <c r="O501" s="172" t="b">
        <v>0</v>
      </c>
      <c r="P501" s="28" t="b">
        <v>0</v>
      </c>
      <c r="Q501" s="28" t="b">
        <v>0</v>
      </c>
      <c r="R501" s="28" t="b">
        <v>0</v>
      </c>
      <c r="S501" s="28" t="b">
        <v>0</v>
      </c>
      <c r="T501" s="28" t="b">
        <v>0</v>
      </c>
      <c r="U501" s="28" t="b">
        <v>0</v>
      </c>
      <c r="V501" s="28" t="b">
        <v>0</v>
      </c>
      <c r="W501" s="28" t="b">
        <v>0</v>
      </c>
    </row>
    <row r="502" ht="69" customHeight="1" s="222">
      <c r="A502" s="164">
        <f>#REF!</f>
        <v/>
      </c>
      <c r="B502" s="145" t="b">
        <v>0</v>
      </c>
      <c r="C502" s="176">
        <f>#REF!</f>
        <v/>
      </c>
      <c r="D502" s="174" t="n"/>
      <c r="E502" s="174" t="n"/>
      <c r="F502" s="176">
        <f>#REF!</f>
        <v/>
      </c>
      <c r="G502" s="174">
        <f>#REF!</f>
        <v/>
      </c>
      <c r="H502" s="174">
        <f>#REF!</f>
        <v/>
      </c>
      <c r="I502" s="174">
        <f>#REF!</f>
        <v/>
      </c>
      <c r="J502" s="174">
        <f>#REF!</f>
        <v/>
      </c>
      <c r="K502" s="176">
        <f>#REF!</f>
        <v/>
      </c>
      <c r="L502" s="173" t="n"/>
      <c r="M502" s="9" t="n"/>
      <c r="N502" s="28" t="b">
        <v>0</v>
      </c>
      <c r="O502" s="172" t="b">
        <v>0</v>
      </c>
      <c r="P502" s="28" t="b">
        <v>0</v>
      </c>
      <c r="Q502" s="28" t="b">
        <v>0</v>
      </c>
      <c r="R502" s="28" t="b">
        <v>0</v>
      </c>
      <c r="S502" s="28" t="b">
        <v>0</v>
      </c>
      <c r="T502" s="28" t="b">
        <v>0</v>
      </c>
      <c r="U502" s="28" t="b">
        <v>0</v>
      </c>
      <c r="V502" s="28" t="b">
        <v>0</v>
      </c>
      <c r="W502" s="28" t="b">
        <v>0</v>
      </c>
    </row>
    <row r="503" ht="69" customHeight="1" s="222">
      <c r="A503" s="164">
        <f>#REF!</f>
        <v/>
      </c>
      <c r="B503" s="145" t="b">
        <v>0</v>
      </c>
      <c r="C503" s="176">
        <f>#REF!</f>
        <v/>
      </c>
      <c r="D503" s="174" t="n"/>
      <c r="E503" s="174" t="n"/>
      <c r="F503" s="176">
        <f>#REF!</f>
        <v/>
      </c>
      <c r="G503" s="174">
        <f>#REF!</f>
        <v/>
      </c>
      <c r="H503" s="174">
        <f>#REF!</f>
        <v/>
      </c>
      <c r="I503" s="174">
        <f>#REF!</f>
        <v/>
      </c>
      <c r="J503" s="174">
        <f>#REF!</f>
        <v/>
      </c>
      <c r="K503" s="176">
        <f>#REF!</f>
        <v/>
      </c>
      <c r="L503" s="173" t="n"/>
      <c r="M503" s="9" t="n"/>
      <c r="N503" s="28" t="b">
        <v>0</v>
      </c>
      <c r="O503" s="172" t="b">
        <v>0</v>
      </c>
      <c r="P503" s="28" t="b">
        <v>0</v>
      </c>
      <c r="Q503" s="28" t="b">
        <v>0</v>
      </c>
      <c r="R503" s="28" t="b">
        <v>0</v>
      </c>
      <c r="S503" s="28" t="b">
        <v>0</v>
      </c>
      <c r="T503" s="28" t="b">
        <v>0</v>
      </c>
      <c r="U503" s="28" t="b">
        <v>0</v>
      </c>
      <c r="V503" s="28" t="b">
        <v>0</v>
      </c>
      <c r="W503" s="28" t="b">
        <v>0</v>
      </c>
    </row>
    <row r="504" ht="69" customHeight="1" s="222">
      <c r="A504" s="164">
        <f>#REF!</f>
        <v/>
      </c>
      <c r="B504" s="145" t="b">
        <v>0</v>
      </c>
      <c r="C504" s="176">
        <f>#REF!</f>
        <v/>
      </c>
      <c r="D504" s="174" t="n"/>
      <c r="E504" s="174" t="n"/>
      <c r="F504" s="176">
        <f>#REF!</f>
        <v/>
      </c>
      <c r="G504" s="174">
        <f>#REF!</f>
        <v/>
      </c>
      <c r="H504" s="174">
        <f>#REF!</f>
        <v/>
      </c>
      <c r="I504" s="174">
        <f>#REF!</f>
        <v/>
      </c>
      <c r="J504" s="174">
        <f>#REF!</f>
        <v/>
      </c>
      <c r="K504" s="176">
        <f>#REF!</f>
        <v/>
      </c>
      <c r="L504" s="173" t="n"/>
      <c r="M504" s="9" t="n"/>
      <c r="N504" s="28" t="b">
        <v>0</v>
      </c>
      <c r="O504" s="172" t="b">
        <v>0</v>
      </c>
      <c r="P504" s="28" t="b">
        <v>0</v>
      </c>
      <c r="Q504" s="28" t="b">
        <v>0</v>
      </c>
      <c r="R504" s="28" t="b">
        <v>0</v>
      </c>
      <c r="S504" s="28" t="b">
        <v>0</v>
      </c>
      <c r="T504" s="28" t="b">
        <v>0</v>
      </c>
      <c r="U504" s="28" t="b">
        <v>0</v>
      </c>
      <c r="V504" s="28" t="b">
        <v>0</v>
      </c>
      <c r="W504" s="28" t="b">
        <v>0</v>
      </c>
    </row>
    <row r="505" ht="69" customHeight="1" s="222">
      <c r="A505" s="164">
        <f>#REF!</f>
        <v/>
      </c>
      <c r="B505" s="145" t="b">
        <v>0</v>
      </c>
      <c r="C505" s="176">
        <f>#REF!</f>
        <v/>
      </c>
      <c r="D505" s="174" t="n"/>
      <c r="E505" s="174" t="n"/>
      <c r="F505" s="176">
        <f>#REF!</f>
        <v/>
      </c>
      <c r="G505" s="174">
        <f>#REF!</f>
        <v/>
      </c>
      <c r="H505" s="174">
        <f>#REF!</f>
        <v/>
      </c>
      <c r="I505" s="174">
        <f>#REF!</f>
        <v/>
      </c>
      <c r="J505" s="174">
        <f>#REF!</f>
        <v/>
      </c>
      <c r="K505" s="176">
        <f>#REF!</f>
        <v/>
      </c>
      <c r="L505" s="173" t="n"/>
      <c r="M505" s="9" t="n"/>
      <c r="N505" s="28" t="b">
        <v>0</v>
      </c>
      <c r="O505" s="172" t="b">
        <v>0</v>
      </c>
      <c r="P505" s="28" t="b">
        <v>0</v>
      </c>
      <c r="Q505" s="28" t="b">
        <v>0</v>
      </c>
      <c r="R505" s="28" t="b">
        <v>0</v>
      </c>
      <c r="S505" s="28" t="b">
        <v>0</v>
      </c>
      <c r="T505" s="28" t="b">
        <v>0</v>
      </c>
      <c r="U505" s="28" t="b">
        <v>0</v>
      </c>
      <c r="V505" s="28" t="b">
        <v>0</v>
      </c>
      <c r="W505" s="28" t="b">
        <v>0</v>
      </c>
    </row>
    <row r="506" ht="69" customHeight="1" s="222">
      <c r="A506" s="164">
        <f>#REF!</f>
        <v/>
      </c>
      <c r="B506" s="145" t="b">
        <v>0</v>
      </c>
      <c r="C506" s="176">
        <f>#REF!</f>
        <v/>
      </c>
      <c r="D506" s="174" t="n"/>
      <c r="E506" s="174" t="n"/>
      <c r="F506" s="176">
        <f>#REF!</f>
        <v/>
      </c>
      <c r="G506" s="174">
        <f>#REF!</f>
        <v/>
      </c>
      <c r="H506" s="174">
        <f>#REF!</f>
        <v/>
      </c>
      <c r="I506" s="174">
        <f>#REF!</f>
        <v/>
      </c>
      <c r="J506" s="174">
        <f>#REF!</f>
        <v/>
      </c>
      <c r="K506" s="176">
        <f>#REF!</f>
        <v/>
      </c>
      <c r="L506" s="173" t="n"/>
      <c r="M506" s="9" t="n"/>
      <c r="N506" s="28" t="b">
        <v>0</v>
      </c>
      <c r="O506" s="172" t="b">
        <v>0</v>
      </c>
      <c r="P506" s="28" t="b">
        <v>0</v>
      </c>
      <c r="Q506" s="28" t="b">
        <v>0</v>
      </c>
      <c r="R506" s="28" t="b">
        <v>0</v>
      </c>
      <c r="S506" s="28" t="b">
        <v>0</v>
      </c>
      <c r="T506" s="28" t="b">
        <v>0</v>
      </c>
      <c r="U506" s="28" t="b">
        <v>0</v>
      </c>
      <c r="V506" s="28" t="b">
        <v>0</v>
      </c>
      <c r="W506" s="28" t="b">
        <v>0</v>
      </c>
    </row>
    <row r="507" ht="69" customHeight="1" s="222">
      <c r="A507" s="164">
        <f>#REF!</f>
        <v/>
      </c>
      <c r="B507" s="145" t="b">
        <v>0</v>
      </c>
      <c r="C507" s="176">
        <f>#REF!</f>
        <v/>
      </c>
      <c r="D507" s="174" t="n"/>
      <c r="E507" s="174" t="n"/>
      <c r="F507" s="176">
        <f>#REF!</f>
        <v/>
      </c>
      <c r="G507" s="174">
        <f>#REF!</f>
        <v/>
      </c>
      <c r="H507" s="174">
        <f>#REF!</f>
        <v/>
      </c>
      <c r="I507" s="174">
        <f>#REF!</f>
        <v/>
      </c>
      <c r="J507" s="174">
        <f>#REF!</f>
        <v/>
      </c>
      <c r="K507" s="176">
        <f>#REF!</f>
        <v/>
      </c>
      <c r="L507" s="173" t="n"/>
      <c r="M507" s="9" t="n"/>
      <c r="N507" s="28" t="b">
        <v>0</v>
      </c>
      <c r="O507" s="172" t="b">
        <v>0</v>
      </c>
      <c r="P507" s="28" t="b">
        <v>0</v>
      </c>
      <c r="Q507" s="28" t="b">
        <v>0</v>
      </c>
      <c r="R507" s="28" t="b">
        <v>0</v>
      </c>
      <c r="S507" s="28" t="b">
        <v>0</v>
      </c>
      <c r="T507" s="28" t="b">
        <v>0</v>
      </c>
      <c r="U507" s="28" t="b">
        <v>0</v>
      </c>
      <c r="V507" s="28" t="b">
        <v>0</v>
      </c>
      <c r="W507" s="28" t="b">
        <v>0</v>
      </c>
    </row>
    <row r="508" ht="69" customHeight="1" s="222">
      <c r="A508" s="164">
        <f>#REF!</f>
        <v/>
      </c>
      <c r="B508" s="145" t="b">
        <v>0</v>
      </c>
      <c r="C508" s="176">
        <f>#REF!</f>
        <v/>
      </c>
      <c r="D508" s="174" t="n"/>
      <c r="E508" s="174" t="n"/>
      <c r="F508" s="176">
        <f>#REF!</f>
        <v/>
      </c>
      <c r="G508" s="174">
        <f>#REF!</f>
        <v/>
      </c>
      <c r="H508" s="174">
        <f>#REF!</f>
        <v/>
      </c>
      <c r="I508" s="174">
        <f>#REF!</f>
        <v/>
      </c>
      <c r="J508" s="174">
        <f>#REF!</f>
        <v/>
      </c>
      <c r="K508" s="176">
        <f>#REF!</f>
        <v/>
      </c>
      <c r="L508" s="173" t="n"/>
      <c r="M508" s="9" t="n"/>
      <c r="N508" s="28" t="b">
        <v>0</v>
      </c>
      <c r="O508" s="172" t="b">
        <v>0</v>
      </c>
      <c r="P508" s="28" t="b">
        <v>0</v>
      </c>
      <c r="Q508" s="28" t="b">
        <v>0</v>
      </c>
      <c r="R508" s="28" t="b">
        <v>0</v>
      </c>
      <c r="S508" s="28" t="b">
        <v>0</v>
      </c>
      <c r="T508" s="28" t="b">
        <v>0</v>
      </c>
      <c r="U508" s="28" t="b">
        <v>0</v>
      </c>
      <c r="V508" s="28" t="b">
        <v>0</v>
      </c>
      <c r="W508" s="28" t="b">
        <v>0</v>
      </c>
    </row>
    <row r="509" ht="69" customHeight="1" s="222">
      <c r="A509" s="164">
        <f>#REF!</f>
        <v/>
      </c>
      <c r="B509" s="145" t="b">
        <v>0</v>
      </c>
      <c r="C509" s="176">
        <f>#REF!</f>
        <v/>
      </c>
      <c r="D509" s="174" t="n"/>
      <c r="E509" s="174" t="n"/>
      <c r="F509" s="176">
        <f>#REF!</f>
        <v/>
      </c>
      <c r="G509" s="174">
        <f>#REF!</f>
        <v/>
      </c>
      <c r="H509" s="174">
        <f>#REF!</f>
        <v/>
      </c>
      <c r="I509" s="174">
        <f>#REF!</f>
        <v/>
      </c>
      <c r="J509" s="174">
        <f>#REF!</f>
        <v/>
      </c>
      <c r="K509" s="176">
        <f>#REF!</f>
        <v/>
      </c>
      <c r="L509" s="173" t="n"/>
      <c r="M509" s="9" t="n"/>
      <c r="N509" s="28" t="b">
        <v>0</v>
      </c>
      <c r="O509" s="172" t="b">
        <v>0</v>
      </c>
      <c r="P509" s="28" t="b">
        <v>0</v>
      </c>
      <c r="Q509" s="28" t="b">
        <v>0</v>
      </c>
      <c r="R509" s="28" t="b">
        <v>0</v>
      </c>
      <c r="S509" s="28" t="b">
        <v>0</v>
      </c>
      <c r="T509" s="28" t="b">
        <v>0</v>
      </c>
      <c r="U509" s="28" t="b">
        <v>0</v>
      </c>
      <c r="V509" s="28" t="b">
        <v>0</v>
      </c>
      <c r="W509" s="28" t="b">
        <v>0</v>
      </c>
    </row>
    <row r="510" ht="69" customHeight="1" s="222">
      <c r="A510" s="164">
        <f>#REF!</f>
        <v/>
      </c>
      <c r="B510" s="145" t="b">
        <v>0</v>
      </c>
      <c r="C510" s="176">
        <f>#REF!</f>
        <v/>
      </c>
      <c r="D510" s="174" t="n"/>
      <c r="E510" s="174" t="n"/>
      <c r="F510" s="176">
        <f>#REF!</f>
        <v/>
      </c>
      <c r="G510" s="174">
        <f>#REF!</f>
        <v/>
      </c>
      <c r="H510" s="174">
        <f>#REF!</f>
        <v/>
      </c>
      <c r="I510" s="174">
        <f>#REF!</f>
        <v/>
      </c>
      <c r="J510" s="174">
        <f>#REF!</f>
        <v/>
      </c>
      <c r="K510" s="176">
        <f>#REF!</f>
        <v/>
      </c>
      <c r="L510" s="173" t="n"/>
      <c r="M510" s="9" t="n"/>
      <c r="N510" s="28" t="b">
        <v>0</v>
      </c>
      <c r="O510" s="172" t="b">
        <v>0</v>
      </c>
      <c r="P510" s="28" t="b">
        <v>0</v>
      </c>
      <c r="Q510" s="28" t="b">
        <v>0</v>
      </c>
      <c r="R510" s="28" t="b">
        <v>0</v>
      </c>
      <c r="S510" s="28" t="b">
        <v>0</v>
      </c>
      <c r="T510" s="28" t="b">
        <v>0</v>
      </c>
      <c r="U510" s="28" t="b">
        <v>0</v>
      </c>
      <c r="V510" s="28" t="b">
        <v>0</v>
      </c>
      <c r="W510" s="28" t="b">
        <v>0</v>
      </c>
    </row>
    <row r="511" ht="69" customHeight="1" s="222">
      <c r="A511" s="164">
        <f>#REF!</f>
        <v/>
      </c>
      <c r="B511" s="145" t="b">
        <v>0</v>
      </c>
      <c r="C511" s="176">
        <f>#REF!</f>
        <v/>
      </c>
      <c r="D511" s="174" t="n"/>
      <c r="E511" s="174" t="n"/>
      <c r="F511" s="176">
        <f>#REF!</f>
        <v/>
      </c>
      <c r="G511" s="174">
        <f>#REF!</f>
        <v/>
      </c>
      <c r="H511" s="174">
        <f>#REF!</f>
        <v/>
      </c>
      <c r="I511" s="174">
        <f>#REF!</f>
        <v/>
      </c>
      <c r="J511" s="174">
        <f>#REF!</f>
        <v/>
      </c>
      <c r="K511" s="176">
        <f>#REF!</f>
        <v/>
      </c>
      <c r="L511" s="173" t="n"/>
      <c r="M511" s="9" t="n"/>
      <c r="N511" s="28" t="b">
        <v>0</v>
      </c>
      <c r="O511" s="172" t="b">
        <v>0</v>
      </c>
      <c r="P511" s="28" t="b">
        <v>0</v>
      </c>
      <c r="Q511" s="28" t="b">
        <v>0</v>
      </c>
      <c r="R511" s="28" t="b">
        <v>0</v>
      </c>
      <c r="S511" s="28" t="b">
        <v>0</v>
      </c>
      <c r="T511" s="28" t="b">
        <v>0</v>
      </c>
      <c r="U511" s="28" t="b">
        <v>0</v>
      </c>
      <c r="V511" s="28" t="b">
        <v>0</v>
      </c>
      <c r="W511" s="28" t="b">
        <v>0</v>
      </c>
    </row>
    <row r="512" ht="69" customHeight="1" s="222">
      <c r="A512" s="164">
        <f>#REF!</f>
        <v/>
      </c>
      <c r="B512" s="145" t="b">
        <v>0</v>
      </c>
      <c r="C512" s="176">
        <f>#REF!</f>
        <v/>
      </c>
      <c r="D512" s="174" t="n"/>
      <c r="E512" s="174" t="n"/>
      <c r="F512" s="176">
        <f>#REF!</f>
        <v/>
      </c>
      <c r="G512" s="174">
        <f>#REF!</f>
        <v/>
      </c>
      <c r="H512" s="174">
        <f>#REF!</f>
        <v/>
      </c>
      <c r="I512" s="174">
        <f>#REF!</f>
        <v/>
      </c>
      <c r="J512" s="174">
        <f>#REF!</f>
        <v/>
      </c>
      <c r="K512" s="176">
        <f>#REF!</f>
        <v/>
      </c>
      <c r="L512" s="173" t="n"/>
      <c r="M512" s="9" t="n"/>
      <c r="N512" s="28" t="b">
        <v>0</v>
      </c>
      <c r="O512" s="172" t="b">
        <v>0</v>
      </c>
      <c r="P512" s="28" t="b">
        <v>0</v>
      </c>
      <c r="Q512" s="28" t="b">
        <v>0</v>
      </c>
      <c r="R512" s="28" t="b">
        <v>0</v>
      </c>
      <c r="S512" s="28" t="b">
        <v>0</v>
      </c>
      <c r="T512" s="28" t="b">
        <v>0</v>
      </c>
      <c r="U512" s="28" t="b">
        <v>0</v>
      </c>
      <c r="V512" s="28" t="b">
        <v>0</v>
      </c>
      <c r="W512" s="28" t="b">
        <v>0</v>
      </c>
    </row>
    <row r="513" ht="69" customHeight="1" s="222">
      <c r="A513" s="164">
        <f>#REF!</f>
        <v/>
      </c>
      <c r="B513" s="145" t="b">
        <v>0</v>
      </c>
      <c r="C513" s="176">
        <f>#REF!</f>
        <v/>
      </c>
      <c r="D513" s="174" t="n"/>
      <c r="E513" s="174" t="n"/>
      <c r="F513" s="176">
        <f>#REF!</f>
        <v/>
      </c>
      <c r="G513" s="174">
        <f>#REF!</f>
        <v/>
      </c>
      <c r="H513" s="174">
        <f>#REF!</f>
        <v/>
      </c>
      <c r="I513" s="174">
        <f>#REF!</f>
        <v/>
      </c>
      <c r="J513" s="174">
        <f>#REF!</f>
        <v/>
      </c>
      <c r="K513" s="176">
        <f>#REF!</f>
        <v/>
      </c>
      <c r="L513" s="173" t="n"/>
      <c r="M513" s="9" t="n"/>
      <c r="N513" s="28" t="b">
        <v>0</v>
      </c>
      <c r="O513" s="172" t="b">
        <v>0</v>
      </c>
      <c r="P513" s="28" t="b">
        <v>0</v>
      </c>
      <c r="Q513" s="28" t="b">
        <v>0</v>
      </c>
      <c r="R513" s="28" t="b">
        <v>0</v>
      </c>
      <c r="S513" s="28" t="b">
        <v>0</v>
      </c>
      <c r="T513" s="28" t="b">
        <v>0</v>
      </c>
      <c r="U513" s="28" t="b">
        <v>0</v>
      </c>
      <c r="V513" s="28" t="b">
        <v>0</v>
      </c>
      <c r="W513" s="28" t="b">
        <v>0</v>
      </c>
    </row>
    <row r="514" ht="69" customHeight="1" s="222">
      <c r="A514" s="164">
        <f>#REF!</f>
        <v/>
      </c>
      <c r="B514" s="145" t="b">
        <v>0</v>
      </c>
      <c r="C514" s="176">
        <f>#REF!</f>
        <v/>
      </c>
      <c r="D514" s="174" t="n"/>
      <c r="E514" s="174" t="n"/>
      <c r="F514" s="176">
        <f>#REF!</f>
        <v/>
      </c>
      <c r="G514" s="174">
        <f>#REF!</f>
        <v/>
      </c>
      <c r="H514" s="174">
        <f>#REF!</f>
        <v/>
      </c>
      <c r="I514" s="174">
        <f>#REF!</f>
        <v/>
      </c>
      <c r="J514" s="174">
        <f>#REF!</f>
        <v/>
      </c>
      <c r="K514" s="176">
        <f>#REF!</f>
        <v/>
      </c>
      <c r="L514" s="173" t="n"/>
      <c r="M514" s="9" t="n"/>
      <c r="N514" s="28" t="b">
        <v>0</v>
      </c>
      <c r="O514" s="172" t="b">
        <v>0</v>
      </c>
      <c r="P514" s="28" t="b">
        <v>0</v>
      </c>
      <c r="Q514" s="28" t="b">
        <v>0</v>
      </c>
      <c r="R514" s="28" t="b">
        <v>0</v>
      </c>
      <c r="S514" s="28" t="b">
        <v>0</v>
      </c>
      <c r="T514" s="28" t="b">
        <v>0</v>
      </c>
      <c r="U514" s="28" t="b">
        <v>0</v>
      </c>
      <c r="V514" s="28" t="b">
        <v>0</v>
      </c>
      <c r="W514" s="28" t="b">
        <v>0</v>
      </c>
    </row>
    <row r="515" ht="69" customHeight="1" s="222">
      <c r="A515" s="164">
        <f>#REF!</f>
        <v/>
      </c>
      <c r="B515" s="145" t="b">
        <v>0</v>
      </c>
      <c r="C515" s="176">
        <f>#REF!</f>
        <v/>
      </c>
      <c r="D515" s="174" t="n"/>
      <c r="E515" s="174" t="n"/>
      <c r="F515" s="176">
        <f>#REF!</f>
        <v/>
      </c>
      <c r="G515" s="174">
        <f>#REF!</f>
        <v/>
      </c>
      <c r="H515" s="174">
        <f>#REF!</f>
        <v/>
      </c>
      <c r="I515" s="174">
        <f>#REF!</f>
        <v/>
      </c>
      <c r="J515" s="174">
        <f>#REF!</f>
        <v/>
      </c>
      <c r="K515" s="176">
        <f>#REF!</f>
        <v/>
      </c>
      <c r="L515" s="173" t="n"/>
      <c r="M515" s="9" t="n"/>
      <c r="N515" s="28" t="b">
        <v>0</v>
      </c>
      <c r="O515" s="172" t="b">
        <v>0</v>
      </c>
      <c r="P515" s="28" t="b">
        <v>0</v>
      </c>
      <c r="Q515" s="28" t="b">
        <v>0</v>
      </c>
      <c r="R515" s="28" t="b">
        <v>0</v>
      </c>
      <c r="S515" s="28" t="b">
        <v>0</v>
      </c>
      <c r="T515" s="28" t="b">
        <v>0</v>
      </c>
      <c r="U515" s="28" t="b">
        <v>0</v>
      </c>
      <c r="V515" s="28" t="b">
        <v>0</v>
      </c>
      <c r="W515" s="28" t="b">
        <v>0</v>
      </c>
    </row>
    <row r="516" ht="69" customHeight="1" s="222">
      <c r="A516" s="164">
        <f>#REF!</f>
        <v/>
      </c>
      <c r="B516" s="145" t="b">
        <v>0</v>
      </c>
      <c r="C516" s="176">
        <f>#REF!</f>
        <v/>
      </c>
      <c r="D516" s="174" t="n"/>
      <c r="E516" s="174" t="n"/>
      <c r="F516" s="176">
        <f>#REF!</f>
        <v/>
      </c>
      <c r="G516" s="174">
        <f>#REF!</f>
        <v/>
      </c>
      <c r="H516" s="174">
        <f>#REF!</f>
        <v/>
      </c>
      <c r="I516" s="174">
        <f>#REF!</f>
        <v/>
      </c>
      <c r="J516" s="174">
        <f>#REF!</f>
        <v/>
      </c>
      <c r="K516" s="176">
        <f>#REF!</f>
        <v/>
      </c>
      <c r="L516" s="173" t="n"/>
      <c r="M516" s="9" t="n"/>
      <c r="N516" s="28" t="b">
        <v>0</v>
      </c>
      <c r="O516" s="172" t="b">
        <v>0</v>
      </c>
      <c r="P516" s="28" t="b">
        <v>0</v>
      </c>
      <c r="Q516" s="28" t="b">
        <v>0</v>
      </c>
      <c r="R516" s="28" t="b">
        <v>0</v>
      </c>
      <c r="S516" s="28" t="b">
        <v>0</v>
      </c>
      <c r="T516" s="28" t="b">
        <v>0</v>
      </c>
      <c r="U516" s="28" t="b">
        <v>0</v>
      </c>
      <c r="V516" s="28" t="b">
        <v>0</v>
      </c>
      <c r="W516" s="28" t="b">
        <v>0</v>
      </c>
    </row>
    <row r="517" ht="69" customHeight="1" s="222">
      <c r="A517" s="164">
        <f>#REF!</f>
        <v/>
      </c>
      <c r="B517" s="145" t="b">
        <v>0</v>
      </c>
      <c r="C517" s="176">
        <f>#REF!</f>
        <v/>
      </c>
      <c r="D517" s="174" t="n"/>
      <c r="E517" s="174" t="n"/>
      <c r="F517" s="176">
        <f>#REF!</f>
        <v/>
      </c>
      <c r="G517" s="174">
        <f>#REF!</f>
        <v/>
      </c>
      <c r="H517" s="174">
        <f>#REF!</f>
        <v/>
      </c>
      <c r="I517" s="174">
        <f>#REF!</f>
        <v/>
      </c>
      <c r="J517" s="174">
        <f>#REF!</f>
        <v/>
      </c>
      <c r="K517" s="176">
        <f>#REF!</f>
        <v/>
      </c>
      <c r="L517" s="173" t="n"/>
      <c r="M517" s="9" t="n"/>
      <c r="N517" s="28" t="b">
        <v>0</v>
      </c>
      <c r="O517" s="172" t="b">
        <v>0</v>
      </c>
      <c r="P517" s="28" t="b">
        <v>0</v>
      </c>
      <c r="Q517" s="28" t="b">
        <v>0</v>
      </c>
      <c r="R517" s="28" t="b">
        <v>0</v>
      </c>
      <c r="S517" s="28" t="b">
        <v>0</v>
      </c>
      <c r="T517" s="28" t="b">
        <v>0</v>
      </c>
      <c r="U517" s="28" t="b">
        <v>0</v>
      </c>
      <c r="V517" s="28" t="b">
        <v>0</v>
      </c>
      <c r="W517" s="28" t="b">
        <v>0</v>
      </c>
    </row>
    <row r="518" ht="69" customHeight="1" s="222">
      <c r="A518" s="164">
        <f>#REF!</f>
        <v/>
      </c>
      <c r="B518" s="145" t="b">
        <v>0</v>
      </c>
      <c r="C518" s="176">
        <f>#REF!</f>
        <v/>
      </c>
      <c r="D518" s="174" t="n"/>
      <c r="E518" s="174" t="n"/>
      <c r="F518" s="176">
        <f>#REF!</f>
        <v/>
      </c>
      <c r="G518" s="174">
        <f>#REF!</f>
        <v/>
      </c>
      <c r="H518" s="174">
        <f>#REF!</f>
        <v/>
      </c>
      <c r="I518" s="174">
        <f>#REF!</f>
        <v/>
      </c>
      <c r="J518" s="174">
        <f>#REF!</f>
        <v/>
      </c>
      <c r="K518" s="176">
        <f>#REF!</f>
        <v/>
      </c>
      <c r="L518" s="173" t="n"/>
      <c r="M518" s="9" t="n"/>
      <c r="N518" s="28" t="b">
        <v>0</v>
      </c>
      <c r="O518" s="172" t="b">
        <v>0</v>
      </c>
      <c r="P518" s="28" t="b">
        <v>0</v>
      </c>
      <c r="Q518" s="28" t="b">
        <v>0</v>
      </c>
      <c r="R518" s="28" t="b">
        <v>0</v>
      </c>
      <c r="S518" s="28" t="b">
        <v>0</v>
      </c>
      <c r="T518" s="28" t="b">
        <v>0</v>
      </c>
      <c r="U518" s="28" t="b">
        <v>0</v>
      </c>
      <c r="V518" s="28" t="b">
        <v>0</v>
      </c>
      <c r="W518" s="28" t="b">
        <v>0</v>
      </c>
    </row>
    <row r="519" ht="69" customHeight="1" s="222">
      <c r="A519" s="164">
        <f>#REF!</f>
        <v/>
      </c>
      <c r="B519" s="145" t="b">
        <v>0</v>
      </c>
      <c r="C519" s="176">
        <f>#REF!</f>
        <v/>
      </c>
      <c r="D519" s="174" t="n"/>
      <c r="E519" s="174" t="n"/>
      <c r="F519" s="176">
        <f>#REF!</f>
        <v/>
      </c>
      <c r="G519" s="174">
        <f>#REF!</f>
        <v/>
      </c>
      <c r="H519" s="174">
        <f>#REF!</f>
        <v/>
      </c>
      <c r="I519" s="174">
        <f>#REF!</f>
        <v/>
      </c>
      <c r="J519" s="174">
        <f>#REF!</f>
        <v/>
      </c>
      <c r="K519" s="176">
        <f>#REF!</f>
        <v/>
      </c>
      <c r="L519" s="173" t="n"/>
      <c r="M519" s="9" t="n"/>
      <c r="N519" s="28" t="b">
        <v>0</v>
      </c>
      <c r="O519" s="172" t="b">
        <v>0</v>
      </c>
      <c r="P519" s="28" t="b">
        <v>0</v>
      </c>
      <c r="Q519" s="28" t="b">
        <v>0</v>
      </c>
      <c r="R519" s="28" t="b">
        <v>0</v>
      </c>
      <c r="S519" s="28" t="b">
        <v>0</v>
      </c>
      <c r="T519" s="28" t="b">
        <v>0</v>
      </c>
      <c r="U519" s="28" t="b">
        <v>0</v>
      </c>
      <c r="V519" s="28" t="b">
        <v>0</v>
      </c>
      <c r="W519" s="28" t="b">
        <v>0</v>
      </c>
    </row>
    <row r="520" ht="69" customHeight="1" s="222">
      <c r="A520" s="164">
        <f>#REF!</f>
        <v/>
      </c>
      <c r="B520" s="145" t="b">
        <v>0</v>
      </c>
      <c r="C520" s="176">
        <f>#REF!</f>
        <v/>
      </c>
      <c r="D520" s="174" t="n"/>
      <c r="E520" s="174" t="n"/>
      <c r="F520" s="176">
        <f>#REF!</f>
        <v/>
      </c>
      <c r="G520" s="174">
        <f>#REF!</f>
        <v/>
      </c>
      <c r="H520" s="174">
        <f>#REF!</f>
        <v/>
      </c>
      <c r="I520" s="174">
        <f>#REF!</f>
        <v/>
      </c>
      <c r="J520" s="174">
        <f>#REF!</f>
        <v/>
      </c>
      <c r="K520" s="176">
        <f>#REF!</f>
        <v/>
      </c>
      <c r="L520" s="173" t="n"/>
      <c r="M520" s="9" t="n"/>
      <c r="N520" s="28" t="b">
        <v>0</v>
      </c>
      <c r="O520" s="172" t="b">
        <v>0</v>
      </c>
      <c r="P520" s="28" t="b">
        <v>0</v>
      </c>
      <c r="Q520" s="28" t="b">
        <v>0</v>
      </c>
      <c r="R520" s="28" t="b">
        <v>0</v>
      </c>
      <c r="S520" s="28" t="b">
        <v>0</v>
      </c>
      <c r="T520" s="28" t="b">
        <v>0</v>
      </c>
      <c r="U520" s="28" t="b">
        <v>0</v>
      </c>
      <c r="V520" s="28" t="b">
        <v>0</v>
      </c>
      <c r="W520" s="28" t="b">
        <v>0</v>
      </c>
    </row>
    <row r="521" ht="69" customHeight="1" s="222">
      <c r="A521" s="164">
        <f>#REF!</f>
        <v/>
      </c>
      <c r="B521" s="145" t="b">
        <v>0</v>
      </c>
      <c r="C521" s="176">
        <f>#REF!</f>
        <v/>
      </c>
      <c r="D521" s="174" t="n"/>
      <c r="E521" s="174" t="n"/>
      <c r="F521" s="176">
        <f>#REF!</f>
        <v/>
      </c>
      <c r="G521" s="174">
        <f>#REF!</f>
        <v/>
      </c>
      <c r="H521" s="174">
        <f>#REF!</f>
        <v/>
      </c>
      <c r="I521" s="174">
        <f>#REF!</f>
        <v/>
      </c>
      <c r="J521" s="174">
        <f>#REF!</f>
        <v/>
      </c>
      <c r="K521" s="176">
        <f>#REF!</f>
        <v/>
      </c>
      <c r="L521" s="173" t="n"/>
      <c r="M521" s="9" t="n"/>
      <c r="N521" s="28" t="b">
        <v>0</v>
      </c>
      <c r="O521" s="172" t="b">
        <v>0</v>
      </c>
      <c r="P521" s="28" t="b">
        <v>0</v>
      </c>
      <c r="Q521" s="28" t="b">
        <v>0</v>
      </c>
      <c r="R521" s="28" t="b">
        <v>0</v>
      </c>
      <c r="S521" s="28" t="b">
        <v>0</v>
      </c>
      <c r="T521" s="28" t="b">
        <v>0</v>
      </c>
      <c r="U521" s="28" t="b">
        <v>0</v>
      </c>
      <c r="V521" s="28" t="b">
        <v>0</v>
      </c>
      <c r="W521" s="28" t="b">
        <v>0</v>
      </c>
    </row>
    <row r="522" ht="69" customHeight="1" s="222">
      <c r="A522" s="164">
        <f>#REF!</f>
        <v/>
      </c>
      <c r="B522" s="145" t="b">
        <v>0</v>
      </c>
      <c r="C522" s="176">
        <f>#REF!</f>
        <v/>
      </c>
      <c r="D522" s="174" t="n"/>
      <c r="E522" s="174" t="n"/>
      <c r="F522" s="176">
        <f>#REF!</f>
        <v/>
      </c>
      <c r="G522" s="174">
        <f>#REF!</f>
        <v/>
      </c>
      <c r="H522" s="174">
        <f>#REF!</f>
        <v/>
      </c>
      <c r="I522" s="174">
        <f>#REF!</f>
        <v/>
      </c>
      <c r="J522" s="174">
        <f>#REF!</f>
        <v/>
      </c>
      <c r="K522" s="176">
        <f>#REF!</f>
        <v/>
      </c>
      <c r="L522" s="173" t="n"/>
      <c r="M522" s="9" t="n"/>
      <c r="N522" s="28" t="b">
        <v>0</v>
      </c>
      <c r="O522" s="172" t="b">
        <v>0</v>
      </c>
      <c r="P522" s="28" t="b">
        <v>0</v>
      </c>
      <c r="Q522" s="28" t="b">
        <v>0</v>
      </c>
      <c r="R522" s="28" t="b">
        <v>0</v>
      </c>
      <c r="S522" s="28" t="b">
        <v>0</v>
      </c>
      <c r="T522" s="28" t="b">
        <v>0</v>
      </c>
      <c r="U522" s="28" t="b">
        <v>0</v>
      </c>
      <c r="V522" s="28" t="b">
        <v>0</v>
      </c>
      <c r="W522" s="28" t="b">
        <v>0</v>
      </c>
    </row>
    <row r="523" ht="69" customHeight="1" s="222">
      <c r="A523" s="164">
        <f>#REF!</f>
        <v/>
      </c>
      <c r="B523" s="145" t="b">
        <v>0</v>
      </c>
      <c r="C523" s="176">
        <f>#REF!</f>
        <v/>
      </c>
      <c r="D523" s="174" t="n"/>
      <c r="E523" s="174" t="n"/>
      <c r="F523" s="176">
        <f>#REF!</f>
        <v/>
      </c>
      <c r="G523" s="174">
        <f>#REF!</f>
        <v/>
      </c>
      <c r="H523" s="174">
        <f>#REF!</f>
        <v/>
      </c>
      <c r="I523" s="174">
        <f>#REF!</f>
        <v/>
      </c>
      <c r="J523" s="174">
        <f>#REF!</f>
        <v/>
      </c>
      <c r="K523" s="176">
        <f>#REF!</f>
        <v/>
      </c>
      <c r="L523" s="173" t="n"/>
      <c r="M523" s="9" t="n"/>
      <c r="N523" s="28" t="b">
        <v>0</v>
      </c>
      <c r="O523" s="172" t="b">
        <v>0</v>
      </c>
      <c r="P523" s="28" t="b">
        <v>0</v>
      </c>
      <c r="Q523" s="28" t="b">
        <v>0</v>
      </c>
      <c r="R523" s="28" t="b">
        <v>0</v>
      </c>
      <c r="S523" s="28" t="b">
        <v>0</v>
      </c>
      <c r="T523" s="28" t="b">
        <v>0</v>
      </c>
      <c r="U523" s="28" t="b">
        <v>0</v>
      </c>
      <c r="V523" s="28" t="b">
        <v>0</v>
      </c>
      <c r="W523" s="28" t="b">
        <v>0</v>
      </c>
    </row>
    <row r="524" ht="69" customHeight="1" s="222">
      <c r="A524" s="164">
        <f>#REF!</f>
        <v/>
      </c>
      <c r="B524" s="145" t="b">
        <v>0</v>
      </c>
      <c r="C524" s="176">
        <f>#REF!</f>
        <v/>
      </c>
      <c r="D524" s="174" t="n"/>
      <c r="E524" s="174" t="n"/>
      <c r="F524" s="176">
        <f>#REF!</f>
        <v/>
      </c>
      <c r="G524" s="174">
        <f>#REF!</f>
        <v/>
      </c>
      <c r="H524" s="174">
        <f>#REF!</f>
        <v/>
      </c>
      <c r="I524" s="174">
        <f>#REF!</f>
        <v/>
      </c>
      <c r="J524" s="174">
        <f>#REF!</f>
        <v/>
      </c>
      <c r="K524" s="176">
        <f>#REF!</f>
        <v/>
      </c>
      <c r="L524" s="173" t="n"/>
      <c r="M524" s="9" t="n"/>
      <c r="N524" s="28" t="b">
        <v>0</v>
      </c>
      <c r="O524" s="172" t="b">
        <v>0</v>
      </c>
      <c r="P524" s="28" t="b">
        <v>0</v>
      </c>
      <c r="Q524" s="28" t="b">
        <v>0</v>
      </c>
      <c r="R524" s="28" t="b">
        <v>0</v>
      </c>
      <c r="S524" s="28" t="b">
        <v>0</v>
      </c>
      <c r="T524" s="28" t="b">
        <v>0</v>
      </c>
      <c r="U524" s="28" t="b">
        <v>0</v>
      </c>
      <c r="V524" s="28" t="b">
        <v>0</v>
      </c>
      <c r="W524" s="28" t="b">
        <v>0</v>
      </c>
    </row>
    <row r="525" ht="69" customHeight="1" s="222">
      <c r="A525" s="164">
        <f>#REF!</f>
        <v/>
      </c>
      <c r="B525" s="145" t="b">
        <v>0</v>
      </c>
      <c r="C525" s="176">
        <f>#REF!</f>
        <v/>
      </c>
      <c r="D525" s="174" t="n"/>
      <c r="E525" s="174" t="n"/>
      <c r="F525" s="176">
        <f>#REF!</f>
        <v/>
      </c>
      <c r="G525" s="174">
        <f>#REF!</f>
        <v/>
      </c>
      <c r="H525" s="174">
        <f>#REF!</f>
        <v/>
      </c>
      <c r="I525" s="174">
        <f>#REF!</f>
        <v/>
      </c>
      <c r="J525" s="174">
        <f>#REF!</f>
        <v/>
      </c>
      <c r="K525" s="176">
        <f>#REF!</f>
        <v/>
      </c>
      <c r="L525" s="173" t="n"/>
      <c r="M525" s="9" t="n"/>
      <c r="N525" s="28" t="b">
        <v>0</v>
      </c>
      <c r="O525" s="172" t="b">
        <v>0</v>
      </c>
      <c r="P525" s="28" t="b">
        <v>0</v>
      </c>
      <c r="Q525" s="28" t="b">
        <v>0</v>
      </c>
      <c r="R525" s="28" t="b">
        <v>0</v>
      </c>
      <c r="S525" s="28" t="b">
        <v>0</v>
      </c>
      <c r="T525" s="28" t="b">
        <v>0</v>
      </c>
      <c r="U525" s="28" t="b">
        <v>0</v>
      </c>
      <c r="V525" s="28" t="b">
        <v>0</v>
      </c>
      <c r="W525" s="28" t="b">
        <v>0</v>
      </c>
    </row>
    <row r="526" ht="69" customHeight="1" s="222">
      <c r="A526" s="164">
        <f>#REF!</f>
        <v/>
      </c>
      <c r="B526" s="145" t="b">
        <v>0</v>
      </c>
      <c r="C526" s="176">
        <f>#REF!</f>
        <v/>
      </c>
      <c r="D526" s="174" t="n"/>
      <c r="E526" s="174" t="n"/>
      <c r="F526" s="176">
        <f>#REF!</f>
        <v/>
      </c>
      <c r="G526" s="174">
        <f>#REF!</f>
        <v/>
      </c>
      <c r="H526" s="174">
        <f>#REF!</f>
        <v/>
      </c>
      <c r="I526" s="174">
        <f>#REF!</f>
        <v/>
      </c>
      <c r="J526" s="174">
        <f>#REF!</f>
        <v/>
      </c>
      <c r="K526" s="176">
        <f>#REF!</f>
        <v/>
      </c>
      <c r="L526" s="173" t="n"/>
      <c r="M526" s="9" t="n"/>
      <c r="N526" s="28" t="b">
        <v>0</v>
      </c>
      <c r="O526" s="172" t="b">
        <v>0</v>
      </c>
      <c r="P526" s="28" t="b">
        <v>0</v>
      </c>
      <c r="Q526" s="28" t="b">
        <v>0</v>
      </c>
      <c r="R526" s="28" t="b">
        <v>0</v>
      </c>
      <c r="S526" s="28" t="b">
        <v>0</v>
      </c>
      <c r="T526" s="28" t="b">
        <v>0</v>
      </c>
      <c r="U526" s="28" t="b">
        <v>0</v>
      </c>
      <c r="V526" s="28" t="b">
        <v>0</v>
      </c>
      <c r="W526" s="28" t="b">
        <v>0</v>
      </c>
    </row>
    <row r="527" ht="69" customHeight="1" s="222">
      <c r="A527" s="164">
        <f>#REF!</f>
        <v/>
      </c>
      <c r="B527" s="145" t="b">
        <v>0</v>
      </c>
      <c r="C527" s="176">
        <f>#REF!</f>
        <v/>
      </c>
      <c r="D527" s="174" t="n"/>
      <c r="E527" s="174" t="n"/>
      <c r="F527" s="176">
        <f>#REF!</f>
        <v/>
      </c>
      <c r="G527" s="174">
        <f>#REF!</f>
        <v/>
      </c>
      <c r="H527" s="174">
        <f>#REF!</f>
        <v/>
      </c>
      <c r="I527" s="174">
        <f>#REF!</f>
        <v/>
      </c>
      <c r="J527" s="174">
        <f>#REF!</f>
        <v/>
      </c>
      <c r="K527" s="176">
        <f>#REF!</f>
        <v/>
      </c>
      <c r="L527" s="173" t="n"/>
      <c r="M527" s="9" t="n"/>
      <c r="N527" s="28" t="b">
        <v>0</v>
      </c>
      <c r="O527" s="172" t="b">
        <v>0</v>
      </c>
      <c r="P527" s="28" t="b">
        <v>0</v>
      </c>
      <c r="Q527" s="28" t="b">
        <v>0</v>
      </c>
      <c r="R527" s="28" t="b">
        <v>0</v>
      </c>
      <c r="S527" s="28" t="b">
        <v>0</v>
      </c>
      <c r="T527" s="28" t="b">
        <v>0</v>
      </c>
      <c r="U527" s="28" t="b">
        <v>0</v>
      </c>
      <c r="V527" s="28" t="b">
        <v>0</v>
      </c>
      <c r="W527" s="28" t="b">
        <v>0</v>
      </c>
    </row>
    <row r="528" ht="69" customHeight="1" s="222">
      <c r="A528" s="164">
        <f>#REF!</f>
        <v/>
      </c>
      <c r="B528" s="145" t="b">
        <v>0</v>
      </c>
      <c r="C528" s="176">
        <f>#REF!</f>
        <v/>
      </c>
      <c r="D528" s="174" t="n"/>
      <c r="E528" s="174" t="n"/>
      <c r="F528" s="176">
        <f>#REF!</f>
        <v/>
      </c>
      <c r="G528" s="174">
        <f>#REF!</f>
        <v/>
      </c>
      <c r="H528" s="174">
        <f>#REF!</f>
        <v/>
      </c>
      <c r="I528" s="174">
        <f>#REF!</f>
        <v/>
      </c>
      <c r="J528" s="174">
        <f>#REF!</f>
        <v/>
      </c>
      <c r="K528" s="176">
        <f>#REF!</f>
        <v/>
      </c>
      <c r="L528" s="173" t="n"/>
      <c r="M528" s="9" t="n"/>
      <c r="N528" s="28" t="b">
        <v>0</v>
      </c>
      <c r="O528" s="172" t="b">
        <v>0</v>
      </c>
      <c r="P528" s="28" t="b">
        <v>0</v>
      </c>
      <c r="Q528" s="28" t="b">
        <v>0</v>
      </c>
      <c r="R528" s="28" t="b">
        <v>0</v>
      </c>
      <c r="S528" s="28" t="b">
        <v>0</v>
      </c>
      <c r="T528" s="28" t="b">
        <v>0</v>
      </c>
      <c r="U528" s="28" t="b">
        <v>0</v>
      </c>
      <c r="V528" s="28" t="b">
        <v>0</v>
      </c>
      <c r="W528" s="28" t="b">
        <v>0</v>
      </c>
    </row>
    <row r="529" ht="69" customHeight="1" s="222">
      <c r="A529" s="164">
        <f>#REF!</f>
        <v/>
      </c>
      <c r="B529" s="145" t="b">
        <v>0</v>
      </c>
      <c r="C529" s="176">
        <f>#REF!</f>
        <v/>
      </c>
      <c r="D529" s="174" t="n"/>
      <c r="E529" s="174" t="n"/>
      <c r="F529" s="176">
        <f>#REF!</f>
        <v/>
      </c>
      <c r="G529" s="174">
        <f>#REF!</f>
        <v/>
      </c>
      <c r="H529" s="174">
        <f>#REF!</f>
        <v/>
      </c>
      <c r="I529" s="174">
        <f>#REF!</f>
        <v/>
      </c>
      <c r="J529" s="174">
        <f>#REF!</f>
        <v/>
      </c>
      <c r="K529" s="176">
        <f>#REF!</f>
        <v/>
      </c>
      <c r="L529" s="173" t="n"/>
      <c r="M529" s="9" t="n"/>
      <c r="N529" s="28" t="b">
        <v>0</v>
      </c>
      <c r="O529" s="172" t="b">
        <v>0</v>
      </c>
      <c r="P529" s="28" t="b">
        <v>0</v>
      </c>
      <c r="Q529" s="28" t="b">
        <v>0</v>
      </c>
      <c r="R529" s="28" t="b">
        <v>0</v>
      </c>
      <c r="S529" s="28" t="b">
        <v>0</v>
      </c>
      <c r="T529" s="28" t="b">
        <v>0</v>
      </c>
      <c r="U529" s="28" t="b">
        <v>0</v>
      </c>
      <c r="V529" s="28" t="b">
        <v>0</v>
      </c>
      <c r="W529" s="28" t="b">
        <v>0</v>
      </c>
    </row>
    <row r="530" ht="69" customHeight="1" s="222">
      <c r="A530" s="164">
        <f>#REF!</f>
        <v/>
      </c>
      <c r="B530" s="145" t="b">
        <v>0</v>
      </c>
      <c r="C530" s="176">
        <f>#REF!</f>
        <v/>
      </c>
      <c r="D530" s="174" t="n"/>
      <c r="E530" s="174" t="n"/>
      <c r="F530" s="176">
        <f>#REF!</f>
        <v/>
      </c>
      <c r="G530" s="174">
        <f>#REF!</f>
        <v/>
      </c>
      <c r="H530" s="174">
        <f>#REF!</f>
        <v/>
      </c>
      <c r="I530" s="174">
        <f>#REF!</f>
        <v/>
      </c>
      <c r="J530" s="174">
        <f>#REF!</f>
        <v/>
      </c>
      <c r="K530" s="176">
        <f>#REF!</f>
        <v/>
      </c>
      <c r="L530" s="173" t="n"/>
      <c r="M530" s="9" t="n"/>
      <c r="N530" s="28" t="b">
        <v>0</v>
      </c>
      <c r="O530" s="172" t="b">
        <v>0</v>
      </c>
      <c r="P530" s="28" t="b">
        <v>0</v>
      </c>
      <c r="Q530" s="28" t="b">
        <v>0</v>
      </c>
      <c r="R530" s="28" t="b">
        <v>0</v>
      </c>
      <c r="S530" s="28" t="b">
        <v>0</v>
      </c>
      <c r="T530" s="28" t="b">
        <v>0</v>
      </c>
      <c r="U530" s="28" t="b">
        <v>0</v>
      </c>
      <c r="V530" s="28" t="b">
        <v>0</v>
      </c>
      <c r="W530" s="28" t="b">
        <v>0</v>
      </c>
    </row>
    <row r="531" ht="69" customHeight="1" s="222">
      <c r="A531" s="164">
        <f>#REF!</f>
        <v/>
      </c>
      <c r="B531" s="145" t="b">
        <v>0</v>
      </c>
      <c r="C531" s="176">
        <f>#REF!</f>
        <v/>
      </c>
      <c r="D531" s="174" t="n"/>
      <c r="E531" s="174" t="n"/>
      <c r="F531" s="176">
        <f>#REF!</f>
        <v/>
      </c>
      <c r="G531" s="174">
        <f>#REF!</f>
        <v/>
      </c>
      <c r="H531" s="174">
        <f>#REF!</f>
        <v/>
      </c>
      <c r="I531" s="174">
        <f>#REF!</f>
        <v/>
      </c>
      <c r="J531" s="174">
        <f>#REF!</f>
        <v/>
      </c>
      <c r="K531" s="176">
        <f>#REF!</f>
        <v/>
      </c>
      <c r="L531" s="173" t="n"/>
      <c r="M531" s="9" t="n"/>
      <c r="N531" s="28" t="b">
        <v>0</v>
      </c>
      <c r="O531" s="172" t="b">
        <v>0</v>
      </c>
      <c r="P531" s="28" t="b">
        <v>0</v>
      </c>
      <c r="Q531" s="28" t="b">
        <v>0</v>
      </c>
      <c r="R531" s="28" t="b">
        <v>0</v>
      </c>
      <c r="S531" s="28" t="b">
        <v>0</v>
      </c>
      <c r="T531" s="28" t="b">
        <v>0</v>
      </c>
      <c r="U531" s="28" t="b">
        <v>0</v>
      </c>
      <c r="V531" s="28" t="b">
        <v>0</v>
      </c>
      <c r="W531" s="28" t="b">
        <v>0</v>
      </c>
    </row>
    <row r="532" ht="69" customHeight="1" s="222">
      <c r="A532" s="164">
        <f>#REF!</f>
        <v/>
      </c>
      <c r="B532" s="145" t="b">
        <v>0</v>
      </c>
      <c r="C532" s="176">
        <f>#REF!</f>
        <v/>
      </c>
      <c r="D532" s="174" t="n"/>
      <c r="E532" s="174" t="n"/>
      <c r="F532" s="176">
        <f>#REF!</f>
        <v/>
      </c>
      <c r="G532" s="174">
        <f>#REF!</f>
        <v/>
      </c>
      <c r="H532" s="174">
        <f>#REF!</f>
        <v/>
      </c>
      <c r="I532" s="174">
        <f>#REF!</f>
        <v/>
      </c>
      <c r="J532" s="174">
        <f>#REF!</f>
        <v/>
      </c>
      <c r="K532" s="176">
        <f>#REF!</f>
        <v/>
      </c>
      <c r="L532" s="173" t="n"/>
      <c r="M532" s="9" t="n"/>
      <c r="N532" s="28" t="b">
        <v>0</v>
      </c>
      <c r="O532" s="172" t="b">
        <v>0</v>
      </c>
      <c r="P532" s="28" t="b">
        <v>0</v>
      </c>
      <c r="Q532" s="28" t="b">
        <v>0</v>
      </c>
      <c r="R532" s="28" t="b">
        <v>0</v>
      </c>
      <c r="S532" s="28" t="b">
        <v>0</v>
      </c>
      <c r="T532" s="28" t="b">
        <v>0</v>
      </c>
      <c r="U532" s="28" t="b">
        <v>0</v>
      </c>
      <c r="V532" s="28" t="b">
        <v>0</v>
      </c>
      <c r="W532" s="28" t="b">
        <v>0</v>
      </c>
    </row>
    <row r="533" ht="69" customHeight="1" s="222">
      <c r="A533" s="164">
        <f>#REF!</f>
        <v/>
      </c>
      <c r="B533" s="145" t="b">
        <v>0</v>
      </c>
      <c r="C533" s="176">
        <f>#REF!</f>
        <v/>
      </c>
      <c r="D533" s="174" t="n"/>
      <c r="E533" s="174" t="n"/>
      <c r="F533" s="176">
        <f>#REF!</f>
        <v/>
      </c>
      <c r="G533" s="174">
        <f>#REF!</f>
        <v/>
      </c>
      <c r="H533" s="174">
        <f>#REF!</f>
        <v/>
      </c>
      <c r="I533" s="174">
        <f>#REF!</f>
        <v/>
      </c>
      <c r="J533" s="174">
        <f>#REF!</f>
        <v/>
      </c>
      <c r="K533" s="176">
        <f>#REF!</f>
        <v/>
      </c>
      <c r="L533" s="173" t="n"/>
      <c r="M533" s="9" t="n"/>
      <c r="N533" s="28" t="b">
        <v>0</v>
      </c>
      <c r="O533" s="172" t="b">
        <v>0</v>
      </c>
      <c r="P533" s="28" t="b">
        <v>0</v>
      </c>
      <c r="Q533" s="28" t="b">
        <v>0</v>
      </c>
      <c r="R533" s="28" t="b">
        <v>0</v>
      </c>
      <c r="S533" s="28" t="b">
        <v>0</v>
      </c>
      <c r="T533" s="28" t="b">
        <v>0</v>
      </c>
      <c r="U533" s="28" t="b">
        <v>0</v>
      </c>
      <c r="V533" s="28" t="b">
        <v>0</v>
      </c>
      <c r="W533" s="28" t="b">
        <v>0</v>
      </c>
    </row>
    <row r="534" ht="69" customHeight="1" s="222">
      <c r="A534" s="164">
        <f>#REF!</f>
        <v/>
      </c>
      <c r="B534" s="145" t="b">
        <v>0</v>
      </c>
      <c r="C534" s="176">
        <f>#REF!</f>
        <v/>
      </c>
      <c r="D534" s="174" t="n"/>
      <c r="E534" s="174" t="n"/>
      <c r="F534" s="176">
        <f>#REF!</f>
        <v/>
      </c>
      <c r="G534" s="174">
        <f>#REF!</f>
        <v/>
      </c>
      <c r="H534" s="174">
        <f>#REF!</f>
        <v/>
      </c>
      <c r="I534" s="174">
        <f>#REF!</f>
        <v/>
      </c>
      <c r="J534" s="174">
        <f>#REF!</f>
        <v/>
      </c>
      <c r="K534" s="176">
        <f>#REF!</f>
        <v/>
      </c>
      <c r="L534" s="173" t="n"/>
      <c r="M534" s="9" t="n"/>
      <c r="N534" s="28" t="b">
        <v>0</v>
      </c>
      <c r="O534" s="172" t="b">
        <v>0</v>
      </c>
      <c r="P534" s="28" t="b">
        <v>0</v>
      </c>
      <c r="Q534" s="28" t="b">
        <v>0</v>
      </c>
      <c r="R534" s="28" t="b">
        <v>0</v>
      </c>
      <c r="S534" s="28" t="b">
        <v>0</v>
      </c>
      <c r="T534" s="28" t="b">
        <v>0</v>
      </c>
      <c r="U534" s="28" t="b">
        <v>0</v>
      </c>
      <c r="V534" s="28" t="b">
        <v>0</v>
      </c>
      <c r="W534" s="28" t="b">
        <v>0</v>
      </c>
    </row>
    <row r="535" ht="69" customHeight="1" s="222">
      <c r="A535" s="164">
        <f>#REF!</f>
        <v/>
      </c>
      <c r="B535" s="145" t="b">
        <v>0</v>
      </c>
      <c r="C535" s="176">
        <f>#REF!</f>
        <v/>
      </c>
      <c r="D535" s="174" t="n"/>
      <c r="E535" s="174" t="n"/>
      <c r="F535" s="176">
        <f>#REF!</f>
        <v/>
      </c>
      <c r="G535" s="174">
        <f>#REF!</f>
        <v/>
      </c>
      <c r="H535" s="174">
        <f>#REF!</f>
        <v/>
      </c>
      <c r="I535" s="174">
        <f>#REF!</f>
        <v/>
      </c>
      <c r="J535" s="174">
        <f>#REF!</f>
        <v/>
      </c>
      <c r="K535" s="176">
        <f>#REF!</f>
        <v/>
      </c>
      <c r="L535" s="173" t="n"/>
      <c r="M535" s="9" t="n"/>
      <c r="N535" s="28" t="b">
        <v>0</v>
      </c>
      <c r="O535" s="172" t="b">
        <v>0</v>
      </c>
      <c r="P535" s="28" t="b">
        <v>0</v>
      </c>
      <c r="Q535" s="28" t="b">
        <v>0</v>
      </c>
      <c r="R535" s="28" t="b">
        <v>0</v>
      </c>
      <c r="S535" s="28" t="b">
        <v>0</v>
      </c>
      <c r="T535" s="28" t="b">
        <v>0</v>
      </c>
      <c r="U535" s="28" t="b">
        <v>0</v>
      </c>
      <c r="V535" s="28" t="b">
        <v>0</v>
      </c>
      <c r="W535" s="28" t="b">
        <v>0</v>
      </c>
    </row>
    <row r="536" ht="69" customHeight="1" s="222">
      <c r="A536" s="164">
        <f>#REF!</f>
        <v/>
      </c>
      <c r="B536" s="145" t="b">
        <v>0</v>
      </c>
      <c r="C536" s="176">
        <f>#REF!</f>
        <v/>
      </c>
      <c r="D536" s="174" t="n"/>
      <c r="E536" s="174" t="n"/>
      <c r="F536" s="176">
        <f>#REF!</f>
        <v/>
      </c>
      <c r="G536" s="174">
        <f>#REF!</f>
        <v/>
      </c>
      <c r="H536" s="174">
        <f>#REF!</f>
        <v/>
      </c>
      <c r="I536" s="174">
        <f>#REF!</f>
        <v/>
      </c>
      <c r="J536" s="174">
        <f>#REF!</f>
        <v/>
      </c>
      <c r="K536" s="176">
        <f>#REF!</f>
        <v/>
      </c>
      <c r="L536" s="173" t="n"/>
      <c r="M536" s="9" t="n"/>
      <c r="N536" s="28" t="b">
        <v>0</v>
      </c>
      <c r="O536" s="172" t="b">
        <v>0</v>
      </c>
      <c r="P536" s="28" t="b">
        <v>0</v>
      </c>
      <c r="Q536" s="28" t="b">
        <v>0</v>
      </c>
      <c r="R536" s="28" t="b">
        <v>0</v>
      </c>
      <c r="S536" s="28" t="b">
        <v>0</v>
      </c>
      <c r="T536" s="28" t="b">
        <v>0</v>
      </c>
      <c r="U536" s="28" t="b">
        <v>0</v>
      </c>
      <c r="V536" s="28" t="b">
        <v>0</v>
      </c>
      <c r="W536" s="28" t="b">
        <v>0</v>
      </c>
    </row>
    <row r="537" ht="69" customHeight="1" s="222">
      <c r="A537" s="164">
        <f>#REF!</f>
        <v/>
      </c>
      <c r="B537" s="145" t="b">
        <v>0</v>
      </c>
      <c r="C537" s="176">
        <f>#REF!</f>
        <v/>
      </c>
      <c r="D537" s="174" t="n"/>
      <c r="E537" s="174" t="n"/>
      <c r="F537" s="176">
        <f>#REF!</f>
        <v/>
      </c>
      <c r="G537" s="174">
        <f>#REF!</f>
        <v/>
      </c>
      <c r="H537" s="174">
        <f>#REF!</f>
        <v/>
      </c>
      <c r="I537" s="174">
        <f>#REF!</f>
        <v/>
      </c>
      <c r="J537" s="174">
        <f>#REF!</f>
        <v/>
      </c>
      <c r="K537" s="176">
        <f>#REF!</f>
        <v/>
      </c>
      <c r="L537" s="173" t="n"/>
      <c r="M537" s="9" t="n"/>
      <c r="N537" s="28" t="b">
        <v>0</v>
      </c>
      <c r="O537" s="172" t="b">
        <v>0</v>
      </c>
      <c r="P537" s="28" t="b">
        <v>0</v>
      </c>
      <c r="Q537" s="28" t="b">
        <v>0</v>
      </c>
      <c r="R537" s="28" t="b">
        <v>0</v>
      </c>
      <c r="S537" s="28" t="b">
        <v>0</v>
      </c>
      <c r="T537" s="28" t="b">
        <v>0</v>
      </c>
      <c r="U537" s="28" t="b">
        <v>0</v>
      </c>
      <c r="V537" s="28" t="b">
        <v>0</v>
      </c>
      <c r="W537" s="28" t="b">
        <v>0</v>
      </c>
    </row>
    <row r="538" ht="69" customHeight="1" s="222">
      <c r="A538" s="164">
        <f>#REF!</f>
        <v/>
      </c>
      <c r="B538" s="145" t="b">
        <v>0</v>
      </c>
      <c r="C538" s="176">
        <f>#REF!</f>
        <v/>
      </c>
      <c r="D538" s="174" t="n"/>
      <c r="E538" s="174" t="n"/>
      <c r="F538" s="176">
        <f>#REF!</f>
        <v/>
      </c>
      <c r="G538" s="174">
        <f>#REF!</f>
        <v/>
      </c>
      <c r="H538" s="174">
        <f>#REF!</f>
        <v/>
      </c>
      <c r="I538" s="174">
        <f>#REF!</f>
        <v/>
      </c>
      <c r="J538" s="174">
        <f>#REF!</f>
        <v/>
      </c>
      <c r="K538" s="176">
        <f>#REF!</f>
        <v/>
      </c>
      <c r="L538" s="173" t="n"/>
      <c r="M538" s="9" t="n"/>
      <c r="N538" s="28" t="b">
        <v>0</v>
      </c>
      <c r="O538" s="172" t="b">
        <v>0</v>
      </c>
      <c r="P538" s="28" t="b">
        <v>0</v>
      </c>
      <c r="Q538" s="28" t="b">
        <v>0</v>
      </c>
      <c r="R538" s="28" t="b">
        <v>0</v>
      </c>
      <c r="S538" s="28" t="b">
        <v>0</v>
      </c>
      <c r="T538" s="28" t="b">
        <v>0</v>
      </c>
      <c r="U538" s="28" t="b">
        <v>0</v>
      </c>
      <c r="V538" s="28" t="b">
        <v>0</v>
      </c>
      <c r="W538" s="28" t="b">
        <v>0</v>
      </c>
    </row>
    <row r="539" ht="69" customHeight="1" s="222">
      <c r="A539" s="164">
        <f>#REF!</f>
        <v/>
      </c>
      <c r="B539" s="145" t="b">
        <v>0</v>
      </c>
      <c r="C539" s="176">
        <f>#REF!</f>
        <v/>
      </c>
      <c r="D539" s="174" t="n"/>
      <c r="E539" s="174" t="n"/>
      <c r="F539" s="176">
        <f>#REF!</f>
        <v/>
      </c>
      <c r="G539" s="174">
        <f>#REF!</f>
        <v/>
      </c>
      <c r="H539" s="174">
        <f>#REF!</f>
        <v/>
      </c>
      <c r="I539" s="174">
        <f>#REF!</f>
        <v/>
      </c>
      <c r="J539" s="174">
        <f>#REF!</f>
        <v/>
      </c>
      <c r="K539" s="176">
        <f>#REF!</f>
        <v/>
      </c>
      <c r="L539" s="173" t="n"/>
      <c r="M539" s="9" t="n"/>
      <c r="N539" s="28" t="b">
        <v>0</v>
      </c>
      <c r="O539" s="172" t="b">
        <v>0</v>
      </c>
      <c r="P539" s="28" t="b">
        <v>0</v>
      </c>
      <c r="Q539" s="28" t="b">
        <v>0</v>
      </c>
      <c r="R539" s="28" t="b">
        <v>0</v>
      </c>
      <c r="S539" s="28" t="b">
        <v>0</v>
      </c>
      <c r="T539" s="28" t="b">
        <v>0</v>
      </c>
      <c r="U539" s="28" t="b">
        <v>0</v>
      </c>
      <c r="V539" s="28" t="b">
        <v>0</v>
      </c>
      <c r="W539" s="28" t="b">
        <v>0</v>
      </c>
    </row>
    <row r="540" ht="69" customHeight="1" s="222">
      <c r="A540" s="164">
        <f>#REF!</f>
        <v/>
      </c>
      <c r="B540" s="145" t="b">
        <v>0</v>
      </c>
      <c r="C540" s="176">
        <f>#REF!</f>
        <v/>
      </c>
      <c r="D540" s="174" t="n"/>
      <c r="E540" s="174" t="n"/>
      <c r="F540" s="176">
        <f>#REF!</f>
        <v/>
      </c>
      <c r="G540" s="174">
        <f>#REF!</f>
        <v/>
      </c>
      <c r="H540" s="174">
        <f>#REF!</f>
        <v/>
      </c>
      <c r="I540" s="174">
        <f>#REF!</f>
        <v/>
      </c>
      <c r="J540" s="174">
        <f>#REF!</f>
        <v/>
      </c>
      <c r="K540" s="176">
        <f>#REF!</f>
        <v/>
      </c>
      <c r="L540" s="173" t="n"/>
      <c r="M540" s="9" t="n"/>
      <c r="N540" s="28" t="b">
        <v>0</v>
      </c>
      <c r="O540" s="172" t="b">
        <v>0</v>
      </c>
      <c r="P540" s="28" t="b">
        <v>0</v>
      </c>
      <c r="Q540" s="28" t="b">
        <v>0</v>
      </c>
      <c r="R540" s="28" t="b">
        <v>0</v>
      </c>
      <c r="S540" s="28" t="b">
        <v>0</v>
      </c>
      <c r="T540" s="28" t="b">
        <v>0</v>
      </c>
      <c r="U540" s="28" t="b">
        <v>0</v>
      </c>
      <c r="V540" s="28" t="b">
        <v>0</v>
      </c>
      <c r="W540" s="28" t="b">
        <v>0</v>
      </c>
    </row>
    <row r="541" ht="69" customHeight="1" s="222">
      <c r="A541" s="164">
        <f>#REF!</f>
        <v/>
      </c>
      <c r="B541" s="145" t="b">
        <v>0</v>
      </c>
      <c r="C541" s="176">
        <f>#REF!</f>
        <v/>
      </c>
      <c r="D541" s="174" t="n"/>
      <c r="E541" s="174" t="n"/>
      <c r="F541" s="176">
        <f>#REF!</f>
        <v/>
      </c>
      <c r="G541" s="174">
        <f>#REF!</f>
        <v/>
      </c>
      <c r="H541" s="174">
        <f>#REF!</f>
        <v/>
      </c>
      <c r="I541" s="174">
        <f>#REF!</f>
        <v/>
      </c>
      <c r="J541" s="174">
        <f>#REF!</f>
        <v/>
      </c>
      <c r="K541" s="176">
        <f>#REF!</f>
        <v/>
      </c>
      <c r="L541" s="173" t="n"/>
      <c r="M541" s="9" t="n"/>
      <c r="N541" s="28" t="b">
        <v>0</v>
      </c>
      <c r="O541" s="172" t="b">
        <v>0</v>
      </c>
      <c r="P541" s="28" t="b">
        <v>0</v>
      </c>
      <c r="Q541" s="28" t="b">
        <v>0</v>
      </c>
      <c r="R541" s="28" t="b">
        <v>0</v>
      </c>
      <c r="S541" s="28" t="b">
        <v>0</v>
      </c>
      <c r="T541" s="28" t="b">
        <v>0</v>
      </c>
      <c r="U541" s="28" t="b">
        <v>0</v>
      </c>
      <c r="V541" s="28" t="b">
        <v>0</v>
      </c>
      <c r="W541" s="28" t="b">
        <v>0</v>
      </c>
    </row>
    <row r="542" ht="69" customHeight="1" s="222">
      <c r="A542" s="164">
        <f>#REF!</f>
        <v/>
      </c>
      <c r="B542" s="145" t="b">
        <v>0</v>
      </c>
      <c r="C542" s="176">
        <f>#REF!</f>
        <v/>
      </c>
      <c r="D542" s="174" t="n"/>
      <c r="E542" s="174" t="n"/>
      <c r="F542" s="176">
        <f>#REF!</f>
        <v/>
      </c>
      <c r="G542" s="174">
        <f>#REF!</f>
        <v/>
      </c>
      <c r="H542" s="174">
        <f>#REF!</f>
        <v/>
      </c>
      <c r="I542" s="174">
        <f>#REF!</f>
        <v/>
      </c>
      <c r="J542" s="174">
        <f>#REF!</f>
        <v/>
      </c>
      <c r="K542" s="176">
        <f>#REF!</f>
        <v/>
      </c>
      <c r="L542" s="173" t="n"/>
      <c r="M542" s="9" t="n"/>
      <c r="N542" s="28" t="b">
        <v>0</v>
      </c>
      <c r="O542" s="172" t="b">
        <v>0</v>
      </c>
      <c r="P542" s="28" t="b">
        <v>0</v>
      </c>
      <c r="Q542" s="28" t="b">
        <v>0</v>
      </c>
      <c r="R542" s="28" t="b">
        <v>0</v>
      </c>
      <c r="S542" s="28" t="b">
        <v>0</v>
      </c>
      <c r="T542" s="28" t="b">
        <v>0</v>
      </c>
      <c r="U542" s="28" t="b">
        <v>0</v>
      </c>
      <c r="V542" s="28" t="b">
        <v>0</v>
      </c>
      <c r="W542" s="28" t="b">
        <v>0</v>
      </c>
    </row>
    <row r="543" ht="69" customHeight="1" s="222">
      <c r="A543" s="164">
        <f>#REF!</f>
        <v/>
      </c>
      <c r="B543" s="145" t="b">
        <v>0</v>
      </c>
      <c r="C543" s="176">
        <f>#REF!</f>
        <v/>
      </c>
      <c r="D543" s="174" t="n"/>
      <c r="E543" s="174" t="n"/>
      <c r="F543" s="176">
        <f>#REF!</f>
        <v/>
      </c>
      <c r="G543" s="174">
        <f>#REF!</f>
        <v/>
      </c>
      <c r="H543" s="174">
        <f>#REF!</f>
        <v/>
      </c>
      <c r="I543" s="174">
        <f>#REF!</f>
        <v/>
      </c>
      <c r="J543" s="174">
        <f>#REF!</f>
        <v/>
      </c>
      <c r="K543" s="176">
        <f>#REF!</f>
        <v/>
      </c>
      <c r="L543" s="173" t="n"/>
      <c r="M543" s="9" t="n"/>
      <c r="N543" s="28" t="b">
        <v>0</v>
      </c>
      <c r="O543" s="172" t="b">
        <v>0</v>
      </c>
      <c r="P543" s="28" t="b">
        <v>0</v>
      </c>
      <c r="Q543" s="28" t="b">
        <v>0</v>
      </c>
      <c r="R543" s="28" t="b">
        <v>0</v>
      </c>
      <c r="S543" s="28" t="b">
        <v>0</v>
      </c>
      <c r="T543" s="28" t="b">
        <v>0</v>
      </c>
      <c r="U543" s="28" t="b">
        <v>0</v>
      </c>
      <c r="V543" s="28" t="b">
        <v>0</v>
      </c>
      <c r="W543" s="28" t="b">
        <v>0</v>
      </c>
    </row>
    <row r="544" ht="69" customHeight="1" s="222">
      <c r="A544" s="164">
        <f>#REF!</f>
        <v/>
      </c>
      <c r="B544" s="145" t="b">
        <v>0</v>
      </c>
      <c r="C544" s="176">
        <f>#REF!</f>
        <v/>
      </c>
      <c r="D544" s="174" t="n"/>
      <c r="E544" s="174" t="n"/>
      <c r="F544" s="176">
        <f>#REF!</f>
        <v/>
      </c>
      <c r="G544" s="174">
        <f>#REF!</f>
        <v/>
      </c>
      <c r="H544" s="174">
        <f>#REF!</f>
        <v/>
      </c>
      <c r="I544" s="174">
        <f>#REF!</f>
        <v/>
      </c>
      <c r="J544" s="174">
        <f>#REF!</f>
        <v/>
      </c>
      <c r="K544" s="176">
        <f>#REF!</f>
        <v/>
      </c>
      <c r="L544" s="173" t="n"/>
      <c r="M544" s="9" t="n"/>
      <c r="N544" s="28" t="b">
        <v>0</v>
      </c>
      <c r="O544" s="172" t="b">
        <v>0</v>
      </c>
      <c r="P544" s="28" t="b">
        <v>0</v>
      </c>
      <c r="Q544" s="28" t="b">
        <v>0</v>
      </c>
      <c r="R544" s="28" t="b">
        <v>0</v>
      </c>
      <c r="S544" s="28" t="b">
        <v>0</v>
      </c>
      <c r="T544" s="28" t="b">
        <v>0</v>
      </c>
      <c r="U544" s="28" t="b">
        <v>0</v>
      </c>
      <c r="V544" s="28" t="b">
        <v>0</v>
      </c>
      <c r="W544" s="28" t="b">
        <v>0</v>
      </c>
    </row>
    <row r="545" ht="69" customHeight="1" s="222">
      <c r="A545" s="164">
        <f>#REF!</f>
        <v/>
      </c>
      <c r="B545" s="145" t="b">
        <v>0</v>
      </c>
      <c r="C545" s="176">
        <f>#REF!</f>
        <v/>
      </c>
      <c r="D545" s="174" t="n"/>
      <c r="E545" s="174" t="n"/>
      <c r="F545" s="176">
        <f>#REF!</f>
        <v/>
      </c>
      <c r="G545" s="174">
        <f>#REF!</f>
        <v/>
      </c>
      <c r="H545" s="174">
        <f>#REF!</f>
        <v/>
      </c>
      <c r="I545" s="174">
        <f>#REF!</f>
        <v/>
      </c>
      <c r="J545" s="174">
        <f>#REF!</f>
        <v/>
      </c>
      <c r="K545" s="176">
        <f>#REF!</f>
        <v/>
      </c>
      <c r="L545" s="173" t="n"/>
      <c r="M545" s="9" t="n"/>
      <c r="N545" s="28" t="b">
        <v>0</v>
      </c>
      <c r="O545" s="172" t="b">
        <v>0</v>
      </c>
      <c r="P545" s="28" t="b">
        <v>0</v>
      </c>
      <c r="Q545" s="28" t="b">
        <v>0</v>
      </c>
      <c r="R545" s="28" t="b">
        <v>0</v>
      </c>
      <c r="S545" s="28" t="b">
        <v>0</v>
      </c>
      <c r="T545" s="28" t="b">
        <v>0</v>
      </c>
      <c r="U545" s="28" t="b">
        <v>0</v>
      </c>
      <c r="V545" s="28" t="b">
        <v>0</v>
      </c>
      <c r="W545" s="28" t="b">
        <v>0</v>
      </c>
    </row>
    <row r="546" ht="69" customHeight="1" s="222">
      <c r="A546" s="164">
        <f>#REF!</f>
        <v/>
      </c>
      <c r="B546" s="145" t="b">
        <v>0</v>
      </c>
      <c r="C546" s="176">
        <f>#REF!</f>
        <v/>
      </c>
      <c r="D546" s="174" t="n"/>
      <c r="E546" s="174" t="n"/>
      <c r="F546" s="176">
        <f>#REF!</f>
        <v/>
      </c>
      <c r="G546" s="174">
        <f>#REF!</f>
        <v/>
      </c>
      <c r="H546" s="174">
        <f>#REF!</f>
        <v/>
      </c>
      <c r="I546" s="174">
        <f>#REF!</f>
        <v/>
      </c>
      <c r="J546" s="174">
        <f>#REF!</f>
        <v/>
      </c>
      <c r="K546" s="176">
        <f>#REF!</f>
        <v/>
      </c>
      <c r="L546" s="173" t="n"/>
      <c r="M546" s="9" t="n"/>
      <c r="N546" s="28" t="b">
        <v>0</v>
      </c>
      <c r="O546" s="172" t="b">
        <v>0</v>
      </c>
      <c r="P546" s="28" t="b">
        <v>0</v>
      </c>
      <c r="Q546" s="28" t="b">
        <v>0</v>
      </c>
      <c r="R546" s="28" t="b">
        <v>0</v>
      </c>
      <c r="S546" s="28" t="b">
        <v>0</v>
      </c>
      <c r="T546" s="28" t="b">
        <v>0</v>
      </c>
      <c r="U546" s="28" t="b">
        <v>0</v>
      </c>
      <c r="V546" s="28" t="b">
        <v>0</v>
      </c>
      <c r="W546" s="28" t="b">
        <v>0</v>
      </c>
    </row>
    <row r="547" ht="69" customHeight="1" s="222">
      <c r="A547" s="164">
        <f>#REF!</f>
        <v/>
      </c>
      <c r="B547" s="145" t="b">
        <v>0</v>
      </c>
      <c r="C547" s="176">
        <f>#REF!</f>
        <v/>
      </c>
      <c r="D547" s="174" t="n"/>
      <c r="E547" s="174" t="n"/>
      <c r="F547" s="176">
        <f>#REF!</f>
        <v/>
      </c>
      <c r="G547" s="174">
        <f>#REF!</f>
        <v/>
      </c>
      <c r="H547" s="174">
        <f>#REF!</f>
        <v/>
      </c>
      <c r="I547" s="174">
        <f>#REF!</f>
        <v/>
      </c>
      <c r="J547" s="174">
        <f>#REF!</f>
        <v/>
      </c>
      <c r="K547" s="176">
        <f>#REF!</f>
        <v/>
      </c>
      <c r="L547" s="173" t="n"/>
      <c r="M547" s="9" t="n"/>
      <c r="N547" s="28" t="b">
        <v>0</v>
      </c>
      <c r="O547" s="172" t="b">
        <v>0</v>
      </c>
      <c r="P547" s="28" t="b">
        <v>0</v>
      </c>
      <c r="Q547" s="28" t="b">
        <v>0</v>
      </c>
      <c r="R547" s="28" t="b">
        <v>0</v>
      </c>
      <c r="S547" s="28" t="b">
        <v>0</v>
      </c>
      <c r="T547" s="28" t="b">
        <v>0</v>
      </c>
      <c r="U547" s="28" t="b">
        <v>0</v>
      </c>
      <c r="V547" s="28" t="b">
        <v>0</v>
      </c>
      <c r="W547" s="28" t="b">
        <v>0</v>
      </c>
    </row>
    <row r="548" ht="69" customHeight="1" s="222">
      <c r="A548" s="164">
        <f>#REF!</f>
        <v/>
      </c>
      <c r="B548" s="145" t="b">
        <v>0</v>
      </c>
      <c r="C548" s="176">
        <f>#REF!</f>
        <v/>
      </c>
      <c r="D548" s="174" t="n"/>
      <c r="E548" s="174" t="n"/>
      <c r="F548" s="176">
        <f>#REF!</f>
        <v/>
      </c>
      <c r="G548" s="174">
        <f>#REF!</f>
        <v/>
      </c>
      <c r="H548" s="174">
        <f>#REF!</f>
        <v/>
      </c>
      <c r="I548" s="174">
        <f>#REF!</f>
        <v/>
      </c>
      <c r="J548" s="174">
        <f>#REF!</f>
        <v/>
      </c>
      <c r="K548" s="176">
        <f>#REF!</f>
        <v/>
      </c>
      <c r="L548" s="173" t="n"/>
      <c r="M548" s="9" t="n"/>
      <c r="N548" s="28" t="b">
        <v>0</v>
      </c>
      <c r="O548" s="172" t="b">
        <v>0</v>
      </c>
      <c r="P548" s="28" t="b">
        <v>0</v>
      </c>
      <c r="Q548" s="28" t="b">
        <v>0</v>
      </c>
      <c r="R548" s="28" t="b">
        <v>0</v>
      </c>
      <c r="S548" s="28" t="b">
        <v>0</v>
      </c>
      <c r="T548" s="28" t="b">
        <v>0</v>
      </c>
      <c r="U548" s="28" t="b">
        <v>0</v>
      </c>
      <c r="V548" s="28" t="b">
        <v>0</v>
      </c>
      <c r="W548" s="28" t="b">
        <v>0</v>
      </c>
    </row>
    <row r="549" ht="69" customHeight="1" s="222">
      <c r="A549" s="164">
        <f>#REF!</f>
        <v/>
      </c>
      <c r="B549" s="145" t="b">
        <v>0</v>
      </c>
      <c r="C549" s="176">
        <f>#REF!</f>
        <v/>
      </c>
      <c r="D549" s="174" t="n"/>
      <c r="E549" s="174" t="n"/>
      <c r="F549" s="176">
        <f>#REF!</f>
        <v/>
      </c>
      <c r="G549" s="174">
        <f>#REF!</f>
        <v/>
      </c>
      <c r="H549" s="174">
        <f>#REF!</f>
        <v/>
      </c>
      <c r="I549" s="174">
        <f>#REF!</f>
        <v/>
      </c>
      <c r="J549" s="174">
        <f>#REF!</f>
        <v/>
      </c>
      <c r="K549" s="176">
        <f>#REF!</f>
        <v/>
      </c>
      <c r="L549" s="173" t="n"/>
      <c r="M549" s="9" t="n"/>
      <c r="N549" s="28" t="b">
        <v>0</v>
      </c>
      <c r="O549" s="172" t="b">
        <v>0</v>
      </c>
      <c r="P549" s="28" t="b">
        <v>0</v>
      </c>
      <c r="Q549" s="28" t="b">
        <v>0</v>
      </c>
      <c r="R549" s="28" t="b">
        <v>0</v>
      </c>
      <c r="S549" s="28" t="b">
        <v>0</v>
      </c>
      <c r="T549" s="28" t="b">
        <v>0</v>
      </c>
      <c r="U549" s="28" t="b">
        <v>0</v>
      </c>
      <c r="V549" s="28" t="b">
        <v>0</v>
      </c>
      <c r="W549" s="28" t="b">
        <v>0</v>
      </c>
    </row>
    <row r="550" ht="69" customHeight="1" s="222">
      <c r="A550" s="164">
        <f>#REF!</f>
        <v/>
      </c>
      <c r="B550" s="145" t="b">
        <v>0</v>
      </c>
      <c r="C550" s="176">
        <f>#REF!</f>
        <v/>
      </c>
      <c r="D550" s="174" t="n"/>
      <c r="E550" s="174" t="n"/>
      <c r="F550" s="176">
        <f>#REF!</f>
        <v/>
      </c>
      <c r="G550" s="174">
        <f>#REF!</f>
        <v/>
      </c>
      <c r="H550" s="174">
        <f>#REF!</f>
        <v/>
      </c>
      <c r="I550" s="174">
        <f>#REF!</f>
        <v/>
      </c>
      <c r="J550" s="174">
        <f>#REF!</f>
        <v/>
      </c>
      <c r="K550" s="176">
        <f>#REF!</f>
        <v/>
      </c>
      <c r="L550" s="173" t="n"/>
      <c r="M550" s="9" t="n"/>
      <c r="N550" s="28" t="b">
        <v>0</v>
      </c>
      <c r="O550" s="172" t="b">
        <v>0</v>
      </c>
      <c r="P550" s="28" t="b">
        <v>0</v>
      </c>
      <c r="Q550" s="28" t="b">
        <v>0</v>
      </c>
      <c r="R550" s="28" t="b">
        <v>0</v>
      </c>
      <c r="S550" s="28" t="b">
        <v>0</v>
      </c>
      <c r="T550" s="28" t="b">
        <v>0</v>
      </c>
      <c r="U550" s="28" t="b">
        <v>0</v>
      </c>
      <c r="V550" s="28" t="b">
        <v>0</v>
      </c>
      <c r="W550" s="28" t="b">
        <v>0</v>
      </c>
    </row>
    <row r="551" ht="69" customHeight="1" s="222">
      <c r="A551" s="164">
        <f>#REF!</f>
        <v/>
      </c>
      <c r="B551" s="145" t="b">
        <v>0</v>
      </c>
      <c r="C551" s="176">
        <f>#REF!</f>
        <v/>
      </c>
      <c r="D551" s="174" t="n"/>
      <c r="E551" s="174" t="n"/>
      <c r="F551" s="176">
        <f>#REF!</f>
        <v/>
      </c>
      <c r="G551" s="174">
        <f>#REF!</f>
        <v/>
      </c>
      <c r="H551" s="174">
        <f>#REF!</f>
        <v/>
      </c>
      <c r="I551" s="174">
        <f>#REF!</f>
        <v/>
      </c>
      <c r="J551" s="174">
        <f>#REF!</f>
        <v/>
      </c>
      <c r="K551" s="176">
        <f>#REF!</f>
        <v/>
      </c>
      <c r="L551" s="173" t="n"/>
      <c r="M551" s="9" t="n"/>
      <c r="N551" s="28" t="b">
        <v>0</v>
      </c>
      <c r="O551" s="172" t="b">
        <v>0</v>
      </c>
      <c r="P551" s="28" t="b">
        <v>0</v>
      </c>
      <c r="Q551" s="28" t="b">
        <v>0</v>
      </c>
      <c r="R551" s="28" t="b">
        <v>0</v>
      </c>
      <c r="S551" s="28" t="b">
        <v>0</v>
      </c>
      <c r="T551" s="28" t="b">
        <v>0</v>
      </c>
      <c r="U551" s="28" t="b">
        <v>0</v>
      </c>
      <c r="V551" s="28" t="b">
        <v>0</v>
      </c>
      <c r="W551" s="28" t="b">
        <v>0</v>
      </c>
    </row>
    <row r="552" ht="69" customHeight="1" s="222">
      <c r="A552" s="164">
        <f>#REF!</f>
        <v/>
      </c>
      <c r="B552" s="145" t="b">
        <v>0</v>
      </c>
      <c r="C552" s="176">
        <f>#REF!</f>
        <v/>
      </c>
      <c r="D552" s="174" t="n"/>
      <c r="E552" s="174" t="n"/>
      <c r="F552" s="176">
        <f>#REF!</f>
        <v/>
      </c>
      <c r="G552" s="174">
        <f>#REF!</f>
        <v/>
      </c>
      <c r="H552" s="174">
        <f>#REF!</f>
        <v/>
      </c>
      <c r="I552" s="174">
        <f>#REF!</f>
        <v/>
      </c>
      <c r="J552" s="174">
        <f>#REF!</f>
        <v/>
      </c>
      <c r="K552" s="176">
        <f>#REF!</f>
        <v/>
      </c>
      <c r="L552" s="173" t="n"/>
      <c r="M552" s="9" t="n"/>
      <c r="N552" s="28" t="b">
        <v>0</v>
      </c>
      <c r="O552" s="172" t="b">
        <v>0</v>
      </c>
      <c r="P552" s="28" t="b">
        <v>0</v>
      </c>
      <c r="Q552" s="28" t="b">
        <v>0</v>
      </c>
      <c r="R552" s="28" t="b">
        <v>0</v>
      </c>
      <c r="S552" s="28" t="b">
        <v>0</v>
      </c>
      <c r="T552" s="28" t="b">
        <v>0</v>
      </c>
      <c r="U552" s="28" t="b">
        <v>0</v>
      </c>
      <c r="V552" s="28" t="b">
        <v>0</v>
      </c>
      <c r="W552" s="28" t="b">
        <v>0</v>
      </c>
    </row>
    <row r="553" ht="69" customHeight="1" s="222">
      <c r="A553" s="164">
        <f>#REF!</f>
        <v/>
      </c>
      <c r="B553" s="145" t="b">
        <v>0</v>
      </c>
      <c r="C553" s="176">
        <f>#REF!</f>
        <v/>
      </c>
      <c r="D553" s="174" t="n"/>
      <c r="E553" s="174" t="n"/>
      <c r="F553" s="176">
        <f>#REF!</f>
        <v/>
      </c>
      <c r="G553" s="174">
        <f>#REF!</f>
        <v/>
      </c>
      <c r="H553" s="174">
        <f>#REF!</f>
        <v/>
      </c>
      <c r="I553" s="174">
        <f>#REF!</f>
        <v/>
      </c>
      <c r="J553" s="174">
        <f>#REF!</f>
        <v/>
      </c>
      <c r="K553" s="176">
        <f>#REF!</f>
        <v/>
      </c>
      <c r="L553" s="173" t="n"/>
      <c r="M553" s="9" t="n"/>
      <c r="N553" s="28" t="b">
        <v>0</v>
      </c>
      <c r="O553" s="172" t="b">
        <v>0</v>
      </c>
      <c r="P553" s="28" t="b">
        <v>0</v>
      </c>
      <c r="Q553" s="28" t="b">
        <v>0</v>
      </c>
      <c r="R553" s="28" t="b">
        <v>0</v>
      </c>
      <c r="S553" s="28" t="b">
        <v>0</v>
      </c>
      <c r="T553" s="28" t="b">
        <v>0</v>
      </c>
      <c r="U553" s="28" t="b">
        <v>0</v>
      </c>
      <c r="V553" s="28" t="b">
        <v>0</v>
      </c>
      <c r="W553" s="28" t="b">
        <v>0</v>
      </c>
    </row>
    <row r="554" ht="69" customHeight="1" s="222">
      <c r="A554" s="164">
        <f>#REF!</f>
        <v/>
      </c>
      <c r="B554" s="145" t="b">
        <v>0</v>
      </c>
      <c r="C554" s="176">
        <f>#REF!</f>
        <v/>
      </c>
      <c r="D554" s="174" t="n"/>
      <c r="E554" s="174" t="n"/>
      <c r="F554" s="176">
        <f>#REF!</f>
        <v/>
      </c>
      <c r="G554" s="174">
        <f>#REF!</f>
        <v/>
      </c>
      <c r="H554" s="174">
        <f>#REF!</f>
        <v/>
      </c>
      <c r="I554" s="174">
        <f>#REF!</f>
        <v/>
      </c>
      <c r="J554" s="174">
        <f>#REF!</f>
        <v/>
      </c>
      <c r="K554" s="176">
        <f>#REF!</f>
        <v/>
      </c>
      <c r="L554" s="173" t="n"/>
      <c r="M554" s="9" t="n"/>
      <c r="N554" s="28" t="b">
        <v>0</v>
      </c>
      <c r="O554" s="172" t="b">
        <v>0</v>
      </c>
      <c r="P554" s="28" t="b">
        <v>0</v>
      </c>
      <c r="Q554" s="28" t="b">
        <v>0</v>
      </c>
      <c r="R554" s="28" t="b">
        <v>0</v>
      </c>
      <c r="S554" s="28" t="b">
        <v>0</v>
      </c>
      <c r="T554" s="28" t="b">
        <v>0</v>
      </c>
      <c r="U554" s="28" t="b">
        <v>0</v>
      </c>
      <c r="V554" s="28" t="b">
        <v>0</v>
      </c>
      <c r="W554" s="28" t="b">
        <v>0</v>
      </c>
    </row>
    <row r="555" ht="69" customHeight="1" s="222">
      <c r="A555" s="164">
        <f>#REF!</f>
        <v/>
      </c>
      <c r="B555" s="145" t="b">
        <v>0</v>
      </c>
      <c r="C555" s="176">
        <f>#REF!</f>
        <v/>
      </c>
      <c r="D555" s="174" t="n"/>
      <c r="E555" s="174" t="n"/>
      <c r="F555" s="176">
        <f>#REF!</f>
        <v/>
      </c>
      <c r="G555" s="174">
        <f>#REF!</f>
        <v/>
      </c>
      <c r="H555" s="174">
        <f>#REF!</f>
        <v/>
      </c>
      <c r="I555" s="174">
        <f>#REF!</f>
        <v/>
      </c>
      <c r="J555" s="174">
        <f>#REF!</f>
        <v/>
      </c>
      <c r="K555" s="176">
        <f>#REF!</f>
        <v/>
      </c>
      <c r="L555" s="173" t="n"/>
      <c r="M555" s="9" t="n"/>
      <c r="N555" s="28" t="b">
        <v>0</v>
      </c>
      <c r="O555" s="172" t="b">
        <v>0</v>
      </c>
      <c r="P555" s="28" t="b">
        <v>0</v>
      </c>
      <c r="Q555" s="28" t="b">
        <v>0</v>
      </c>
      <c r="R555" s="28" t="b">
        <v>0</v>
      </c>
      <c r="S555" s="28" t="b">
        <v>0</v>
      </c>
      <c r="T555" s="28" t="b">
        <v>0</v>
      </c>
      <c r="U555" s="28" t="b">
        <v>0</v>
      </c>
      <c r="V555" s="28" t="b">
        <v>0</v>
      </c>
      <c r="W555" s="28" t="b">
        <v>0</v>
      </c>
    </row>
    <row r="556" ht="69" customHeight="1" s="222">
      <c r="A556" s="164">
        <f>#REF!</f>
        <v/>
      </c>
      <c r="B556" s="145" t="b">
        <v>0</v>
      </c>
      <c r="C556" s="176">
        <f>#REF!</f>
        <v/>
      </c>
      <c r="D556" s="174" t="n"/>
      <c r="E556" s="174" t="n"/>
      <c r="F556" s="176">
        <f>#REF!</f>
        <v/>
      </c>
      <c r="G556" s="174">
        <f>#REF!</f>
        <v/>
      </c>
      <c r="H556" s="174">
        <f>#REF!</f>
        <v/>
      </c>
      <c r="I556" s="174">
        <f>#REF!</f>
        <v/>
      </c>
      <c r="J556" s="174">
        <f>#REF!</f>
        <v/>
      </c>
      <c r="K556" s="176">
        <f>#REF!</f>
        <v/>
      </c>
      <c r="L556" s="173" t="n"/>
      <c r="M556" s="9" t="n"/>
      <c r="N556" s="28" t="b">
        <v>0</v>
      </c>
      <c r="O556" s="172" t="b">
        <v>0</v>
      </c>
      <c r="P556" s="28" t="b">
        <v>0</v>
      </c>
      <c r="Q556" s="28" t="b">
        <v>0</v>
      </c>
      <c r="R556" s="28" t="b">
        <v>0</v>
      </c>
      <c r="S556" s="28" t="b">
        <v>0</v>
      </c>
      <c r="T556" s="28" t="b">
        <v>0</v>
      </c>
      <c r="U556" s="28" t="b">
        <v>0</v>
      </c>
      <c r="V556" s="28" t="b">
        <v>0</v>
      </c>
      <c r="W556" s="28" t="b">
        <v>0</v>
      </c>
    </row>
    <row r="557" ht="69" customHeight="1" s="222">
      <c r="A557" s="164">
        <f>#REF!</f>
        <v/>
      </c>
      <c r="B557" s="145" t="b">
        <v>0</v>
      </c>
      <c r="C557" s="176">
        <f>#REF!</f>
        <v/>
      </c>
      <c r="D557" s="174" t="n"/>
      <c r="E557" s="174" t="n"/>
      <c r="F557" s="176">
        <f>#REF!</f>
        <v/>
      </c>
      <c r="G557" s="174">
        <f>#REF!</f>
        <v/>
      </c>
      <c r="H557" s="174">
        <f>#REF!</f>
        <v/>
      </c>
      <c r="I557" s="174">
        <f>#REF!</f>
        <v/>
      </c>
      <c r="J557" s="174">
        <f>#REF!</f>
        <v/>
      </c>
      <c r="K557" s="176">
        <f>#REF!</f>
        <v/>
      </c>
      <c r="L557" s="173" t="n"/>
      <c r="M557" s="9" t="n"/>
      <c r="N557" s="28" t="b">
        <v>0</v>
      </c>
      <c r="O557" s="172" t="b">
        <v>0</v>
      </c>
      <c r="P557" s="28" t="b">
        <v>0</v>
      </c>
      <c r="Q557" s="28" t="b">
        <v>0</v>
      </c>
      <c r="R557" s="28" t="b">
        <v>0</v>
      </c>
      <c r="S557" s="28" t="b">
        <v>0</v>
      </c>
      <c r="T557" s="28" t="b">
        <v>0</v>
      </c>
      <c r="U557" s="28" t="b">
        <v>0</v>
      </c>
      <c r="V557" s="28" t="b">
        <v>0</v>
      </c>
      <c r="W557" s="28" t="b">
        <v>0</v>
      </c>
    </row>
    <row r="558" ht="69" customHeight="1" s="222">
      <c r="A558" s="164">
        <f>#REF!</f>
        <v/>
      </c>
      <c r="B558" s="145" t="b">
        <v>0</v>
      </c>
      <c r="C558" s="176">
        <f>#REF!</f>
        <v/>
      </c>
      <c r="D558" s="174" t="n"/>
      <c r="E558" s="174" t="n"/>
      <c r="F558" s="176">
        <f>#REF!</f>
        <v/>
      </c>
      <c r="G558" s="174">
        <f>#REF!</f>
        <v/>
      </c>
      <c r="H558" s="174">
        <f>#REF!</f>
        <v/>
      </c>
      <c r="I558" s="174">
        <f>#REF!</f>
        <v/>
      </c>
      <c r="J558" s="174">
        <f>#REF!</f>
        <v/>
      </c>
      <c r="K558" s="176">
        <f>#REF!</f>
        <v/>
      </c>
      <c r="L558" s="173" t="n"/>
      <c r="M558" s="9" t="n"/>
      <c r="N558" s="28" t="b">
        <v>0</v>
      </c>
      <c r="O558" s="172" t="b">
        <v>0</v>
      </c>
      <c r="P558" s="28" t="b">
        <v>0</v>
      </c>
      <c r="Q558" s="28" t="b">
        <v>0</v>
      </c>
      <c r="R558" s="28" t="b">
        <v>0</v>
      </c>
      <c r="S558" s="28" t="b">
        <v>0</v>
      </c>
      <c r="T558" s="28" t="b">
        <v>0</v>
      </c>
      <c r="U558" s="28" t="b">
        <v>0</v>
      </c>
      <c r="V558" s="28" t="b">
        <v>0</v>
      </c>
      <c r="W558" s="28" t="b">
        <v>0</v>
      </c>
    </row>
    <row r="559" ht="69" customHeight="1" s="222">
      <c r="A559" s="164">
        <f>#REF!</f>
        <v/>
      </c>
      <c r="B559" s="145" t="b">
        <v>0</v>
      </c>
      <c r="C559" s="176">
        <f>#REF!</f>
        <v/>
      </c>
      <c r="D559" s="174" t="n"/>
      <c r="E559" s="174" t="n"/>
      <c r="F559" s="176">
        <f>#REF!</f>
        <v/>
      </c>
      <c r="G559" s="174">
        <f>#REF!</f>
        <v/>
      </c>
      <c r="H559" s="174">
        <f>#REF!</f>
        <v/>
      </c>
      <c r="I559" s="174">
        <f>#REF!</f>
        <v/>
      </c>
      <c r="J559" s="174">
        <f>#REF!</f>
        <v/>
      </c>
      <c r="K559" s="176">
        <f>#REF!</f>
        <v/>
      </c>
      <c r="L559" s="173" t="n"/>
      <c r="M559" s="9" t="n"/>
      <c r="N559" s="28" t="b">
        <v>0</v>
      </c>
      <c r="O559" s="172" t="b">
        <v>0</v>
      </c>
      <c r="P559" s="28" t="b">
        <v>0</v>
      </c>
      <c r="Q559" s="28" t="b">
        <v>0</v>
      </c>
      <c r="R559" s="28" t="b">
        <v>0</v>
      </c>
      <c r="S559" s="28" t="b">
        <v>0</v>
      </c>
      <c r="T559" s="28" t="b">
        <v>0</v>
      </c>
      <c r="U559" s="28" t="b">
        <v>0</v>
      </c>
      <c r="V559" s="28" t="b">
        <v>0</v>
      </c>
      <c r="W559" s="28" t="b">
        <v>0</v>
      </c>
    </row>
    <row r="560" ht="69" customHeight="1" s="222">
      <c r="A560" s="164">
        <f>#REF!</f>
        <v/>
      </c>
      <c r="B560" s="145" t="b">
        <v>0</v>
      </c>
      <c r="C560" s="176">
        <f>#REF!</f>
        <v/>
      </c>
      <c r="D560" s="174" t="n"/>
      <c r="E560" s="174" t="n"/>
      <c r="F560" s="176">
        <f>#REF!</f>
        <v/>
      </c>
      <c r="G560" s="174">
        <f>#REF!</f>
        <v/>
      </c>
      <c r="H560" s="174">
        <f>#REF!</f>
        <v/>
      </c>
      <c r="I560" s="174">
        <f>#REF!</f>
        <v/>
      </c>
      <c r="J560" s="174">
        <f>#REF!</f>
        <v/>
      </c>
      <c r="K560" s="176">
        <f>#REF!</f>
        <v/>
      </c>
      <c r="L560" s="173" t="n"/>
      <c r="M560" s="9" t="n"/>
      <c r="N560" s="28" t="b">
        <v>0</v>
      </c>
      <c r="O560" s="172" t="b">
        <v>0</v>
      </c>
      <c r="P560" s="28" t="b">
        <v>0</v>
      </c>
      <c r="Q560" s="28" t="b">
        <v>0</v>
      </c>
      <c r="R560" s="28" t="b">
        <v>0</v>
      </c>
      <c r="S560" s="28" t="b">
        <v>0</v>
      </c>
      <c r="T560" s="28" t="b">
        <v>0</v>
      </c>
      <c r="U560" s="28" t="b">
        <v>0</v>
      </c>
      <c r="V560" s="28" t="b">
        <v>0</v>
      </c>
      <c r="W560" s="28" t="b">
        <v>0</v>
      </c>
    </row>
    <row r="561" ht="69" customHeight="1" s="222">
      <c r="A561" s="164">
        <f>#REF!</f>
        <v/>
      </c>
      <c r="B561" s="145" t="b">
        <v>0</v>
      </c>
      <c r="C561" s="176">
        <f>#REF!</f>
        <v/>
      </c>
      <c r="D561" s="174" t="n"/>
      <c r="E561" s="174" t="n"/>
      <c r="F561" s="176">
        <f>#REF!</f>
        <v/>
      </c>
      <c r="G561" s="174">
        <f>#REF!</f>
        <v/>
      </c>
      <c r="H561" s="174">
        <f>#REF!</f>
        <v/>
      </c>
      <c r="I561" s="174">
        <f>#REF!</f>
        <v/>
      </c>
      <c r="J561" s="174">
        <f>#REF!</f>
        <v/>
      </c>
      <c r="K561" s="176">
        <f>#REF!</f>
        <v/>
      </c>
      <c r="L561" s="173" t="n"/>
      <c r="M561" s="9" t="n"/>
      <c r="N561" s="28" t="b">
        <v>0</v>
      </c>
      <c r="O561" s="172" t="b">
        <v>0</v>
      </c>
      <c r="P561" s="28" t="b">
        <v>0</v>
      </c>
      <c r="Q561" s="28" t="b">
        <v>0</v>
      </c>
      <c r="R561" s="28" t="b">
        <v>0</v>
      </c>
      <c r="S561" s="28" t="b">
        <v>0</v>
      </c>
      <c r="T561" s="28" t="b">
        <v>0</v>
      </c>
      <c r="U561" s="28" t="b">
        <v>0</v>
      </c>
      <c r="V561" s="28" t="b">
        <v>0</v>
      </c>
      <c r="W561" s="28" t="b">
        <v>0</v>
      </c>
    </row>
    <row r="562" ht="69" customHeight="1" s="222">
      <c r="A562" s="164">
        <f>#REF!</f>
        <v/>
      </c>
      <c r="B562" s="145" t="b">
        <v>0</v>
      </c>
      <c r="C562" s="176">
        <f>#REF!</f>
        <v/>
      </c>
      <c r="D562" s="174" t="n"/>
      <c r="E562" s="174" t="n"/>
      <c r="F562" s="176">
        <f>#REF!</f>
        <v/>
      </c>
      <c r="G562" s="174">
        <f>#REF!</f>
        <v/>
      </c>
      <c r="H562" s="174">
        <f>#REF!</f>
        <v/>
      </c>
      <c r="I562" s="174">
        <f>#REF!</f>
        <v/>
      </c>
      <c r="J562" s="174">
        <f>#REF!</f>
        <v/>
      </c>
      <c r="K562" s="176">
        <f>#REF!</f>
        <v/>
      </c>
      <c r="L562" s="173" t="n"/>
      <c r="M562" s="9" t="n"/>
      <c r="N562" s="28" t="b">
        <v>0</v>
      </c>
      <c r="O562" s="172" t="b">
        <v>0</v>
      </c>
      <c r="P562" s="28" t="b">
        <v>0</v>
      </c>
      <c r="Q562" s="28" t="b">
        <v>0</v>
      </c>
      <c r="R562" s="28" t="b">
        <v>0</v>
      </c>
      <c r="S562" s="28" t="b">
        <v>0</v>
      </c>
      <c r="T562" s="28" t="b">
        <v>0</v>
      </c>
      <c r="U562" s="28" t="b">
        <v>0</v>
      </c>
      <c r="V562" s="28" t="b">
        <v>0</v>
      </c>
      <c r="W562" s="28" t="b">
        <v>0</v>
      </c>
    </row>
    <row r="563" ht="69" customHeight="1" s="222">
      <c r="A563" s="164">
        <f>#REF!</f>
        <v/>
      </c>
      <c r="B563" s="145" t="b">
        <v>0</v>
      </c>
      <c r="C563" s="176">
        <f>#REF!</f>
        <v/>
      </c>
      <c r="D563" s="174" t="n"/>
      <c r="E563" s="174" t="n"/>
      <c r="F563" s="176">
        <f>#REF!</f>
        <v/>
      </c>
      <c r="G563" s="174">
        <f>#REF!</f>
        <v/>
      </c>
      <c r="H563" s="174">
        <f>#REF!</f>
        <v/>
      </c>
      <c r="I563" s="174">
        <f>#REF!</f>
        <v/>
      </c>
      <c r="J563" s="174">
        <f>#REF!</f>
        <v/>
      </c>
      <c r="K563" s="176">
        <f>#REF!</f>
        <v/>
      </c>
      <c r="L563" s="173" t="n"/>
      <c r="M563" s="9" t="n"/>
      <c r="N563" s="28" t="b">
        <v>0</v>
      </c>
      <c r="O563" s="172" t="b">
        <v>0</v>
      </c>
      <c r="P563" s="28" t="b">
        <v>0</v>
      </c>
      <c r="Q563" s="28" t="b">
        <v>0</v>
      </c>
      <c r="R563" s="28" t="b">
        <v>0</v>
      </c>
      <c r="S563" s="28" t="b">
        <v>0</v>
      </c>
      <c r="T563" s="28" t="b">
        <v>0</v>
      </c>
      <c r="U563" s="28" t="b">
        <v>0</v>
      </c>
      <c r="V563" s="28" t="b">
        <v>0</v>
      </c>
      <c r="W563" s="28" t="b">
        <v>0</v>
      </c>
    </row>
    <row r="564" ht="69" customHeight="1" s="222">
      <c r="A564" s="164">
        <f>#REF!</f>
        <v/>
      </c>
      <c r="B564" s="145" t="b">
        <v>0</v>
      </c>
      <c r="C564" s="176">
        <f>#REF!</f>
        <v/>
      </c>
      <c r="D564" s="174" t="n"/>
      <c r="E564" s="174" t="n"/>
      <c r="F564" s="176">
        <f>#REF!</f>
        <v/>
      </c>
      <c r="G564" s="174">
        <f>#REF!</f>
        <v/>
      </c>
      <c r="H564" s="174">
        <f>#REF!</f>
        <v/>
      </c>
      <c r="I564" s="174">
        <f>#REF!</f>
        <v/>
      </c>
      <c r="J564" s="174">
        <f>#REF!</f>
        <v/>
      </c>
      <c r="K564" s="176">
        <f>#REF!</f>
        <v/>
      </c>
      <c r="L564" s="173" t="n"/>
      <c r="M564" s="9" t="n"/>
      <c r="N564" s="28" t="b">
        <v>0</v>
      </c>
      <c r="O564" s="172" t="b">
        <v>0</v>
      </c>
      <c r="P564" s="28" t="b">
        <v>0</v>
      </c>
      <c r="Q564" s="28" t="b">
        <v>0</v>
      </c>
      <c r="R564" s="28" t="b">
        <v>0</v>
      </c>
      <c r="S564" s="28" t="b">
        <v>0</v>
      </c>
      <c r="T564" s="28" t="b">
        <v>0</v>
      </c>
      <c r="U564" s="28" t="b">
        <v>0</v>
      </c>
      <c r="V564" s="28" t="b">
        <v>0</v>
      </c>
      <c r="W564" s="28" t="b">
        <v>0</v>
      </c>
    </row>
    <row r="565" ht="69" customHeight="1" s="222">
      <c r="A565" s="164">
        <f>#REF!</f>
        <v/>
      </c>
      <c r="B565" s="145" t="b">
        <v>0</v>
      </c>
      <c r="C565" s="176">
        <f>#REF!</f>
        <v/>
      </c>
      <c r="D565" s="174" t="n"/>
      <c r="E565" s="174" t="n"/>
      <c r="F565" s="176">
        <f>#REF!</f>
        <v/>
      </c>
      <c r="G565" s="174">
        <f>#REF!</f>
        <v/>
      </c>
      <c r="H565" s="174">
        <f>#REF!</f>
        <v/>
      </c>
      <c r="I565" s="174">
        <f>#REF!</f>
        <v/>
      </c>
      <c r="J565" s="174">
        <f>#REF!</f>
        <v/>
      </c>
      <c r="K565" s="176">
        <f>#REF!</f>
        <v/>
      </c>
      <c r="L565" s="173" t="n"/>
      <c r="M565" s="9" t="n"/>
      <c r="N565" s="28" t="b">
        <v>0</v>
      </c>
      <c r="O565" s="172" t="b">
        <v>0</v>
      </c>
      <c r="P565" s="28" t="b">
        <v>0</v>
      </c>
      <c r="Q565" s="28" t="b">
        <v>0</v>
      </c>
      <c r="R565" s="28" t="b">
        <v>0</v>
      </c>
      <c r="S565" s="28" t="b">
        <v>0</v>
      </c>
      <c r="T565" s="28" t="b">
        <v>0</v>
      </c>
      <c r="U565" s="28" t="b">
        <v>0</v>
      </c>
      <c r="V565" s="28" t="b">
        <v>0</v>
      </c>
      <c r="W565" s="28" t="b">
        <v>0</v>
      </c>
    </row>
    <row r="566" ht="69" customHeight="1" s="222">
      <c r="A566" s="164">
        <f>#REF!</f>
        <v/>
      </c>
      <c r="B566" s="145" t="b">
        <v>0</v>
      </c>
      <c r="C566" s="176">
        <f>#REF!</f>
        <v/>
      </c>
      <c r="D566" s="174" t="n"/>
      <c r="E566" s="174" t="n"/>
      <c r="F566" s="176">
        <f>#REF!</f>
        <v/>
      </c>
      <c r="G566" s="174">
        <f>#REF!</f>
        <v/>
      </c>
      <c r="H566" s="174">
        <f>#REF!</f>
        <v/>
      </c>
      <c r="I566" s="174">
        <f>#REF!</f>
        <v/>
      </c>
      <c r="J566" s="174">
        <f>#REF!</f>
        <v/>
      </c>
      <c r="K566" s="176">
        <f>#REF!</f>
        <v/>
      </c>
      <c r="L566" s="173" t="n"/>
      <c r="M566" s="9" t="n"/>
      <c r="N566" s="28" t="b">
        <v>0</v>
      </c>
      <c r="O566" s="172" t="b">
        <v>0</v>
      </c>
      <c r="P566" s="28" t="b">
        <v>0</v>
      </c>
      <c r="Q566" s="28" t="b">
        <v>0</v>
      </c>
      <c r="R566" s="28" t="b">
        <v>0</v>
      </c>
      <c r="S566" s="28" t="b">
        <v>0</v>
      </c>
      <c r="T566" s="28" t="b">
        <v>0</v>
      </c>
      <c r="U566" s="28" t="b">
        <v>0</v>
      </c>
      <c r="V566" s="28" t="b">
        <v>0</v>
      </c>
      <c r="W566" s="28" t="b">
        <v>0</v>
      </c>
    </row>
    <row r="567" ht="69" customHeight="1" s="222">
      <c r="A567" s="164">
        <f>#REF!</f>
        <v/>
      </c>
      <c r="B567" s="145" t="b">
        <v>0</v>
      </c>
      <c r="C567" s="176">
        <f>#REF!</f>
        <v/>
      </c>
      <c r="D567" s="174" t="n"/>
      <c r="E567" s="174" t="n"/>
      <c r="F567" s="176">
        <f>#REF!</f>
        <v/>
      </c>
      <c r="G567" s="174">
        <f>#REF!</f>
        <v/>
      </c>
      <c r="H567" s="174">
        <f>#REF!</f>
        <v/>
      </c>
      <c r="I567" s="174">
        <f>#REF!</f>
        <v/>
      </c>
      <c r="J567" s="174">
        <f>#REF!</f>
        <v/>
      </c>
      <c r="K567" s="176">
        <f>#REF!</f>
        <v/>
      </c>
      <c r="L567" s="173" t="n"/>
      <c r="M567" s="9" t="n"/>
      <c r="N567" s="28" t="b">
        <v>0</v>
      </c>
      <c r="O567" s="172" t="b">
        <v>0</v>
      </c>
      <c r="P567" s="28" t="b">
        <v>0</v>
      </c>
      <c r="Q567" s="28" t="b">
        <v>0</v>
      </c>
      <c r="R567" s="28" t="b">
        <v>0</v>
      </c>
      <c r="S567" s="28" t="b">
        <v>0</v>
      </c>
      <c r="T567" s="28" t="b">
        <v>0</v>
      </c>
      <c r="U567" s="28" t="b">
        <v>0</v>
      </c>
      <c r="V567" s="28" t="b">
        <v>0</v>
      </c>
      <c r="W567" s="28" t="b">
        <v>0</v>
      </c>
    </row>
    <row r="568" ht="69" customHeight="1" s="222">
      <c r="A568" s="164">
        <f>#REF!</f>
        <v/>
      </c>
      <c r="B568" s="145" t="b">
        <v>0</v>
      </c>
      <c r="C568" s="176">
        <f>#REF!</f>
        <v/>
      </c>
      <c r="D568" s="174" t="n"/>
      <c r="E568" s="174" t="n"/>
      <c r="F568" s="176">
        <f>#REF!</f>
        <v/>
      </c>
      <c r="G568" s="174">
        <f>#REF!</f>
        <v/>
      </c>
      <c r="H568" s="174">
        <f>#REF!</f>
        <v/>
      </c>
      <c r="I568" s="174">
        <f>#REF!</f>
        <v/>
      </c>
      <c r="J568" s="174">
        <f>#REF!</f>
        <v/>
      </c>
      <c r="K568" s="176">
        <f>#REF!</f>
        <v/>
      </c>
      <c r="L568" s="173" t="n"/>
      <c r="M568" s="9" t="n"/>
      <c r="N568" s="28" t="b">
        <v>0</v>
      </c>
      <c r="O568" s="172" t="b">
        <v>0</v>
      </c>
      <c r="P568" s="28" t="b">
        <v>0</v>
      </c>
      <c r="Q568" s="28" t="b">
        <v>0</v>
      </c>
      <c r="R568" s="28" t="b">
        <v>0</v>
      </c>
      <c r="S568" s="28" t="b">
        <v>0</v>
      </c>
      <c r="T568" s="28" t="b">
        <v>0</v>
      </c>
      <c r="U568" s="28" t="b">
        <v>0</v>
      </c>
      <c r="V568" s="28" t="b">
        <v>0</v>
      </c>
      <c r="W568" s="28" t="b">
        <v>0</v>
      </c>
    </row>
    <row r="569" ht="69" customHeight="1" s="222">
      <c r="A569" s="164">
        <f>#REF!</f>
        <v/>
      </c>
      <c r="B569" s="145" t="b">
        <v>0</v>
      </c>
      <c r="C569" s="176">
        <f>#REF!</f>
        <v/>
      </c>
      <c r="D569" s="174" t="n"/>
      <c r="E569" s="174" t="n"/>
      <c r="F569" s="176">
        <f>#REF!</f>
        <v/>
      </c>
      <c r="G569" s="174">
        <f>#REF!</f>
        <v/>
      </c>
      <c r="H569" s="174">
        <f>#REF!</f>
        <v/>
      </c>
      <c r="I569" s="174">
        <f>#REF!</f>
        <v/>
      </c>
      <c r="J569" s="174">
        <f>#REF!</f>
        <v/>
      </c>
      <c r="K569" s="176">
        <f>#REF!</f>
        <v/>
      </c>
      <c r="L569" s="173" t="n"/>
      <c r="M569" s="9" t="n"/>
      <c r="N569" s="28" t="b">
        <v>0</v>
      </c>
      <c r="O569" s="172" t="b">
        <v>0</v>
      </c>
      <c r="P569" s="28" t="b">
        <v>0</v>
      </c>
      <c r="Q569" s="28" t="b">
        <v>0</v>
      </c>
      <c r="R569" s="28" t="b">
        <v>0</v>
      </c>
      <c r="S569" s="28" t="b">
        <v>0</v>
      </c>
      <c r="T569" s="28" t="b">
        <v>0</v>
      </c>
      <c r="U569" s="28" t="b">
        <v>0</v>
      </c>
      <c r="V569" s="28" t="b">
        <v>0</v>
      </c>
      <c r="W569" s="28" t="b">
        <v>0</v>
      </c>
    </row>
    <row r="570" ht="69" customHeight="1" s="222">
      <c r="A570" s="164">
        <f>#REF!</f>
        <v/>
      </c>
      <c r="B570" s="145" t="b">
        <v>0</v>
      </c>
      <c r="C570" s="176">
        <f>#REF!</f>
        <v/>
      </c>
      <c r="D570" s="174" t="n"/>
      <c r="E570" s="174" t="n"/>
      <c r="F570" s="176">
        <f>#REF!</f>
        <v/>
      </c>
      <c r="G570" s="174">
        <f>#REF!</f>
        <v/>
      </c>
      <c r="H570" s="174">
        <f>#REF!</f>
        <v/>
      </c>
      <c r="I570" s="174">
        <f>#REF!</f>
        <v/>
      </c>
      <c r="J570" s="174">
        <f>#REF!</f>
        <v/>
      </c>
      <c r="K570" s="176">
        <f>#REF!</f>
        <v/>
      </c>
      <c r="L570" s="173" t="n"/>
      <c r="M570" s="9" t="n"/>
      <c r="N570" s="28" t="b">
        <v>0</v>
      </c>
      <c r="O570" s="172" t="b">
        <v>0</v>
      </c>
      <c r="P570" s="28" t="b">
        <v>0</v>
      </c>
      <c r="Q570" s="28" t="b">
        <v>0</v>
      </c>
      <c r="R570" s="28" t="b">
        <v>0</v>
      </c>
      <c r="S570" s="28" t="b">
        <v>0</v>
      </c>
      <c r="T570" s="28" t="b">
        <v>0</v>
      </c>
      <c r="U570" s="28" t="b">
        <v>0</v>
      </c>
      <c r="V570" s="28" t="b">
        <v>0</v>
      </c>
      <c r="W570" s="28" t="b">
        <v>0</v>
      </c>
    </row>
    <row r="571" ht="69" customHeight="1" s="222">
      <c r="A571" s="164">
        <f>#REF!</f>
        <v/>
      </c>
      <c r="B571" s="145" t="b">
        <v>0</v>
      </c>
      <c r="C571" s="176">
        <f>#REF!</f>
        <v/>
      </c>
      <c r="D571" s="174" t="n"/>
      <c r="E571" s="174" t="n"/>
      <c r="F571" s="176">
        <f>#REF!</f>
        <v/>
      </c>
      <c r="G571" s="174">
        <f>#REF!</f>
        <v/>
      </c>
      <c r="H571" s="174">
        <f>#REF!</f>
        <v/>
      </c>
      <c r="I571" s="174">
        <f>#REF!</f>
        <v/>
      </c>
      <c r="J571" s="174">
        <f>#REF!</f>
        <v/>
      </c>
      <c r="K571" s="176">
        <f>#REF!</f>
        <v/>
      </c>
      <c r="L571" s="173" t="n"/>
      <c r="M571" s="9" t="n"/>
      <c r="N571" s="28" t="b">
        <v>0</v>
      </c>
      <c r="O571" s="172" t="b">
        <v>0</v>
      </c>
      <c r="P571" s="28" t="b">
        <v>0</v>
      </c>
      <c r="Q571" s="28" t="b">
        <v>0</v>
      </c>
      <c r="R571" s="28" t="b">
        <v>0</v>
      </c>
      <c r="S571" s="28" t="b">
        <v>0</v>
      </c>
      <c r="T571" s="28" t="b">
        <v>0</v>
      </c>
      <c r="U571" s="28" t="b">
        <v>0</v>
      </c>
      <c r="V571" s="28" t="b">
        <v>0</v>
      </c>
      <c r="W571" s="28" t="b">
        <v>0</v>
      </c>
    </row>
    <row r="572" ht="69" customHeight="1" s="222">
      <c r="A572" s="164">
        <f>#REF!</f>
        <v/>
      </c>
      <c r="B572" s="145" t="b">
        <v>0</v>
      </c>
      <c r="C572" s="176">
        <f>#REF!</f>
        <v/>
      </c>
      <c r="D572" s="174" t="n"/>
      <c r="E572" s="174" t="n"/>
      <c r="F572" s="176">
        <f>#REF!</f>
        <v/>
      </c>
      <c r="G572" s="174">
        <f>#REF!</f>
        <v/>
      </c>
      <c r="H572" s="174">
        <f>#REF!</f>
        <v/>
      </c>
      <c r="I572" s="174">
        <f>#REF!</f>
        <v/>
      </c>
      <c r="J572" s="174">
        <f>#REF!</f>
        <v/>
      </c>
      <c r="K572" s="176">
        <f>#REF!</f>
        <v/>
      </c>
      <c r="L572" s="173" t="n"/>
      <c r="M572" s="9" t="n"/>
      <c r="N572" s="28" t="b">
        <v>0</v>
      </c>
      <c r="O572" s="172" t="b">
        <v>0</v>
      </c>
      <c r="P572" s="28" t="b">
        <v>0</v>
      </c>
      <c r="Q572" s="28" t="b">
        <v>0</v>
      </c>
      <c r="R572" s="28" t="b">
        <v>0</v>
      </c>
      <c r="S572" s="28" t="b">
        <v>0</v>
      </c>
      <c r="T572" s="28" t="b">
        <v>0</v>
      </c>
      <c r="U572" s="28" t="b">
        <v>0</v>
      </c>
      <c r="V572" s="28" t="b">
        <v>0</v>
      </c>
      <c r="W572" s="28" t="b">
        <v>0</v>
      </c>
    </row>
    <row r="573" ht="69" customHeight="1" s="222">
      <c r="A573" s="164">
        <f>#REF!</f>
        <v/>
      </c>
      <c r="B573" s="145" t="b">
        <v>0</v>
      </c>
      <c r="C573" s="176">
        <f>#REF!</f>
        <v/>
      </c>
      <c r="D573" s="174" t="n"/>
      <c r="E573" s="174" t="n"/>
      <c r="F573" s="176">
        <f>#REF!</f>
        <v/>
      </c>
      <c r="G573" s="174">
        <f>#REF!</f>
        <v/>
      </c>
      <c r="H573" s="174">
        <f>#REF!</f>
        <v/>
      </c>
      <c r="I573" s="174">
        <f>#REF!</f>
        <v/>
      </c>
      <c r="J573" s="174">
        <f>#REF!</f>
        <v/>
      </c>
      <c r="K573" s="176">
        <f>#REF!</f>
        <v/>
      </c>
      <c r="L573" s="173" t="n"/>
      <c r="M573" s="9" t="n"/>
      <c r="N573" s="28" t="b">
        <v>0</v>
      </c>
      <c r="O573" s="172" t="b">
        <v>0</v>
      </c>
      <c r="P573" s="28" t="b">
        <v>0</v>
      </c>
      <c r="Q573" s="28" t="b">
        <v>0</v>
      </c>
      <c r="R573" s="28" t="b">
        <v>0</v>
      </c>
      <c r="S573" s="28" t="b">
        <v>0</v>
      </c>
      <c r="T573" s="28" t="b">
        <v>0</v>
      </c>
      <c r="U573" s="28" t="b">
        <v>0</v>
      </c>
      <c r="V573" s="28" t="b">
        <v>0</v>
      </c>
      <c r="W573" s="28" t="b">
        <v>0</v>
      </c>
    </row>
    <row r="574" ht="69" customHeight="1" s="222">
      <c r="A574" s="164">
        <f>#REF!</f>
        <v/>
      </c>
      <c r="B574" s="145" t="b">
        <v>0</v>
      </c>
      <c r="C574" s="176">
        <f>#REF!</f>
        <v/>
      </c>
      <c r="D574" s="174" t="n"/>
      <c r="E574" s="174" t="n"/>
      <c r="F574" s="176">
        <f>#REF!</f>
        <v/>
      </c>
      <c r="G574" s="174">
        <f>#REF!</f>
        <v/>
      </c>
      <c r="H574" s="174">
        <f>#REF!</f>
        <v/>
      </c>
      <c r="I574" s="174">
        <f>#REF!</f>
        <v/>
      </c>
      <c r="J574" s="174">
        <f>#REF!</f>
        <v/>
      </c>
      <c r="K574" s="176">
        <f>#REF!</f>
        <v/>
      </c>
      <c r="L574" s="173" t="n"/>
      <c r="M574" s="9" t="n"/>
      <c r="N574" s="28" t="b">
        <v>0</v>
      </c>
      <c r="O574" s="172" t="b">
        <v>0</v>
      </c>
      <c r="P574" s="28" t="b">
        <v>0</v>
      </c>
      <c r="Q574" s="28" t="b">
        <v>0</v>
      </c>
      <c r="R574" s="28" t="b">
        <v>0</v>
      </c>
      <c r="S574" s="28" t="b">
        <v>0</v>
      </c>
      <c r="T574" s="28" t="b">
        <v>0</v>
      </c>
      <c r="U574" s="28" t="b">
        <v>0</v>
      </c>
      <c r="V574" s="28" t="b">
        <v>0</v>
      </c>
      <c r="W574" s="28" t="b">
        <v>0</v>
      </c>
    </row>
    <row r="575" ht="69" customHeight="1" s="222">
      <c r="A575" s="164">
        <f>#REF!</f>
        <v/>
      </c>
      <c r="B575" s="145" t="b">
        <v>0</v>
      </c>
      <c r="C575" s="176">
        <f>#REF!</f>
        <v/>
      </c>
      <c r="D575" s="174" t="n"/>
      <c r="E575" s="174" t="n"/>
      <c r="F575" s="176">
        <f>#REF!</f>
        <v/>
      </c>
      <c r="G575" s="174">
        <f>#REF!</f>
        <v/>
      </c>
      <c r="H575" s="174">
        <f>#REF!</f>
        <v/>
      </c>
      <c r="I575" s="174">
        <f>#REF!</f>
        <v/>
      </c>
      <c r="J575" s="174">
        <f>#REF!</f>
        <v/>
      </c>
      <c r="K575" s="176">
        <f>#REF!</f>
        <v/>
      </c>
      <c r="L575" s="173" t="n"/>
      <c r="M575" s="9" t="n"/>
      <c r="N575" s="28" t="b">
        <v>0</v>
      </c>
      <c r="O575" s="172" t="b">
        <v>0</v>
      </c>
      <c r="P575" s="28" t="b">
        <v>0</v>
      </c>
      <c r="Q575" s="28" t="b">
        <v>0</v>
      </c>
      <c r="R575" s="28" t="b">
        <v>0</v>
      </c>
      <c r="S575" s="28" t="b">
        <v>0</v>
      </c>
      <c r="T575" s="28" t="b">
        <v>0</v>
      </c>
      <c r="U575" s="28" t="b">
        <v>0</v>
      </c>
      <c r="V575" s="28" t="b">
        <v>0</v>
      </c>
      <c r="W575" s="28" t="b">
        <v>0</v>
      </c>
    </row>
    <row r="576" ht="69" customHeight="1" s="222">
      <c r="A576" s="164">
        <f>#REF!</f>
        <v/>
      </c>
      <c r="B576" s="145" t="b">
        <v>0</v>
      </c>
      <c r="C576" s="176">
        <f>#REF!</f>
        <v/>
      </c>
      <c r="D576" s="174" t="n"/>
      <c r="E576" s="174" t="n"/>
      <c r="F576" s="176">
        <f>#REF!</f>
        <v/>
      </c>
      <c r="G576" s="174">
        <f>#REF!</f>
        <v/>
      </c>
      <c r="H576" s="174">
        <f>#REF!</f>
        <v/>
      </c>
      <c r="I576" s="174">
        <f>#REF!</f>
        <v/>
      </c>
      <c r="J576" s="174">
        <f>#REF!</f>
        <v/>
      </c>
      <c r="K576" s="176">
        <f>#REF!</f>
        <v/>
      </c>
      <c r="L576" s="173" t="n"/>
      <c r="M576" s="9" t="n"/>
      <c r="N576" s="28" t="b">
        <v>0</v>
      </c>
      <c r="O576" s="172" t="b">
        <v>0</v>
      </c>
      <c r="P576" s="28" t="b">
        <v>0</v>
      </c>
      <c r="Q576" s="28" t="b">
        <v>0</v>
      </c>
      <c r="R576" s="28" t="b">
        <v>0</v>
      </c>
      <c r="S576" s="28" t="b">
        <v>0</v>
      </c>
      <c r="T576" s="28" t="b">
        <v>0</v>
      </c>
      <c r="U576" s="28" t="b">
        <v>0</v>
      </c>
      <c r="V576" s="28" t="b">
        <v>0</v>
      </c>
      <c r="W576" s="28" t="b">
        <v>0</v>
      </c>
    </row>
    <row r="577" ht="69" customHeight="1" s="222">
      <c r="A577" s="164">
        <f>#REF!</f>
        <v/>
      </c>
      <c r="B577" s="145" t="b">
        <v>0</v>
      </c>
      <c r="C577" s="176">
        <f>#REF!</f>
        <v/>
      </c>
      <c r="D577" s="174" t="n"/>
      <c r="E577" s="174" t="n"/>
      <c r="F577" s="176">
        <f>#REF!</f>
        <v/>
      </c>
      <c r="G577" s="174">
        <f>#REF!</f>
        <v/>
      </c>
      <c r="H577" s="174">
        <f>#REF!</f>
        <v/>
      </c>
      <c r="I577" s="174">
        <f>#REF!</f>
        <v/>
      </c>
      <c r="J577" s="174">
        <f>#REF!</f>
        <v/>
      </c>
      <c r="K577" s="176">
        <f>#REF!</f>
        <v/>
      </c>
      <c r="L577" s="173" t="n"/>
      <c r="M577" s="9" t="n"/>
      <c r="N577" s="28" t="b">
        <v>0</v>
      </c>
      <c r="O577" s="172" t="b">
        <v>0</v>
      </c>
      <c r="P577" s="28" t="b">
        <v>0</v>
      </c>
      <c r="Q577" s="28" t="b">
        <v>0</v>
      </c>
      <c r="R577" s="28" t="b">
        <v>0</v>
      </c>
      <c r="S577" s="28" t="b">
        <v>0</v>
      </c>
      <c r="T577" s="28" t="b">
        <v>0</v>
      </c>
      <c r="U577" s="28" t="b">
        <v>0</v>
      </c>
      <c r="V577" s="28" t="b">
        <v>0</v>
      </c>
      <c r="W577" s="28" t="b">
        <v>0</v>
      </c>
    </row>
    <row r="578" ht="69" customHeight="1" s="222">
      <c r="A578" s="164">
        <f>#REF!</f>
        <v/>
      </c>
      <c r="B578" s="145" t="b">
        <v>0</v>
      </c>
      <c r="C578" s="176">
        <f>#REF!</f>
        <v/>
      </c>
      <c r="D578" s="174" t="n"/>
      <c r="E578" s="174" t="n"/>
      <c r="F578" s="176">
        <f>#REF!</f>
        <v/>
      </c>
      <c r="G578" s="174">
        <f>#REF!</f>
        <v/>
      </c>
      <c r="H578" s="174">
        <f>#REF!</f>
        <v/>
      </c>
      <c r="I578" s="174">
        <f>#REF!</f>
        <v/>
      </c>
      <c r="J578" s="174">
        <f>#REF!</f>
        <v/>
      </c>
      <c r="K578" s="176">
        <f>#REF!</f>
        <v/>
      </c>
      <c r="L578" s="173" t="n"/>
      <c r="M578" s="9" t="n"/>
      <c r="N578" s="28" t="b">
        <v>0</v>
      </c>
      <c r="O578" s="172" t="b">
        <v>0</v>
      </c>
      <c r="P578" s="28" t="b">
        <v>0</v>
      </c>
      <c r="Q578" s="28" t="b">
        <v>0</v>
      </c>
      <c r="R578" s="28" t="b">
        <v>0</v>
      </c>
      <c r="S578" s="28" t="b">
        <v>0</v>
      </c>
      <c r="T578" s="28" t="b">
        <v>0</v>
      </c>
      <c r="U578" s="28" t="b">
        <v>0</v>
      </c>
      <c r="V578" s="28" t="b">
        <v>0</v>
      </c>
      <c r="W578" s="28" t="b">
        <v>0</v>
      </c>
    </row>
    <row r="579" ht="69" customHeight="1" s="222">
      <c r="A579" s="164">
        <f>#REF!</f>
        <v/>
      </c>
      <c r="B579" s="145" t="b">
        <v>0</v>
      </c>
      <c r="C579" s="176">
        <f>#REF!</f>
        <v/>
      </c>
      <c r="D579" s="174" t="n"/>
      <c r="E579" s="174" t="n"/>
      <c r="F579" s="176">
        <f>#REF!</f>
        <v/>
      </c>
      <c r="G579" s="174">
        <f>#REF!</f>
        <v/>
      </c>
      <c r="H579" s="174">
        <f>#REF!</f>
        <v/>
      </c>
      <c r="I579" s="174">
        <f>#REF!</f>
        <v/>
      </c>
      <c r="J579" s="174">
        <f>#REF!</f>
        <v/>
      </c>
      <c r="K579" s="176">
        <f>#REF!</f>
        <v/>
      </c>
      <c r="L579" s="173" t="n"/>
      <c r="M579" s="9" t="n"/>
      <c r="N579" s="28" t="b">
        <v>0</v>
      </c>
      <c r="O579" s="172" t="b">
        <v>0</v>
      </c>
      <c r="P579" s="28" t="b">
        <v>0</v>
      </c>
      <c r="Q579" s="28" t="b">
        <v>0</v>
      </c>
      <c r="R579" s="28" t="b">
        <v>0</v>
      </c>
      <c r="S579" s="28" t="b">
        <v>0</v>
      </c>
      <c r="T579" s="28" t="b">
        <v>0</v>
      </c>
      <c r="U579" s="28" t="b">
        <v>0</v>
      </c>
      <c r="V579" s="28" t="b">
        <v>0</v>
      </c>
      <c r="W579" s="28" t="b">
        <v>0</v>
      </c>
    </row>
    <row r="580" ht="69" customHeight="1" s="222">
      <c r="A580" s="164">
        <f>#REF!</f>
        <v/>
      </c>
      <c r="B580" s="145" t="b">
        <v>0</v>
      </c>
      <c r="C580" s="176">
        <f>#REF!</f>
        <v/>
      </c>
      <c r="D580" s="174" t="n"/>
      <c r="E580" s="174" t="n"/>
      <c r="F580" s="176">
        <f>#REF!</f>
        <v/>
      </c>
      <c r="G580" s="174">
        <f>#REF!</f>
        <v/>
      </c>
      <c r="H580" s="174">
        <f>#REF!</f>
        <v/>
      </c>
      <c r="I580" s="174">
        <f>#REF!</f>
        <v/>
      </c>
      <c r="J580" s="174">
        <f>#REF!</f>
        <v/>
      </c>
      <c r="K580" s="176">
        <f>#REF!</f>
        <v/>
      </c>
      <c r="L580" s="173" t="n"/>
      <c r="M580" s="9" t="n"/>
      <c r="N580" s="28" t="b">
        <v>0</v>
      </c>
      <c r="O580" s="172" t="b">
        <v>0</v>
      </c>
      <c r="P580" s="28" t="b">
        <v>0</v>
      </c>
      <c r="Q580" s="28" t="b">
        <v>0</v>
      </c>
      <c r="R580" s="28" t="b">
        <v>0</v>
      </c>
      <c r="S580" s="28" t="b">
        <v>0</v>
      </c>
      <c r="T580" s="28" t="b">
        <v>0</v>
      </c>
      <c r="U580" s="28" t="b">
        <v>0</v>
      </c>
      <c r="V580" s="28" t="b">
        <v>0</v>
      </c>
      <c r="W580" s="28" t="b">
        <v>0</v>
      </c>
    </row>
    <row r="581" ht="69" customHeight="1" s="222">
      <c r="A581" s="164">
        <f>#REF!</f>
        <v/>
      </c>
      <c r="B581" s="145" t="b">
        <v>0</v>
      </c>
      <c r="C581" s="176">
        <f>#REF!</f>
        <v/>
      </c>
      <c r="D581" s="174" t="n"/>
      <c r="E581" s="174" t="n"/>
      <c r="F581" s="176">
        <f>#REF!</f>
        <v/>
      </c>
      <c r="G581" s="174">
        <f>#REF!</f>
        <v/>
      </c>
      <c r="H581" s="174">
        <f>#REF!</f>
        <v/>
      </c>
      <c r="I581" s="174">
        <f>#REF!</f>
        <v/>
      </c>
      <c r="J581" s="174">
        <f>#REF!</f>
        <v/>
      </c>
      <c r="K581" s="176">
        <f>#REF!</f>
        <v/>
      </c>
      <c r="L581" s="173" t="n"/>
      <c r="M581" s="9" t="n"/>
      <c r="N581" s="28" t="b">
        <v>0</v>
      </c>
      <c r="O581" s="172" t="b">
        <v>0</v>
      </c>
      <c r="P581" s="28" t="b">
        <v>0</v>
      </c>
      <c r="Q581" s="28" t="b">
        <v>0</v>
      </c>
      <c r="R581" s="28" t="b">
        <v>0</v>
      </c>
      <c r="S581" s="28" t="b">
        <v>0</v>
      </c>
      <c r="T581" s="28" t="b">
        <v>0</v>
      </c>
      <c r="U581" s="28" t="b">
        <v>0</v>
      </c>
      <c r="V581" s="28" t="b">
        <v>0</v>
      </c>
      <c r="W581" s="28" t="b">
        <v>0</v>
      </c>
    </row>
    <row r="582" ht="69" customHeight="1" s="222">
      <c r="A582" s="164">
        <f>#REF!</f>
        <v/>
      </c>
      <c r="B582" s="145" t="b">
        <v>0</v>
      </c>
      <c r="C582" s="176">
        <f>#REF!</f>
        <v/>
      </c>
      <c r="D582" s="174" t="n"/>
      <c r="E582" s="174" t="n"/>
      <c r="F582" s="176">
        <f>#REF!</f>
        <v/>
      </c>
      <c r="G582" s="174">
        <f>#REF!</f>
        <v/>
      </c>
      <c r="H582" s="174">
        <f>#REF!</f>
        <v/>
      </c>
      <c r="I582" s="174">
        <f>#REF!</f>
        <v/>
      </c>
      <c r="J582" s="174">
        <f>#REF!</f>
        <v/>
      </c>
      <c r="K582" s="176">
        <f>#REF!</f>
        <v/>
      </c>
      <c r="L582" s="173" t="n"/>
      <c r="M582" s="9" t="n"/>
      <c r="N582" s="28" t="b">
        <v>0</v>
      </c>
      <c r="O582" s="172" t="b">
        <v>0</v>
      </c>
      <c r="P582" s="28" t="b">
        <v>0</v>
      </c>
      <c r="Q582" s="28" t="b">
        <v>0</v>
      </c>
      <c r="R582" s="28" t="b">
        <v>0</v>
      </c>
      <c r="S582" s="28" t="b">
        <v>0</v>
      </c>
      <c r="T582" s="28" t="b">
        <v>0</v>
      </c>
      <c r="U582" s="28" t="b">
        <v>0</v>
      </c>
      <c r="V582" s="28" t="b">
        <v>0</v>
      </c>
      <c r="W582" s="28" t="b">
        <v>0</v>
      </c>
    </row>
    <row r="583" ht="69" customHeight="1" s="222">
      <c r="A583" s="164">
        <f>#REF!</f>
        <v/>
      </c>
      <c r="B583" s="145" t="b">
        <v>0</v>
      </c>
      <c r="C583" s="176">
        <f>#REF!</f>
        <v/>
      </c>
      <c r="D583" s="174" t="n"/>
      <c r="E583" s="174" t="n"/>
      <c r="F583" s="176">
        <f>#REF!</f>
        <v/>
      </c>
      <c r="G583" s="174">
        <f>#REF!</f>
        <v/>
      </c>
      <c r="H583" s="174">
        <f>#REF!</f>
        <v/>
      </c>
      <c r="I583" s="174">
        <f>#REF!</f>
        <v/>
      </c>
      <c r="J583" s="174">
        <f>#REF!</f>
        <v/>
      </c>
      <c r="K583" s="176">
        <f>#REF!</f>
        <v/>
      </c>
      <c r="L583" s="173" t="n"/>
      <c r="M583" s="9" t="n"/>
      <c r="N583" s="28" t="b">
        <v>0</v>
      </c>
      <c r="O583" s="172" t="b">
        <v>0</v>
      </c>
      <c r="P583" s="28" t="b">
        <v>0</v>
      </c>
      <c r="Q583" s="28" t="b">
        <v>0</v>
      </c>
      <c r="R583" s="28" t="b">
        <v>0</v>
      </c>
      <c r="S583" s="28" t="b">
        <v>0</v>
      </c>
      <c r="T583" s="28" t="b">
        <v>0</v>
      </c>
      <c r="U583" s="28" t="b">
        <v>0</v>
      </c>
      <c r="V583" s="28" t="b">
        <v>0</v>
      </c>
      <c r="W583" s="28" t="b">
        <v>0</v>
      </c>
    </row>
    <row r="584" ht="69" customHeight="1" s="222">
      <c r="A584" s="164">
        <f>#REF!</f>
        <v/>
      </c>
      <c r="B584" s="145" t="b">
        <v>0</v>
      </c>
      <c r="C584" s="176">
        <f>#REF!</f>
        <v/>
      </c>
      <c r="D584" s="174" t="n"/>
      <c r="E584" s="174" t="n"/>
      <c r="F584" s="176">
        <f>#REF!</f>
        <v/>
      </c>
      <c r="G584" s="174">
        <f>#REF!</f>
        <v/>
      </c>
      <c r="H584" s="174">
        <f>#REF!</f>
        <v/>
      </c>
      <c r="I584" s="174">
        <f>#REF!</f>
        <v/>
      </c>
      <c r="J584" s="174">
        <f>#REF!</f>
        <v/>
      </c>
      <c r="K584" s="176">
        <f>#REF!</f>
        <v/>
      </c>
      <c r="L584" s="173" t="n"/>
      <c r="M584" s="9" t="n"/>
      <c r="N584" s="28" t="b">
        <v>0</v>
      </c>
      <c r="O584" s="172" t="b">
        <v>0</v>
      </c>
      <c r="P584" s="28" t="b">
        <v>0</v>
      </c>
      <c r="Q584" s="28" t="b">
        <v>0</v>
      </c>
      <c r="R584" s="28" t="b">
        <v>0</v>
      </c>
      <c r="S584" s="28" t="b">
        <v>0</v>
      </c>
      <c r="T584" s="28" t="b">
        <v>0</v>
      </c>
      <c r="U584" s="28" t="b">
        <v>0</v>
      </c>
      <c r="V584" s="28" t="b">
        <v>0</v>
      </c>
      <c r="W584" s="28" t="b">
        <v>0</v>
      </c>
    </row>
    <row r="585" ht="69" customHeight="1" s="222">
      <c r="A585" s="164">
        <f>#REF!</f>
        <v/>
      </c>
      <c r="B585" s="145" t="b">
        <v>0</v>
      </c>
      <c r="C585" s="176">
        <f>#REF!</f>
        <v/>
      </c>
      <c r="D585" s="174" t="n"/>
      <c r="E585" s="174" t="n"/>
      <c r="F585" s="176">
        <f>#REF!</f>
        <v/>
      </c>
      <c r="G585" s="174">
        <f>#REF!</f>
        <v/>
      </c>
      <c r="H585" s="174">
        <f>#REF!</f>
        <v/>
      </c>
      <c r="I585" s="174">
        <f>#REF!</f>
        <v/>
      </c>
      <c r="J585" s="174">
        <f>#REF!</f>
        <v/>
      </c>
      <c r="K585" s="176">
        <f>#REF!</f>
        <v/>
      </c>
      <c r="L585" s="173" t="n"/>
      <c r="M585" s="9" t="n"/>
      <c r="N585" s="28" t="b">
        <v>0</v>
      </c>
      <c r="O585" s="172" t="b">
        <v>0</v>
      </c>
      <c r="P585" s="28" t="b">
        <v>0</v>
      </c>
      <c r="Q585" s="28" t="b">
        <v>0</v>
      </c>
      <c r="R585" s="28" t="b">
        <v>0</v>
      </c>
      <c r="S585" s="28" t="b">
        <v>0</v>
      </c>
      <c r="T585" s="28" t="b">
        <v>0</v>
      </c>
      <c r="U585" s="28" t="b">
        <v>0</v>
      </c>
      <c r="V585" s="28" t="b">
        <v>0</v>
      </c>
      <c r="W585" s="28" t="b">
        <v>0</v>
      </c>
    </row>
    <row r="586" ht="69" customHeight="1" s="222">
      <c r="A586" s="164">
        <f>#REF!</f>
        <v/>
      </c>
      <c r="B586" s="145" t="b">
        <v>0</v>
      </c>
      <c r="C586" s="176">
        <f>#REF!</f>
        <v/>
      </c>
      <c r="D586" s="174" t="n"/>
      <c r="E586" s="174" t="n"/>
      <c r="F586" s="176">
        <f>#REF!</f>
        <v/>
      </c>
      <c r="G586" s="174">
        <f>#REF!</f>
        <v/>
      </c>
      <c r="H586" s="174">
        <f>#REF!</f>
        <v/>
      </c>
      <c r="I586" s="174">
        <f>#REF!</f>
        <v/>
      </c>
      <c r="J586" s="174">
        <f>#REF!</f>
        <v/>
      </c>
      <c r="K586" s="176">
        <f>#REF!</f>
        <v/>
      </c>
      <c r="L586" s="173" t="n"/>
      <c r="M586" s="9" t="n"/>
      <c r="N586" s="28" t="b">
        <v>0</v>
      </c>
      <c r="O586" s="172" t="b">
        <v>0</v>
      </c>
      <c r="P586" s="28" t="b">
        <v>0</v>
      </c>
      <c r="Q586" s="28" t="b">
        <v>0</v>
      </c>
      <c r="R586" s="28" t="b">
        <v>0</v>
      </c>
      <c r="S586" s="28" t="b">
        <v>0</v>
      </c>
      <c r="T586" s="28" t="b">
        <v>0</v>
      </c>
      <c r="U586" s="28" t="b">
        <v>0</v>
      </c>
      <c r="V586" s="28" t="b">
        <v>0</v>
      </c>
      <c r="W586" s="28" t="b">
        <v>0</v>
      </c>
    </row>
    <row r="587" ht="69" customHeight="1" s="222">
      <c r="A587" s="164">
        <f>#REF!</f>
        <v/>
      </c>
      <c r="B587" s="145" t="b">
        <v>0</v>
      </c>
      <c r="C587" s="176">
        <f>#REF!</f>
        <v/>
      </c>
      <c r="D587" s="174" t="n"/>
      <c r="E587" s="174" t="n"/>
      <c r="F587" s="176">
        <f>#REF!</f>
        <v/>
      </c>
      <c r="G587" s="174">
        <f>#REF!</f>
        <v/>
      </c>
      <c r="H587" s="174">
        <f>#REF!</f>
        <v/>
      </c>
      <c r="I587" s="174">
        <f>#REF!</f>
        <v/>
      </c>
      <c r="J587" s="174">
        <f>#REF!</f>
        <v/>
      </c>
      <c r="K587" s="176">
        <f>#REF!</f>
        <v/>
      </c>
      <c r="L587" s="173" t="n"/>
      <c r="M587" s="9" t="n"/>
      <c r="N587" s="28" t="b">
        <v>0</v>
      </c>
      <c r="O587" s="172" t="b">
        <v>0</v>
      </c>
      <c r="P587" s="28" t="b">
        <v>0</v>
      </c>
      <c r="Q587" s="28" t="b">
        <v>0</v>
      </c>
      <c r="R587" s="28" t="b">
        <v>0</v>
      </c>
      <c r="S587" s="28" t="b">
        <v>0</v>
      </c>
      <c r="T587" s="28" t="b">
        <v>0</v>
      </c>
      <c r="U587" s="28" t="b">
        <v>0</v>
      </c>
      <c r="V587" s="28" t="b">
        <v>0</v>
      </c>
      <c r="W587" s="28" t="b">
        <v>0</v>
      </c>
    </row>
    <row r="588" ht="69" customHeight="1" s="222">
      <c r="A588" s="164">
        <f>#REF!</f>
        <v/>
      </c>
      <c r="B588" s="145" t="b">
        <v>0</v>
      </c>
      <c r="C588" s="176">
        <f>#REF!</f>
        <v/>
      </c>
      <c r="D588" s="174" t="n"/>
      <c r="E588" s="174" t="n"/>
      <c r="F588" s="176">
        <f>#REF!</f>
        <v/>
      </c>
      <c r="G588" s="174">
        <f>#REF!</f>
        <v/>
      </c>
      <c r="H588" s="174">
        <f>#REF!</f>
        <v/>
      </c>
      <c r="I588" s="174">
        <f>#REF!</f>
        <v/>
      </c>
      <c r="J588" s="174">
        <f>#REF!</f>
        <v/>
      </c>
      <c r="K588" s="176">
        <f>#REF!</f>
        <v/>
      </c>
      <c r="L588" s="173" t="n"/>
      <c r="M588" s="9" t="n"/>
      <c r="N588" s="28" t="b">
        <v>0</v>
      </c>
      <c r="O588" s="172" t="b">
        <v>0</v>
      </c>
      <c r="P588" s="28" t="b">
        <v>0</v>
      </c>
      <c r="Q588" s="28" t="b">
        <v>0</v>
      </c>
      <c r="R588" s="28" t="b">
        <v>0</v>
      </c>
      <c r="S588" s="28" t="b">
        <v>0</v>
      </c>
      <c r="T588" s="28" t="b">
        <v>0</v>
      </c>
      <c r="U588" s="28" t="b">
        <v>0</v>
      </c>
      <c r="V588" s="28" t="b">
        <v>0</v>
      </c>
      <c r="W588" s="28" t="b">
        <v>0</v>
      </c>
    </row>
    <row r="589" ht="69" customHeight="1" s="222">
      <c r="A589" s="164">
        <f>#REF!</f>
        <v/>
      </c>
      <c r="B589" s="145" t="b">
        <v>0</v>
      </c>
      <c r="C589" s="176">
        <f>#REF!</f>
        <v/>
      </c>
      <c r="D589" s="174" t="n"/>
      <c r="E589" s="174" t="n"/>
      <c r="F589" s="176">
        <f>#REF!</f>
        <v/>
      </c>
      <c r="G589" s="174">
        <f>#REF!</f>
        <v/>
      </c>
      <c r="H589" s="174">
        <f>#REF!</f>
        <v/>
      </c>
      <c r="I589" s="174">
        <f>#REF!</f>
        <v/>
      </c>
      <c r="J589" s="174">
        <f>#REF!</f>
        <v/>
      </c>
      <c r="K589" s="176">
        <f>#REF!</f>
        <v/>
      </c>
      <c r="L589" s="173" t="n"/>
      <c r="M589" s="9" t="n"/>
      <c r="N589" s="28" t="b">
        <v>0</v>
      </c>
      <c r="O589" s="172" t="b">
        <v>0</v>
      </c>
      <c r="P589" s="28" t="b">
        <v>0</v>
      </c>
      <c r="Q589" s="28" t="b">
        <v>0</v>
      </c>
      <c r="R589" s="28" t="b">
        <v>0</v>
      </c>
      <c r="S589" s="28" t="b">
        <v>0</v>
      </c>
      <c r="T589" s="28" t="b">
        <v>0</v>
      </c>
      <c r="U589" s="28" t="b">
        <v>0</v>
      </c>
      <c r="V589" s="28" t="b">
        <v>0</v>
      </c>
      <c r="W589" s="28" t="b">
        <v>0</v>
      </c>
    </row>
    <row r="590" ht="69" customHeight="1" s="222">
      <c r="A590" s="164">
        <f>#REF!</f>
        <v/>
      </c>
      <c r="B590" s="145" t="b">
        <v>0</v>
      </c>
      <c r="C590" s="176">
        <f>#REF!</f>
        <v/>
      </c>
      <c r="D590" s="174" t="n"/>
      <c r="E590" s="174" t="n"/>
      <c r="F590" s="176">
        <f>#REF!</f>
        <v/>
      </c>
      <c r="G590" s="174">
        <f>#REF!</f>
        <v/>
      </c>
      <c r="H590" s="174">
        <f>#REF!</f>
        <v/>
      </c>
      <c r="I590" s="174">
        <f>#REF!</f>
        <v/>
      </c>
      <c r="J590" s="174">
        <f>#REF!</f>
        <v/>
      </c>
      <c r="K590" s="176">
        <f>#REF!</f>
        <v/>
      </c>
      <c r="L590" s="173" t="n"/>
      <c r="M590" s="9" t="n"/>
      <c r="N590" s="28" t="b">
        <v>0</v>
      </c>
      <c r="O590" s="172" t="b">
        <v>0</v>
      </c>
      <c r="P590" s="28" t="b">
        <v>0</v>
      </c>
      <c r="Q590" s="28" t="b">
        <v>0</v>
      </c>
      <c r="R590" s="28" t="b">
        <v>0</v>
      </c>
      <c r="S590" s="28" t="b">
        <v>0</v>
      </c>
      <c r="T590" s="28" t="b">
        <v>0</v>
      </c>
      <c r="U590" s="28" t="b">
        <v>0</v>
      </c>
      <c r="V590" s="28" t="b">
        <v>0</v>
      </c>
      <c r="W590" s="28" t="b">
        <v>0</v>
      </c>
    </row>
    <row r="591" ht="69" customHeight="1" s="222">
      <c r="A591" s="164">
        <f>#REF!</f>
        <v/>
      </c>
      <c r="B591" s="145" t="b">
        <v>0</v>
      </c>
      <c r="C591" s="176">
        <f>#REF!</f>
        <v/>
      </c>
      <c r="D591" s="174" t="n"/>
      <c r="E591" s="174" t="n"/>
      <c r="F591" s="176">
        <f>#REF!</f>
        <v/>
      </c>
      <c r="G591" s="174">
        <f>#REF!</f>
        <v/>
      </c>
      <c r="H591" s="174">
        <f>#REF!</f>
        <v/>
      </c>
      <c r="I591" s="174">
        <f>#REF!</f>
        <v/>
      </c>
      <c r="J591" s="174">
        <f>#REF!</f>
        <v/>
      </c>
      <c r="K591" s="176">
        <f>#REF!</f>
        <v/>
      </c>
      <c r="L591" s="173" t="n"/>
      <c r="M591" s="9" t="n"/>
      <c r="N591" s="28" t="b">
        <v>0</v>
      </c>
      <c r="O591" s="172" t="b">
        <v>0</v>
      </c>
      <c r="P591" s="28" t="b">
        <v>0</v>
      </c>
      <c r="Q591" s="28" t="b">
        <v>0</v>
      </c>
      <c r="R591" s="28" t="b">
        <v>0</v>
      </c>
      <c r="S591" s="28" t="b">
        <v>0</v>
      </c>
      <c r="T591" s="28" t="b">
        <v>0</v>
      </c>
      <c r="U591" s="28" t="b">
        <v>0</v>
      </c>
      <c r="V591" s="28" t="b">
        <v>0</v>
      </c>
      <c r="W591" s="28" t="b">
        <v>0</v>
      </c>
    </row>
    <row r="592" ht="69" customHeight="1" s="222">
      <c r="A592" s="164">
        <f>#REF!</f>
        <v/>
      </c>
      <c r="B592" s="145" t="b">
        <v>0</v>
      </c>
      <c r="C592" s="176">
        <f>#REF!</f>
        <v/>
      </c>
      <c r="D592" s="174" t="n"/>
      <c r="E592" s="174" t="n"/>
      <c r="F592" s="176">
        <f>#REF!</f>
        <v/>
      </c>
      <c r="G592" s="174">
        <f>#REF!</f>
        <v/>
      </c>
      <c r="H592" s="174">
        <f>#REF!</f>
        <v/>
      </c>
      <c r="I592" s="174">
        <f>#REF!</f>
        <v/>
      </c>
      <c r="J592" s="174">
        <f>#REF!</f>
        <v/>
      </c>
      <c r="K592" s="176">
        <f>#REF!</f>
        <v/>
      </c>
      <c r="L592" s="173" t="n"/>
      <c r="M592" s="9" t="n"/>
      <c r="N592" s="28" t="b">
        <v>0</v>
      </c>
      <c r="O592" s="172" t="b">
        <v>0</v>
      </c>
      <c r="P592" s="28" t="b">
        <v>0</v>
      </c>
      <c r="Q592" s="28" t="b">
        <v>0</v>
      </c>
      <c r="R592" s="28" t="b">
        <v>0</v>
      </c>
      <c r="S592" s="28" t="b">
        <v>0</v>
      </c>
      <c r="T592" s="28" t="b">
        <v>0</v>
      </c>
      <c r="U592" s="28" t="b">
        <v>0</v>
      </c>
      <c r="V592" s="28" t="b">
        <v>0</v>
      </c>
      <c r="W592" s="28" t="b">
        <v>0</v>
      </c>
    </row>
    <row r="593" ht="69" customHeight="1" s="222">
      <c r="A593" s="164">
        <f>#REF!</f>
        <v/>
      </c>
      <c r="B593" s="145" t="b">
        <v>0</v>
      </c>
      <c r="C593" s="176">
        <f>#REF!</f>
        <v/>
      </c>
      <c r="D593" s="174" t="n"/>
      <c r="E593" s="174" t="n"/>
      <c r="F593" s="176">
        <f>#REF!</f>
        <v/>
      </c>
      <c r="G593" s="174">
        <f>#REF!</f>
        <v/>
      </c>
      <c r="H593" s="174">
        <f>#REF!</f>
        <v/>
      </c>
      <c r="I593" s="174">
        <f>#REF!</f>
        <v/>
      </c>
      <c r="J593" s="174">
        <f>#REF!</f>
        <v/>
      </c>
      <c r="K593" s="176">
        <f>#REF!</f>
        <v/>
      </c>
      <c r="L593" s="173" t="n"/>
      <c r="M593" s="9" t="n"/>
      <c r="N593" s="28" t="b">
        <v>0</v>
      </c>
      <c r="O593" s="172" t="b">
        <v>0</v>
      </c>
      <c r="P593" s="28" t="b">
        <v>0</v>
      </c>
      <c r="Q593" s="28" t="b">
        <v>0</v>
      </c>
      <c r="R593" s="28" t="b">
        <v>0</v>
      </c>
      <c r="S593" s="28" t="b">
        <v>0</v>
      </c>
      <c r="T593" s="28" t="b">
        <v>0</v>
      </c>
      <c r="U593" s="28" t="b">
        <v>0</v>
      </c>
      <c r="V593" s="28" t="b">
        <v>0</v>
      </c>
      <c r="W593" s="28" t="b">
        <v>0</v>
      </c>
    </row>
    <row r="594" ht="69" customHeight="1" s="222">
      <c r="A594" s="164">
        <f>#REF!</f>
        <v/>
      </c>
      <c r="B594" s="145" t="b">
        <v>0</v>
      </c>
      <c r="C594" s="176">
        <f>#REF!</f>
        <v/>
      </c>
      <c r="D594" s="174" t="n"/>
      <c r="E594" s="174" t="n"/>
      <c r="F594" s="176">
        <f>#REF!</f>
        <v/>
      </c>
      <c r="G594" s="174">
        <f>#REF!</f>
        <v/>
      </c>
      <c r="H594" s="174">
        <f>#REF!</f>
        <v/>
      </c>
      <c r="I594" s="174">
        <f>#REF!</f>
        <v/>
      </c>
      <c r="J594" s="174">
        <f>#REF!</f>
        <v/>
      </c>
      <c r="K594" s="176">
        <f>#REF!</f>
        <v/>
      </c>
      <c r="L594" s="173" t="n"/>
      <c r="M594" s="9" t="n"/>
      <c r="N594" s="28" t="b">
        <v>0</v>
      </c>
      <c r="O594" s="172" t="b">
        <v>0</v>
      </c>
      <c r="P594" s="28" t="b">
        <v>0</v>
      </c>
      <c r="Q594" s="28" t="b">
        <v>0</v>
      </c>
      <c r="R594" s="28" t="b">
        <v>0</v>
      </c>
      <c r="S594" s="28" t="b">
        <v>0</v>
      </c>
      <c r="T594" s="28" t="b">
        <v>0</v>
      </c>
      <c r="U594" s="28" t="b">
        <v>0</v>
      </c>
      <c r="V594" s="28" t="b">
        <v>0</v>
      </c>
      <c r="W594" s="28" t="b">
        <v>0</v>
      </c>
    </row>
    <row r="595" ht="69" customHeight="1" s="222">
      <c r="A595" s="164">
        <f>#REF!</f>
        <v/>
      </c>
      <c r="B595" s="145" t="b">
        <v>0</v>
      </c>
      <c r="C595" s="176">
        <f>#REF!</f>
        <v/>
      </c>
      <c r="D595" s="174" t="n"/>
      <c r="E595" s="174" t="n"/>
      <c r="F595" s="176">
        <f>#REF!</f>
        <v/>
      </c>
      <c r="G595" s="174">
        <f>#REF!</f>
        <v/>
      </c>
      <c r="H595" s="174">
        <f>#REF!</f>
        <v/>
      </c>
      <c r="I595" s="174">
        <f>#REF!</f>
        <v/>
      </c>
      <c r="J595" s="174">
        <f>#REF!</f>
        <v/>
      </c>
      <c r="K595" s="176">
        <f>#REF!</f>
        <v/>
      </c>
      <c r="L595" s="173" t="n"/>
      <c r="M595" s="9" t="n"/>
      <c r="N595" s="28" t="b">
        <v>0</v>
      </c>
      <c r="O595" s="172" t="b">
        <v>0</v>
      </c>
      <c r="P595" s="28" t="b">
        <v>0</v>
      </c>
      <c r="Q595" s="28" t="b">
        <v>0</v>
      </c>
      <c r="R595" s="28" t="b">
        <v>0</v>
      </c>
      <c r="S595" s="28" t="b">
        <v>0</v>
      </c>
      <c r="T595" s="28" t="b">
        <v>0</v>
      </c>
      <c r="U595" s="28" t="b">
        <v>0</v>
      </c>
      <c r="V595" s="28" t="b">
        <v>0</v>
      </c>
      <c r="W595" s="28" t="b">
        <v>0</v>
      </c>
    </row>
    <row r="596" ht="69" customHeight="1" s="222">
      <c r="A596" s="164">
        <f>#REF!</f>
        <v/>
      </c>
      <c r="B596" s="145" t="b">
        <v>0</v>
      </c>
      <c r="C596" s="176">
        <f>#REF!</f>
        <v/>
      </c>
      <c r="D596" s="174" t="n"/>
      <c r="E596" s="174" t="n"/>
      <c r="F596" s="176">
        <f>#REF!</f>
        <v/>
      </c>
      <c r="G596" s="174">
        <f>#REF!</f>
        <v/>
      </c>
      <c r="H596" s="174">
        <f>#REF!</f>
        <v/>
      </c>
      <c r="I596" s="174">
        <f>#REF!</f>
        <v/>
      </c>
      <c r="J596" s="174">
        <f>#REF!</f>
        <v/>
      </c>
      <c r="K596" s="176">
        <f>#REF!</f>
        <v/>
      </c>
      <c r="L596" s="173" t="n"/>
      <c r="M596" s="9" t="n"/>
      <c r="N596" s="28" t="b">
        <v>0</v>
      </c>
      <c r="O596" s="172" t="b">
        <v>0</v>
      </c>
      <c r="P596" s="28" t="b">
        <v>0</v>
      </c>
      <c r="Q596" s="28" t="b">
        <v>0</v>
      </c>
      <c r="R596" s="28" t="b">
        <v>0</v>
      </c>
      <c r="S596" s="28" t="b">
        <v>0</v>
      </c>
      <c r="T596" s="28" t="b">
        <v>0</v>
      </c>
      <c r="U596" s="28" t="b">
        <v>0</v>
      </c>
      <c r="V596" s="28" t="b">
        <v>0</v>
      </c>
      <c r="W596" s="28" t="b">
        <v>0</v>
      </c>
    </row>
    <row r="597" ht="69" customHeight="1" s="222">
      <c r="A597" s="164">
        <f>#REF!</f>
        <v/>
      </c>
      <c r="B597" s="145" t="b">
        <v>0</v>
      </c>
      <c r="C597" s="176">
        <f>#REF!</f>
        <v/>
      </c>
      <c r="D597" s="174" t="n"/>
      <c r="E597" s="174" t="n"/>
      <c r="F597" s="176">
        <f>#REF!</f>
        <v/>
      </c>
      <c r="G597" s="174">
        <f>#REF!</f>
        <v/>
      </c>
      <c r="H597" s="174">
        <f>#REF!</f>
        <v/>
      </c>
      <c r="I597" s="174">
        <f>#REF!</f>
        <v/>
      </c>
      <c r="J597" s="174">
        <f>#REF!</f>
        <v/>
      </c>
      <c r="K597" s="176">
        <f>#REF!</f>
        <v/>
      </c>
      <c r="L597" s="173" t="n"/>
      <c r="M597" s="9" t="n"/>
      <c r="N597" s="28" t="b">
        <v>0</v>
      </c>
      <c r="O597" s="172" t="b">
        <v>0</v>
      </c>
      <c r="P597" s="28" t="b">
        <v>0</v>
      </c>
      <c r="Q597" s="28" t="b">
        <v>0</v>
      </c>
      <c r="R597" s="28" t="b">
        <v>0</v>
      </c>
      <c r="S597" s="28" t="b">
        <v>0</v>
      </c>
      <c r="T597" s="28" t="b">
        <v>0</v>
      </c>
      <c r="U597" s="28" t="b">
        <v>0</v>
      </c>
      <c r="V597" s="28" t="b">
        <v>0</v>
      </c>
      <c r="W597" s="28" t="b">
        <v>0</v>
      </c>
    </row>
    <row r="598" ht="69" customHeight="1" s="222">
      <c r="A598" s="164">
        <f>#REF!</f>
        <v/>
      </c>
      <c r="B598" s="145" t="b">
        <v>0</v>
      </c>
      <c r="C598" s="176">
        <f>#REF!</f>
        <v/>
      </c>
      <c r="D598" s="174" t="n"/>
      <c r="E598" s="174" t="n"/>
      <c r="F598" s="176">
        <f>#REF!</f>
        <v/>
      </c>
      <c r="G598" s="174">
        <f>#REF!</f>
        <v/>
      </c>
      <c r="H598" s="174">
        <f>#REF!</f>
        <v/>
      </c>
      <c r="I598" s="174">
        <f>#REF!</f>
        <v/>
      </c>
      <c r="J598" s="174">
        <f>#REF!</f>
        <v/>
      </c>
      <c r="K598" s="176">
        <f>#REF!</f>
        <v/>
      </c>
      <c r="L598" s="173" t="n"/>
      <c r="M598" s="9" t="n"/>
      <c r="N598" s="28" t="b">
        <v>0</v>
      </c>
      <c r="O598" s="172" t="b">
        <v>0</v>
      </c>
      <c r="P598" s="28" t="b">
        <v>0</v>
      </c>
      <c r="Q598" s="28" t="b">
        <v>0</v>
      </c>
      <c r="R598" s="28" t="b">
        <v>0</v>
      </c>
      <c r="S598" s="28" t="b">
        <v>0</v>
      </c>
      <c r="T598" s="28" t="b">
        <v>0</v>
      </c>
      <c r="U598" s="28" t="b">
        <v>0</v>
      </c>
      <c r="V598" s="28" t="b">
        <v>0</v>
      </c>
      <c r="W598" s="28" t="b">
        <v>0</v>
      </c>
    </row>
    <row r="599" ht="69" customHeight="1" s="222">
      <c r="A599" s="164">
        <f>#REF!</f>
        <v/>
      </c>
      <c r="B599" s="145" t="b">
        <v>0</v>
      </c>
      <c r="C599" s="176">
        <f>#REF!</f>
        <v/>
      </c>
      <c r="D599" s="174" t="n"/>
      <c r="E599" s="174" t="n"/>
      <c r="F599" s="176">
        <f>#REF!</f>
        <v/>
      </c>
      <c r="G599" s="174">
        <f>#REF!</f>
        <v/>
      </c>
      <c r="H599" s="174">
        <f>#REF!</f>
        <v/>
      </c>
      <c r="I599" s="174">
        <f>#REF!</f>
        <v/>
      </c>
      <c r="J599" s="174">
        <f>#REF!</f>
        <v/>
      </c>
      <c r="K599" s="176">
        <f>#REF!</f>
        <v/>
      </c>
      <c r="L599" s="173" t="n"/>
      <c r="M599" s="9" t="n"/>
      <c r="N599" s="28" t="b">
        <v>0</v>
      </c>
      <c r="O599" s="172" t="b">
        <v>0</v>
      </c>
      <c r="P599" s="28" t="b">
        <v>0</v>
      </c>
      <c r="Q599" s="28" t="b">
        <v>0</v>
      </c>
      <c r="R599" s="28" t="b">
        <v>0</v>
      </c>
      <c r="S599" s="28" t="b">
        <v>0</v>
      </c>
      <c r="T599" s="28" t="b">
        <v>0</v>
      </c>
      <c r="U599" s="28" t="b">
        <v>0</v>
      </c>
      <c r="V599" s="28" t="b">
        <v>0</v>
      </c>
      <c r="W599" s="28" t="b">
        <v>0</v>
      </c>
    </row>
    <row r="600" ht="69" customHeight="1" s="222">
      <c r="A600" s="164">
        <f>#REF!</f>
        <v/>
      </c>
      <c r="B600" s="145" t="b">
        <v>0</v>
      </c>
      <c r="C600" s="176">
        <f>#REF!</f>
        <v/>
      </c>
      <c r="D600" s="174" t="n"/>
      <c r="E600" s="174" t="n"/>
      <c r="F600" s="176">
        <f>#REF!</f>
        <v/>
      </c>
      <c r="G600" s="174">
        <f>#REF!</f>
        <v/>
      </c>
      <c r="H600" s="174">
        <f>#REF!</f>
        <v/>
      </c>
      <c r="I600" s="174">
        <f>#REF!</f>
        <v/>
      </c>
      <c r="J600" s="174">
        <f>#REF!</f>
        <v/>
      </c>
      <c r="K600" s="176">
        <f>#REF!</f>
        <v/>
      </c>
      <c r="L600" s="173" t="n"/>
      <c r="M600" s="9" t="n"/>
      <c r="N600" s="28" t="b">
        <v>0</v>
      </c>
      <c r="O600" s="172" t="b">
        <v>0</v>
      </c>
      <c r="P600" s="28" t="b">
        <v>0</v>
      </c>
      <c r="Q600" s="28" t="b">
        <v>0</v>
      </c>
      <c r="R600" s="28" t="b">
        <v>0</v>
      </c>
      <c r="S600" s="28" t="b">
        <v>0</v>
      </c>
      <c r="T600" s="28" t="b">
        <v>0</v>
      </c>
      <c r="U600" s="28" t="b">
        <v>0</v>
      </c>
      <c r="V600" s="28" t="b">
        <v>0</v>
      </c>
      <c r="W600" s="28" t="b">
        <v>0</v>
      </c>
    </row>
    <row r="601" ht="69" customHeight="1" s="222">
      <c r="A601" s="164">
        <f>#REF!</f>
        <v/>
      </c>
      <c r="B601" s="145" t="b">
        <v>0</v>
      </c>
      <c r="C601" s="176">
        <f>#REF!</f>
        <v/>
      </c>
      <c r="D601" s="174" t="n"/>
      <c r="E601" s="174" t="n"/>
      <c r="F601" s="176">
        <f>#REF!</f>
        <v/>
      </c>
      <c r="G601" s="174">
        <f>#REF!</f>
        <v/>
      </c>
      <c r="H601" s="174">
        <f>#REF!</f>
        <v/>
      </c>
      <c r="I601" s="174">
        <f>#REF!</f>
        <v/>
      </c>
      <c r="J601" s="174">
        <f>#REF!</f>
        <v/>
      </c>
      <c r="K601" s="176">
        <f>#REF!</f>
        <v/>
      </c>
      <c r="L601" s="173" t="n"/>
      <c r="M601" s="9" t="n"/>
      <c r="N601" s="28" t="b">
        <v>0</v>
      </c>
      <c r="O601" s="172" t="b">
        <v>0</v>
      </c>
      <c r="P601" s="28" t="b">
        <v>0</v>
      </c>
      <c r="Q601" s="28" t="b">
        <v>0</v>
      </c>
      <c r="R601" s="28" t="b">
        <v>0</v>
      </c>
      <c r="S601" s="28" t="b">
        <v>0</v>
      </c>
      <c r="T601" s="28" t="b">
        <v>0</v>
      </c>
      <c r="U601" s="28" t="b">
        <v>0</v>
      </c>
      <c r="V601" s="28" t="b">
        <v>0</v>
      </c>
      <c r="W601" s="28" t="b">
        <v>0</v>
      </c>
    </row>
    <row r="602" ht="69" customHeight="1" s="222">
      <c r="A602" s="164">
        <f>#REF!</f>
        <v/>
      </c>
      <c r="B602" s="145" t="b">
        <v>0</v>
      </c>
      <c r="C602" s="176">
        <f>#REF!</f>
        <v/>
      </c>
      <c r="D602" s="174" t="n"/>
      <c r="E602" s="174" t="n"/>
      <c r="F602" s="176">
        <f>#REF!</f>
        <v/>
      </c>
      <c r="G602" s="174">
        <f>#REF!</f>
        <v/>
      </c>
      <c r="H602" s="174">
        <f>#REF!</f>
        <v/>
      </c>
      <c r="I602" s="174">
        <f>#REF!</f>
        <v/>
      </c>
      <c r="J602" s="174">
        <f>#REF!</f>
        <v/>
      </c>
      <c r="K602" s="176">
        <f>#REF!</f>
        <v/>
      </c>
      <c r="L602" s="173" t="n"/>
      <c r="M602" s="9" t="n"/>
      <c r="N602" s="28" t="b">
        <v>0</v>
      </c>
      <c r="O602" s="172" t="b">
        <v>0</v>
      </c>
      <c r="P602" s="28" t="b">
        <v>0</v>
      </c>
      <c r="Q602" s="28" t="b">
        <v>0</v>
      </c>
      <c r="R602" s="28" t="b">
        <v>0</v>
      </c>
      <c r="S602" s="28" t="b">
        <v>0</v>
      </c>
      <c r="T602" s="28" t="b">
        <v>0</v>
      </c>
      <c r="U602" s="28" t="b">
        <v>0</v>
      </c>
      <c r="V602" s="28" t="b">
        <v>0</v>
      </c>
      <c r="W602" s="28" t="b">
        <v>0</v>
      </c>
    </row>
    <row r="603" ht="69" customHeight="1" s="222">
      <c r="A603" s="164">
        <f>#REF!</f>
        <v/>
      </c>
      <c r="B603" s="145" t="b">
        <v>0</v>
      </c>
      <c r="C603" s="176">
        <f>#REF!</f>
        <v/>
      </c>
      <c r="D603" s="174" t="n"/>
      <c r="E603" s="174" t="n"/>
      <c r="F603" s="176">
        <f>#REF!</f>
        <v/>
      </c>
      <c r="G603" s="174">
        <f>#REF!</f>
        <v/>
      </c>
      <c r="H603" s="174">
        <f>#REF!</f>
        <v/>
      </c>
      <c r="I603" s="174">
        <f>#REF!</f>
        <v/>
      </c>
      <c r="J603" s="174">
        <f>#REF!</f>
        <v/>
      </c>
      <c r="K603" s="176">
        <f>#REF!</f>
        <v/>
      </c>
      <c r="L603" s="173" t="n"/>
      <c r="M603" s="9" t="n"/>
      <c r="N603" s="28" t="b">
        <v>0</v>
      </c>
      <c r="O603" s="172" t="b">
        <v>0</v>
      </c>
      <c r="P603" s="28" t="b">
        <v>0</v>
      </c>
      <c r="Q603" s="28" t="b">
        <v>0</v>
      </c>
      <c r="R603" s="28" t="b">
        <v>0</v>
      </c>
      <c r="S603" s="28" t="b">
        <v>0</v>
      </c>
      <c r="T603" s="28" t="b">
        <v>0</v>
      </c>
      <c r="U603" s="28" t="b">
        <v>0</v>
      </c>
      <c r="V603" s="28" t="b">
        <v>0</v>
      </c>
      <c r="W603" s="28" t="b">
        <v>0</v>
      </c>
    </row>
    <row r="604" ht="69" customHeight="1" s="222">
      <c r="A604" s="164">
        <f>#REF!</f>
        <v/>
      </c>
      <c r="B604" s="145" t="b">
        <v>0</v>
      </c>
      <c r="C604" s="176">
        <f>#REF!</f>
        <v/>
      </c>
      <c r="D604" s="174" t="n"/>
      <c r="E604" s="174" t="n"/>
      <c r="F604" s="176">
        <f>#REF!</f>
        <v/>
      </c>
      <c r="G604" s="174">
        <f>#REF!</f>
        <v/>
      </c>
      <c r="H604" s="174">
        <f>#REF!</f>
        <v/>
      </c>
      <c r="I604" s="174">
        <f>#REF!</f>
        <v/>
      </c>
      <c r="J604" s="174">
        <f>#REF!</f>
        <v/>
      </c>
      <c r="K604" s="176">
        <f>#REF!</f>
        <v/>
      </c>
      <c r="L604" s="173" t="n"/>
      <c r="M604" s="9" t="n"/>
      <c r="N604" s="28" t="b">
        <v>0</v>
      </c>
      <c r="O604" s="172" t="b">
        <v>0</v>
      </c>
      <c r="P604" s="28" t="b">
        <v>0</v>
      </c>
      <c r="Q604" s="28" t="b">
        <v>0</v>
      </c>
      <c r="R604" s="28" t="b">
        <v>0</v>
      </c>
      <c r="S604" s="28" t="b">
        <v>0</v>
      </c>
      <c r="T604" s="28" t="b">
        <v>0</v>
      </c>
      <c r="U604" s="28" t="b">
        <v>0</v>
      </c>
      <c r="V604" s="28" t="b">
        <v>0</v>
      </c>
      <c r="W604" s="28" t="b">
        <v>0</v>
      </c>
    </row>
    <row r="605" ht="69" customHeight="1" s="222">
      <c r="A605" s="164">
        <f>#REF!</f>
        <v/>
      </c>
      <c r="B605" s="145" t="b">
        <v>0</v>
      </c>
      <c r="C605" s="176">
        <f>#REF!</f>
        <v/>
      </c>
      <c r="D605" s="174" t="n"/>
      <c r="E605" s="174" t="n"/>
      <c r="F605" s="176">
        <f>#REF!</f>
        <v/>
      </c>
      <c r="G605" s="174">
        <f>#REF!</f>
        <v/>
      </c>
      <c r="H605" s="174">
        <f>#REF!</f>
        <v/>
      </c>
      <c r="I605" s="174">
        <f>#REF!</f>
        <v/>
      </c>
      <c r="J605" s="174">
        <f>#REF!</f>
        <v/>
      </c>
      <c r="K605" s="176">
        <f>#REF!</f>
        <v/>
      </c>
      <c r="L605" s="173" t="n"/>
      <c r="M605" s="9" t="n"/>
      <c r="N605" s="28" t="b">
        <v>0</v>
      </c>
      <c r="O605" s="172" t="b">
        <v>0</v>
      </c>
      <c r="P605" s="28" t="b">
        <v>0</v>
      </c>
      <c r="Q605" s="28" t="b">
        <v>0</v>
      </c>
      <c r="R605" s="28" t="b">
        <v>0</v>
      </c>
      <c r="S605" s="28" t="b">
        <v>0</v>
      </c>
      <c r="T605" s="28" t="b">
        <v>0</v>
      </c>
      <c r="U605" s="28" t="b">
        <v>0</v>
      </c>
      <c r="V605" s="28" t="b">
        <v>0</v>
      </c>
      <c r="W605" s="28" t="b">
        <v>0</v>
      </c>
    </row>
    <row r="606" ht="69" customHeight="1" s="222">
      <c r="A606" s="164">
        <f>#REF!</f>
        <v/>
      </c>
      <c r="B606" s="145" t="b">
        <v>0</v>
      </c>
      <c r="C606" s="176">
        <f>#REF!</f>
        <v/>
      </c>
      <c r="D606" s="174" t="n"/>
      <c r="E606" s="174" t="n"/>
      <c r="F606" s="176">
        <f>#REF!</f>
        <v/>
      </c>
      <c r="G606" s="174">
        <f>#REF!</f>
        <v/>
      </c>
      <c r="H606" s="174">
        <f>#REF!</f>
        <v/>
      </c>
      <c r="I606" s="174">
        <f>#REF!</f>
        <v/>
      </c>
      <c r="J606" s="174">
        <f>#REF!</f>
        <v/>
      </c>
      <c r="K606" s="176">
        <f>#REF!</f>
        <v/>
      </c>
      <c r="L606" s="173" t="n"/>
      <c r="M606" s="9" t="n"/>
      <c r="N606" s="28" t="b">
        <v>0</v>
      </c>
      <c r="O606" s="172" t="b">
        <v>0</v>
      </c>
      <c r="P606" s="28" t="b">
        <v>0</v>
      </c>
      <c r="Q606" s="28" t="b">
        <v>0</v>
      </c>
      <c r="R606" s="28" t="b">
        <v>0</v>
      </c>
      <c r="S606" s="28" t="b">
        <v>0</v>
      </c>
      <c r="T606" s="28" t="b">
        <v>0</v>
      </c>
      <c r="U606" s="28" t="b">
        <v>0</v>
      </c>
      <c r="V606" s="28" t="b">
        <v>0</v>
      </c>
      <c r="W606" s="28" t="b">
        <v>0</v>
      </c>
    </row>
    <row r="607" ht="69" customHeight="1" s="222">
      <c r="A607" s="164">
        <f>#REF!</f>
        <v/>
      </c>
      <c r="B607" s="145" t="b">
        <v>0</v>
      </c>
      <c r="C607" s="176">
        <f>#REF!</f>
        <v/>
      </c>
      <c r="D607" s="174" t="n"/>
      <c r="E607" s="174" t="n"/>
      <c r="F607" s="176">
        <f>#REF!</f>
        <v/>
      </c>
      <c r="G607" s="174">
        <f>#REF!</f>
        <v/>
      </c>
      <c r="H607" s="174">
        <f>#REF!</f>
        <v/>
      </c>
      <c r="I607" s="174">
        <f>#REF!</f>
        <v/>
      </c>
      <c r="J607" s="174">
        <f>#REF!</f>
        <v/>
      </c>
      <c r="K607" s="176">
        <f>#REF!</f>
        <v/>
      </c>
      <c r="L607" s="173" t="n"/>
      <c r="M607" s="9" t="n"/>
      <c r="N607" s="28" t="b">
        <v>0</v>
      </c>
      <c r="O607" s="172" t="b">
        <v>0</v>
      </c>
      <c r="P607" s="28" t="b">
        <v>0</v>
      </c>
      <c r="Q607" s="28" t="b">
        <v>0</v>
      </c>
      <c r="R607" s="28" t="b">
        <v>0</v>
      </c>
      <c r="S607" s="28" t="b">
        <v>0</v>
      </c>
      <c r="T607" s="28" t="b">
        <v>0</v>
      </c>
      <c r="U607" s="28" t="b">
        <v>0</v>
      </c>
      <c r="V607" s="28" t="b">
        <v>0</v>
      </c>
      <c r="W607" s="28" t="b">
        <v>0</v>
      </c>
    </row>
    <row r="608" ht="69" customHeight="1" s="222">
      <c r="A608" s="164">
        <f>#REF!</f>
        <v/>
      </c>
      <c r="B608" s="145" t="b">
        <v>0</v>
      </c>
      <c r="C608" s="176">
        <f>#REF!</f>
        <v/>
      </c>
      <c r="D608" s="174" t="n"/>
      <c r="E608" s="174" t="n"/>
      <c r="F608" s="176">
        <f>#REF!</f>
        <v/>
      </c>
      <c r="G608" s="174">
        <f>#REF!</f>
        <v/>
      </c>
      <c r="H608" s="174">
        <f>#REF!</f>
        <v/>
      </c>
      <c r="I608" s="174">
        <f>#REF!</f>
        <v/>
      </c>
      <c r="J608" s="174">
        <f>#REF!</f>
        <v/>
      </c>
      <c r="K608" s="176">
        <f>#REF!</f>
        <v/>
      </c>
      <c r="L608" s="173" t="n"/>
      <c r="M608" s="9" t="n"/>
      <c r="N608" s="28" t="b">
        <v>0</v>
      </c>
      <c r="O608" s="172" t="b">
        <v>0</v>
      </c>
      <c r="P608" s="28" t="b">
        <v>0</v>
      </c>
      <c r="Q608" s="28" t="b">
        <v>0</v>
      </c>
      <c r="R608" s="28" t="b">
        <v>0</v>
      </c>
      <c r="S608" s="28" t="b">
        <v>0</v>
      </c>
      <c r="T608" s="28" t="b">
        <v>0</v>
      </c>
      <c r="U608" s="28" t="b">
        <v>0</v>
      </c>
      <c r="V608" s="28" t="b">
        <v>0</v>
      </c>
      <c r="W608" s="28" t="b">
        <v>0</v>
      </c>
    </row>
    <row r="609" ht="69" customHeight="1" s="222">
      <c r="A609" s="164">
        <f>#REF!</f>
        <v/>
      </c>
      <c r="B609" s="145" t="b">
        <v>0</v>
      </c>
      <c r="C609" s="176">
        <f>#REF!</f>
        <v/>
      </c>
      <c r="D609" s="174" t="n"/>
      <c r="E609" s="174" t="n"/>
      <c r="F609" s="176">
        <f>#REF!</f>
        <v/>
      </c>
      <c r="G609" s="174">
        <f>#REF!</f>
        <v/>
      </c>
      <c r="H609" s="174">
        <f>#REF!</f>
        <v/>
      </c>
      <c r="I609" s="174">
        <f>#REF!</f>
        <v/>
      </c>
      <c r="J609" s="174">
        <f>#REF!</f>
        <v/>
      </c>
      <c r="K609" s="176">
        <f>#REF!</f>
        <v/>
      </c>
      <c r="L609" s="173" t="n"/>
      <c r="M609" s="9" t="n"/>
      <c r="N609" s="28" t="b">
        <v>0</v>
      </c>
      <c r="O609" s="172" t="b">
        <v>0</v>
      </c>
      <c r="P609" s="28" t="b">
        <v>0</v>
      </c>
      <c r="Q609" s="28" t="b">
        <v>0</v>
      </c>
      <c r="R609" s="28" t="b">
        <v>0</v>
      </c>
      <c r="S609" s="28" t="b">
        <v>0</v>
      </c>
      <c r="T609" s="28" t="b">
        <v>0</v>
      </c>
      <c r="U609" s="28" t="b">
        <v>0</v>
      </c>
      <c r="V609" s="28" t="b">
        <v>0</v>
      </c>
      <c r="W609" s="28" t="b">
        <v>0</v>
      </c>
    </row>
    <row r="610" ht="69" customHeight="1" s="222">
      <c r="A610" s="164">
        <f>#REF!</f>
        <v/>
      </c>
      <c r="B610" s="145" t="b">
        <v>0</v>
      </c>
      <c r="C610" s="176">
        <f>#REF!</f>
        <v/>
      </c>
      <c r="D610" s="174" t="n"/>
      <c r="E610" s="174" t="n"/>
      <c r="F610" s="176">
        <f>#REF!</f>
        <v/>
      </c>
      <c r="G610" s="174">
        <f>#REF!</f>
        <v/>
      </c>
      <c r="H610" s="174">
        <f>#REF!</f>
        <v/>
      </c>
      <c r="I610" s="174">
        <f>#REF!</f>
        <v/>
      </c>
      <c r="J610" s="174">
        <f>#REF!</f>
        <v/>
      </c>
      <c r="K610" s="176">
        <f>#REF!</f>
        <v/>
      </c>
      <c r="L610" s="173" t="n"/>
      <c r="M610" s="9" t="n"/>
      <c r="N610" s="28" t="b">
        <v>0</v>
      </c>
      <c r="O610" s="172" t="b">
        <v>0</v>
      </c>
      <c r="P610" s="28" t="b">
        <v>0</v>
      </c>
      <c r="Q610" s="28" t="b">
        <v>0</v>
      </c>
      <c r="R610" s="28" t="b">
        <v>0</v>
      </c>
      <c r="S610" s="28" t="b">
        <v>0</v>
      </c>
      <c r="T610" s="28" t="b">
        <v>0</v>
      </c>
      <c r="U610" s="28" t="b">
        <v>0</v>
      </c>
      <c r="V610" s="28" t="b">
        <v>0</v>
      </c>
      <c r="W610" s="28" t="b">
        <v>0</v>
      </c>
    </row>
    <row r="611" ht="69" customHeight="1" s="222">
      <c r="A611" s="164">
        <f>#REF!</f>
        <v/>
      </c>
      <c r="B611" s="145" t="b">
        <v>0</v>
      </c>
      <c r="C611" s="176">
        <f>#REF!</f>
        <v/>
      </c>
      <c r="D611" s="174" t="n"/>
      <c r="E611" s="174" t="n"/>
      <c r="F611" s="176">
        <f>#REF!</f>
        <v/>
      </c>
      <c r="G611" s="174">
        <f>#REF!</f>
        <v/>
      </c>
      <c r="H611" s="174">
        <f>#REF!</f>
        <v/>
      </c>
      <c r="I611" s="174">
        <f>#REF!</f>
        <v/>
      </c>
      <c r="J611" s="174">
        <f>#REF!</f>
        <v/>
      </c>
      <c r="K611" s="176">
        <f>#REF!</f>
        <v/>
      </c>
      <c r="L611" s="173" t="n"/>
      <c r="M611" s="9" t="n"/>
      <c r="N611" s="28" t="b">
        <v>0</v>
      </c>
      <c r="O611" s="172" t="b">
        <v>0</v>
      </c>
      <c r="P611" s="28" t="b">
        <v>0</v>
      </c>
      <c r="Q611" s="28" t="b">
        <v>0</v>
      </c>
      <c r="R611" s="28" t="b">
        <v>0</v>
      </c>
      <c r="S611" s="28" t="b">
        <v>0</v>
      </c>
      <c r="T611" s="28" t="b">
        <v>0</v>
      </c>
      <c r="U611" s="28" t="b">
        <v>0</v>
      </c>
      <c r="V611" s="28" t="b">
        <v>0</v>
      </c>
      <c r="W611" s="28" t="b">
        <v>0</v>
      </c>
    </row>
    <row r="612" ht="69" customHeight="1" s="222">
      <c r="A612" s="164">
        <f>#REF!</f>
        <v/>
      </c>
      <c r="B612" s="145" t="b">
        <v>0</v>
      </c>
      <c r="C612" s="176">
        <f>#REF!</f>
        <v/>
      </c>
      <c r="D612" s="174" t="n"/>
      <c r="E612" s="174" t="n"/>
      <c r="F612" s="176">
        <f>#REF!</f>
        <v/>
      </c>
      <c r="G612" s="174">
        <f>#REF!</f>
        <v/>
      </c>
      <c r="H612" s="174">
        <f>#REF!</f>
        <v/>
      </c>
      <c r="I612" s="174">
        <f>#REF!</f>
        <v/>
      </c>
      <c r="J612" s="174">
        <f>#REF!</f>
        <v/>
      </c>
      <c r="K612" s="176">
        <f>#REF!</f>
        <v/>
      </c>
      <c r="L612" s="173" t="n"/>
      <c r="M612" s="9" t="n"/>
      <c r="N612" s="28" t="b">
        <v>0</v>
      </c>
      <c r="O612" s="172" t="b">
        <v>0</v>
      </c>
      <c r="P612" s="28" t="b">
        <v>0</v>
      </c>
      <c r="Q612" s="28" t="b">
        <v>0</v>
      </c>
      <c r="R612" s="28" t="b">
        <v>0</v>
      </c>
      <c r="S612" s="28" t="b">
        <v>0</v>
      </c>
      <c r="T612" s="28" t="b">
        <v>0</v>
      </c>
      <c r="U612" s="28" t="b">
        <v>0</v>
      </c>
      <c r="V612" s="28" t="b">
        <v>0</v>
      </c>
      <c r="W612" s="28" t="b">
        <v>0</v>
      </c>
    </row>
    <row r="613" ht="69" customHeight="1" s="222">
      <c r="A613" s="164">
        <f>#REF!</f>
        <v/>
      </c>
      <c r="B613" s="145" t="b">
        <v>0</v>
      </c>
      <c r="C613" s="176">
        <f>#REF!</f>
        <v/>
      </c>
      <c r="D613" s="174" t="n"/>
      <c r="E613" s="174" t="n"/>
      <c r="F613" s="176">
        <f>#REF!</f>
        <v/>
      </c>
      <c r="G613" s="174">
        <f>#REF!</f>
        <v/>
      </c>
      <c r="H613" s="174">
        <f>#REF!</f>
        <v/>
      </c>
      <c r="I613" s="174">
        <f>#REF!</f>
        <v/>
      </c>
      <c r="J613" s="174">
        <f>#REF!</f>
        <v/>
      </c>
      <c r="K613" s="176">
        <f>#REF!</f>
        <v/>
      </c>
      <c r="L613" s="173" t="n"/>
      <c r="M613" s="9" t="n"/>
      <c r="N613" s="28" t="b">
        <v>0</v>
      </c>
      <c r="O613" s="172" t="b">
        <v>0</v>
      </c>
      <c r="P613" s="28" t="b">
        <v>0</v>
      </c>
      <c r="Q613" s="28" t="b">
        <v>0</v>
      </c>
      <c r="R613" s="28" t="b">
        <v>0</v>
      </c>
      <c r="S613" s="28" t="b">
        <v>0</v>
      </c>
      <c r="T613" s="28" t="b">
        <v>0</v>
      </c>
      <c r="U613" s="28" t="b">
        <v>0</v>
      </c>
      <c r="V613" s="28" t="b">
        <v>0</v>
      </c>
      <c r="W613" s="28" t="b">
        <v>0</v>
      </c>
    </row>
    <row r="614" ht="69" customHeight="1" s="222">
      <c r="A614" s="164">
        <f>#REF!</f>
        <v/>
      </c>
      <c r="B614" s="145" t="b">
        <v>0</v>
      </c>
      <c r="C614" s="176">
        <f>#REF!</f>
        <v/>
      </c>
      <c r="D614" s="174" t="n"/>
      <c r="E614" s="174" t="n"/>
      <c r="F614" s="176">
        <f>#REF!</f>
        <v/>
      </c>
      <c r="G614" s="174">
        <f>#REF!</f>
        <v/>
      </c>
      <c r="H614" s="174">
        <f>#REF!</f>
        <v/>
      </c>
      <c r="I614" s="174">
        <f>#REF!</f>
        <v/>
      </c>
      <c r="J614" s="174">
        <f>#REF!</f>
        <v/>
      </c>
      <c r="K614" s="176">
        <f>#REF!</f>
        <v/>
      </c>
      <c r="L614" s="173" t="n"/>
      <c r="M614" s="9" t="n"/>
      <c r="N614" s="28" t="b">
        <v>0</v>
      </c>
      <c r="O614" s="172" t="b">
        <v>0</v>
      </c>
      <c r="P614" s="28" t="b">
        <v>0</v>
      </c>
      <c r="Q614" s="28" t="b">
        <v>0</v>
      </c>
      <c r="R614" s="28" t="b">
        <v>0</v>
      </c>
      <c r="S614" s="28" t="b">
        <v>0</v>
      </c>
      <c r="T614" s="28" t="b">
        <v>0</v>
      </c>
      <c r="U614" s="28" t="b">
        <v>0</v>
      </c>
      <c r="V614" s="28" t="b">
        <v>0</v>
      </c>
      <c r="W614" s="28" t="b">
        <v>0</v>
      </c>
    </row>
    <row r="615" ht="69" customHeight="1" s="222">
      <c r="A615" s="164">
        <f>#REF!</f>
        <v/>
      </c>
      <c r="B615" s="145" t="b">
        <v>0</v>
      </c>
      <c r="C615" s="176">
        <f>#REF!</f>
        <v/>
      </c>
      <c r="D615" s="174" t="n"/>
      <c r="E615" s="174" t="n"/>
      <c r="F615" s="176">
        <f>#REF!</f>
        <v/>
      </c>
      <c r="G615" s="174">
        <f>#REF!</f>
        <v/>
      </c>
      <c r="H615" s="174">
        <f>#REF!</f>
        <v/>
      </c>
      <c r="I615" s="174">
        <f>#REF!</f>
        <v/>
      </c>
      <c r="J615" s="174">
        <f>#REF!</f>
        <v/>
      </c>
      <c r="K615" s="176">
        <f>#REF!</f>
        <v/>
      </c>
      <c r="L615" s="173" t="n"/>
      <c r="M615" s="9" t="n"/>
      <c r="N615" s="28" t="b">
        <v>0</v>
      </c>
      <c r="O615" s="172" t="b">
        <v>0</v>
      </c>
      <c r="P615" s="28" t="b">
        <v>0</v>
      </c>
      <c r="Q615" s="28" t="b">
        <v>0</v>
      </c>
      <c r="R615" s="28" t="b">
        <v>0</v>
      </c>
      <c r="S615" s="28" t="b">
        <v>0</v>
      </c>
      <c r="T615" s="28" t="b">
        <v>0</v>
      </c>
      <c r="U615" s="28" t="b">
        <v>0</v>
      </c>
      <c r="V615" s="28" t="b">
        <v>0</v>
      </c>
      <c r="W615" s="28" t="b">
        <v>0</v>
      </c>
    </row>
    <row r="616" ht="69" customHeight="1" s="222">
      <c r="A616" s="164">
        <f>#REF!</f>
        <v/>
      </c>
      <c r="B616" s="145" t="b">
        <v>0</v>
      </c>
      <c r="C616" s="176">
        <f>#REF!</f>
        <v/>
      </c>
      <c r="D616" s="174" t="n"/>
      <c r="E616" s="174" t="n"/>
      <c r="F616" s="176">
        <f>#REF!</f>
        <v/>
      </c>
      <c r="G616" s="174">
        <f>#REF!</f>
        <v/>
      </c>
      <c r="H616" s="174">
        <f>#REF!</f>
        <v/>
      </c>
      <c r="I616" s="174">
        <f>#REF!</f>
        <v/>
      </c>
      <c r="J616" s="174">
        <f>#REF!</f>
        <v/>
      </c>
      <c r="K616" s="176">
        <f>#REF!</f>
        <v/>
      </c>
      <c r="L616" s="173" t="n"/>
      <c r="M616" s="9" t="n"/>
      <c r="N616" s="28" t="b">
        <v>0</v>
      </c>
      <c r="O616" s="172" t="b">
        <v>0</v>
      </c>
      <c r="P616" s="28" t="b">
        <v>0</v>
      </c>
      <c r="Q616" s="28" t="b">
        <v>0</v>
      </c>
      <c r="R616" s="28" t="b">
        <v>0</v>
      </c>
      <c r="S616" s="28" t="b">
        <v>0</v>
      </c>
      <c r="T616" s="28" t="b">
        <v>0</v>
      </c>
      <c r="U616" s="28" t="b">
        <v>0</v>
      </c>
      <c r="V616" s="28" t="b">
        <v>0</v>
      </c>
      <c r="W616" s="28" t="b">
        <v>0</v>
      </c>
    </row>
    <row r="617" ht="69" customHeight="1" s="222">
      <c r="A617" s="164">
        <f>#REF!</f>
        <v/>
      </c>
      <c r="B617" s="145" t="b">
        <v>0</v>
      </c>
      <c r="C617" s="176">
        <f>#REF!</f>
        <v/>
      </c>
      <c r="D617" s="174" t="n"/>
      <c r="E617" s="174" t="n"/>
      <c r="F617" s="176">
        <f>#REF!</f>
        <v/>
      </c>
      <c r="G617" s="174">
        <f>#REF!</f>
        <v/>
      </c>
      <c r="H617" s="174">
        <f>#REF!</f>
        <v/>
      </c>
      <c r="I617" s="174">
        <f>#REF!</f>
        <v/>
      </c>
      <c r="J617" s="174">
        <f>#REF!</f>
        <v/>
      </c>
      <c r="K617" s="176">
        <f>#REF!</f>
        <v/>
      </c>
      <c r="L617" s="173" t="n"/>
      <c r="M617" s="9" t="n"/>
      <c r="N617" s="28" t="b">
        <v>0</v>
      </c>
      <c r="O617" s="172" t="b">
        <v>0</v>
      </c>
      <c r="P617" s="28" t="b">
        <v>0</v>
      </c>
      <c r="Q617" s="28" t="b">
        <v>0</v>
      </c>
      <c r="R617" s="28" t="b">
        <v>0</v>
      </c>
      <c r="S617" s="28" t="b">
        <v>0</v>
      </c>
      <c r="T617" s="28" t="b">
        <v>0</v>
      </c>
      <c r="U617" s="28" t="b">
        <v>0</v>
      </c>
      <c r="V617" s="28" t="b">
        <v>0</v>
      </c>
      <c r="W617" s="28" t="b">
        <v>0</v>
      </c>
    </row>
    <row r="618" ht="69" customHeight="1" s="222">
      <c r="A618" s="164">
        <f>#REF!</f>
        <v/>
      </c>
      <c r="B618" s="145" t="b">
        <v>0</v>
      </c>
      <c r="C618" s="176">
        <f>#REF!</f>
        <v/>
      </c>
      <c r="D618" s="174" t="n"/>
      <c r="E618" s="174" t="n"/>
      <c r="F618" s="176">
        <f>#REF!</f>
        <v/>
      </c>
      <c r="G618" s="174">
        <f>#REF!</f>
        <v/>
      </c>
      <c r="H618" s="174">
        <f>#REF!</f>
        <v/>
      </c>
      <c r="I618" s="174">
        <f>#REF!</f>
        <v/>
      </c>
      <c r="J618" s="174">
        <f>#REF!</f>
        <v/>
      </c>
      <c r="K618" s="176">
        <f>#REF!</f>
        <v/>
      </c>
      <c r="L618" s="173" t="n"/>
      <c r="M618" s="9" t="n"/>
      <c r="N618" s="28" t="b">
        <v>0</v>
      </c>
      <c r="O618" s="172" t="b">
        <v>0</v>
      </c>
      <c r="P618" s="28" t="b">
        <v>0</v>
      </c>
      <c r="Q618" s="28" t="b">
        <v>0</v>
      </c>
      <c r="R618" s="28" t="b">
        <v>0</v>
      </c>
      <c r="S618" s="28" t="b">
        <v>0</v>
      </c>
      <c r="T618" s="28" t="b">
        <v>0</v>
      </c>
      <c r="U618" s="28" t="b">
        <v>0</v>
      </c>
      <c r="V618" s="28" t="b">
        <v>0</v>
      </c>
      <c r="W618" s="28" t="b">
        <v>0</v>
      </c>
    </row>
    <row r="619" ht="69" customHeight="1" s="222">
      <c r="A619" s="164">
        <f>#REF!</f>
        <v/>
      </c>
      <c r="B619" s="145" t="b">
        <v>0</v>
      </c>
      <c r="C619" s="176">
        <f>#REF!</f>
        <v/>
      </c>
      <c r="D619" s="174" t="n"/>
      <c r="E619" s="174" t="n"/>
      <c r="F619" s="176">
        <f>#REF!</f>
        <v/>
      </c>
      <c r="G619" s="174">
        <f>#REF!</f>
        <v/>
      </c>
      <c r="H619" s="174">
        <f>#REF!</f>
        <v/>
      </c>
      <c r="I619" s="174">
        <f>#REF!</f>
        <v/>
      </c>
      <c r="J619" s="174">
        <f>#REF!</f>
        <v/>
      </c>
      <c r="K619" s="176">
        <f>#REF!</f>
        <v/>
      </c>
      <c r="L619" s="173" t="n"/>
      <c r="M619" s="9" t="n"/>
      <c r="N619" s="28" t="b">
        <v>0</v>
      </c>
      <c r="O619" s="172" t="b">
        <v>0</v>
      </c>
      <c r="P619" s="28" t="b">
        <v>0</v>
      </c>
      <c r="Q619" s="28" t="b">
        <v>0</v>
      </c>
      <c r="R619" s="28" t="b">
        <v>0</v>
      </c>
      <c r="S619" s="28" t="b">
        <v>0</v>
      </c>
      <c r="T619" s="28" t="b">
        <v>0</v>
      </c>
      <c r="U619" s="28" t="b">
        <v>0</v>
      </c>
      <c r="V619" s="28" t="b">
        <v>0</v>
      </c>
      <c r="W619" s="28" t="b">
        <v>0</v>
      </c>
    </row>
    <row r="620" ht="69" customHeight="1" s="222">
      <c r="A620" s="164">
        <f>#REF!</f>
        <v/>
      </c>
      <c r="B620" s="145" t="b">
        <v>0</v>
      </c>
      <c r="C620" s="176">
        <f>#REF!</f>
        <v/>
      </c>
      <c r="D620" s="174" t="n"/>
      <c r="E620" s="174" t="n"/>
      <c r="F620" s="176">
        <f>#REF!</f>
        <v/>
      </c>
      <c r="G620" s="174">
        <f>#REF!</f>
        <v/>
      </c>
      <c r="H620" s="174">
        <f>#REF!</f>
        <v/>
      </c>
      <c r="I620" s="174">
        <f>#REF!</f>
        <v/>
      </c>
      <c r="J620" s="174">
        <f>#REF!</f>
        <v/>
      </c>
      <c r="K620" s="176">
        <f>#REF!</f>
        <v/>
      </c>
      <c r="L620" s="173" t="n"/>
      <c r="M620" s="9" t="n"/>
      <c r="N620" s="28" t="b">
        <v>0</v>
      </c>
      <c r="O620" s="172" t="b">
        <v>0</v>
      </c>
      <c r="P620" s="28" t="b">
        <v>0</v>
      </c>
      <c r="Q620" s="28" t="b">
        <v>0</v>
      </c>
      <c r="R620" s="28" t="b">
        <v>0</v>
      </c>
      <c r="S620" s="28" t="b">
        <v>0</v>
      </c>
      <c r="T620" s="28" t="b">
        <v>0</v>
      </c>
      <c r="U620" s="28" t="b">
        <v>0</v>
      </c>
      <c r="V620" s="28" t="b">
        <v>0</v>
      </c>
      <c r="W620" s="28" t="b">
        <v>0</v>
      </c>
    </row>
    <row r="621" ht="69" customHeight="1" s="222">
      <c r="A621" s="164">
        <f>#REF!</f>
        <v/>
      </c>
      <c r="B621" s="145" t="b">
        <v>0</v>
      </c>
      <c r="C621" s="176">
        <f>#REF!</f>
        <v/>
      </c>
      <c r="D621" s="174" t="n"/>
      <c r="E621" s="174" t="n"/>
      <c r="F621" s="176">
        <f>#REF!</f>
        <v/>
      </c>
      <c r="G621" s="174">
        <f>#REF!</f>
        <v/>
      </c>
      <c r="H621" s="174">
        <f>#REF!</f>
        <v/>
      </c>
      <c r="I621" s="174">
        <f>#REF!</f>
        <v/>
      </c>
      <c r="J621" s="174">
        <f>#REF!</f>
        <v/>
      </c>
      <c r="K621" s="176">
        <f>#REF!</f>
        <v/>
      </c>
      <c r="L621" s="173" t="n"/>
      <c r="M621" s="9" t="n"/>
      <c r="N621" s="28" t="b">
        <v>0</v>
      </c>
      <c r="O621" s="172" t="b">
        <v>0</v>
      </c>
      <c r="P621" s="28" t="b">
        <v>0</v>
      </c>
      <c r="Q621" s="28" t="b">
        <v>0</v>
      </c>
      <c r="R621" s="28" t="b">
        <v>0</v>
      </c>
      <c r="S621" s="28" t="b">
        <v>0</v>
      </c>
      <c r="T621" s="28" t="b">
        <v>0</v>
      </c>
      <c r="U621" s="28" t="b">
        <v>0</v>
      </c>
      <c r="V621" s="28" t="b">
        <v>0</v>
      </c>
      <c r="W621" s="28" t="b">
        <v>0</v>
      </c>
    </row>
    <row r="622" ht="69" customHeight="1" s="222">
      <c r="A622" s="164">
        <f>#REF!</f>
        <v/>
      </c>
      <c r="B622" s="145" t="b">
        <v>0</v>
      </c>
      <c r="C622" s="176">
        <f>#REF!</f>
        <v/>
      </c>
      <c r="D622" s="174" t="n"/>
      <c r="E622" s="174" t="n"/>
      <c r="F622" s="176">
        <f>#REF!</f>
        <v/>
      </c>
      <c r="G622" s="174">
        <f>#REF!</f>
        <v/>
      </c>
      <c r="H622" s="174">
        <f>#REF!</f>
        <v/>
      </c>
      <c r="I622" s="174">
        <f>#REF!</f>
        <v/>
      </c>
      <c r="J622" s="174">
        <f>#REF!</f>
        <v/>
      </c>
      <c r="K622" s="176">
        <f>#REF!</f>
        <v/>
      </c>
      <c r="L622" s="173" t="n"/>
      <c r="M622" s="9" t="n"/>
      <c r="N622" s="28" t="b">
        <v>0</v>
      </c>
      <c r="O622" s="172" t="b">
        <v>0</v>
      </c>
      <c r="P622" s="28" t="b">
        <v>0</v>
      </c>
      <c r="Q622" s="28" t="b">
        <v>0</v>
      </c>
      <c r="R622" s="28" t="b">
        <v>0</v>
      </c>
      <c r="S622" s="28" t="b">
        <v>0</v>
      </c>
      <c r="T622" s="28" t="b">
        <v>0</v>
      </c>
      <c r="U622" s="28" t="b">
        <v>0</v>
      </c>
      <c r="V622" s="28" t="b">
        <v>0</v>
      </c>
      <c r="W622" s="28" t="b">
        <v>0</v>
      </c>
    </row>
    <row r="623" ht="69" customHeight="1" s="222">
      <c r="A623" s="164">
        <f>#REF!</f>
        <v/>
      </c>
      <c r="B623" s="145" t="b">
        <v>0</v>
      </c>
      <c r="C623" s="176">
        <f>#REF!</f>
        <v/>
      </c>
      <c r="D623" s="174" t="n"/>
      <c r="E623" s="174" t="n"/>
      <c r="F623" s="176">
        <f>#REF!</f>
        <v/>
      </c>
      <c r="G623" s="174">
        <f>#REF!</f>
        <v/>
      </c>
      <c r="H623" s="174">
        <f>#REF!</f>
        <v/>
      </c>
      <c r="I623" s="174">
        <f>#REF!</f>
        <v/>
      </c>
      <c r="J623" s="174">
        <f>#REF!</f>
        <v/>
      </c>
      <c r="K623" s="176">
        <f>#REF!</f>
        <v/>
      </c>
      <c r="L623" s="173" t="n"/>
      <c r="M623" s="9" t="n"/>
      <c r="N623" s="28" t="b">
        <v>0</v>
      </c>
      <c r="O623" s="172" t="b">
        <v>0</v>
      </c>
      <c r="P623" s="28" t="b">
        <v>0</v>
      </c>
      <c r="Q623" s="28" t="b">
        <v>0</v>
      </c>
      <c r="R623" s="28" t="b">
        <v>0</v>
      </c>
      <c r="S623" s="28" t="b">
        <v>0</v>
      </c>
      <c r="T623" s="28" t="b">
        <v>0</v>
      </c>
      <c r="U623" s="28" t="b">
        <v>0</v>
      </c>
      <c r="V623" s="28" t="b">
        <v>0</v>
      </c>
      <c r="W623" s="28" t="b">
        <v>0</v>
      </c>
    </row>
    <row r="624" ht="69" customHeight="1" s="222">
      <c r="A624" s="164">
        <f>#REF!</f>
        <v/>
      </c>
      <c r="B624" s="145" t="b">
        <v>0</v>
      </c>
      <c r="C624" s="176">
        <f>#REF!</f>
        <v/>
      </c>
      <c r="D624" s="174" t="n"/>
      <c r="E624" s="174" t="n"/>
      <c r="F624" s="176">
        <f>#REF!</f>
        <v/>
      </c>
      <c r="G624" s="174">
        <f>#REF!</f>
        <v/>
      </c>
      <c r="H624" s="174">
        <f>#REF!</f>
        <v/>
      </c>
      <c r="I624" s="174">
        <f>#REF!</f>
        <v/>
      </c>
      <c r="J624" s="174">
        <f>#REF!</f>
        <v/>
      </c>
      <c r="K624" s="176">
        <f>#REF!</f>
        <v/>
      </c>
      <c r="L624" s="173" t="n"/>
      <c r="M624" s="9" t="n"/>
      <c r="N624" s="28" t="b">
        <v>0</v>
      </c>
      <c r="O624" s="172" t="b">
        <v>0</v>
      </c>
      <c r="P624" s="28" t="b">
        <v>0</v>
      </c>
      <c r="Q624" s="28" t="b">
        <v>0</v>
      </c>
      <c r="R624" s="28" t="b">
        <v>0</v>
      </c>
      <c r="S624" s="28" t="b">
        <v>0</v>
      </c>
      <c r="T624" s="28" t="b">
        <v>0</v>
      </c>
      <c r="U624" s="28" t="b">
        <v>0</v>
      </c>
      <c r="V624" s="28" t="b">
        <v>0</v>
      </c>
      <c r="W624" s="28" t="b">
        <v>0</v>
      </c>
    </row>
    <row r="625" ht="69" customHeight="1" s="222">
      <c r="A625" s="164">
        <f>#REF!</f>
        <v/>
      </c>
      <c r="B625" s="145" t="b">
        <v>0</v>
      </c>
      <c r="C625" s="176">
        <f>#REF!</f>
        <v/>
      </c>
      <c r="D625" s="174" t="n"/>
      <c r="E625" s="174" t="n"/>
      <c r="F625" s="176">
        <f>#REF!</f>
        <v/>
      </c>
      <c r="G625" s="174">
        <f>#REF!</f>
        <v/>
      </c>
      <c r="H625" s="174">
        <f>#REF!</f>
        <v/>
      </c>
      <c r="I625" s="174">
        <f>#REF!</f>
        <v/>
      </c>
      <c r="J625" s="174">
        <f>#REF!</f>
        <v/>
      </c>
      <c r="K625" s="176">
        <f>#REF!</f>
        <v/>
      </c>
      <c r="L625" s="173" t="n"/>
      <c r="M625" s="9" t="n"/>
      <c r="N625" s="28" t="b">
        <v>0</v>
      </c>
      <c r="O625" s="172" t="b">
        <v>0</v>
      </c>
      <c r="P625" s="28" t="b">
        <v>0</v>
      </c>
      <c r="Q625" s="28" t="b">
        <v>0</v>
      </c>
      <c r="R625" s="28" t="b">
        <v>0</v>
      </c>
      <c r="S625" s="28" t="b">
        <v>0</v>
      </c>
      <c r="T625" s="28" t="b">
        <v>0</v>
      </c>
      <c r="U625" s="28" t="b">
        <v>0</v>
      </c>
      <c r="V625" s="28" t="b">
        <v>0</v>
      </c>
      <c r="W625" s="28" t="b">
        <v>0</v>
      </c>
    </row>
    <row r="626" ht="69" customHeight="1" s="222">
      <c r="A626" s="164">
        <f>#REF!</f>
        <v/>
      </c>
      <c r="B626" s="145" t="b">
        <v>0</v>
      </c>
      <c r="C626" s="176">
        <f>#REF!</f>
        <v/>
      </c>
      <c r="D626" s="174" t="n"/>
      <c r="E626" s="174" t="n"/>
      <c r="F626" s="176">
        <f>#REF!</f>
        <v/>
      </c>
      <c r="G626" s="174">
        <f>#REF!</f>
        <v/>
      </c>
      <c r="H626" s="174">
        <f>#REF!</f>
        <v/>
      </c>
      <c r="I626" s="174">
        <f>#REF!</f>
        <v/>
      </c>
      <c r="J626" s="174">
        <f>#REF!</f>
        <v/>
      </c>
      <c r="K626" s="176">
        <f>#REF!</f>
        <v/>
      </c>
      <c r="L626" s="173" t="n"/>
      <c r="M626" s="9" t="n"/>
      <c r="N626" s="28" t="b">
        <v>0</v>
      </c>
      <c r="O626" s="172" t="b">
        <v>0</v>
      </c>
      <c r="P626" s="28" t="b">
        <v>0</v>
      </c>
      <c r="Q626" s="28" t="b">
        <v>0</v>
      </c>
      <c r="R626" s="28" t="b">
        <v>0</v>
      </c>
      <c r="S626" s="28" t="b">
        <v>0</v>
      </c>
      <c r="T626" s="28" t="b">
        <v>0</v>
      </c>
      <c r="U626" s="28" t="b">
        <v>0</v>
      </c>
      <c r="V626" s="28" t="b">
        <v>0</v>
      </c>
      <c r="W626" s="28" t="b">
        <v>0</v>
      </c>
    </row>
    <row r="627" ht="69" customHeight="1" s="222">
      <c r="A627" s="164">
        <f>#REF!</f>
        <v/>
      </c>
      <c r="B627" s="145" t="b">
        <v>0</v>
      </c>
      <c r="C627" s="176">
        <f>#REF!</f>
        <v/>
      </c>
      <c r="D627" s="174" t="n"/>
      <c r="E627" s="174" t="n"/>
      <c r="F627" s="176">
        <f>#REF!</f>
        <v/>
      </c>
      <c r="G627" s="174">
        <f>#REF!</f>
        <v/>
      </c>
      <c r="H627" s="174">
        <f>#REF!</f>
        <v/>
      </c>
      <c r="I627" s="174">
        <f>#REF!</f>
        <v/>
      </c>
      <c r="J627" s="174">
        <f>#REF!</f>
        <v/>
      </c>
      <c r="K627" s="176">
        <f>#REF!</f>
        <v/>
      </c>
      <c r="L627" s="173" t="n"/>
      <c r="M627" s="9" t="n"/>
      <c r="N627" s="28" t="b">
        <v>0</v>
      </c>
      <c r="O627" s="172" t="b">
        <v>0</v>
      </c>
      <c r="P627" s="28" t="b">
        <v>0</v>
      </c>
      <c r="Q627" s="28" t="b">
        <v>0</v>
      </c>
      <c r="R627" s="28" t="b">
        <v>0</v>
      </c>
      <c r="S627" s="28" t="b">
        <v>0</v>
      </c>
      <c r="T627" s="28" t="b">
        <v>0</v>
      </c>
      <c r="U627" s="28" t="b">
        <v>0</v>
      </c>
      <c r="V627" s="28" t="b">
        <v>0</v>
      </c>
      <c r="W627" s="28" t="b">
        <v>0</v>
      </c>
    </row>
    <row r="628" ht="69" customHeight="1" s="222">
      <c r="A628" s="164">
        <f>#REF!</f>
        <v/>
      </c>
      <c r="B628" s="145" t="b">
        <v>0</v>
      </c>
      <c r="C628" s="176">
        <f>#REF!</f>
        <v/>
      </c>
      <c r="D628" s="174" t="n"/>
      <c r="E628" s="174" t="n"/>
      <c r="F628" s="176">
        <f>#REF!</f>
        <v/>
      </c>
      <c r="G628" s="174">
        <f>#REF!</f>
        <v/>
      </c>
      <c r="H628" s="174">
        <f>#REF!</f>
        <v/>
      </c>
      <c r="I628" s="174">
        <f>#REF!</f>
        <v/>
      </c>
      <c r="J628" s="174">
        <f>#REF!</f>
        <v/>
      </c>
      <c r="K628" s="176">
        <f>#REF!</f>
        <v/>
      </c>
      <c r="L628" s="173" t="n"/>
      <c r="M628" s="9" t="n"/>
      <c r="N628" s="28" t="b">
        <v>0</v>
      </c>
      <c r="O628" s="172" t="b">
        <v>0</v>
      </c>
      <c r="P628" s="28" t="b">
        <v>0</v>
      </c>
      <c r="Q628" s="28" t="b">
        <v>0</v>
      </c>
      <c r="R628" s="28" t="b">
        <v>0</v>
      </c>
      <c r="S628" s="28" t="b">
        <v>0</v>
      </c>
      <c r="T628" s="28" t="b">
        <v>0</v>
      </c>
      <c r="U628" s="28" t="b">
        <v>0</v>
      </c>
      <c r="V628" s="28" t="b">
        <v>0</v>
      </c>
      <c r="W628" s="28" t="b">
        <v>0</v>
      </c>
    </row>
    <row r="629" ht="69" customHeight="1" s="222">
      <c r="A629" s="164">
        <f>#REF!</f>
        <v/>
      </c>
      <c r="B629" s="145" t="b">
        <v>0</v>
      </c>
      <c r="C629" s="176">
        <f>#REF!</f>
        <v/>
      </c>
      <c r="D629" s="174" t="n"/>
      <c r="E629" s="174" t="n"/>
      <c r="F629" s="176">
        <f>#REF!</f>
        <v/>
      </c>
      <c r="G629" s="174">
        <f>#REF!</f>
        <v/>
      </c>
      <c r="H629" s="174">
        <f>#REF!</f>
        <v/>
      </c>
      <c r="I629" s="174">
        <f>#REF!</f>
        <v/>
      </c>
      <c r="J629" s="174">
        <f>#REF!</f>
        <v/>
      </c>
      <c r="K629" s="176">
        <f>#REF!</f>
        <v/>
      </c>
      <c r="L629" s="173" t="n"/>
      <c r="M629" s="9" t="n"/>
      <c r="N629" s="28" t="b">
        <v>0</v>
      </c>
      <c r="O629" s="172" t="b">
        <v>0</v>
      </c>
      <c r="P629" s="28" t="b">
        <v>0</v>
      </c>
      <c r="Q629" s="28" t="b">
        <v>0</v>
      </c>
      <c r="R629" s="28" t="b">
        <v>0</v>
      </c>
      <c r="S629" s="28" t="b">
        <v>0</v>
      </c>
      <c r="T629" s="28" t="b">
        <v>0</v>
      </c>
      <c r="U629" s="28" t="b">
        <v>0</v>
      </c>
      <c r="V629" s="28" t="b">
        <v>0</v>
      </c>
      <c r="W629" s="28" t="b">
        <v>0</v>
      </c>
    </row>
    <row r="630" ht="69" customHeight="1" s="222">
      <c r="A630" s="164">
        <f>#REF!</f>
        <v/>
      </c>
      <c r="B630" s="145" t="b">
        <v>0</v>
      </c>
      <c r="C630" s="176">
        <f>#REF!</f>
        <v/>
      </c>
      <c r="D630" s="174" t="n"/>
      <c r="E630" s="174" t="n"/>
      <c r="F630" s="176">
        <f>#REF!</f>
        <v/>
      </c>
      <c r="G630" s="174">
        <f>#REF!</f>
        <v/>
      </c>
      <c r="H630" s="174">
        <f>#REF!</f>
        <v/>
      </c>
      <c r="I630" s="174">
        <f>#REF!</f>
        <v/>
      </c>
      <c r="J630" s="174">
        <f>#REF!</f>
        <v/>
      </c>
      <c r="K630" s="176">
        <f>#REF!</f>
        <v/>
      </c>
      <c r="L630" s="173" t="n"/>
      <c r="M630" s="9" t="n"/>
      <c r="N630" s="28" t="b">
        <v>0</v>
      </c>
      <c r="O630" s="172" t="b">
        <v>0</v>
      </c>
      <c r="P630" s="28" t="b">
        <v>0</v>
      </c>
      <c r="Q630" s="28" t="b">
        <v>0</v>
      </c>
      <c r="R630" s="28" t="b">
        <v>0</v>
      </c>
      <c r="S630" s="28" t="b">
        <v>0</v>
      </c>
      <c r="T630" s="28" t="b">
        <v>0</v>
      </c>
      <c r="U630" s="28" t="b">
        <v>0</v>
      </c>
      <c r="V630" s="28" t="b">
        <v>0</v>
      </c>
      <c r="W630" s="28" t="b">
        <v>0</v>
      </c>
    </row>
    <row r="631" ht="69" customHeight="1" s="222">
      <c r="A631" s="164">
        <f>#REF!</f>
        <v/>
      </c>
      <c r="B631" s="145" t="b">
        <v>0</v>
      </c>
      <c r="C631" s="176">
        <f>#REF!</f>
        <v/>
      </c>
      <c r="D631" s="174" t="n"/>
      <c r="E631" s="174" t="n"/>
      <c r="F631" s="176">
        <f>#REF!</f>
        <v/>
      </c>
      <c r="G631" s="174">
        <f>#REF!</f>
        <v/>
      </c>
      <c r="H631" s="174">
        <f>#REF!</f>
        <v/>
      </c>
      <c r="I631" s="174">
        <f>#REF!</f>
        <v/>
      </c>
      <c r="J631" s="174">
        <f>#REF!</f>
        <v/>
      </c>
      <c r="K631" s="176">
        <f>#REF!</f>
        <v/>
      </c>
      <c r="L631" s="173" t="n"/>
      <c r="M631" s="9" t="n"/>
      <c r="N631" s="28" t="b">
        <v>0</v>
      </c>
      <c r="O631" s="172" t="b">
        <v>0</v>
      </c>
      <c r="P631" s="28" t="b">
        <v>0</v>
      </c>
      <c r="Q631" s="28" t="b">
        <v>0</v>
      </c>
      <c r="R631" s="28" t="b">
        <v>0</v>
      </c>
      <c r="S631" s="28" t="b">
        <v>0</v>
      </c>
      <c r="T631" s="28" t="b">
        <v>0</v>
      </c>
      <c r="U631" s="28" t="b">
        <v>0</v>
      </c>
      <c r="V631" s="28" t="b">
        <v>0</v>
      </c>
      <c r="W631" s="28" t="b">
        <v>0</v>
      </c>
    </row>
    <row r="632" ht="69" customHeight="1" s="222">
      <c r="A632" s="164">
        <f>#REF!</f>
        <v/>
      </c>
      <c r="B632" s="145" t="b">
        <v>0</v>
      </c>
      <c r="C632" s="176">
        <f>#REF!</f>
        <v/>
      </c>
      <c r="D632" s="174" t="n"/>
      <c r="E632" s="174" t="n"/>
      <c r="F632" s="176">
        <f>#REF!</f>
        <v/>
      </c>
      <c r="G632" s="174">
        <f>#REF!</f>
        <v/>
      </c>
      <c r="H632" s="174">
        <f>#REF!</f>
        <v/>
      </c>
      <c r="I632" s="174">
        <f>#REF!</f>
        <v/>
      </c>
      <c r="J632" s="174">
        <f>#REF!</f>
        <v/>
      </c>
      <c r="K632" s="176">
        <f>#REF!</f>
        <v/>
      </c>
      <c r="L632" s="173" t="n"/>
      <c r="M632" s="9" t="n"/>
      <c r="N632" s="28" t="b">
        <v>0</v>
      </c>
      <c r="O632" s="172" t="b">
        <v>0</v>
      </c>
      <c r="P632" s="28" t="b">
        <v>0</v>
      </c>
      <c r="Q632" s="28" t="b">
        <v>0</v>
      </c>
      <c r="R632" s="28" t="b">
        <v>0</v>
      </c>
      <c r="S632" s="28" t="b">
        <v>0</v>
      </c>
      <c r="T632" s="28" t="b">
        <v>0</v>
      </c>
      <c r="U632" s="28" t="b">
        <v>0</v>
      </c>
      <c r="V632" s="28" t="b">
        <v>0</v>
      </c>
      <c r="W632" s="28" t="b">
        <v>0</v>
      </c>
    </row>
    <row r="633" ht="69" customHeight="1" s="222">
      <c r="A633" s="164">
        <f>#REF!</f>
        <v/>
      </c>
      <c r="B633" s="145" t="b">
        <v>0</v>
      </c>
      <c r="C633" s="176">
        <f>#REF!</f>
        <v/>
      </c>
      <c r="D633" s="174" t="n"/>
      <c r="E633" s="174" t="n"/>
      <c r="F633" s="176">
        <f>#REF!</f>
        <v/>
      </c>
      <c r="G633" s="174">
        <f>#REF!</f>
        <v/>
      </c>
      <c r="H633" s="174">
        <f>#REF!</f>
        <v/>
      </c>
      <c r="I633" s="174">
        <f>#REF!</f>
        <v/>
      </c>
      <c r="J633" s="174">
        <f>#REF!</f>
        <v/>
      </c>
      <c r="K633" s="176">
        <f>#REF!</f>
        <v/>
      </c>
      <c r="L633" s="173" t="n"/>
      <c r="M633" s="9" t="n"/>
      <c r="N633" s="28" t="b">
        <v>0</v>
      </c>
      <c r="O633" s="172" t="b">
        <v>0</v>
      </c>
      <c r="P633" s="28" t="b">
        <v>0</v>
      </c>
      <c r="Q633" s="28" t="b">
        <v>0</v>
      </c>
      <c r="R633" s="28" t="b">
        <v>0</v>
      </c>
      <c r="S633" s="28" t="b">
        <v>0</v>
      </c>
      <c r="T633" s="28" t="b">
        <v>0</v>
      </c>
      <c r="U633" s="28" t="b">
        <v>0</v>
      </c>
      <c r="V633" s="28" t="b">
        <v>0</v>
      </c>
      <c r="W633" s="28" t="b">
        <v>0</v>
      </c>
    </row>
    <row r="634" ht="69" customHeight="1" s="222">
      <c r="A634" s="164">
        <f>#REF!</f>
        <v/>
      </c>
      <c r="B634" s="145" t="b">
        <v>0</v>
      </c>
      <c r="C634" s="176">
        <f>#REF!</f>
        <v/>
      </c>
      <c r="D634" s="174" t="n"/>
      <c r="E634" s="174" t="n"/>
      <c r="F634" s="176">
        <f>#REF!</f>
        <v/>
      </c>
      <c r="G634" s="174">
        <f>#REF!</f>
        <v/>
      </c>
      <c r="H634" s="174">
        <f>#REF!</f>
        <v/>
      </c>
      <c r="I634" s="174">
        <f>#REF!</f>
        <v/>
      </c>
      <c r="J634" s="174">
        <f>#REF!</f>
        <v/>
      </c>
      <c r="K634" s="176">
        <f>#REF!</f>
        <v/>
      </c>
      <c r="L634" s="173" t="n"/>
      <c r="M634" s="9" t="n"/>
      <c r="N634" s="28" t="b">
        <v>0</v>
      </c>
      <c r="O634" s="172" t="b">
        <v>0</v>
      </c>
      <c r="P634" s="28" t="b">
        <v>0</v>
      </c>
      <c r="Q634" s="28" t="b">
        <v>0</v>
      </c>
      <c r="R634" s="28" t="b">
        <v>0</v>
      </c>
      <c r="S634" s="28" t="b">
        <v>0</v>
      </c>
      <c r="T634" s="28" t="b">
        <v>0</v>
      </c>
      <c r="U634" s="28" t="b">
        <v>0</v>
      </c>
      <c r="V634" s="28" t="b">
        <v>0</v>
      </c>
      <c r="W634" s="28" t="b">
        <v>0</v>
      </c>
    </row>
    <row r="635" ht="69" customHeight="1" s="222">
      <c r="A635" s="164">
        <f>#REF!</f>
        <v/>
      </c>
      <c r="B635" s="145" t="b">
        <v>0</v>
      </c>
      <c r="C635" s="176">
        <f>#REF!</f>
        <v/>
      </c>
      <c r="D635" s="174" t="n"/>
      <c r="E635" s="174" t="n"/>
      <c r="F635" s="176">
        <f>#REF!</f>
        <v/>
      </c>
      <c r="G635" s="174">
        <f>#REF!</f>
        <v/>
      </c>
      <c r="H635" s="174">
        <f>#REF!</f>
        <v/>
      </c>
      <c r="I635" s="174">
        <f>#REF!</f>
        <v/>
      </c>
      <c r="J635" s="174">
        <f>#REF!</f>
        <v/>
      </c>
      <c r="K635" s="176">
        <f>#REF!</f>
        <v/>
      </c>
      <c r="L635" s="173" t="n"/>
      <c r="M635" s="9" t="n"/>
      <c r="N635" s="28" t="b">
        <v>0</v>
      </c>
      <c r="O635" s="172" t="b">
        <v>0</v>
      </c>
      <c r="P635" s="28" t="b">
        <v>0</v>
      </c>
      <c r="Q635" s="28" t="b">
        <v>0</v>
      </c>
      <c r="R635" s="28" t="b">
        <v>0</v>
      </c>
      <c r="S635" s="28" t="b">
        <v>0</v>
      </c>
      <c r="T635" s="28" t="b">
        <v>0</v>
      </c>
      <c r="U635" s="28" t="b">
        <v>0</v>
      </c>
      <c r="V635" s="28" t="b">
        <v>0</v>
      </c>
      <c r="W635" s="28" t="b">
        <v>0</v>
      </c>
    </row>
    <row r="636" ht="69" customHeight="1" s="222">
      <c r="A636" s="164">
        <f>#REF!</f>
        <v/>
      </c>
      <c r="B636" s="145" t="b">
        <v>0</v>
      </c>
      <c r="C636" s="176">
        <f>#REF!</f>
        <v/>
      </c>
      <c r="D636" s="174" t="n"/>
      <c r="E636" s="174" t="n"/>
      <c r="F636" s="176">
        <f>#REF!</f>
        <v/>
      </c>
      <c r="G636" s="174">
        <f>#REF!</f>
        <v/>
      </c>
      <c r="H636" s="174">
        <f>#REF!</f>
        <v/>
      </c>
      <c r="I636" s="174">
        <f>#REF!</f>
        <v/>
      </c>
      <c r="J636" s="174">
        <f>#REF!</f>
        <v/>
      </c>
      <c r="K636" s="176">
        <f>#REF!</f>
        <v/>
      </c>
      <c r="L636" s="173" t="n"/>
      <c r="M636" s="9" t="n"/>
      <c r="N636" s="28" t="b">
        <v>0</v>
      </c>
      <c r="O636" s="172" t="b">
        <v>0</v>
      </c>
      <c r="P636" s="28" t="b">
        <v>0</v>
      </c>
      <c r="Q636" s="28" t="b">
        <v>0</v>
      </c>
      <c r="R636" s="28" t="b">
        <v>0</v>
      </c>
      <c r="S636" s="28" t="b">
        <v>0</v>
      </c>
      <c r="T636" s="28" t="b">
        <v>0</v>
      </c>
      <c r="U636" s="28" t="b">
        <v>0</v>
      </c>
      <c r="V636" s="28" t="b">
        <v>0</v>
      </c>
      <c r="W636" s="28" t="b">
        <v>0</v>
      </c>
    </row>
    <row r="637" ht="69" customHeight="1" s="222">
      <c r="A637" s="164">
        <f>#REF!</f>
        <v/>
      </c>
      <c r="B637" s="145" t="b">
        <v>0</v>
      </c>
      <c r="C637" s="176">
        <f>#REF!</f>
        <v/>
      </c>
      <c r="D637" s="174" t="n"/>
      <c r="E637" s="174" t="n"/>
      <c r="F637" s="176">
        <f>#REF!</f>
        <v/>
      </c>
      <c r="G637" s="174">
        <f>#REF!</f>
        <v/>
      </c>
      <c r="H637" s="174">
        <f>#REF!</f>
        <v/>
      </c>
      <c r="I637" s="174">
        <f>#REF!</f>
        <v/>
      </c>
      <c r="J637" s="174">
        <f>#REF!</f>
        <v/>
      </c>
      <c r="K637" s="176">
        <f>#REF!</f>
        <v/>
      </c>
      <c r="L637" s="173" t="n"/>
      <c r="M637" s="9" t="n"/>
      <c r="N637" s="28" t="b">
        <v>0</v>
      </c>
      <c r="O637" s="172" t="b">
        <v>0</v>
      </c>
      <c r="P637" s="28" t="b">
        <v>0</v>
      </c>
      <c r="Q637" s="28" t="b">
        <v>0</v>
      </c>
      <c r="R637" s="28" t="b">
        <v>0</v>
      </c>
      <c r="S637" s="28" t="b">
        <v>0</v>
      </c>
      <c r="T637" s="28" t="b">
        <v>0</v>
      </c>
      <c r="U637" s="28" t="b">
        <v>0</v>
      </c>
      <c r="V637" s="28" t="b">
        <v>0</v>
      </c>
      <c r="W637" s="28" t="b">
        <v>0</v>
      </c>
    </row>
    <row r="638" ht="69" customHeight="1" s="222">
      <c r="A638" s="164">
        <f>#REF!</f>
        <v/>
      </c>
      <c r="B638" s="145" t="b">
        <v>0</v>
      </c>
      <c r="C638" s="176">
        <f>#REF!</f>
        <v/>
      </c>
      <c r="D638" s="174" t="n"/>
      <c r="E638" s="174" t="n"/>
      <c r="F638" s="176">
        <f>#REF!</f>
        <v/>
      </c>
      <c r="G638" s="174">
        <f>#REF!</f>
        <v/>
      </c>
      <c r="H638" s="174">
        <f>#REF!</f>
        <v/>
      </c>
      <c r="I638" s="174">
        <f>#REF!</f>
        <v/>
      </c>
      <c r="J638" s="174">
        <f>#REF!</f>
        <v/>
      </c>
      <c r="K638" s="176">
        <f>#REF!</f>
        <v/>
      </c>
      <c r="L638" s="173" t="n"/>
      <c r="M638" s="9" t="n"/>
      <c r="N638" s="28" t="b">
        <v>0</v>
      </c>
      <c r="O638" s="172" t="b">
        <v>0</v>
      </c>
      <c r="P638" s="28" t="b">
        <v>0</v>
      </c>
      <c r="Q638" s="28" t="b">
        <v>0</v>
      </c>
      <c r="R638" s="28" t="b">
        <v>0</v>
      </c>
      <c r="S638" s="28" t="b">
        <v>0</v>
      </c>
      <c r="T638" s="28" t="b">
        <v>0</v>
      </c>
      <c r="U638" s="28" t="b">
        <v>0</v>
      </c>
      <c r="V638" s="28" t="b">
        <v>0</v>
      </c>
      <c r="W638" s="28" t="b">
        <v>0</v>
      </c>
    </row>
    <row r="639" ht="69" customHeight="1" s="222">
      <c r="A639" s="164">
        <f>#REF!</f>
        <v/>
      </c>
      <c r="B639" s="145" t="b">
        <v>0</v>
      </c>
      <c r="C639" s="176">
        <f>#REF!</f>
        <v/>
      </c>
      <c r="D639" s="174" t="n"/>
      <c r="E639" s="174" t="n"/>
      <c r="F639" s="176">
        <f>#REF!</f>
        <v/>
      </c>
      <c r="G639" s="174">
        <f>#REF!</f>
        <v/>
      </c>
      <c r="H639" s="174">
        <f>#REF!</f>
        <v/>
      </c>
      <c r="I639" s="174">
        <f>#REF!</f>
        <v/>
      </c>
      <c r="J639" s="174">
        <f>#REF!</f>
        <v/>
      </c>
      <c r="K639" s="176">
        <f>#REF!</f>
        <v/>
      </c>
      <c r="L639" s="173" t="n"/>
      <c r="M639" s="9" t="n"/>
      <c r="N639" s="28" t="b">
        <v>0</v>
      </c>
      <c r="O639" s="172" t="b">
        <v>0</v>
      </c>
      <c r="P639" s="28" t="b">
        <v>0</v>
      </c>
      <c r="Q639" s="28" t="b">
        <v>0</v>
      </c>
      <c r="R639" s="28" t="b">
        <v>0</v>
      </c>
      <c r="S639" s="28" t="b">
        <v>0</v>
      </c>
      <c r="T639" s="28" t="b">
        <v>0</v>
      </c>
      <c r="U639" s="28" t="b">
        <v>0</v>
      </c>
      <c r="V639" s="28" t="b">
        <v>0</v>
      </c>
      <c r="W639" s="28" t="b">
        <v>0</v>
      </c>
    </row>
    <row r="640" ht="69" customHeight="1" s="222">
      <c r="A640" s="164">
        <f>#REF!</f>
        <v/>
      </c>
      <c r="B640" s="145" t="b">
        <v>0</v>
      </c>
      <c r="C640" s="176">
        <f>#REF!</f>
        <v/>
      </c>
      <c r="D640" s="174" t="n"/>
      <c r="E640" s="174" t="n"/>
      <c r="F640" s="176">
        <f>#REF!</f>
        <v/>
      </c>
      <c r="G640" s="174">
        <f>#REF!</f>
        <v/>
      </c>
      <c r="H640" s="174">
        <f>#REF!</f>
        <v/>
      </c>
      <c r="I640" s="174">
        <f>#REF!</f>
        <v/>
      </c>
      <c r="J640" s="174">
        <f>#REF!</f>
        <v/>
      </c>
      <c r="K640" s="176">
        <f>#REF!</f>
        <v/>
      </c>
      <c r="L640" s="173" t="n"/>
      <c r="M640" s="9" t="n"/>
      <c r="N640" s="28" t="b">
        <v>0</v>
      </c>
      <c r="O640" s="172" t="b">
        <v>0</v>
      </c>
      <c r="P640" s="28" t="b">
        <v>0</v>
      </c>
      <c r="Q640" s="28" t="b">
        <v>0</v>
      </c>
      <c r="R640" s="28" t="b">
        <v>0</v>
      </c>
      <c r="S640" s="28" t="b">
        <v>0</v>
      </c>
      <c r="T640" s="28" t="b">
        <v>0</v>
      </c>
      <c r="U640" s="28" t="b">
        <v>0</v>
      </c>
      <c r="V640" s="28" t="b">
        <v>0</v>
      </c>
      <c r="W640" s="28" t="b">
        <v>0</v>
      </c>
    </row>
    <row r="641" ht="69" customHeight="1" s="222">
      <c r="A641" s="164">
        <f>#REF!</f>
        <v/>
      </c>
      <c r="B641" s="145" t="b">
        <v>0</v>
      </c>
      <c r="C641" s="176">
        <f>#REF!</f>
        <v/>
      </c>
      <c r="D641" s="174" t="n"/>
      <c r="E641" s="174" t="n"/>
      <c r="F641" s="176">
        <f>#REF!</f>
        <v/>
      </c>
      <c r="G641" s="174">
        <f>#REF!</f>
        <v/>
      </c>
      <c r="H641" s="174">
        <f>#REF!</f>
        <v/>
      </c>
      <c r="I641" s="174">
        <f>#REF!</f>
        <v/>
      </c>
      <c r="J641" s="174">
        <f>#REF!</f>
        <v/>
      </c>
      <c r="K641" s="176">
        <f>#REF!</f>
        <v/>
      </c>
      <c r="L641" s="173" t="n"/>
      <c r="M641" s="9" t="n"/>
      <c r="N641" s="28" t="b">
        <v>0</v>
      </c>
      <c r="O641" s="172" t="b">
        <v>0</v>
      </c>
      <c r="P641" s="28" t="b">
        <v>0</v>
      </c>
      <c r="Q641" s="28" t="b">
        <v>0</v>
      </c>
      <c r="R641" s="28" t="b">
        <v>0</v>
      </c>
      <c r="S641" s="28" t="b">
        <v>0</v>
      </c>
      <c r="T641" s="28" t="b">
        <v>0</v>
      </c>
      <c r="U641" s="28" t="b">
        <v>0</v>
      </c>
      <c r="V641" s="28" t="b">
        <v>0</v>
      </c>
      <c r="W641" s="28" t="b">
        <v>0</v>
      </c>
    </row>
    <row r="642" ht="69" customHeight="1" s="222">
      <c r="A642" s="164">
        <f>#REF!</f>
        <v/>
      </c>
      <c r="B642" s="145" t="b">
        <v>0</v>
      </c>
      <c r="C642" s="176">
        <f>#REF!</f>
        <v/>
      </c>
      <c r="D642" s="174" t="n"/>
      <c r="E642" s="174" t="n"/>
      <c r="F642" s="176">
        <f>#REF!</f>
        <v/>
      </c>
      <c r="G642" s="174">
        <f>#REF!</f>
        <v/>
      </c>
      <c r="H642" s="174">
        <f>#REF!</f>
        <v/>
      </c>
      <c r="I642" s="174">
        <f>#REF!</f>
        <v/>
      </c>
      <c r="J642" s="174">
        <f>#REF!</f>
        <v/>
      </c>
      <c r="K642" s="176">
        <f>#REF!</f>
        <v/>
      </c>
      <c r="L642" s="173" t="n"/>
      <c r="M642" s="9" t="n"/>
      <c r="N642" s="28" t="b">
        <v>0</v>
      </c>
      <c r="O642" s="172" t="b">
        <v>0</v>
      </c>
      <c r="P642" s="28" t="b">
        <v>0</v>
      </c>
      <c r="Q642" s="28" t="b">
        <v>0</v>
      </c>
      <c r="R642" s="28" t="b">
        <v>0</v>
      </c>
      <c r="S642" s="28" t="b">
        <v>0</v>
      </c>
      <c r="T642" s="28" t="b">
        <v>0</v>
      </c>
      <c r="U642" s="28" t="b">
        <v>0</v>
      </c>
      <c r="V642" s="28" t="b">
        <v>0</v>
      </c>
      <c r="W642" s="28" t="b">
        <v>0</v>
      </c>
    </row>
    <row r="643" ht="69" customHeight="1" s="222">
      <c r="A643" s="164">
        <f>#REF!</f>
        <v/>
      </c>
      <c r="B643" s="145" t="b">
        <v>0</v>
      </c>
      <c r="C643" s="176">
        <f>#REF!</f>
        <v/>
      </c>
      <c r="D643" s="174" t="n"/>
      <c r="E643" s="174" t="n"/>
      <c r="F643" s="176">
        <f>#REF!</f>
        <v/>
      </c>
      <c r="G643" s="174">
        <f>#REF!</f>
        <v/>
      </c>
      <c r="H643" s="174">
        <f>#REF!</f>
        <v/>
      </c>
      <c r="I643" s="174">
        <f>#REF!</f>
        <v/>
      </c>
      <c r="J643" s="174">
        <f>#REF!</f>
        <v/>
      </c>
      <c r="K643" s="176">
        <f>#REF!</f>
        <v/>
      </c>
      <c r="L643" s="173" t="n"/>
      <c r="M643" s="9" t="n"/>
      <c r="N643" s="28" t="b">
        <v>0</v>
      </c>
      <c r="O643" s="172" t="b">
        <v>0</v>
      </c>
      <c r="P643" s="28" t="b">
        <v>0</v>
      </c>
      <c r="Q643" s="28" t="b">
        <v>0</v>
      </c>
      <c r="R643" s="28" t="b">
        <v>0</v>
      </c>
      <c r="S643" s="28" t="b">
        <v>0</v>
      </c>
      <c r="T643" s="28" t="b">
        <v>0</v>
      </c>
      <c r="U643" s="28" t="b">
        <v>0</v>
      </c>
      <c r="V643" s="28" t="b">
        <v>0</v>
      </c>
      <c r="W643" s="28" t="b">
        <v>0</v>
      </c>
    </row>
    <row r="644" ht="69" customHeight="1" s="222">
      <c r="A644" s="164">
        <f>#REF!</f>
        <v/>
      </c>
      <c r="B644" s="145" t="b">
        <v>0</v>
      </c>
      <c r="C644" s="176">
        <f>#REF!</f>
        <v/>
      </c>
      <c r="D644" s="174" t="n"/>
      <c r="E644" s="174" t="n"/>
      <c r="F644" s="176">
        <f>#REF!</f>
        <v/>
      </c>
      <c r="G644" s="174">
        <f>#REF!</f>
        <v/>
      </c>
      <c r="H644" s="174">
        <f>#REF!</f>
        <v/>
      </c>
      <c r="I644" s="174">
        <f>#REF!</f>
        <v/>
      </c>
      <c r="J644" s="174">
        <f>#REF!</f>
        <v/>
      </c>
      <c r="K644" s="176">
        <f>#REF!</f>
        <v/>
      </c>
      <c r="L644" s="173" t="n"/>
      <c r="M644" s="9" t="n"/>
      <c r="N644" s="28" t="b">
        <v>0</v>
      </c>
      <c r="O644" s="172" t="b">
        <v>0</v>
      </c>
      <c r="P644" s="28" t="b">
        <v>0</v>
      </c>
      <c r="Q644" s="28" t="b">
        <v>0</v>
      </c>
      <c r="R644" s="28" t="b">
        <v>0</v>
      </c>
      <c r="S644" s="28" t="b">
        <v>0</v>
      </c>
      <c r="T644" s="28" t="b">
        <v>0</v>
      </c>
      <c r="U644" s="28" t="b">
        <v>0</v>
      </c>
      <c r="V644" s="28" t="b">
        <v>0</v>
      </c>
      <c r="W644" s="28" t="b">
        <v>0</v>
      </c>
    </row>
    <row r="645" ht="69" customHeight="1" s="222">
      <c r="A645" s="164">
        <f>#REF!</f>
        <v/>
      </c>
      <c r="B645" s="145" t="b">
        <v>0</v>
      </c>
      <c r="C645" s="176">
        <f>#REF!</f>
        <v/>
      </c>
      <c r="D645" s="174" t="n"/>
      <c r="E645" s="174" t="n"/>
      <c r="F645" s="176">
        <f>#REF!</f>
        <v/>
      </c>
      <c r="G645" s="174">
        <f>#REF!</f>
        <v/>
      </c>
      <c r="H645" s="174">
        <f>#REF!</f>
        <v/>
      </c>
      <c r="I645" s="174">
        <f>#REF!</f>
        <v/>
      </c>
      <c r="J645" s="174">
        <f>#REF!</f>
        <v/>
      </c>
      <c r="K645" s="176">
        <f>#REF!</f>
        <v/>
      </c>
      <c r="L645" s="173" t="n"/>
      <c r="M645" s="9" t="n"/>
      <c r="N645" s="28" t="b">
        <v>0</v>
      </c>
      <c r="O645" s="172" t="b">
        <v>0</v>
      </c>
      <c r="P645" s="28" t="b">
        <v>0</v>
      </c>
      <c r="Q645" s="28" t="b">
        <v>0</v>
      </c>
      <c r="R645" s="28" t="b">
        <v>0</v>
      </c>
      <c r="S645" s="28" t="b">
        <v>0</v>
      </c>
      <c r="T645" s="28" t="b">
        <v>0</v>
      </c>
      <c r="U645" s="28" t="b">
        <v>0</v>
      </c>
      <c r="V645" s="28" t="b">
        <v>0</v>
      </c>
      <c r="W645" s="28" t="b">
        <v>0</v>
      </c>
    </row>
    <row r="646" ht="69" customHeight="1" s="222">
      <c r="A646" s="164">
        <f>#REF!</f>
        <v/>
      </c>
      <c r="B646" s="145" t="b">
        <v>0</v>
      </c>
      <c r="C646" s="176">
        <f>#REF!</f>
        <v/>
      </c>
      <c r="D646" s="174" t="n"/>
      <c r="E646" s="174" t="n"/>
      <c r="F646" s="176">
        <f>#REF!</f>
        <v/>
      </c>
      <c r="G646" s="174">
        <f>#REF!</f>
        <v/>
      </c>
      <c r="H646" s="174">
        <f>#REF!</f>
        <v/>
      </c>
      <c r="I646" s="174">
        <f>#REF!</f>
        <v/>
      </c>
      <c r="J646" s="174">
        <f>#REF!</f>
        <v/>
      </c>
      <c r="K646" s="176">
        <f>#REF!</f>
        <v/>
      </c>
      <c r="L646" s="173" t="n"/>
      <c r="M646" s="9" t="n"/>
      <c r="N646" s="28" t="b">
        <v>0</v>
      </c>
      <c r="O646" s="172" t="b">
        <v>0</v>
      </c>
      <c r="P646" s="28" t="b">
        <v>0</v>
      </c>
      <c r="Q646" s="28" t="b">
        <v>0</v>
      </c>
      <c r="R646" s="28" t="b">
        <v>0</v>
      </c>
      <c r="S646" s="28" t="b">
        <v>0</v>
      </c>
      <c r="T646" s="28" t="b">
        <v>0</v>
      </c>
      <c r="U646" s="28" t="b">
        <v>0</v>
      </c>
      <c r="V646" s="28" t="b">
        <v>0</v>
      </c>
      <c r="W646" s="28" t="b">
        <v>0</v>
      </c>
    </row>
    <row r="647" ht="69" customHeight="1" s="222">
      <c r="A647" s="164">
        <f>#REF!</f>
        <v/>
      </c>
      <c r="B647" s="145" t="b">
        <v>0</v>
      </c>
      <c r="C647" s="176">
        <f>#REF!</f>
        <v/>
      </c>
      <c r="D647" s="174" t="n"/>
      <c r="E647" s="174" t="n"/>
      <c r="F647" s="176">
        <f>#REF!</f>
        <v/>
      </c>
      <c r="G647" s="174">
        <f>#REF!</f>
        <v/>
      </c>
      <c r="H647" s="174">
        <f>#REF!</f>
        <v/>
      </c>
      <c r="I647" s="174">
        <f>#REF!</f>
        <v/>
      </c>
      <c r="J647" s="174">
        <f>#REF!</f>
        <v/>
      </c>
      <c r="K647" s="176">
        <f>#REF!</f>
        <v/>
      </c>
      <c r="L647" s="173" t="n"/>
      <c r="M647" s="9" t="n"/>
      <c r="N647" s="28" t="b">
        <v>0</v>
      </c>
      <c r="O647" s="172" t="b">
        <v>0</v>
      </c>
      <c r="P647" s="28" t="b">
        <v>0</v>
      </c>
      <c r="Q647" s="28" t="b">
        <v>0</v>
      </c>
      <c r="R647" s="28" t="b">
        <v>0</v>
      </c>
      <c r="S647" s="28" t="b">
        <v>0</v>
      </c>
      <c r="T647" s="28" t="b">
        <v>0</v>
      </c>
      <c r="U647" s="28" t="b">
        <v>0</v>
      </c>
      <c r="V647" s="28" t="b">
        <v>0</v>
      </c>
      <c r="W647" s="28" t="b">
        <v>0</v>
      </c>
    </row>
    <row r="648" ht="69" customHeight="1" s="222">
      <c r="A648" s="164">
        <f>#REF!</f>
        <v/>
      </c>
      <c r="B648" s="145" t="b">
        <v>0</v>
      </c>
      <c r="C648" s="176">
        <f>#REF!</f>
        <v/>
      </c>
      <c r="D648" s="174" t="n"/>
      <c r="E648" s="174" t="n"/>
      <c r="F648" s="176">
        <f>#REF!</f>
        <v/>
      </c>
      <c r="G648" s="174">
        <f>#REF!</f>
        <v/>
      </c>
      <c r="H648" s="174">
        <f>#REF!</f>
        <v/>
      </c>
      <c r="I648" s="174">
        <f>#REF!</f>
        <v/>
      </c>
      <c r="J648" s="174">
        <f>#REF!</f>
        <v/>
      </c>
      <c r="K648" s="176">
        <f>#REF!</f>
        <v/>
      </c>
      <c r="L648" s="173" t="n"/>
      <c r="M648" s="9" t="n"/>
      <c r="N648" s="28" t="b">
        <v>0</v>
      </c>
      <c r="O648" s="172" t="b">
        <v>0</v>
      </c>
      <c r="P648" s="28" t="b">
        <v>0</v>
      </c>
      <c r="Q648" s="28" t="b">
        <v>0</v>
      </c>
      <c r="R648" s="28" t="b">
        <v>0</v>
      </c>
      <c r="S648" s="28" t="b">
        <v>0</v>
      </c>
      <c r="T648" s="28" t="b">
        <v>0</v>
      </c>
      <c r="U648" s="28" t="b">
        <v>0</v>
      </c>
      <c r="V648" s="28" t="b">
        <v>0</v>
      </c>
      <c r="W648" s="28" t="b">
        <v>0</v>
      </c>
    </row>
    <row r="649" ht="69" customHeight="1" s="222">
      <c r="A649" s="164">
        <f>#REF!</f>
        <v/>
      </c>
      <c r="B649" s="145" t="b">
        <v>0</v>
      </c>
      <c r="C649" s="176">
        <f>#REF!</f>
        <v/>
      </c>
      <c r="D649" s="174" t="n"/>
      <c r="E649" s="174" t="n"/>
      <c r="F649" s="176">
        <f>#REF!</f>
        <v/>
      </c>
      <c r="G649" s="174">
        <f>#REF!</f>
        <v/>
      </c>
      <c r="H649" s="174">
        <f>#REF!</f>
        <v/>
      </c>
      <c r="I649" s="174">
        <f>#REF!</f>
        <v/>
      </c>
      <c r="J649" s="174">
        <f>#REF!</f>
        <v/>
      </c>
      <c r="K649" s="176">
        <f>#REF!</f>
        <v/>
      </c>
      <c r="L649" s="173" t="n"/>
      <c r="M649" s="9" t="n"/>
      <c r="N649" s="28" t="b">
        <v>0</v>
      </c>
      <c r="O649" s="172" t="b">
        <v>0</v>
      </c>
      <c r="P649" s="28" t="b">
        <v>0</v>
      </c>
      <c r="Q649" s="28" t="b">
        <v>0</v>
      </c>
      <c r="R649" s="28" t="b">
        <v>0</v>
      </c>
      <c r="S649" s="28" t="b">
        <v>0</v>
      </c>
      <c r="T649" s="28" t="b">
        <v>0</v>
      </c>
      <c r="U649" s="28" t="b">
        <v>0</v>
      </c>
      <c r="V649" s="28" t="b">
        <v>0</v>
      </c>
      <c r="W649" s="28" t="b">
        <v>0</v>
      </c>
    </row>
    <row r="650" ht="69" customHeight="1" s="222">
      <c r="A650" s="164">
        <f>#REF!</f>
        <v/>
      </c>
      <c r="B650" s="145" t="b">
        <v>0</v>
      </c>
      <c r="C650" s="176">
        <f>#REF!</f>
        <v/>
      </c>
      <c r="D650" s="174" t="n"/>
      <c r="E650" s="174" t="n"/>
      <c r="F650" s="176">
        <f>#REF!</f>
        <v/>
      </c>
      <c r="G650" s="174">
        <f>#REF!</f>
        <v/>
      </c>
      <c r="H650" s="174">
        <f>#REF!</f>
        <v/>
      </c>
      <c r="I650" s="174">
        <f>#REF!</f>
        <v/>
      </c>
      <c r="J650" s="174">
        <f>#REF!</f>
        <v/>
      </c>
      <c r="K650" s="176">
        <f>#REF!</f>
        <v/>
      </c>
      <c r="L650" s="173" t="n"/>
      <c r="M650" s="9" t="n"/>
      <c r="N650" s="28" t="b">
        <v>0</v>
      </c>
      <c r="O650" s="172" t="b">
        <v>0</v>
      </c>
      <c r="P650" s="28" t="b">
        <v>0</v>
      </c>
      <c r="Q650" s="28" t="b">
        <v>0</v>
      </c>
      <c r="R650" s="28" t="b">
        <v>0</v>
      </c>
      <c r="S650" s="28" t="b">
        <v>0</v>
      </c>
      <c r="T650" s="28" t="b">
        <v>0</v>
      </c>
      <c r="U650" s="28" t="b">
        <v>0</v>
      </c>
      <c r="V650" s="28" t="b">
        <v>0</v>
      </c>
      <c r="W650" s="28" t="b">
        <v>0</v>
      </c>
    </row>
    <row r="651" ht="69" customHeight="1" s="222">
      <c r="A651" s="164">
        <f>#REF!</f>
        <v/>
      </c>
      <c r="B651" s="145" t="b">
        <v>0</v>
      </c>
      <c r="C651" s="176">
        <f>#REF!</f>
        <v/>
      </c>
      <c r="D651" s="174" t="n"/>
      <c r="E651" s="174" t="n"/>
      <c r="F651" s="176">
        <f>#REF!</f>
        <v/>
      </c>
      <c r="G651" s="174">
        <f>#REF!</f>
        <v/>
      </c>
      <c r="H651" s="174">
        <f>#REF!</f>
        <v/>
      </c>
      <c r="I651" s="174">
        <f>#REF!</f>
        <v/>
      </c>
      <c r="J651" s="174">
        <f>#REF!</f>
        <v/>
      </c>
      <c r="K651" s="176">
        <f>#REF!</f>
        <v/>
      </c>
      <c r="L651" s="173" t="n"/>
      <c r="M651" s="9" t="n"/>
      <c r="N651" s="28" t="b">
        <v>0</v>
      </c>
      <c r="O651" s="172" t="b">
        <v>0</v>
      </c>
      <c r="P651" s="28" t="b">
        <v>0</v>
      </c>
      <c r="Q651" s="28" t="b">
        <v>0</v>
      </c>
      <c r="R651" s="28" t="b">
        <v>0</v>
      </c>
      <c r="S651" s="28" t="b">
        <v>0</v>
      </c>
      <c r="T651" s="28" t="b">
        <v>0</v>
      </c>
      <c r="U651" s="28" t="b">
        <v>0</v>
      </c>
      <c r="V651" s="28" t="b">
        <v>0</v>
      </c>
      <c r="W651" s="28" t="b">
        <v>0</v>
      </c>
    </row>
    <row r="652" ht="69" customHeight="1" s="222">
      <c r="A652" s="164">
        <f>#REF!</f>
        <v/>
      </c>
      <c r="B652" s="145" t="b">
        <v>0</v>
      </c>
      <c r="C652" s="176">
        <f>#REF!</f>
        <v/>
      </c>
      <c r="D652" s="174" t="n"/>
      <c r="E652" s="174" t="n"/>
      <c r="F652" s="176">
        <f>#REF!</f>
        <v/>
      </c>
      <c r="G652" s="174">
        <f>#REF!</f>
        <v/>
      </c>
      <c r="H652" s="174">
        <f>#REF!</f>
        <v/>
      </c>
      <c r="I652" s="174">
        <f>#REF!</f>
        <v/>
      </c>
      <c r="J652" s="174">
        <f>#REF!</f>
        <v/>
      </c>
      <c r="K652" s="176">
        <f>#REF!</f>
        <v/>
      </c>
      <c r="L652" s="173" t="n"/>
      <c r="M652" s="9" t="n"/>
      <c r="N652" s="28" t="b">
        <v>0</v>
      </c>
      <c r="O652" s="172" t="b">
        <v>0</v>
      </c>
      <c r="P652" s="28" t="b">
        <v>0</v>
      </c>
      <c r="Q652" s="28" t="b">
        <v>0</v>
      </c>
      <c r="R652" s="28" t="b">
        <v>0</v>
      </c>
      <c r="S652" s="28" t="b">
        <v>0</v>
      </c>
      <c r="T652" s="28" t="b">
        <v>0</v>
      </c>
      <c r="U652" s="28" t="b">
        <v>0</v>
      </c>
      <c r="V652" s="28" t="b">
        <v>0</v>
      </c>
      <c r="W652" s="28" t="b">
        <v>0</v>
      </c>
    </row>
    <row r="653" ht="69" customHeight="1" s="222">
      <c r="A653" s="164">
        <f>#REF!</f>
        <v/>
      </c>
      <c r="B653" s="145" t="b">
        <v>0</v>
      </c>
      <c r="C653" s="176">
        <f>#REF!</f>
        <v/>
      </c>
      <c r="D653" s="174" t="n"/>
      <c r="E653" s="174" t="n"/>
      <c r="F653" s="176">
        <f>#REF!</f>
        <v/>
      </c>
      <c r="G653" s="174">
        <f>#REF!</f>
        <v/>
      </c>
      <c r="H653" s="174">
        <f>#REF!</f>
        <v/>
      </c>
      <c r="I653" s="174">
        <f>#REF!</f>
        <v/>
      </c>
      <c r="J653" s="174">
        <f>#REF!</f>
        <v/>
      </c>
      <c r="K653" s="176">
        <f>#REF!</f>
        <v/>
      </c>
      <c r="L653" s="173" t="n"/>
      <c r="M653" s="9" t="n"/>
      <c r="N653" s="28" t="b">
        <v>0</v>
      </c>
      <c r="O653" s="172" t="b">
        <v>0</v>
      </c>
      <c r="P653" s="28" t="b">
        <v>0</v>
      </c>
      <c r="Q653" s="28" t="b">
        <v>0</v>
      </c>
      <c r="R653" s="28" t="b">
        <v>0</v>
      </c>
      <c r="S653" s="28" t="b">
        <v>0</v>
      </c>
      <c r="T653" s="28" t="b">
        <v>0</v>
      </c>
      <c r="U653" s="28" t="b">
        <v>0</v>
      </c>
      <c r="V653" s="28" t="b">
        <v>0</v>
      </c>
      <c r="W653" s="28" t="b">
        <v>0</v>
      </c>
    </row>
    <row r="654" ht="69" customHeight="1" s="222">
      <c r="A654" s="164">
        <f>#REF!</f>
        <v/>
      </c>
      <c r="B654" s="145" t="b">
        <v>0</v>
      </c>
      <c r="C654" s="176">
        <f>#REF!</f>
        <v/>
      </c>
      <c r="D654" s="174" t="n"/>
      <c r="E654" s="174" t="n"/>
      <c r="F654" s="176">
        <f>#REF!</f>
        <v/>
      </c>
      <c r="G654" s="174">
        <f>#REF!</f>
        <v/>
      </c>
      <c r="H654" s="174">
        <f>#REF!</f>
        <v/>
      </c>
      <c r="I654" s="174">
        <f>#REF!</f>
        <v/>
      </c>
      <c r="J654" s="174">
        <f>#REF!</f>
        <v/>
      </c>
      <c r="K654" s="176">
        <f>#REF!</f>
        <v/>
      </c>
      <c r="L654" s="173" t="n"/>
      <c r="M654" s="9" t="n"/>
      <c r="N654" s="28" t="b">
        <v>0</v>
      </c>
      <c r="O654" s="172" t="b">
        <v>0</v>
      </c>
      <c r="P654" s="28" t="b">
        <v>0</v>
      </c>
      <c r="Q654" s="28" t="b">
        <v>0</v>
      </c>
      <c r="R654" s="28" t="b">
        <v>0</v>
      </c>
      <c r="S654" s="28" t="b">
        <v>0</v>
      </c>
      <c r="T654" s="28" t="b">
        <v>0</v>
      </c>
      <c r="U654" s="28" t="b">
        <v>0</v>
      </c>
      <c r="V654" s="28" t="b">
        <v>0</v>
      </c>
      <c r="W654" s="28" t="b">
        <v>0</v>
      </c>
    </row>
    <row r="655" ht="69" customHeight="1" s="222">
      <c r="A655" s="164">
        <f>#REF!</f>
        <v/>
      </c>
      <c r="B655" s="145" t="b">
        <v>0</v>
      </c>
      <c r="C655" s="176">
        <f>#REF!</f>
        <v/>
      </c>
      <c r="D655" s="174" t="n"/>
      <c r="E655" s="174" t="n"/>
      <c r="F655" s="176">
        <f>#REF!</f>
        <v/>
      </c>
      <c r="G655" s="174">
        <f>#REF!</f>
        <v/>
      </c>
      <c r="H655" s="174">
        <f>#REF!</f>
        <v/>
      </c>
      <c r="I655" s="174">
        <f>#REF!</f>
        <v/>
      </c>
      <c r="J655" s="174">
        <f>#REF!</f>
        <v/>
      </c>
      <c r="K655" s="176">
        <f>#REF!</f>
        <v/>
      </c>
      <c r="L655" s="173" t="n"/>
      <c r="M655" s="9" t="n"/>
      <c r="N655" s="28" t="b">
        <v>0</v>
      </c>
      <c r="O655" s="172" t="b">
        <v>0</v>
      </c>
      <c r="P655" s="28" t="b">
        <v>0</v>
      </c>
      <c r="Q655" s="28" t="b">
        <v>0</v>
      </c>
      <c r="R655" s="28" t="b">
        <v>0</v>
      </c>
      <c r="S655" s="28" t="b">
        <v>0</v>
      </c>
      <c r="T655" s="28" t="b">
        <v>0</v>
      </c>
      <c r="U655" s="28" t="b">
        <v>0</v>
      </c>
      <c r="V655" s="28" t="b">
        <v>0</v>
      </c>
      <c r="W655" s="28" t="b">
        <v>0</v>
      </c>
    </row>
    <row r="656" ht="69" customHeight="1" s="222">
      <c r="A656" s="164">
        <f>#REF!</f>
        <v/>
      </c>
      <c r="B656" s="145" t="b">
        <v>0</v>
      </c>
      <c r="C656" s="176">
        <f>#REF!</f>
        <v/>
      </c>
      <c r="D656" s="174" t="n"/>
      <c r="E656" s="174" t="n"/>
      <c r="F656" s="176">
        <f>#REF!</f>
        <v/>
      </c>
      <c r="G656" s="174">
        <f>#REF!</f>
        <v/>
      </c>
      <c r="H656" s="174">
        <f>#REF!</f>
        <v/>
      </c>
      <c r="I656" s="174">
        <f>#REF!</f>
        <v/>
      </c>
      <c r="J656" s="174">
        <f>#REF!</f>
        <v/>
      </c>
      <c r="K656" s="176">
        <f>#REF!</f>
        <v/>
      </c>
      <c r="L656" s="173" t="n"/>
      <c r="M656" s="9" t="n"/>
      <c r="N656" s="28" t="b">
        <v>0</v>
      </c>
      <c r="O656" s="172" t="b">
        <v>0</v>
      </c>
      <c r="P656" s="28" t="b">
        <v>0</v>
      </c>
      <c r="Q656" s="28" t="b">
        <v>0</v>
      </c>
      <c r="R656" s="28" t="b">
        <v>0</v>
      </c>
      <c r="S656" s="28" t="b">
        <v>0</v>
      </c>
      <c r="T656" s="28" t="b">
        <v>0</v>
      </c>
      <c r="U656" s="28" t="b">
        <v>0</v>
      </c>
      <c r="V656" s="28" t="b">
        <v>0</v>
      </c>
      <c r="W656" s="28" t="b">
        <v>0</v>
      </c>
    </row>
    <row r="657" ht="69" customHeight="1" s="222">
      <c r="A657" s="164">
        <f>#REF!</f>
        <v/>
      </c>
      <c r="B657" s="145" t="b">
        <v>0</v>
      </c>
      <c r="C657" s="176">
        <f>#REF!</f>
        <v/>
      </c>
      <c r="D657" s="174" t="n"/>
      <c r="E657" s="174" t="n"/>
      <c r="F657" s="176">
        <f>#REF!</f>
        <v/>
      </c>
      <c r="G657" s="174">
        <f>#REF!</f>
        <v/>
      </c>
      <c r="H657" s="174">
        <f>#REF!</f>
        <v/>
      </c>
      <c r="I657" s="174">
        <f>#REF!</f>
        <v/>
      </c>
      <c r="J657" s="174">
        <f>#REF!</f>
        <v/>
      </c>
      <c r="K657" s="176">
        <f>#REF!</f>
        <v/>
      </c>
      <c r="L657" s="173" t="n"/>
      <c r="M657" s="9" t="n"/>
      <c r="N657" s="28" t="b">
        <v>0</v>
      </c>
      <c r="O657" s="172" t="b">
        <v>0</v>
      </c>
      <c r="P657" s="28" t="b">
        <v>0</v>
      </c>
      <c r="Q657" s="28" t="b">
        <v>0</v>
      </c>
      <c r="R657" s="28" t="b">
        <v>0</v>
      </c>
      <c r="S657" s="28" t="b">
        <v>0</v>
      </c>
      <c r="T657" s="28" t="b">
        <v>0</v>
      </c>
      <c r="U657" s="28" t="b">
        <v>0</v>
      </c>
      <c r="V657" s="28" t="b">
        <v>0</v>
      </c>
      <c r="W657" s="28" t="b">
        <v>0</v>
      </c>
    </row>
    <row r="658" ht="69" customHeight="1" s="222">
      <c r="A658" s="164">
        <f>#REF!</f>
        <v/>
      </c>
      <c r="B658" s="145" t="b">
        <v>0</v>
      </c>
      <c r="C658" s="176">
        <f>#REF!</f>
        <v/>
      </c>
      <c r="D658" s="174" t="n"/>
      <c r="E658" s="174" t="n"/>
      <c r="F658" s="176">
        <f>#REF!</f>
        <v/>
      </c>
      <c r="G658" s="174">
        <f>#REF!</f>
        <v/>
      </c>
      <c r="H658" s="174">
        <f>#REF!</f>
        <v/>
      </c>
      <c r="I658" s="174">
        <f>#REF!</f>
        <v/>
      </c>
      <c r="J658" s="174">
        <f>#REF!</f>
        <v/>
      </c>
      <c r="K658" s="176">
        <f>#REF!</f>
        <v/>
      </c>
      <c r="L658" s="173" t="n"/>
      <c r="M658" s="9" t="n"/>
      <c r="N658" s="28" t="b">
        <v>0</v>
      </c>
      <c r="O658" s="172" t="b">
        <v>0</v>
      </c>
      <c r="P658" s="28" t="b">
        <v>0</v>
      </c>
      <c r="Q658" s="28" t="b">
        <v>0</v>
      </c>
      <c r="R658" s="28" t="b">
        <v>0</v>
      </c>
      <c r="S658" s="28" t="b">
        <v>0</v>
      </c>
      <c r="T658" s="28" t="b">
        <v>0</v>
      </c>
      <c r="U658" s="28" t="b">
        <v>0</v>
      </c>
      <c r="V658" s="28" t="b">
        <v>0</v>
      </c>
      <c r="W658" s="28" t="b">
        <v>0</v>
      </c>
    </row>
    <row r="659" ht="69" customHeight="1" s="222">
      <c r="A659" s="164">
        <f>#REF!</f>
        <v/>
      </c>
      <c r="B659" s="145" t="b">
        <v>0</v>
      </c>
      <c r="C659" s="176">
        <f>#REF!</f>
        <v/>
      </c>
      <c r="D659" s="174" t="n"/>
      <c r="E659" s="174" t="n"/>
      <c r="F659" s="176">
        <f>#REF!</f>
        <v/>
      </c>
      <c r="G659" s="174">
        <f>#REF!</f>
        <v/>
      </c>
      <c r="H659" s="174">
        <f>#REF!</f>
        <v/>
      </c>
      <c r="I659" s="174">
        <f>#REF!</f>
        <v/>
      </c>
      <c r="J659" s="174">
        <f>#REF!</f>
        <v/>
      </c>
      <c r="K659" s="176">
        <f>#REF!</f>
        <v/>
      </c>
      <c r="L659" s="173" t="n"/>
      <c r="M659" s="9" t="n"/>
      <c r="N659" s="28" t="b">
        <v>0</v>
      </c>
      <c r="O659" s="172" t="b">
        <v>0</v>
      </c>
      <c r="P659" s="28" t="b">
        <v>0</v>
      </c>
      <c r="Q659" s="28" t="b">
        <v>0</v>
      </c>
      <c r="R659" s="28" t="b">
        <v>0</v>
      </c>
      <c r="S659" s="28" t="b">
        <v>0</v>
      </c>
      <c r="T659" s="28" t="b">
        <v>0</v>
      </c>
      <c r="U659" s="28" t="b">
        <v>0</v>
      </c>
      <c r="V659" s="28" t="b">
        <v>0</v>
      </c>
      <c r="W659" s="28" t="b">
        <v>0</v>
      </c>
    </row>
    <row r="660" ht="69" customHeight="1" s="222">
      <c r="A660" s="164">
        <f>#REF!</f>
        <v/>
      </c>
      <c r="B660" s="145" t="b">
        <v>0</v>
      </c>
      <c r="C660" s="176">
        <f>#REF!</f>
        <v/>
      </c>
      <c r="D660" s="174" t="n"/>
      <c r="E660" s="174" t="n"/>
      <c r="F660" s="176">
        <f>#REF!</f>
        <v/>
      </c>
      <c r="G660" s="174">
        <f>#REF!</f>
        <v/>
      </c>
      <c r="H660" s="174">
        <f>#REF!</f>
        <v/>
      </c>
      <c r="I660" s="174">
        <f>#REF!</f>
        <v/>
      </c>
      <c r="J660" s="174">
        <f>#REF!</f>
        <v/>
      </c>
      <c r="K660" s="176">
        <f>#REF!</f>
        <v/>
      </c>
      <c r="L660" s="173" t="n"/>
      <c r="M660" s="9" t="n"/>
      <c r="N660" s="28" t="b">
        <v>0</v>
      </c>
      <c r="O660" s="172" t="b">
        <v>0</v>
      </c>
      <c r="P660" s="28" t="b">
        <v>0</v>
      </c>
      <c r="Q660" s="28" t="b">
        <v>0</v>
      </c>
      <c r="R660" s="28" t="b">
        <v>0</v>
      </c>
      <c r="S660" s="28" t="b">
        <v>0</v>
      </c>
      <c r="T660" s="28" t="b">
        <v>0</v>
      </c>
      <c r="U660" s="28" t="b">
        <v>0</v>
      </c>
      <c r="V660" s="28" t="b">
        <v>0</v>
      </c>
      <c r="W660" s="28" t="b">
        <v>0</v>
      </c>
    </row>
    <row r="661" ht="69" customHeight="1" s="222">
      <c r="A661" s="164">
        <f>#REF!</f>
        <v/>
      </c>
      <c r="B661" s="145" t="b">
        <v>0</v>
      </c>
      <c r="C661" s="176">
        <f>#REF!</f>
        <v/>
      </c>
      <c r="D661" s="174" t="n"/>
      <c r="E661" s="174" t="n"/>
      <c r="F661" s="176">
        <f>#REF!</f>
        <v/>
      </c>
      <c r="G661" s="174">
        <f>#REF!</f>
        <v/>
      </c>
      <c r="H661" s="174">
        <f>#REF!</f>
        <v/>
      </c>
      <c r="I661" s="174">
        <f>#REF!</f>
        <v/>
      </c>
      <c r="J661" s="174">
        <f>#REF!</f>
        <v/>
      </c>
      <c r="K661" s="176">
        <f>#REF!</f>
        <v/>
      </c>
      <c r="L661" s="173" t="n"/>
      <c r="M661" s="9" t="n"/>
      <c r="N661" s="28" t="b">
        <v>0</v>
      </c>
      <c r="O661" s="172" t="b">
        <v>0</v>
      </c>
      <c r="P661" s="28" t="b">
        <v>0</v>
      </c>
      <c r="Q661" s="28" t="b">
        <v>0</v>
      </c>
      <c r="R661" s="28" t="b">
        <v>0</v>
      </c>
      <c r="S661" s="28" t="b">
        <v>0</v>
      </c>
      <c r="T661" s="28" t="b">
        <v>0</v>
      </c>
      <c r="U661" s="28" t="b">
        <v>0</v>
      </c>
      <c r="V661" s="28" t="b">
        <v>0</v>
      </c>
      <c r="W661" s="28" t="b">
        <v>0</v>
      </c>
    </row>
    <row r="662" ht="69" customHeight="1" s="222">
      <c r="A662" s="164">
        <f>#REF!</f>
        <v/>
      </c>
      <c r="B662" s="145" t="b">
        <v>0</v>
      </c>
      <c r="C662" s="176">
        <f>#REF!</f>
        <v/>
      </c>
      <c r="D662" s="174" t="n"/>
      <c r="E662" s="174" t="n"/>
      <c r="F662" s="176">
        <f>#REF!</f>
        <v/>
      </c>
      <c r="G662" s="174">
        <f>#REF!</f>
        <v/>
      </c>
      <c r="H662" s="174">
        <f>#REF!</f>
        <v/>
      </c>
      <c r="I662" s="174">
        <f>#REF!</f>
        <v/>
      </c>
      <c r="J662" s="174">
        <f>#REF!</f>
        <v/>
      </c>
      <c r="K662" s="176">
        <f>#REF!</f>
        <v/>
      </c>
      <c r="L662" s="173" t="n"/>
      <c r="M662" s="9" t="n"/>
      <c r="N662" s="28" t="b">
        <v>0</v>
      </c>
      <c r="O662" s="172" t="b">
        <v>0</v>
      </c>
      <c r="P662" s="28" t="b">
        <v>0</v>
      </c>
      <c r="Q662" s="28" t="b">
        <v>0</v>
      </c>
      <c r="R662" s="28" t="b">
        <v>0</v>
      </c>
      <c r="S662" s="28" t="b">
        <v>0</v>
      </c>
      <c r="T662" s="28" t="b">
        <v>0</v>
      </c>
      <c r="U662" s="28" t="b">
        <v>0</v>
      </c>
      <c r="V662" s="28" t="b">
        <v>0</v>
      </c>
      <c r="W662" s="28" t="b">
        <v>0</v>
      </c>
    </row>
    <row r="663" ht="69" customHeight="1" s="222">
      <c r="A663" s="164">
        <f>#REF!</f>
        <v/>
      </c>
      <c r="B663" s="145" t="b">
        <v>0</v>
      </c>
      <c r="C663" s="176">
        <f>#REF!</f>
        <v/>
      </c>
      <c r="D663" s="174" t="n"/>
      <c r="E663" s="174" t="n"/>
      <c r="F663" s="176">
        <f>#REF!</f>
        <v/>
      </c>
      <c r="G663" s="174">
        <f>#REF!</f>
        <v/>
      </c>
      <c r="H663" s="174">
        <f>#REF!</f>
        <v/>
      </c>
      <c r="I663" s="174">
        <f>#REF!</f>
        <v/>
      </c>
      <c r="J663" s="174">
        <f>#REF!</f>
        <v/>
      </c>
      <c r="K663" s="176">
        <f>#REF!</f>
        <v/>
      </c>
      <c r="L663" s="173" t="n"/>
      <c r="M663" s="9" t="n"/>
      <c r="N663" s="28" t="b">
        <v>0</v>
      </c>
      <c r="O663" s="172" t="b">
        <v>0</v>
      </c>
      <c r="P663" s="28" t="b">
        <v>0</v>
      </c>
      <c r="Q663" s="28" t="b">
        <v>0</v>
      </c>
      <c r="R663" s="28" t="b">
        <v>0</v>
      </c>
      <c r="S663" s="28" t="b">
        <v>0</v>
      </c>
      <c r="T663" s="28" t="b">
        <v>0</v>
      </c>
      <c r="U663" s="28" t="b">
        <v>0</v>
      </c>
      <c r="V663" s="28" t="b">
        <v>0</v>
      </c>
      <c r="W663" s="28" t="b">
        <v>0</v>
      </c>
    </row>
    <row r="664" ht="69" customHeight="1" s="222">
      <c r="A664" s="164">
        <f>#REF!</f>
        <v/>
      </c>
      <c r="B664" s="145" t="b">
        <v>0</v>
      </c>
      <c r="C664" s="176">
        <f>#REF!</f>
        <v/>
      </c>
      <c r="D664" s="174" t="n"/>
      <c r="E664" s="174" t="n"/>
      <c r="F664" s="176">
        <f>#REF!</f>
        <v/>
      </c>
      <c r="G664" s="174">
        <f>#REF!</f>
        <v/>
      </c>
      <c r="H664" s="174">
        <f>#REF!</f>
        <v/>
      </c>
      <c r="I664" s="174">
        <f>#REF!</f>
        <v/>
      </c>
      <c r="J664" s="174">
        <f>#REF!</f>
        <v/>
      </c>
      <c r="K664" s="176">
        <f>#REF!</f>
        <v/>
      </c>
      <c r="L664" s="173" t="n"/>
      <c r="M664" s="9" t="n"/>
      <c r="N664" s="28" t="b">
        <v>0</v>
      </c>
      <c r="O664" s="172" t="b">
        <v>0</v>
      </c>
      <c r="P664" s="28" t="b">
        <v>0</v>
      </c>
      <c r="Q664" s="28" t="b">
        <v>0</v>
      </c>
      <c r="R664" s="28" t="b">
        <v>0</v>
      </c>
      <c r="S664" s="28" t="b">
        <v>0</v>
      </c>
      <c r="T664" s="28" t="b">
        <v>0</v>
      </c>
      <c r="U664" s="28" t="b">
        <v>0</v>
      </c>
      <c r="V664" s="28" t="b">
        <v>0</v>
      </c>
      <c r="W664" s="28" t="b">
        <v>0</v>
      </c>
    </row>
    <row r="665" ht="69" customHeight="1" s="222">
      <c r="A665" s="164">
        <f>#REF!</f>
        <v/>
      </c>
      <c r="B665" s="145" t="b">
        <v>0</v>
      </c>
      <c r="C665" s="176">
        <f>#REF!</f>
        <v/>
      </c>
      <c r="D665" s="174" t="n"/>
      <c r="E665" s="174" t="n"/>
      <c r="F665" s="176">
        <f>#REF!</f>
        <v/>
      </c>
      <c r="G665" s="174">
        <f>#REF!</f>
        <v/>
      </c>
      <c r="H665" s="174">
        <f>#REF!</f>
        <v/>
      </c>
      <c r="I665" s="174">
        <f>#REF!</f>
        <v/>
      </c>
      <c r="J665" s="174">
        <f>#REF!</f>
        <v/>
      </c>
      <c r="K665" s="176">
        <f>#REF!</f>
        <v/>
      </c>
      <c r="L665" s="173" t="n"/>
      <c r="M665" s="9" t="n"/>
      <c r="N665" s="28" t="b">
        <v>0</v>
      </c>
      <c r="O665" s="172" t="b">
        <v>0</v>
      </c>
      <c r="P665" s="28" t="b">
        <v>0</v>
      </c>
      <c r="Q665" s="28" t="b">
        <v>0</v>
      </c>
      <c r="R665" s="28" t="b">
        <v>0</v>
      </c>
      <c r="S665" s="28" t="b">
        <v>0</v>
      </c>
      <c r="T665" s="28" t="b">
        <v>0</v>
      </c>
      <c r="U665" s="28" t="b">
        <v>0</v>
      </c>
      <c r="V665" s="28" t="b">
        <v>0</v>
      </c>
      <c r="W665" s="28" t="b">
        <v>0</v>
      </c>
    </row>
    <row r="666" ht="69" customHeight="1" s="222">
      <c r="A666" s="164">
        <f>#REF!</f>
        <v/>
      </c>
      <c r="B666" s="145" t="b">
        <v>0</v>
      </c>
      <c r="C666" s="176">
        <f>#REF!</f>
        <v/>
      </c>
      <c r="D666" s="174" t="n"/>
      <c r="E666" s="174" t="n"/>
      <c r="F666" s="176">
        <f>#REF!</f>
        <v/>
      </c>
      <c r="G666" s="174">
        <f>#REF!</f>
        <v/>
      </c>
      <c r="H666" s="174">
        <f>#REF!</f>
        <v/>
      </c>
      <c r="I666" s="174">
        <f>#REF!</f>
        <v/>
      </c>
      <c r="J666" s="174">
        <f>#REF!</f>
        <v/>
      </c>
      <c r="K666" s="176">
        <f>#REF!</f>
        <v/>
      </c>
      <c r="L666" s="173" t="n"/>
      <c r="M666" s="9" t="n"/>
      <c r="N666" s="28" t="b">
        <v>0</v>
      </c>
      <c r="O666" s="172" t="b">
        <v>0</v>
      </c>
      <c r="P666" s="28" t="b">
        <v>0</v>
      </c>
      <c r="Q666" s="28" t="b">
        <v>0</v>
      </c>
      <c r="R666" s="28" t="b">
        <v>0</v>
      </c>
      <c r="S666" s="28" t="b">
        <v>0</v>
      </c>
      <c r="T666" s="28" t="b">
        <v>0</v>
      </c>
      <c r="U666" s="28" t="b">
        <v>0</v>
      </c>
      <c r="V666" s="28" t="b">
        <v>0</v>
      </c>
      <c r="W666" s="28" t="b">
        <v>0</v>
      </c>
    </row>
    <row r="667" ht="69" customHeight="1" s="222">
      <c r="A667" s="164">
        <f>#REF!</f>
        <v/>
      </c>
      <c r="B667" s="145" t="b">
        <v>0</v>
      </c>
      <c r="C667" s="176">
        <f>#REF!</f>
        <v/>
      </c>
      <c r="D667" s="174" t="n"/>
      <c r="E667" s="174" t="n"/>
      <c r="F667" s="176">
        <f>#REF!</f>
        <v/>
      </c>
      <c r="G667" s="174">
        <f>#REF!</f>
        <v/>
      </c>
      <c r="H667" s="174">
        <f>#REF!</f>
        <v/>
      </c>
      <c r="I667" s="174">
        <f>#REF!</f>
        <v/>
      </c>
      <c r="J667" s="174">
        <f>#REF!</f>
        <v/>
      </c>
      <c r="K667" s="176">
        <f>#REF!</f>
        <v/>
      </c>
      <c r="L667" s="173" t="n"/>
      <c r="M667" s="9" t="n"/>
      <c r="N667" s="28" t="b">
        <v>0</v>
      </c>
      <c r="O667" s="172" t="b">
        <v>0</v>
      </c>
      <c r="P667" s="28" t="b">
        <v>0</v>
      </c>
      <c r="Q667" s="28" t="b">
        <v>0</v>
      </c>
      <c r="R667" s="28" t="b">
        <v>0</v>
      </c>
      <c r="S667" s="28" t="b">
        <v>0</v>
      </c>
      <c r="T667" s="28" t="b">
        <v>0</v>
      </c>
      <c r="U667" s="28" t="b">
        <v>0</v>
      </c>
      <c r="V667" s="28" t="b">
        <v>0</v>
      </c>
      <c r="W667" s="28" t="b">
        <v>0</v>
      </c>
    </row>
    <row r="668" ht="69" customHeight="1" s="222">
      <c r="A668" s="164">
        <f>#REF!</f>
        <v/>
      </c>
      <c r="B668" s="145" t="b">
        <v>0</v>
      </c>
      <c r="C668" s="176">
        <f>#REF!</f>
        <v/>
      </c>
      <c r="D668" s="174" t="n"/>
      <c r="E668" s="174" t="n"/>
      <c r="F668" s="176">
        <f>#REF!</f>
        <v/>
      </c>
      <c r="G668" s="174">
        <f>#REF!</f>
        <v/>
      </c>
      <c r="H668" s="174">
        <f>#REF!</f>
        <v/>
      </c>
      <c r="I668" s="174">
        <f>#REF!</f>
        <v/>
      </c>
      <c r="J668" s="174">
        <f>#REF!</f>
        <v/>
      </c>
      <c r="K668" s="176">
        <f>#REF!</f>
        <v/>
      </c>
      <c r="L668" s="173" t="n"/>
      <c r="M668" s="9" t="n"/>
      <c r="N668" s="28" t="b">
        <v>0</v>
      </c>
      <c r="O668" s="172" t="b">
        <v>0</v>
      </c>
      <c r="P668" s="28" t="b">
        <v>0</v>
      </c>
      <c r="Q668" s="28" t="b">
        <v>0</v>
      </c>
      <c r="R668" s="28" t="b">
        <v>0</v>
      </c>
      <c r="S668" s="28" t="b">
        <v>0</v>
      </c>
      <c r="T668" s="28" t="b">
        <v>0</v>
      </c>
      <c r="U668" s="28" t="b">
        <v>0</v>
      </c>
      <c r="V668" s="28" t="b">
        <v>0</v>
      </c>
      <c r="W668" s="28" t="b">
        <v>0</v>
      </c>
    </row>
    <row r="669" ht="69" customHeight="1" s="222">
      <c r="A669" s="164">
        <f>#REF!</f>
        <v/>
      </c>
      <c r="B669" s="145" t="b">
        <v>0</v>
      </c>
      <c r="C669" s="176">
        <f>#REF!</f>
        <v/>
      </c>
      <c r="D669" s="174" t="n"/>
      <c r="E669" s="174" t="n"/>
      <c r="F669" s="176">
        <f>#REF!</f>
        <v/>
      </c>
      <c r="G669" s="174">
        <f>#REF!</f>
        <v/>
      </c>
      <c r="H669" s="174">
        <f>#REF!</f>
        <v/>
      </c>
      <c r="I669" s="174">
        <f>#REF!</f>
        <v/>
      </c>
      <c r="J669" s="174">
        <f>#REF!</f>
        <v/>
      </c>
      <c r="K669" s="176">
        <f>#REF!</f>
        <v/>
      </c>
      <c r="L669" s="173" t="n"/>
      <c r="M669" s="9" t="n"/>
      <c r="N669" s="28" t="b">
        <v>0</v>
      </c>
      <c r="O669" s="172" t="b">
        <v>0</v>
      </c>
      <c r="P669" s="28" t="b">
        <v>0</v>
      </c>
      <c r="Q669" s="28" t="b">
        <v>0</v>
      </c>
      <c r="R669" s="28" t="b">
        <v>0</v>
      </c>
      <c r="S669" s="28" t="b">
        <v>0</v>
      </c>
      <c r="T669" s="28" t="b">
        <v>0</v>
      </c>
      <c r="U669" s="28" t="b">
        <v>0</v>
      </c>
      <c r="V669" s="28" t="b">
        <v>0</v>
      </c>
      <c r="W669" s="28" t="b">
        <v>0</v>
      </c>
    </row>
    <row r="670" ht="69" customHeight="1" s="222">
      <c r="A670" s="164">
        <f>#REF!</f>
        <v/>
      </c>
      <c r="B670" s="145" t="b">
        <v>0</v>
      </c>
      <c r="C670" s="176">
        <f>#REF!</f>
        <v/>
      </c>
      <c r="D670" s="174" t="n"/>
      <c r="E670" s="174" t="n"/>
      <c r="F670" s="176">
        <f>#REF!</f>
        <v/>
      </c>
      <c r="G670" s="174">
        <f>#REF!</f>
        <v/>
      </c>
      <c r="H670" s="174">
        <f>#REF!</f>
        <v/>
      </c>
      <c r="I670" s="174">
        <f>#REF!</f>
        <v/>
      </c>
      <c r="J670" s="174">
        <f>#REF!</f>
        <v/>
      </c>
      <c r="K670" s="176">
        <f>#REF!</f>
        <v/>
      </c>
      <c r="L670" s="173" t="n"/>
      <c r="M670" s="9" t="n"/>
      <c r="N670" s="28" t="b">
        <v>0</v>
      </c>
      <c r="O670" s="172" t="b">
        <v>0</v>
      </c>
      <c r="P670" s="28" t="b">
        <v>0</v>
      </c>
      <c r="Q670" s="28" t="b">
        <v>0</v>
      </c>
      <c r="R670" s="28" t="b">
        <v>0</v>
      </c>
      <c r="S670" s="28" t="b">
        <v>0</v>
      </c>
      <c r="T670" s="28" t="b">
        <v>0</v>
      </c>
      <c r="U670" s="28" t="b">
        <v>0</v>
      </c>
      <c r="V670" s="28" t="b">
        <v>0</v>
      </c>
      <c r="W670" s="28" t="b">
        <v>0</v>
      </c>
    </row>
    <row r="671" ht="69" customHeight="1" s="222">
      <c r="A671" s="164">
        <f>#REF!</f>
        <v/>
      </c>
      <c r="B671" s="145" t="b">
        <v>0</v>
      </c>
      <c r="C671" s="176">
        <f>#REF!</f>
        <v/>
      </c>
      <c r="D671" s="174" t="n"/>
      <c r="E671" s="174" t="n"/>
      <c r="F671" s="176">
        <f>#REF!</f>
        <v/>
      </c>
      <c r="G671" s="174">
        <f>#REF!</f>
        <v/>
      </c>
      <c r="H671" s="174">
        <f>#REF!</f>
        <v/>
      </c>
      <c r="I671" s="174">
        <f>#REF!</f>
        <v/>
      </c>
      <c r="J671" s="174">
        <f>#REF!</f>
        <v/>
      </c>
      <c r="K671" s="176">
        <f>#REF!</f>
        <v/>
      </c>
      <c r="L671" s="173" t="n"/>
      <c r="M671" s="9" t="n"/>
      <c r="N671" s="28" t="b">
        <v>0</v>
      </c>
      <c r="O671" s="172" t="b">
        <v>0</v>
      </c>
      <c r="P671" s="28" t="b">
        <v>0</v>
      </c>
      <c r="Q671" s="28" t="b">
        <v>0</v>
      </c>
      <c r="R671" s="28" t="b">
        <v>0</v>
      </c>
      <c r="S671" s="28" t="b">
        <v>0</v>
      </c>
      <c r="T671" s="28" t="b">
        <v>0</v>
      </c>
      <c r="U671" s="28" t="b">
        <v>0</v>
      </c>
      <c r="V671" s="28" t="b">
        <v>0</v>
      </c>
      <c r="W671" s="28" t="b">
        <v>0</v>
      </c>
    </row>
    <row r="672" ht="69" customHeight="1" s="222">
      <c r="A672" s="164">
        <f>#REF!</f>
        <v/>
      </c>
      <c r="B672" s="145" t="b">
        <v>0</v>
      </c>
      <c r="C672" s="176">
        <f>#REF!</f>
        <v/>
      </c>
      <c r="D672" s="174" t="n"/>
      <c r="E672" s="174" t="n"/>
      <c r="F672" s="176">
        <f>#REF!</f>
        <v/>
      </c>
      <c r="G672" s="174">
        <f>#REF!</f>
        <v/>
      </c>
      <c r="H672" s="174">
        <f>#REF!</f>
        <v/>
      </c>
      <c r="I672" s="174">
        <f>#REF!</f>
        <v/>
      </c>
      <c r="J672" s="174">
        <f>#REF!</f>
        <v/>
      </c>
      <c r="K672" s="176">
        <f>#REF!</f>
        <v/>
      </c>
      <c r="L672" s="173" t="n"/>
      <c r="M672" s="9" t="n"/>
      <c r="N672" s="28" t="b">
        <v>0</v>
      </c>
      <c r="O672" s="172" t="b">
        <v>0</v>
      </c>
      <c r="P672" s="28" t="b">
        <v>0</v>
      </c>
      <c r="Q672" s="28" t="b">
        <v>0</v>
      </c>
      <c r="R672" s="28" t="b">
        <v>0</v>
      </c>
      <c r="S672" s="28" t="b">
        <v>0</v>
      </c>
      <c r="T672" s="28" t="b">
        <v>0</v>
      </c>
      <c r="U672" s="28" t="b">
        <v>0</v>
      </c>
      <c r="V672" s="28" t="b">
        <v>0</v>
      </c>
      <c r="W672" s="28" t="b">
        <v>0</v>
      </c>
    </row>
    <row r="673" ht="69" customHeight="1" s="222">
      <c r="A673" s="164">
        <f>#REF!</f>
        <v/>
      </c>
      <c r="B673" s="145" t="b">
        <v>0</v>
      </c>
      <c r="C673" s="176">
        <f>#REF!</f>
        <v/>
      </c>
      <c r="D673" s="174" t="n"/>
      <c r="E673" s="174" t="n"/>
      <c r="F673" s="176">
        <f>#REF!</f>
        <v/>
      </c>
      <c r="G673" s="174">
        <f>#REF!</f>
        <v/>
      </c>
      <c r="H673" s="174">
        <f>#REF!</f>
        <v/>
      </c>
      <c r="I673" s="174">
        <f>#REF!</f>
        <v/>
      </c>
      <c r="J673" s="174">
        <f>#REF!</f>
        <v/>
      </c>
      <c r="K673" s="176">
        <f>#REF!</f>
        <v/>
      </c>
      <c r="L673" s="173" t="n"/>
      <c r="M673" s="9" t="n"/>
      <c r="N673" s="28" t="b">
        <v>0</v>
      </c>
      <c r="O673" s="172" t="b">
        <v>0</v>
      </c>
      <c r="P673" s="28" t="b">
        <v>0</v>
      </c>
      <c r="Q673" s="28" t="b">
        <v>0</v>
      </c>
      <c r="R673" s="28" t="b">
        <v>0</v>
      </c>
      <c r="S673" s="28" t="b">
        <v>0</v>
      </c>
      <c r="T673" s="28" t="b">
        <v>0</v>
      </c>
      <c r="U673" s="28" t="b">
        <v>0</v>
      </c>
      <c r="V673" s="28" t="b">
        <v>0</v>
      </c>
      <c r="W673" s="28" t="b">
        <v>0</v>
      </c>
    </row>
    <row r="674" ht="69" customHeight="1" s="222">
      <c r="A674" s="164">
        <f>#REF!</f>
        <v/>
      </c>
      <c r="B674" s="145" t="b">
        <v>0</v>
      </c>
      <c r="C674" s="176">
        <f>#REF!</f>
        <v/>
      </c>
      <c r="D674" s="174" t="n"/>
      <c r="E674" s="174" t="n"/>
      <c r="F674" s="176">
        <f>#REF!</f>
        <v/>
      </c>
      <c r="G674" s="174">
        <f>#REF!</f>
        <v/>
      </c>
      <c r="H674" s="174">
        <f>#REF!</f>
        <v/>
      </c>
      <c r="I674" s="174">
        <f>#REF!</f>
        <v/>
      </c>
      <c r="J674" s="174">
        <f>#REF!</f>
        <v/>
      </c>
      <c r="K674" s="176">
        <f>#REF!</f>
        <v/>
      </c>
      <c r="L674" s="173" t="n"/>
      <c r="M674" s="9" t="n"/>
      <c r="N674" s="28" t="b">
        <v>0</v>
      </c>
      <c r="O674" s="172" t="b">
        <v>0</v>
      </c>
      <c r="P674" s="28" t="b">
        <v>0</v>
      </c>
      <c r="Q674" s="28" t="b">
        <v>0</v>
      </c>
      <c r="R674" s="28" t="b">
        <v>0</v>
      </c>
      <c r="S674" s="28" t="b">
        <v>0</v>
      </c>
      <c r="T674" s="28" t="b">
        <v>0</v>
      </c>
      <c r="U674" s="28" t="b">
        <v>0</v>
      </c>
      <c r="V674" s="28" t="b">
        <v>0</v>
      </c>
      <c r="W674" s="28" t="b">
        <v>0</v>
      </c>
    </row>
    <row r="675" ht="69" customHeight="1" s="222">
      <c r="A675" s="164">
        <f>#REF!</f>
        <v/>
      </c>
      <c r="B675" s="145" t="b">
        <v>0</v>
      </c>
      <c r="C675" s="176">
        <f>#REF!</f>
        <v/>
      </c>
      <c r="D675" s="174" t="n"/>
      <c r="E675" s="174" t="n"/>
      <c r="F675" s="176">
        <f>#REF!</f>
        <v/>
      </c>
      <c r="G675" s="174">
        <f>#REF!</f>
        <v/>
      </c>
      <c r="H675" s="174">
        <f>#REF!</f>
        <v/>
      </c>
      <c r="I675" s="174">
        <f>#REF!</f>
        <v/>
      </c>
      <c r="J675" s="174">
        <f>#REF!</f>
        <v/>
      </c>
      <c r="K675" s="176">
        <f>#REF!</f>
        <v/>
      </c>
      <c r="L675" s="173" t="n"/>
      <c r="M675" s="9" t="n"/>
      <c r="N675" s="28" t="b">
        <v>0</v>
      </c>
      <c r="O675" s="172" t="b">
        <v>0</v>
      </c>
      <c r="P675" s="28" t="b">
        <v>0</v>
      </c>
      <c r="Q675" s="28" t="b">
        <v>0</v>
      </c>
      <c r="R675" s="28" t="b">
        <v>0</v>
      </c>
      <c r="S675" s="28" t="b">
        <v>0</v>
      </c>
      <c r="T675" s="28" t="b">
        <v>0</v>
      </c>
      <c r="U675" s="28" t="b">
        <v>0</v>
      </c>
      <c r="V675" s="28" t="b">
        <v>0</v>
      </c>
      <c r="W675" s="28" t="b">
        <v>0</v>
      </c>
    </row>
    <row r="676" ht="69" customHeight="1" s="222">
      <c r="A676" s="164">
        <f>#REF!</f>
        <v/>
      </c>
      <c r="B676" s="145" t="b">
        <v>0</v>
      </c>
      <c r="C676" s="176">
        <f>#REF!</f>
        <v/>
      </c>
      <c r="D676" s="174" t="n"/>
      <c r="E676" s="174" t="n"/>
      <c r="F676" s="176">
        <f>#REF!</f>
        <v/>
      </c>
      <c r="G676" s="174">
        <f>#REF!</f>
        <v/>
      </c>
      <c r="H676" s="174">
        <f>#REF!</f>
        <v/>
      </c>
      <c r="I676" s="174">
        <f>#REF!</f>
        <v/>
      </c>
      <c r="J676" s="174">
        <f>#REF!</f>
        <v/>
      </c>
      <c r="K676" s="176">
        <f>#REF!</f>
        <v/>
      </c>
      <c r="L676" s="173" t="n"/>
      <c r="M676" s="9" t="n"/>
      <c r="N676" s="28" t="b">
        <v>0</v>
      </c>
      <c r="O676" s="172" t="b">
        <v>0</v>
      </c>
      <c r="P676" s="28" t="b">
        <v>0</v>
      </c>
      <c r="Q676" s="28" t="b">
        <v>0</v>
      </c>
      <c r="R676" s="28" t="b">
        <v>0</v>
      </c>
      <c r="S676" s="28" t="b">
        <v>0</v>
      </c>
      <c r="T676" s="28" t="b">
        <v>0</v>
      </c>
      <c r="U676" s="28" t="b">
        <v>0</v>
      </c>
      <c r="V676" s="28" t="b">
        <v>0</v>
      </c>
      <c r="W676" s="28" t="b">
        <v>0</v>
      </c>
    </row>
    <row r="677" ht="69" customHeight="1" s="222">
      <c r="A677" s="164">
        <f>#REF!</f>
        <v/>
      </c>
      <c r="B677" s="145" t="b">
        <v>0</v>
      </c>
      <c r="C677" s="176">
        <f>#REF!</f>
        <v/>
      </c>
      <c r="D677" s="174" t="n"/>
      <c r="E677" s="174" t="n"/>
      <c r="F677" s="176">
        <f>#REF!</f>
        <v/>
      </c>
      <c r="G677" s="174">
        <f>#REF!</f>
        <v/>
      </c>
      <c r="H677" s="174">
        <f>#REF!</f>
        <v/>
      </c>
      <c r="I677" s="174">
        <f>#REF!</f>
        <v/>
      </c>
      <c r="J677" s="174">
        <f>#REF!</f>
        <v/>
      </c>
      <c r="K677" s="176">
        <f>#REF!</f>
        <v/>
      </c>
      <c r="L677" s="173" t="n"/>
      <c r="M677" s="9" t="n"/>
      <c r="N677" s="28" t="b">
        <v>0</v>
      </c>
      <c r="O677" s="172" t="b">
        <v>0</v>
      </c>
      <c r="P677" s="28" t="b">
        <v>0</v>
      </c>
      <c r="Q677" s="28" t="b">
        <v>0</v>
      </c>
      <c r="R677" s="28" t="b">
        <v>0</v>
      </c>
      <c r="S677" s="28" t="b">
        <v>0</v>
      </c>
      <c r="T677" s="28" t="b">
        <v>0</v>
      </c>
      <c r="U677" s="28" t="b">
        <v>0</v>
      </c>
      <c r="V677" s="28" t="b">
        <v>0</v>
      </c>
      <c r="W677" s="28" t="b">
        <v>0</v>
      </c>
    </row>
    <row r="678" ht="69" customHeight="1" s="222">
      <c r="A678" s="164">
        <f>#REF!</f>
        <v/>
      </c>
      <c r="B678" s="145" t="b">
        <v>0</v>
      </c>
      <c r="C678" s="176">
        <f>#REF!</f>
        <v/>
      </c>
      <c r="D678" s="174" t="n"/>
      <c r="E678" s="174" t="n"/>
      <c r="F678" s="176">
        <f>#REF!</f>
        <v/>
      </c>
      <c r="G678" s="174">
        <f>#REF!</f>
        <v/>
      </c>
      <c r="H678" s="174">
        <f>#REF!</f>
        <v/>
      </c>
      <c r="I678" s="174">
        <f>#REF!</f>
        <v/>
      </c>
      <c r="J678" s="174">
        <f>#REF!</f>
        <v/>
      </c>
      <c r="K678" s="176">
        <f>#REF!</f>
        <v/>
      </c>
      <c r="L678" s="173" t="n"/>
      <c r="M678" s="9" t="n"/>
      <c r="N678" s="28" t="b">
        <v>0</v>
      </c>
      <c r="O678" s="172" t="b">
        <v>0</v>
      </c>
      <c r="P678" s="28" t="b">
        <v>0</v>
      </c>
      <c r="Q678" s="28" t="b">
        <v>0</v>
      </c>
      <c r="R678" s="28" t="b">
        <v>0</v>
      </c>
      <c r="S678" s="28" t="b">
        <v>0</v>
      </c>
      <c r="T678" s="28" t="b">
        <v>0</v>
      </c>
      <c r="U678" s="28" t="b">
        <v>0</v>
      </c>
      <c r="V678" s="28" t="b">
        <v>0</v>
      </c>
      <c r="W678" s="28" t="b">
        <v>0</v>
      </c>
    </row>
    <row r="679" ht="69" customHeight="1" s="222">
      <c r="A679" s="164">
        <f>#REF!</f>
        <v/>
      </c>
      <c r="B679" s="145" t="b">
        <v>0</v>
      </c>
      <c r="C679" s="176">
        <f>#REF!</f>
        <v/>
      </c>
      <c r="D679" s="174" t="n"/>
      <c r="E679" s="174" t="n"/>
      <c r="F679" s="176">
        <f>#REF!</f>
        <v/>
      </c>
      <c r="G679" s="174">
        <f>#REF!</f>
        <v/>
      </c>
      <c r="H679" s="174">
        <f>#REF!</f>
        <v/>
      </c>
      <c r="I679" s="174">
        <f>#REF!</f>
        <v/>
      </c>
      <c r="J679" s="174">
        <f>#REF!</f>
        <v/>
      </c>
      <c r="K679" s="176">
        <f>#REF!</f>
        <v/>
      </c>
      <c r="L679" s="173" t="n"/>
      <c r="M679" s="9" t="n"/>
      <c r="N679" s="28" t="b">
        <v>0</v>
      </c>
      <c r="O679" s="172" t="b">
        <v>0</v>
      </c>
      <c r="P679" s="28" t="b">
        <v>0</v>
      </c>
      <c r="Q679" s="28" t="b">
        <v>0</v>
      </c>
      <c r="R679" s="28" t="b">
        <v>0</v>
      </c>
      <c r="S679" s="28" t="b">
        <v>0</v>
      </c>
      <c r="T679" s="28" t="b">
        <v>0</v>
      </c>
      <c r="U679" s="28" t="b">
        <v>0</v>
      </c>
      <c r="V679" s="28" t="b">
        <v>0</v>
      </c>
      <c r="W679" s="28" t="b">
        <v>0</v>
      </c>
    </row>
    <row r="680" ht="69" customHeight="1" s="222">
      <c r="A680" s="164">
        <f>#REF!</f>
        <v/>
      </c>
      <c r="B680" s="145" t="b">
        <v>0</v>
      </c>
      <c r="C680" s="176">
        <f>#REF!</f>
        <v/>
      </c>
      <c r="D680" s="174" t="n"/>
      <c r="E680" s="174" t="n"/>
      <c r="F680" s="176">
        <f>#REF!</f>
        <v/>
      </c>
      <c r="G680" s="174">
        <f>#REF!</f>
        <v/>
      </c>
      <c r="H680" s="174">
        <f>#REF!</f>
        <v/>
      </c>
      <c r="I680" s="174">
        <f>#REF!</f>
        <v/>
      </c>
      <c r="J680" s="174">
        <f>#REF!</f>
        <v/>
      </c>
      <c r="K680" s="176">
        <f>#REF!</f>
        <v/>
      </c>
      <c r="L680" s="173" t="n"/>
      <c r="M680" s="9" t="n"/>
      <c r="N680" s="28" t="b">
        <v>0</v>
      </c>
      <c r="O680" s="172" t="b">
        <v>0</v>
      </c>
      <c r="P680" s="28" t="b">
        <v>0</v>
      </c>
      <c r="Q680" s="28" t="b">
        <v>0</v>
      </c>
      <c r="R680" s="28" t="b">
        <v>0</v>
      </c>
      <c r="S680" s="28" t="b">
        <v>0</v>
      </c>
      <c r="T680" s="28" t="b">
        <v>0</v>
      </c>
      <c r="U680" s="28" t="b">
        <v>0</v>
      </c>
      <c r="V680" s="28" t="b">
        <v>0</v>
      </c>
      <c r="W680" s="28" t="b">
        <v>0</v>
      </c>
    </row>
    <row r="681" ht="69" customHeight="1" s="222">
      <c r="A681" s="164">
        <f>#REF!</f>
        <v/>
      </c>
      <c r="B681" s="145" t="b">
        <v>0</v>
      </c>
      <c r="C681" s="176">
        <f>#REF!</f>
        <v/>
      </c>
      <c r="D681" s="174" t="n"/>
      <c r="E681" s="174" t="n"/>
      <c r="F681" s="176">
        <f>#REF!</f>
        <v/>
      </c>
      <c r="G681" s="174">
        <f>#REF!</f>
        <v/>
      </c>
      <c r="H681" s="174">
        <f>#REF!</f>
        <v/>
      </c>
      <c r="I681" s="174">
        <f>#REF!</f>
        <v/>
      </c>
      <c r="J681" s="174">
        <f>#REF!</f>
        <v/>
      </c>
      <c r="K681" s="176">
        <f>#REF!</f>
        <v/>
      </c>
      <c r="L681" s="173" t="n"/>
      <c r="M681" s="9" t="n"/>
      <c r="N681" s="28" t="b">
        <v>0</v>
      </c>
      <c r="O681" s="172" t="b">
        <v>0</v>
      </c>
      <c r="P681" s="28" t="b">
        <v>0</v>
      </c>
      <c r="Q681" s="28" t="b">
        <v>0</v>
      </c>
      <c r="R681" s="28" t="b">
        <v>0</v>
      </c>
      <c r="S681" s="28" t="b">
        <v>0</v>
      </c>
      <c r="T681" s="28" t="b">
        <v>0</v>
      </c>
      <c r="U681" s="28" t="b">
        <v>0</v>
      </c>
      <c r="V681" s="28" t="b">
        <v>0</v>
      </c>
      <c r="W681" s="28" t="b">
        <v>0</v>
      </c>
    </row>
    <row r="682" ht="69" customHeight="1" s="222">
      <c r="A682" s="164">
        <f>#REF!</f>
        <v/>
      </c>
      <c r="B682" s="145" t="b">
        <v>0</v>
      </c>
      <c r="C682" s="176">
        <f>#REF!</f>
        <v/>
      </c>
      <c r="D682" s="174" t="n"/>
      <c r="E682" s="174" t="n"/>
      <c r="F682" s="176">
        <f>#REF!</f>
        <v/>
      </c>
      <c r="G682" s="174">
        <f>#REF!</f>
        <v/>
      </c>
      <c r="H682" s="174">
        <f>#REF!</f>
        <v/>
      </c>
      <c r="I682" s="174">
        <f>#REF!</f>
        <v/>
      </c>
      <c r="J682" s="174">
        <f>#REF!</f>
        <v/>
      </c>
      <c r="K682" s="176">
        <f>#REF!</f>
        <v/>
      </c>
      <c r="L682" s="173" t="n"/>
      <c r="M682" s="9" t="n"/>
      <c r="N682" s="28" t="b">
        <v>0</v>
      </c>
      <c r="O682" s="172" t="b">
        <v>0</v>
      </c>
      <c r="P682" s="28" t="b">
        <v>0</v>
      </c>
      <c r="Q682" s="28" t="b">
        <v>0</v>
      </c>
      <c r="R682" s="28" t="b">
        <v>0</v>
      </c>
      <c r="S682" s="28" t="b">
        <v>0</v>
      </c>
      <c r="T682" s="28" t="b">
        <v>0</v>
      </c>
      <c r="U682" s="28" t="b">
        <v>0</v>
      </c>
      <c r="V682" s="28" t="b">
        <v>0</v>
      </c>
      <c r="W682" s="28" t="b">
        <v>0</v>
      </c>
    </row>
    <row r="683" ht="69" customHeight="1" s="222">
      <c r="A683" s="164">
        <f>#REF!</f>
        <v/>
      </c>
      <c r="B683" s="145" t="b">
        <v>0</v>
      </c>
      <c r="C683" s="176">
        <f>#REF!</f>
        <v/>
      </c>
      <c r="D683" s="174" t="n"/>
      <c r="E683" s="174" t="n"/>
      <c r="F683" s="176">
        <f>#REF!</f>
        <v/>
      </c>
      <c r="G683" s="174">
        <f>#REF!</f>
        <v/>
      </c>
      <c r="H683" s="174">
        <f>#REF!</f>
        <v/>
      </c>
      <c r="I683" s="174">
        <f>#REF!</f>
        <v/>
      </c>
      <c r="J683" s="174">
        <f>#REF!</f>
        <v/>
      </c>
      <c r="K683" s="176">
        <f>#REF!</f>
        <v/>
      </c>
      <c r="L683" s="173" t="n"/>
      <c r="M683" s="9" t="n"/>
      <c r="N683" s="28" t="b">
        <v>0</v>
      </c>
      <c r="O683" s="172" t="b">
        <v>0</v>
      </c>
      <c r="P683" s="28" t="b">
        <v>0</v>
      </c>
      <c r="Q683" s="28" t="b">
        <v>0</v>
      </c>
      <c r="R683" s="28" t="b">
        <v>0</v>
      </c>
      <c r="S683" s="28" t="b">
        <v>0</v>
      </c>
      <c r="T683" s="28" t="b">
        <v>0</v>
      </c>
      <c r="U683" s="28" t="b">
        <v>0</v>
      </c>
      <c r="V683" s="28" t="b">
        <v>0</v>
      </c>
      <c r="W683" s="28" t="b">
        <v>0</v>
      </c>
    </row>
    <row r="684" ht="69" customHeight="1" s="222">
      <c r="A684" s="164">
        <f>#REF!</f>
        <v/>
      </c>
      <c r="B684" s="145" t="b">
        <v>0</v>
      </c>
      <c r="C684" s="176">
        <f>#REF!</f>
        <v/>
      </c>
      <c r="D684" s="174" t="n"/>
      <c r="E684" s="174" t="n"/>
      <c r="F684" s="176">
        <f>#REF!</f>
        <v/>
      </c>
      <c r="G684" s="174">
        <f>#REF!</f>
        <v/>
      </c>
      <c r="H684" s="174">
        <f>#REF!</f>
        <v/>
      </c>
      <c r="I684" s="174">
        <f>#REF!</f>
        <v/>
      </c>
      <c r="J684" s="174">
        <f>#REF!</f>
        <v/>
      </c>
      <c r="K684" s="176">
        <f>#REF!</f>
        <v/>
      </c>
      <c r="L684" s="173" t="n"/>
      <c r="M684" s="9" t="n"/>
      <c r="N684" s="28" t="b">
        <v>0</v>
      </c>
      <c r="O684" s="172" t="b">
        <v>0</v>
      </c>
      <c r="P684" s="28" t="b">
        <v>0</v>
      </c>
      <c r="Q684" s="28" t="b">
        <v>0</v>
      </c>
      <c r="R684" s="28" t="b">
        <v>0</v>
      </c>
      <c r="S684" s="28" t="b">
        <v>0</v>
      </c>
      <c r="T684" s="28" t="b">
        <v>0</v>
      </c>
      <c r="U684" s="28" t="b">
        <v>0</v>
      </c>
      <c r="V684" s="28" t="b">
        <v>0</v>
      </c>
      <c r="W684" s="28" t="b">
        <v>0</v>
      </c>
    </row>
    <row r="685" ht="69" customHeight="1" s="222">
      <c r="A685" s="164">
        <f>#REF!</f>
        <v/>
      </c>
      <c r="B685" s="145" t="b">
        <v>0</v>
      </c>
      <c r="C685" s="176">
        <f>#REF!</f>
        <v/>
      </c>
      <c r="D685" s="174" t="n"/>
      <c r="E685" s="174" t="n"/>
      <c r="F685" s="176">
        <f>#REF!</f>
        <v/>
      </c>
      <c r="G685" s="174">
        <f>#REF!</f>
        <v/>
      </c>
      <c r="H685" s="174">
        <f>#REF!</f>
        <v/>
      </c>
      <c r="I685" s="174">
        <f>#REF!</f>
        <v/>
      </c>
      <c r="J685" s="174">
        <f>#REF!</f>
        <v/>
      </c>
      <c r="K685" s="176">
        <f>#REF!</f>
        <v/>
      </c>
      <c r="L685" s="173" t="n"/>
      <c r="M685" s="9" t="n"/>
      <c r="N685" s="28" t="b">
        <v>0</v>
      </c>
      <c r="O685" s="172" t="b">
        <v>0</v>
      </c>
      <c r="P685" s="28" t="b">
        <v>0</v>
      </c>
      <c r="Q685" s="28" t="b">
        <v>0</v>
      </c>
      <c r="R685" s="28" t="b">
        <v>0</v>
      </c>
      <c r="S685" s="28" t="b">
        <v>0</v>
      </c>
      <c r="T685" s="28" t="b">
        <v>0</v>
      </c>
      <c r="U685" s="28" t="b">
        <v>0</v>
      </c>
      <c r="V685" s="28" t="b">
        <v>0</v>
      </c>
      <c r="W685" s="28" t="b">
        <v>0</v>
      </c>
    </row>
    <row r="686" ht="69" customHeight="1" s="222">
      <c r="A686" s="164">
        <f>#REF!</f>
        <v/>
      </c>
      <c r="B686" s="145" t="b">
        <v>0</v>
      </c>
      <c r="C686" s="176">
        <f>#REF!</f>
        <v/>
      </c>
      <c r="D686" s="174" t="n"/>
      <c r="E686" s="174" t="n"/>
      <c r="F686" s="176">
        <f>#REF!</f>
        <v/>
      </c>
      <c r="G686" s="174">
        <f>#REF!</f>
        <v/>
      </c>
      <c r="H686" s="174">
        <f>#REF!</f>
        <v/>
      </c>
      <c r="I686" s="174">
        <f>#REF!</f>
        <v/>
      </c>
      <c r="J686" s="174">
        <f>#REF!</f>
        <v/>
      </c>
      <c r="K686" s="176">
        <f>#REF!</f>
        <v/>
      </c>
      <c r="L686" s="173" t="n"/>
      <c r="M686" s="9" t="n"/>
      <c r="N686" s="28" t="b">
        <v>0</v>
      </c>
      <c r="O686" s="172" t="b">
        <v>0</v>
      </c>
      <c r="P686" s="28" t="b">
        <v>0</v>
      </c>
      <c r="Q686" s="28" t="b">
        <v>0</v>
      </c>
      <c r="R686" s="28" t="b">
        <v>0</v>
      </c>
      <c r="S686" s="28" t="b">
        <v>0</v>
      </c>
      <c r="T686" s="28" t="b">
        <v>0</v>
      </c>
      <c r="U686" s="28" t="b">
        <v>0</v>
      </c>
      <c r="V686" s="28" t="b">
        <v>0</v>
      </c>
      <c r="W686" s="28" t="b">
        <v>0</v>
      </c>
    </row>
    <row r="687" ht="69" customHeight="1" s="222">
      <c r="A687" s="164">
        <f>#REF!</f>
        <v/>
      </c>
      <c r="B687" s="145" t="b">
        <v>0</v>
      </c>
      <c r="C687" s="176">
        <f>#REF!</f>
        <v/>
      </c>
      <c r="D687" s="174" t="n"/>
      <c r="E687" s="174" t="n"/>
      <c r="F687" s="176">
        <f>#REF!</f>
        <v/>
      </c>
      <c r="G687" s="174">
        <f>#REF!</f>
        <v/>
      </c>
      <c r="H687" s="174">
        <f>#REF!</f>
        <v/>
      </c>
      <c r="I687" s="174">
        <f>#REF!</f>
        <v/>
      </c>
      <c r="J687" s="174">
        <f>#REF!</f>
        <v/>
      </c>
      <c r="K687" s="176">
        <f>#REF!</f>
        <v/>
      </c>
      <c r="L687" s="173" t="n"/>
      <c r="M687" s="9" t="n"/>
      <c r="N687" s="28" t="b">
        <v>0</v>
      </c>
      <c r="O687" s="172" t="b">
        <v>0</v>
      </c>
      <c r="P687" s="28" t="b">
        <v>0</v>
      </c>
      <c r="Q687" s="28" t="b">
        <v>0</v>
      </c>
      <c r="R687" s="28" t="b">
        <v>0</v>
      </c>
      <c r="S687" s="28" t="b">
        <v>0</v>
      </c>
      <c r="T687" s="28" t="b">
        <v>0</v>
      </c>
      <c r="U687" s="28" t="b">
        <v>0</v>
      </c>
      <c r="V687" s="28" t="b">
        <v>0</v>
      </c>
      <c r="W687" s="28" t="b">
        <v>0</v>
      </c>
    </row>
    <row r="688" ht="69" customHeight="1" s="222">
      <c r="A688" s="164">
        <f>#REF!</f>
        <v/>
      </c>
      <c r="B688" s="145" t="b">
        <v>0</v>
      </c>
      <c r="C688" s="176">
        <f>#REF!</f>
        <v/>
      </c>
      <c r="D688" s="174" t="n"/>
      <c r="E688" s="174" t="n"/>
      <c r="F688" s="176">
        <f>#REF!</f>
        <v/>
      </c>
      <c r="G688" s="174">
        <f>#REF!</f>
        <v/>
      </c>
      <c r="H688" s="174">
        <f>#REF!</f>
        <v/>
      </c>
      <c r="I688" s="174">
        <f>#REF!</f>
        <v/>
      </c>
      <c r="J688" s="174">
        <f>#REF!</f>
        <v/>
      </c>
      <c r="K688" s="176">
        <f>#REF!</f>
        <v/>
      </c>
      <c r="L688" s="173" t="n"/>
      <c r="M688" s="9" t="n"/>
      <c r="N688" s="28" t="b">
        <v>0</v>
      </c>
      <c r="O688" s="172" t="b">
        <v>0</v>
      </c>
      <c r="P688" s="28" t="b">
        <v>0</v>
      </c>
      <c r="Q688" s="28" t="b">
        <v>0</v>
      </c>
      <c r="R688" s="28" t="b">
        <v>0</v>
      </c>
      <c r="S688" s="28" t="b">
        <v>0</v>
      </c>
      <c r="T688" s="28" t="b">
        <v>0</v>
      </c>
      <c r="U688" s="28" t="b">
        <v>0</v>
      </c>
      <c r="V688" s="28" t="b">
        <v>0</v>
      </c>
      <c r="W688" s="28" t="b">
        <v>0</v>
      </c>
    </row>
    <row r="689" ht="69" customHeight="1" s="222">
      <c r="A689" s="164">
        <f>#REF!</f>
        <v/>
      </c>
      <c r="B689" s="145" t="b">
        <v>0</v>
      </c>
      <c r="C689" s="176">
        <f>#REF!</f>
        <v/>
      </c>
      <c r="D689" s="174" t="n"/>
      <c r="E689" s="174" t="n"/>
      <c r="F689" s="176">
        <f>#REF!</f>
        <v/>
      </c>
      <c r="G689" s="174">
        <f>#REF!</f>
        <v/>
      </c>
      <c r="H689" s="174">
        <f>#REF!</f>
        <v/>
      </c>
      <c r="I689" s="174">
        <f>#REF!</f>
        <v/>
      </c>
      <c r="J689" s="174">
        <f>#REF!</f>
        <v/>
      </c>
      <c r="K689" s="176">
        <f>#REF!</f>
        <v/>
      </c>
      <c r="L689" s="173" t="n"/>
      <c r="M689" s="9" t="n"/>
      <c r="N689" s="28" t="b">
        <v>0</v>
      </c>
      <c r="O689" s="172" t="b">
        <v>0</v>
      </c>
      <c r="P689" s="28" t="b">
        <v>0</v>
      </c>
      <c r="Q689" s="28" t="b">
        <v>0</v>
      </c>
      <c r="R689" s="28" t="b">
        <v>0</v>
      </c>
      <c r="S689" s="28" t="b">
        <v>0</v>
      </c>
      <c r="T689" s="28" t="b">
        <v>0</v>
      </c>
      <c r="U689" s="28" t="b">
        <v>0</v>
      </c>
      <c r="V689" s="28" t="b">
        <v>0</v>
      </c>
      <c r="W689" s="28" t="b">
        <v>0</v>
      </c>
    </row>
    <row r="690" ht="69" customHeight="1" s="222">
      <c r="A690" s="164">
        <f>#REF!</f>
        <v/>
      </c>
      <c r="B690" s="145" t="b">
        <v>0</v>
      </c>
      <c r="C690" s="176">
        <f>#REF!</f>
        <v/>
      </c>
      <c r="D690" s="174" t="n"/>
      <c r="E690" s="174" t="n"/>
      <c r="F690" s="176">
        <f>#REF!</f>
        <v/>
      </c>
      <c r="G690" s="174">
        <f>#REF!</f>
        <v/>
      </c>
      <c r="H690" s="174">
        <f>#REF!</f>
        <v/>
      </c>
      <c r="I690" s="174">
        <f>#REF!</f>
        <v/>
      </c>
      <c r="J690" s="174">
        <f>#REF!</f>
        <v/>
      </c>
      <c r="K690" s="176">
        <f>#REF!</f>
        <v/>
      </c>
      <c r="L690" s="173" t="n"/>
      <c r="M690" s="9" t="n"/>
      <c r="N690" s="28" t="b">
        <v>0</v>
      </c>
      <c r="O690" s="172" t="b">
        <v>0</v>
      </c>
      <c r="P690" s="28" t="b">
        <v>0</v>
      </c>
      <c r="Q690" s="28" t="b">
        <v>0</v>
      </c>
      <c r="R690" s="28" t="b">
        <v>0</v>
      </c>
      <c r="S690" s="28" t="b">
        <v>0</v>
      </c>
      <c r="T690" s="28" t="b">
        <v>0</v>
      </c>
      <c r="U690" s="28" t="b">
        <v>0</v>
      </c>
      <c r="V690" s="28" t="b">
        <v>0</v>
      </c>
      <c r="W690" s="28" t="b">
        <v>0</v>
      </c>
    </row>
    <row r="691" ht="69" customHeight="1" s="222">
      <c r="A691" s="164">
        <f>#REF!</f>
        <v/>
      </c>
      <c r="B691" s="145" t="b">
        <v>0</v>
      </c>
      <c r="C691" s="176">
        <f>#REF!</f>
        <v/>
      </c>
      <c r="D691" s="174" t="n"/>
      <c r="E691" s="174" t="n"/>
      <c r="F691" s="176">
        <f>#REF!</f>
        <v/>
      </c>
      <c r="G691" s="174">
        <f>#REF!</f>
        <v/>
      </c>
      <c r="H691" s="174">
        <f>#REF!</f>
        <v/>
      </c>
      <c r="I691" s="174">
        <f>#REF!</f>
        <v/>
      </c>
      <c r="J691" s="174">
        <f>#REF!</f>
        <v/>
      </c>
      <c r="K691" s="176">
        <f>#REF!</f>
        <v/>
      </c>
      <c r="L691" s="173" t="n"/>
      <c r="M691" s="9" t="n"/>
      <c r="N691" s="28" t="b">
        <v>0</v>
      </c>
      <c r="O691" s="172" t="b">
        <v>0</v>
      </c>
      <c r="P691" s="28" t="b">
        <v>0</v>
      </c>
      <c r="Q691" s="28" t="b">
        <v>0</v>
      </c>
      <c r="R691" s="28" t="b">
        <v>0</v>
      </c>
      <c r="S691" s="28" t="b">
        <v>0</v>
      </c>
      <c r="T691" s="28" t="b">
        <v>0</v>
      </c>
      <c r="U691" s="28" t="b">
        <v>0</v>
      </c>
      <c r="V691" s="28" t="b">
        <v>0</v>
      </c>
      <c r="W691" s="28" t="b">
        <v>0</v>
      </c>
    </row>
    <row r="692" ht="69" customHeight="1" s="222">
      <c r="A692" s="164">
        <f>#REF!</f>
        <v/>
      </c>
      <c r="B692" s="145" t="b">
        <v>0</v>
      </c>
      <c r="C692" s="176">
        <f>#REF!</f>
        <v/>
      </c>
      <c r="D692" s="174" t="n"/>
      <c r="E692" s="174" t="n"/>
      <c r="F692" s="176">
        <f>#REF!</f>
        <v/>
      </c>
      <c r="G692" s="174">
        <f>#REF!</f>
        <v/>
      </c>
      <c r="H692" s="174">
        <f>#REF!</f>
        <v/>
      </c>
      <c r="I692" s="174">
        <f>#REF!</f>
        <v/>
      </c>
      <c r="J692" s="174">
        <f>#REF!</f>
        <v/>
      </c>
      <c r="K692" s="176">
        <f>#REF!</f>
        <v/>
      </c>
      <c r="L692" s="173" t="n"/>
      <c r="M692" s="9" t="n"/>
      <c r="N692" s="28" t="b">
        <v>0</v>
      </c>
      <c r="O692" s="172" t="b">
        <v>0</v>
      </c>
      <c r="P692" s="28" t="b">
        <v>0</v>
      </c>
      <c r="Q692" s="28" t="b">
        <v>0</v>
      </c>
      <c r="R692" s="28" t="b">
        <v>0</v>
      </c>
      <c r="S692" s="28" t="b">
        <v>0</v>
      </c>
      <c r="T692" s="28" t="b">
        <v>0</v>
      </c>
      <c r="U692" s="28" t="b">
        <v>0</v>
      </c>
      <c r="V692" s="28" t="b">
        <v>0</v>
      </c>
      <c r="W692" s="28" t="b">
        <v>0</v>
      </c>
    </row>
    <row r="693" ht="69" customHeight="1" s="222">
      <c r="A693" s="164">
        <f>#REF!</f>
        <v/>
      </c>
      <c r="B693" s="145" t="b">
        <v>0</v>
      </c>
      <c r="C693" s="176">
        <f>#REF!</f>
        <v/>
      </c>
      <c r="D693" s="174" t="n"/>
      <c r="E693" s="174" t="n"/>
      <c r="F693" s="176">
        <f>#REF!</f>
        <v/>
      </c>
      <c r="G693" s="174">
        <f>#REF!</f>
        <v/>
      </c>
      <c r="H693" s="174">
        <f>#REF!</f>
        <v/>
      </c>
      <c r="I693" s="174">
        <f>#REF!</f>
        <v/>
      </c>
      <c r="J693" s="174">
        <f>#REF!</f>
        <v/>
      </c>
      <c r="K693" s="176">
        <f>#REF!</f>
        <v/>
      </c>
      <c r="L693" s="173" t="n"/>
      <c r="M693" s="9" t="n"/>
      <c r="N693" s="28" t="b">
        <v>0</v>
      </c>
      <c r="O693" s="172" t="b">
        <v>0</v>
      </c>
      <c r="P693" s="28" t="b">
        <v>0</v>
      </c>
      <c r="Q693" s="28" t="b">
        <v>0</v>
      </c>
      <c r="R693" s="28" t="b">
        <v>0</v>
      </c>
      <c r="S693" s="28" t="b">
        <v>0</v>
      </c>
      <c r="T693" s="28" t="b">
        <v>0</v>
      </c>
      <c r="U693" s="28" t="b">
        <v>0</v>
      </c>
      <c r="V693" s="28" t="b">
        <v>0</v>
      </c>
      <c r="W693" s="28" t="b">
        <v>0</v>
      </c>
    </row>
    <row r="694" ht="69" customHeight="1" s="222">
      <c r="A694" s="164">
        <f>#REF!</f>
        <v/>
      </c>
      <c r="B694" s="145" t="b">
        <v>0</v>
      </c>
      <c r="C694" s="176">
        <f>#REF!</f>
        <v/>
      </c>
      <c r="D694" s="174" t="n"/>
      <c r="E694" s="174" t="n"/>
      <c r="F694" s="176">
        <f>#REF!</f>
        <v/>
      </c>
      <c r="G694" s="174">
        <f>#REF!</f>
        <v/>
      </c>
      <c r="H694" s="174">
        <f>#REF!</f>
        <v/>
      </c>
      <c r="I694" s="174">
        <f>#REF!</f>
        <v/>
      </c>
      <c r="J694" s="174">
        <f>#REF!</f>
        <v/>
      </c>
      <c r="K694" s="176">
        <f>#REF!</f>
        <v/>
      </c>
      <c r="L694" s="173" t="n"/>
      <c r="M694" s="9" t="n"/>
      <c r="N694" s="28" t="b">
        <v>0</v>
      </c>
      <c r="O694" s="172" t="b">
        <v>0</v>
      </c>
      <c r="P694" s="28" t="b">
        <v>0</v>
      </c>
      <c r="Q694" s="28" t="b">
        <v>0</v>
      </c>
      <c r="R694" s="28" t="b">
        <v>0</v>
      </c>
      <c r="S694" s="28" t="b">
        <v>0</v>
      </c>
      <c r="T694" s="28" t="b">
        <v>0</v>
      </c>
      <c r="U694" s="28" t="b">
        <v>0</v>
      </c>
      <c r="V694" s="28" t="b">
        <v>0</v>
      </c>
      <c r="W694" s="28" t="b">
        <v>0</v>
      </c>
    </row>
    <row r="695" ht="69" customHeight="1" s="222">
      <c r="A695" s="164">
        <f>#REF!</f>
        <v/>
      </c>
      <c r="B695" s="145" t="b">
        <v>0</v>
      </c>
      <c r="C695" s="176">
        <f>#REF!</f>
        <v/>
      </c>
      <c r="D695" s="174" t="n"/>
      <c r="E695" s="174" t="n"/>
      <c r="F695" s="176">
        <f>#REF!</f>
        <v/>
      </c>
      <c r="G695" s="174">
        <f>#REF!</f>
        <v/>
      </c>
      <c r="H695" s="174">
        <f>#REF!</f>
        <v/>
      </c>
      <c r="I695" s="174">
        <f>#REF!</f>
        <v/>
      </c>
      <c r="J695" s="174">
        <f>#REF!</f>
        <v/>
      </c>
      <c r="K695" s="176">
        <f>#REF!</f>
        <v/>
      </c>
      <c r="L695" s="173" t="n"/>
      <c r="M695" s="9" t="n"/>
      <c r="N695" s="28" t="b">
        <v>0</v>
      </c>
      <c r="O695" s="172" t="b">
        <v>0</v>
      </c>
      <c r="P695" s="28" t="b">
        <v>0</v>
      </c>
      <c r="Q695" s="28" t="b">
        <v>0</v>
      </c>
      <c r="R695" s="28" t="b">
        <v>0</v>
      </c>
      <c r="S695" s="28" t="b">
        <v>0</v>
      </c>
      <c r="T695" s="28" t="b">
        <v>0</v>
      </c>
      <c r="U695" s="28" t="b">
        <v>0</v>
      </c>
      <c r="V695" s="28" t="b">
        <v>0</v>
      </c>
      <c r="W695" s="28" t="b">
        <v>0</v>
      </c>
    </row>
    <row r="696" ht="69" customHeight="1" s="222">
      <c r="A696" s="164">
        <f>#REF!</f>
        <v/>
      </c>
      <c r="B696" s="145" t="b">
        <v>0</v>
      </c>
      <c r="C696" s="176">
        <f>#REF!</f>
        <v/>
      </c>
      <c r="D696" s="174" t="n"/>
      <c r="E696" s="174" t="n"/>
      <c r="F696" s="176">
        <f>#REF!</f>
        <v/>
      </c>
      <c r="G696" s="174">
        <f>#REF!</f>
        <v/>
      </c>
      <c r="H696" s="174">
        <f>#REF!</f>
        <v/>
      </c>
      <c r="I696" s="174">
        <f>#REF!</f>
        <v/>
      </c>
      <c r="J696" s="174">
        <f>#REF!</f>
        <v/>
      </c>
      <c r="K696" s="176">
        <f>#REF!</f>
        <v/>
      </c>
      <c r="L696" s="173" t="n"/>
      <c r="M696" s="9" t="n"/>
      <c r="N696" s="28" t="b">
        <v>0</v>
      </c>
      <c r="O696" s="172" t="b">
        <v>0</v>
      </c>
      <c r="P696" s="28" t="b">
        <v>0</v>
      </c>
      <c r="Q696" s="28" t="b">
        <v>0</v>
      </c>
      <c r="R696" s="28" t="b">
        <v>0</v>
      </c>
      <c r="S696" s="28" t="b">
        <v>0</v>
      </c>
      <c r="T696" s="28" t="b">
        <v>0</v>
      </c>
      <c r="U696" s="28" t="b">
        <v>0</v>
      </c>
      <c r="V696" s="28" t="b">
        <v>0</v>
      </c>
      <c r="W696" s="28" t="b">
        <v>0</v>
      </c>
    </row>
    <row r="697" ht="69" customHeight="1" s="222">
      <c r="A697" s="164">
        <f>#REF!</f>
        <v/>
      </c>
      <c r="B697" s="145" t="b">
        <v>0</v>
      </c>
      <c r="C697" s="176">
        <f>#REF!</f>
        <v/>
      </c>
      <c r="D697" s="174" t="n"/>
      <c r="E697" s="174" t="n"/>
      <c r="F697" s="176">
        <f>#REF!</f>
        <v/>
      </c>
      <c r="G697" s="174">
        <f>#REF!</f>
        <v/>
      </c>
      <c r="H697" s="174">
        <f>#REF!</f>
        <v/>
      </c>
      <c r="I697" s="174">
        <f>#REF!</f>
        <v/>
      </c>
      <c r="J697" s="174">
        <f>#REF!</f>
        <v/>
      </c>
      <c r="K697" s="176">
        <f>#REF!</f>
        <v/>
      </c>
      <c r="L697" s="173" t="n"/>
      <c r="M697" s="9" t="n"/>
      <c r="N697" s="28" t="b">
        <v>0</v>
      </c>
      <c r="O697" s="172" t="b">
        <v>0</v>
      </c>
      <c r="P697" s="28" t="b">
        <v>0</v>
      </c>
      <c r="Q697" s="28" t="b">
        <v>0</v>
      </c>
      <c r="R697" s="28" t="b">
        <v>0</v>
      </c>
      <c r="S697" s="28" t="b">
        <v>0</v>
      </c>
      <c r="T697" s="28" t="b">
        <v>0</v>
      </c>
      <c r="U697" s="28" t="b">
        <v>0</v>
      </c>
      <c r="V697" s="28" t="b">
        <v>0</v>
      </c>
      <c r="W697" s="28" t="b">
        <v>0</v>
      </c>
    </row>
    <row r="698" ht="69" customHeight="1" s="222">
      <c r="A698" s="164">
        <f>#REF!</f>
        <v/>
      </c>
      <c r="B698" s="145" t="b">
        <v>0</v>
      </c>
      <c r="C698" s="176">
        <f>#REF!</f>
        <v/>
      </c>
      <c r="D698" s="174" t="n"/>
      <c r="E698" s="174" t="n"/>
      <c r="F698" s="176">
        <f>#REF!</f>
        <v/>
      </c>
      <c r="G698" s="174">
        <f>#REF!</f>
        <v/>
      </c>
      <c r="H698" s="174">
        <f>#REF!</f>
        <v/>
      </c>
      <c r="I698" s="174">
        <f>#REF!</f>
        <v/>
      </c>
      <c r="J698" s="174">
        <f>#REF!</f>
        <v/>
      </c>
      <c r="K698" s="176">
        <f>#REF!</f>
        <v/>
      </c>
      <c r="L698" s="173" t="n"/>
      <c r="M698" s="9" t="n"/>
      <c r="N698" s="28" t="b">
        <v>0</v>
      </c>
      <c r="O698" s="172" t="b">
        <v>0</v>
      </c>
      <c r="P698" s="28" t="b">
        <v>0</v>
      </c>
      <c r="Q698" s="28" t="b">
        <v>0</v>
      </c>
      <c r="R698" s="28" t="b">
        <v>0</v>
      </c>
      <c r="S698" s="28" t="b">
        <v>0</v>
      </c>
      <c r="T698" s="28" t="b">
        <v>0</v>
      </c>
      <c r="U698" s="28" t="b">
        <v>0</v>
      </c>
      <c r="V698" s="28" t="b">
        <v>0</v>
      </c>
      <c r="W698" s="28" t="b">
        <v>0</v>
      </c>
    </row>
    <row r="699" ht="69" customHeight="1" s="222">
      <c r="A699" s="164">
        <f>#REF!</f>
        <v/>
      </c>
      <c r="B699" s="145" t="b">
        <v>0</v>
      </c>
      <c r="C699" s="176">
        <f>#REF!</f>
        <v/>
      </c>
      <c r="D699" s="174" t="n"/>
      <c r="E699" s="174" t="n"/>
      <c r="F699" s="176">
        <f>#REF!</f>
        <v/>
      </c>
      <c r="G699" s="174">
        <f>#REF!</f>
        <v/>
      </c>
      <c r="H699" s="174">
        <f>#REF!</f>
        <v/>
      </c>
      <c r="I699" s="174">
        <f>#REF!</f>
        <v/>
      </c>
      <c r="J699" s="174">
        <f>#REF!</f>
        <v/>
      </c>
      <c r="K699" s="176">
        <f>#REF!</f>
        <v/>
      </c>
      <c r="L699" s="173" t="n"/>
      <c r="M699" s="9" t="n"/>
      <c r="N699" s="28" t="b">
        <v>0</v>
      </c>
      <c r="O699" s="172" t="b">
        <v>0</v>
      </c>
      <c r="P699" s="28" t="b">
        <v>0</v>
      </c>
      <c r="Q699" s="28" t="b">
        <v>0</v>
      </c>
      <c r="R699" s="28" t="b">
        <v>0</v>
      </c>
      <c r="S699" s="28" t="b">
        <v>0</v>
      </c>
      <c r="T699" s="28" t="b">
        <v>0</v>
      </c>
      <c r="U699" s="28" t="b">
        <v>0</v>
      </c>
      <c r="V699" s="28" t="b">
        <v>0</v>
      </c>
      <c r="W699" s="28" t="b">
        <v>0</v>
      </c>
    </row>
    <row r="700" ht="69" customHeight="1" s="222">
      <c r="A700" s="164">
        <f>#REF!</f>
        <v/>
      </c>
      <c r="B700" s="145" t="b">
        <v>0</v>
      </c>
      <c r="C700" s="176">
        <f>#REF!</f>
        <v/>
      </c>
      <c r="D700" s="174" t="n"/>
      <c r="E700" s="174" t="n"/>
      <c r="F700" s="176">
        <f>#REF!</f>
        <v/>
      </c>
      <c r="G700" s="174">
        <f>#REF!</f>
        <v/>
      </c>
      <c r="H700" s="174">
        <f>#REF!</f>
        <v/>
      </c>
      <c r="I700" s="174">
        <f>#REF!</f>
        <v/>
      </c>
      <c r="J700" s="174">
        <f>#REF!</f>
        <v/>
      </c>
      <c r="K700" s="176">
        <f>#REF!</f>
        <v/>
      </c>
      <c r="L700" s="173" t="n"/>
      <c r="M700" s="9" t="n"/>
      <c r="N700" s="28" t="b">
        <v>0</v>
      </c>
      <c r="O700" s="172" t="b">
        <v>0</v>
      </c>
      <c r="P700" s="28" t="b">
        <v>0</v>
      </c>
      <c r="Q700" s="28" t="b">
        <v>0</v>
      </c>
      <c r="R700" s="28" t="b">
        <v>0</v>
      </c>
      <c r="S700" s="28" t="b">
        <v>0</v>
      </c>
      <c r="T700" s="28" t="b">
        <v>0</v>
      </c>
      <c r="U700" s="28" t="b">
        <v>0</v>
      </c>
      <c r="V700" s="28" t="b">
        <v>0</v>
      </c>
      <c r="W700" s="28" t="b">
        <v>0</v>
      </c>
    </row>
    <row r="701" ht="69" customHeight="1" s="222">
      <c r="A701" s="164">
        <f>#REF!</f>
        <v/>
      </c>
      <c r="B701" s="145" t="b">
        <v>0</v>
      </c>
      <c r="C701" s="176">
        <f>#REF!</f>
        <v/>
      </c>
      <c r="D701" s="174" t="n"/>
      <c r="E701" s="174" t="n"/>
      <c r="F701" s="176">
        <f>#REF!</f>
        <v/>
      </c>
      <c r="G701" s="174">
        <f>#REF!</f>
        <v/>
      </c>
      <c r="H701" s="174">
        <f>#REF!</f>
        <v/>
      </c>
      <c r="I701" s="174">
        <f>#REF!</f>
        <v/>
      </c>
      <c r="J701" s="174">
        <f>#REF!</f>
        <v/>
      </c>
      <c r="K701" s="176">
        <f>#REF!</f>
        <v/>
      </c>
      <c r="L701" s="173" t="n"/>
      <c r="M701" s="9" t="n"/>
      <c r="N701" s="28" t="b">
        <v>0</v>
      </c>
      <c r="O701" s="172" t="b">
        <v>0</v>
      </c>
      <c r="P701" s="28" t="b">
        <v>0</v>
      </c>
      <c r="Q701" s="28" t="b">
        <v>0</v>
      </c>
      <c r="R701" s="28" t="b">
        <v>0</v>
      </c>
      <c r="S701" s="28" t="b">
        <v>0</v>
      </c>
      <c r="T701" s="28" t="b">
        <v>0</v>
      </c>
      <c r="U701" s="28" t="b">
        <v>0</v>
      </c>
      <c r="V701" s="28" t="b">
        <v>0</v>
      </c>
      <c r="W701" s="28" t="b">
        <v>0</v>
      </c>
    </row>
    <row r="702" ht="69" customHeight="1" s="222">
      <c r="A702" s="164">
        <f>#REF!</f>
        <v/>
      </c>
      <c r="B702" s="145" t="b">
        <v>0</v>
      </c>
      <c r="C702" s="176">
        <f>#REF!</f>
        <v/>
      </c>
      <c r="D702" s="174" t="n"/>
      <c r="E702" s="174" t="n"/>
      <c r="F702" s="176">
        <f>#REF!</f>
        <v/>
      </c>
      <c r="G702" s="174">
        <f>#REF!</f>
        <v/>
      </c>
      <c r="H702" s="174">
        <f>#REF!</f>
        <v/>
      </c>
      <c r="I702" s="174">
        <f>#REF!</f>
        <v/>
      </c>
      <c r="J702" s="174">
        <f>#REF!</f>
        <v/>
      </c>
      <c r="K702" s="176">
        <f>#REF!</f>
        <v/>
      </c>
      <c r="L702" s="173" t="n"/>
      <c r="M702" s="9" t="n"/>
      <c r="N702" s="28" t="b">
        <v>0</v>
      </c>
      <c r="O702" s="172" t="b">
        <v>0</v>
      </c>
      <c r="P702" s="28" t="b">
        <v>0</v>
      </c>
      <c r="Q702" s="28" t="b">
        <v>0</v>
      </c>
      <c r="R702" s="28" t="b">
        <v>0</v>
      </c>
      <c r="S702" s="28" t="b">
        <v>0</v>
      </c>
      <c r="T702" s="28" t="b">
        <v>0</v>
      </c>
      <c r="U702" s="28" t="b">
        <v>0</v>
      </c>
      <c r="V702" s="28" t="b">
        <v>0</v>
      </c>
      <c r="W702" s="28" t="b">
        <v>0</v>
      </c>
    </row>
    <row r="703" ht="69" customHeight="1" s="222">
      <c r="A703" s="164">
        <f>#REF!</f>
        <v/>
      </c>
      <c r="B703" s="145" t="b">
        <v>0</v>
      </c>
      <c r="C703" s="176">
        <f>#REF!</f>
        <v/>
      </c>
      <c r="D703" s="174" t="n"/>
      <c r="E703" s="174" t="n"/>
      <c r="F703" s="176">
        <f>#REF!</f>
        <v/>
      </c>
      <c r="G703" s="174">
        <f>#REF!</f>
        <v/>
      </c>
      <c r="H703" s="174">
        <f>#REF!</f>
        <v/>
      </c>
      <c r="I703" s="174">
        <f>#REF!</f>
        <v/>
      </c>
      <c r="J703" s="174">
        <f>#REF!</f>
        <v/>
      </c>
      <c r="K703" s="176">
        <f>#REF!</f>
        <v/>
      </c>
      <c r="L703" s="173" t="n"/>
      <c r="M703" s="9" t="n"/>
      <c r="N703" s="28" t="b">
        <v>0</v>
      </c>
      <c r="O703" s="172" t="b">
        <v>0</v>
      </c>
      <c r="P703" s="28" t="b">
        <v>0</v>
      </c>
      <c r="Q703" s="28" t="b">
        <v>0</v>
      </c>
      <c r="R703" s="28" t="b">
        <v>0</v>
      </c>
      <c r="S703" s="28" t="b">
        <v>0</v>
      </c>
      <c r="T703" s="28" t="b">
        <v>0</v>
      </c>
      <c r="U703" s="28" t="b">
        <v>0</v>
      </c>
      <c r="V703" s="28" t="b">
        <v>0</v>
      </c>
      <c r="W703" s="28" t="b">
        <v>0</v>
      </c>
    </row>
    <row r="704" ht="69" customHeight="1" s="222">
      <c r="A704" s="164">
        <f>#REF!</f>
        <v/>
      </c>
      <c r="B704" s="145" t="b">
        <v>0</v>
      </c>
      <c r="C704" s="176">
        <f>#REF!</f>
        <v/>
      </c>
      <c r="D704" s="174" t="n"/>
      <c r="E704" s="174" t="n"/>
      <c r="F704" s="176">
        <f>#REF!</f>
        <v/>
      </c>
      <c r="G704" s="174">
        <f>#REF!</f>
        <v/>
      </c>
      <c r="H704" s="174">
        <f>#REF!</f>
        <v/>
      </c>
      <c r="I704" s="174">
        <f>#REF!</f>
        <v/>
      </c>
      <c r="J704" s="174">
        <f>#REF!</f>
        <v/>
      </c>
      <c r="K704" s="176">
        <f>#REF!</f>
        <v/>
      </c>
      <c r="L704" s="173" t="n"/>
      <c r="M704" s="9" t="n"/>
      <c r="N704" s="28" t="b">
        <v>0</v>
      </c>
      <c r="O704" s="172" t="b">
        <v>0</v>
      </c>
      <c r="P704" s="28" t="b">
        <v>0</v>
      </c>
      <c r="Q704" s="28" t="b">
        <v>0</v>
      </c>
      <c r="R704" s="28" t="b">
        <v>0</v>
      </c>
      <c r="S704" s="28" t="b">
        <v>0</v>
      </c>
      <c r="T704" s="28" t="b">
        <v>0</v>
      </c>
      <c r="U704" s="28" t="b">
        <v>0</v>
      </c>
      <c r="V704" s="28" t="b">
        <v>0</v>
      </c>
      <c r="W704" s="28" t="b">
        <v>0</v>
      </c>
    </row>
    <row r="705" ht="69" customHeight="1" s="222">
      <c r="A705" s="164">
        <f>#REF!</f>
        <v/>
      </c>
      <c r="B705" s="145" t="b">
        <v>0</v>
      </c>
      <c r="C705" s="176">
        <f>#REF!</f>
        <v/>
      </c>
      <c r="D705" s="174" t="n"/>
      <c r="E705" s="174" t="n"/>
      <c r="F705" s="176">
        <f>#REF!</f>
        <v/>
      </c>
      <c r="G705" s="174">
        <f>#REF!</f>
        <v/>
      </c>
      <c r="H705" s="174">
        <f>#REF!</f>
        <v/>
      </c>
      <c r="I705" s="174">
        <f>#REF!</f>
        <v/>
      </c>
      <c r="J705" s="174">
        <f>#REF!</f>
        <v/>
      </c>
      <c r="K705" s="176">
        <f>#REF!</f>
        <v/>
      </c>
      <c r="L705" s="173" t="n"/>
      <c r="M705" s="9" t="n"/>
      <c r="N705" s="28" t="b">
        <v>0</v>
      </c>
      <c r="O705" s="172" t="b">
        <v>0</v>
      </c>
      <c r="P705" s="28" t="b">
        <v>0</v>
      </c>
      <c r="Q705" s="28" t="b">
        <v>0</v>
      </c>
      <c r="R705" s="28" t="b">
        <v>0</v>
      </c>
      <c r="S705" s="28" t="b">
        <v>0</v>
      </c>
      <c r="T705" s="28" t="b">
        <v>0</v>
      </c>
      <c r="U705" s="28" t="b">
        <v>0</v>
      </c>
      <c r="V705" s="28" t="b">
        <v>0</v>
      </c>
      <c r="W705" s="28" t="b">
        <v>0</v>
      </c>
    </row>
    <row r="706" ht="69" customHeight="1" s="222">
      <c r="A706" s="164">
        <f>#REF!</f>
        <v/>
      </c>
      <c r="B706" s="145" t="b">
        <v>0</v>
      </c>
      <c r="C706" s="176">
        <f>#REF!</f>
        <v/>
      </c>
      <c r="D706" s="174" t="n"/>
      <c r="E706" s="174" t="n"/>
      <c r="F706" s="176">
        <f>#REF!</f>
        <v/>
      </c>
      <c r="G706" s="174">
        <f>#REF!</f>
        <v/>
      </c>
      <c r="H706" s="174">
        <f>#REF!</f>
        <v/>
      </c>
      <c r="I706" s="174">
        <f>#REF!</f>
        <v/>
      </c>
      <c r="J706" s="174">
        <f>#REF!</f>
        <v/>
      </c>
      <c r="K706" s="176">
        <f>#REF!</f>
        <v/>
      </c>
      <c r="L706" s="173" t="n"/>
      <c r="M706" s="9" t="n"/>
      <c r="N706" s="28" t="b">
        <v>0</v>
      </c>
      <c r="O706" s="172" t="b">
        <v>0</v>
      </c>
      <c r="P706" s="28" t="b">
        <v>0</v>
      </c>
      <c r="Q706" s="28" t="b">
        <v>0</v>
      </c>
      <c r="R706" s="28" t="b">
        <v>0</v>
      </c>
      <c r="S706" s="28" t="b">
        <v>0</v>
      </c>
      <c r="T706" s="28" t="b">
        <v>0</v>
      </c>
      <c r="U706" s="28" t="b">
        <v>0</v>
      </c>
      <c r="V706" s="28" t="b">
        <v>0</v>
      </c>
      <c r="W706" s="28" t="b">
        <v>0</v>
      </c>
    </row>
    <row r="707" ht="69" customHeight="1" s="222">
      <c r="A707" s="164">
        <f>#REF!</f>
        <v/>
      </c>
      <c r="B707" s="145" t="b">
        <v>0</v>
      </c>
      <c r="C707" s="176">
        <f>#REF!</f>
        <v/>
      </c>
      <c r="D707" s="174" t="n"/>
      <c r="E707" s="174" t="n"/>
      <c r="F707" s="176">
        <f>#REF!</f>
        <v/>
      </c>
      <c r="G707" s="174">
        <f>#REF!</f>
        <v/>
      </c>
      <c r="H707" s="174">
        <f>#REF!</f>
        <v/>
      </c>
      <c r="I707" s="174">
        <f>#REF!</f>
        <v/>
      </c>
      <c r="J707" s="174">
        <f>#REF!</f>
        <v/>
      </c>
      <c r="K707" s="176">
        <f>#REF!</f>
        <v/>
      </c>
      <c r="L707" s="173" t="n"/>
      <c r="M707" s="9" t="n"/>
      <c r="N707" s="28" t="b">
        <v>0</v>
      </c>
      <c r="O707" s="172" t="b">
        <v>0</v>
      </c>
      <c r="P707" s="28" t="b">
        <v>0</v>
      </c>
      <c r="Q707" s="28" t="b">
        <v>0</v>
      </c>
      <c r="R707" s="28" t="b">
        <v>0</v>
      </c>
      <c r="S707" s="28" t="b">
        <v>0</v>
      </c>
      <c r="T707" s="28" t="b">
        <v>0</v>
      </c>
      <c r="U707" s="28" t="b">
        <v>0</v>
      </c>
      <c r="V707" s="28" t="b">
        <v>0</v>
      </c>
      <c r="W707" s="28" t="b">
        <v>0</v>
      </c>
    </row>
    <row r="708" ht="69" customHeight="1" s="222">
      <c r="A708" s="164">
        <f>#REF!</f>
        <v/>
      </c>
      <c r="B708" s="145" t="b">
        <v>0</v>
      </c>
      <c r="C708" s="176">
        <f>#REF!</f>
        <v/>
      </c>
      <c r="D708" s="174" t="n"/>
      <c r="E708" s="174" t="n"/>
      <c r="F708" s="176">
        <f>#REF!</f>
        <v/>
      </c>
      <c r="G708" s="174">
        <f>#REF!</f>
        <v/>
      </c>
      <c r="H708" s="174">
        <f>#REF!</f>
        <v/>
      </c>
      <c r="I708" s="174">
        <f>#REF!</f>
        <v/>
      </c>
      <c r="J708" s="174">
        <f>#REF!</f>
        <v/>
      </c>
      <c r="K708" s="176">
        <f>#REF!</f>
        <v/>
      </c>
      <c r="L708" s="173" t="n"/>
      <c r="M708" s="9" t="n"/>
      <c r="N708" s="28" t="b">
        <v>0</v>
      </c>
      <c r="O708" s="172" t="b">
        <v>0</v>
      </c>
      <c r="P708" s="28" t="b">
        <v>0</v>
      </c>
      <c r="Q708" s="28" t="b">
        <v>0</v>
      </c>
      <c r="R708" s="28" t="b">
        <v>0</v>
      </c>
      <c r="S708" s="28" t="b">
        <v>0</v>
      </c>
      <c r="T708" s="28" t="b">
        <v>0</v>
      </c>
      <c r="U708" s="28" t="b">
        <v>0</v>
      </c>
      <c r="V708" s="28" t="b">
        <v>0</v>
      </c>
      <c r="W708" s="28" t="b">
        <v>0</v>
      </c>
    </row>
    <row r="709" ht="69" customHeight="1" s="222">
      <c r="A709" s="164">
        <f>#REF!</f>
        <v/>
      </c>
      <c r="B709" s="145" t="b">
        <v>0</v>
      </c>
      <c r="C709" s="176">
        <f>#REF!</f>
        <v/>
      </c>
      <c r="D709" s="174" t="n"/>
      <c r="E709" s="174" t="n"/>
      <c r="F709" s="176">
        <f>#REF!</f>
        <v/>
      </c>
      <c r="G709" s="174">
        <f>#REF!</f>
        <v/>
      </c>
      <c r="H709" s="174">
        <f>#REF!</f>
        <v/>
      </c>
      <c r="I709" s="174">
        <f>#REF!</f>
        <v/>
      </c>
      <c r="J709" s="174">
        <f>#REF!</f>
        <v/>
      </c>
      <c r="K709" s="176">
        <f>#REF!</f>
        <v/>
      </c>
      <c r="L709" s="173" t="n"/>
      <c r="M709" s="9" t="n"/>
      <c r="N709" s="28" t="b">
        <v>0</v>
      </c>
      <c r="O709" s="172" t="b">
        <v>0</v>
      </c>
      <c r="P709" s="28" t="b">
        <v>0</v>
      </c>
      <c r="Q709" s="28" t="b">
        <v>0</v>
      </c>
      <c r="R709" s="28" t="b">
        <v>0</v>
      </c>
      <c r="S709" s="28" t="b">
        <v>0</v>
      </c>
      <c r="T709" s="28" t="b">
        <v>0</v>
      </c>
      <c r="U709" s="28" t="b">
        <v>0</v>
      </c>
      <c r="V709" s="28" t="b">
        <v>0</v>
      </c>
      <c r="W709" s="28" t="b">
        <v>0</v>
      </c>
    </row>
    <row r="710" ht="69" customHeight="1" s="222">
      <c r="A710" s="164">
        <f>#REF!</f>
        <v/>
      </c>
      <c r="B710" s="145" t="b">
        <v>0</v>
      </c>
      <c r="C710" s="176">
        <f>#REF!</f>
        <v/>
      </c>
      <c r="D710" s="174" t="n"/>
      <c r="E710" s="174" t="n"/>
      <c r="F710" s="176">
        <f>#REF!</f>
        <v/>
      </c>
      <c r="G710" s="174">
        <f>#REF!</f>
        <v/>
      </c>
      <c r="H710" s="174">
        <f>#REF!</f>
        <v/>
      </c>
      <c r="I710" s="174">
        <f>#REF!</f>
        <v/>
      </c>
      <c r="J710" s="174">
        <f>#REF!</f>
        <v/>
      </c>
      <c r="K710" s="176">
        <f>#REF!</f>
        <v/>
      </c>
      <c r="L710" s="173" t="n"/>
      <c r="M710" s="9" t="n"/>
      <c r="N710" s="28" t="b">
        <v>0</v>
      </c>
      <c r="O710" s="172" t="b">
        <v>0</v>
      </c>
      <c r="P710" s="28" t="b">
        <v>0</v>
      </c>
      <c r="Q710" s="28" t="b">
        <v>0</v>
      </c>
      <c r="R710" s="28" t="b">
        <v>0</v>
      </c>
      <c r="S710" s="28" t="b">
        <v>0</v>
      </c>
      <c r="T710" s="28" t="b">
        <v>0</v>
      </c>
      <c r="U710" s="28" t="b">
        <v>0</v>
      </c>
      <c r="V710" s="28" t="b">
        <v>0</v>
      </c>
      <c r="W710" s="28" t="b">
        <v>0</v>
      </c>
    </row>
    <row r="711" ht="69" customHeight="1" s="222">
      <c r="A711" s="164">
        <f>#REF!</f>
        <v/>
      </c>
      <c r="B711" s="145" t="b">
        <v>0</v>
      </c>
      <c r="C711" s="176">
        <f>#REF!</f>
        <v/>
      </c>
      <c r="D711" s="174" t="n"/>
      <c r="E711" s="174" t="n"/>
      <c r="F711" s="176">
        <f>#REF!</f>
        <v/>
      </c>
      <c r="G711" s="174">
        <f>#REF!</f>
        <v/>
      </c>
      <c r="H711" s="174">
        <f>#REF!</f>
        <v/>
      </c>
      <c r="I711" s="174">
        <f>#REF!</f>
        <v/>
      </c>
      <c r="J711" s="174">
        <f>#REF!</f>
        <v/>
      </c>
      <c r="K711" s="176">
        <f>#REF!</f>
        <v/>
      </c>
      <c r="L711" s="173" t="n"/>
      <c r="M711" s="9" t="n"/>
      <c r="N711" s="28" t="b">
        <v>0</v>
      </c>
      <c r="O711" s="172" t="b">
        <v>0</v>
      </c>
      <c r="P711" s="28" t="b">
        <v>0</v>
      </c>
      <c r="Q711" s="28" t="b">
        <v>0</v>
      </c>
      <c r="R711" s="28" t="b">
        <v>0</v>
      </c>
      <c r="S711" s="28" t="b">
        <v>0</v>
      </c>
      <c r="T711" s="28" t="b">
        <v>0</v>
      </c>
      <c r="U711" s="28" t="b">
        <v>0</v>
      </c>
      <c r="V711" s="28" t="b">
        <v>0</v>
      </c>
      <c r="W711" s="28" t="b">
        <v>0</v>
      </c>
    </row>
    <row r="712" ht="69" customHeight="1" s="222">
      <c r="A712" s="164">
        <f>#REF!</f>
        <v/>
      </c>
      <c r="B712" s="145" t="b">
        <v>0</v>
      </c>
      <c r="C712" s="176">
        <f>#REF!</f>
        <v/>
      </c>
      <c r="D712" s="174" t="n"/>
      <c r="E712" s="174" t="n"/>
      <c r="F712" s="176">
        <f>#REF!</f>
        <v/>
      </c>
      <c r="G712" s="174">
        <f>#REF!</f>
        <v/>
      </c>
      <c r="H712" s="174">
        <f>#REF!</f>
        <v/>
      </c>
      <c r="I712" s="174">
        <f>#REF!</f>
        <v/>
      </c>
      <c r="J712" s="174">
        <f>#REF!</f>
        <v/>
      </c>
      <c r="K712" s="176">
        <f>#REF!</f>
        <v/>
      </c>
      <c r="L712" s="173" t="n"/>
      <c r="M712" s="9" t="n"/>
      <c r="N712" s="28" t="b">
        <v>0</v>
      </c>
      <c r="O712" s="172" t="b">
        <v>0</v>
      </c>
      <c r="P712" s="28" t="b">
        <v>0</v>
      </c>
      <c r="Q712" s="28" t="b">
        <v>0</v>
      </c>
      <c r="R712" s="28" t="b">
        <v>0</v>
      </c>
      <c r="S712" s="28" t="b">
        <v>0</v>
      </c>
      <c r="T712" s="28" t="b">
        <v>0</v>
      </c>
      <c r="U712" s="28" t="b">
        <v>0</v>
      </c>
      <c r="V712" s="28" t="b">
        <v>0</v>
      </c>
      <c r="W712" s="28" t="b">
        <v>0</v>
      </c>
    </row>
    <row r="713" ht="69" customHeight="1" s="222">
      <c r="A713" s="164">
        <f>#REF!</f>
        <v/>
      </c>
      <c r="B713" s="145" t="b">
        <v>0</v>
      </c>
      <c r="C713" s="176">
        <f>#REF!</f>
        <v/>
      </c>
      <c r="D713" s="174" t="n"/>
      <c r="E713" s="174" t="n"/>
      <c r="F713" s="176">
        <f>#REF!</f>
        <v/>
      </c>
      <c r="G713" s="174">
        <f>#REF!</f>
        <v/>
      </c>
      <c r="H713" s="174">
        <f>#REF!</f>
        <v/>
      </c>
      <c r="I713" s="174">
        <f>#REF!</f>
        <v/>
      </c>
      <c r="J713" s="174">
        <f>#REF!</f>
        <v/>
      </c>
      <c r="K713" s="176">
        <f>#REF!</f>
        <v/>
      </c>
      <c r="L713" s="173" t="n"/>
      <c r="M713" s="9" t="n"/>
      <c r="N713" s="28" t="b">
        <v>0</v>
      </c>
      <c r="O713" s="172" t="b">
        <v>0</v>
      </c>
      <c r="P713" s="28" t="b">
        <v>0</v>
      </c>
      <c r="Q713" s="28" t="b">
        <v>0</v>
      </c>
      <c r="R713" s="28" t="b">
        <v>0</v>
      </c>
      <c r="S713" s="28" t="b">
        <v>0</v>
      </c>
      <c r="T713" s="28" t="b">
        <v>0</v>
      </c>
      <c r="U713" s="28" t="b">
        <v>0</v>
      </c>
      <c r="V713" s="28" t="b">
        <v>0</v>
      </c>
      <c r="W713" s="28" t="b">
        <v>0</v>
      </c>
    </row>
    <row r="714" ht="69" customHeight="1" s="222">
      <c r="A714" s="164">
        <f>#REF!</f>
        <v/>
      </c>
      <c r="B714" s="145" t="b">
        <v>0</v>
      </c>
      <c r="C714" s="176">
        <f>#REF!</f>
        <v/>
      </c>
      <c r="D714" s="174" t="n"/>
      <c r="E714" s="174" t="n"/>
      <c r="F714" s="176">
        <f>#REF!</f>
        <v/>
      </c>
      <c r="G714" s="174">
        <f>#REF!</f>
        <v/>
      </c>
      <c r="H714" s="174">
        <f>#REF!</f>
        <v/>
      </c>
      <c r="I714" s="174">
        <f>#REF!</f>
        <v/>
      </c>
      <c r="J714" s="174">
        <f>#REF!</f>
        <v/>
      </c>
      <c r="K714" s="176">
        <f>#REF!</f>
        <v/>
      </c>
      <c r="L714" s="173" t="n"/>
      <c r="M714" s="9" t="n"/>
      <c r="N714" s="28" t="b">
        <v>0</v>
      </c>
      <c r="O714" s="172" t="b">
        <v>0</v>
      </c>
      <c r="P714" s="28" t="b">
        <v>0</v>
      </c>
      <c r="Q714" s="28" t="b">
        <v>0</v>
      </c>
      <c r="R714" s="28" t="b">
        <v>0</v>
      </c>
      <c r="S714" s="28" t="b">
        <v>0</v>
      </c>
      <c r="T714" s="28" t="b">
        <v>0</v>
      </c>
      <c r="U714" s="28" t="b">
        <v>0</v>
      </c>
      <c r="V714" s="28" t="b">
        <v>0</v>
      </c>
      <c r="W714" s="28" t="b">
        <v>0</v>
      </c>
    </row>
    <row r="715" ht="69" customHeight="1" s="222">
      <c r="A715" s="164">
        <f>#REF!</f>
        <v/>
      </c>
      <c r="B715" s="145" t="b">
        <v>0</v>
      </c>
      <c r="C715" s="176">
        <f>#REF!</f>
        <v/>
      </c>
      <c r="D715" s="174" t="n"/>
      <c r="E715" s="174" t="n"/>
      <c r="F715" s="176">
        <f>#REF!</f>
        <v/>
      </c>
      <c r="G715" s="174">
        <f>#REF!</f>
        <v/>
      </c>
      <c r="H715" s="174">
        <f>#REF!</f>
        <v/>
      </c>
      <c r="I715" s="174">
        <f>#REF!</f>
        <v/>
      </c>
      <c r="J715" s="174">
        <f>#REF!</f>
        <v/>
      </c>
      <c r="K715" s="176">
        <f>#REF!</f>
        <v/>
      </c>
      <c r="L715" s="173" t="n"/>
      <c r="M715" s="9" t="n"/>
      <c r="N715" s="28" t="b">
        <v>0</v>
      </c>
      <c r="O715" s="172" t="b">
        <v>0</v>
      </c>
      <c r="P715" s="28" t="b">
        <v>0</v>
      </c>
      <c r="Q715" s="28" t="b">
        <v>0</v>
      </c>
      <c r="R715" s="28" t="b">
        <v>0</v>
      </c>
      <c r="S715" s="28" t="b">
        <v>0</v>
      </c>
      <c r="T715" s="28" t="b">
        <v>0</v>
      </c>
      <c r="U715" s="28" t="b">
        <v>0</v>
      </c>
      <c r="V715" s="28" t="b">
        <v>0</v>
      </c>
      <c r="W715" s="28" t="b">
        <v>0</v>
      </c>
    </row>
    <row r="716" ht="69" customHeight="1" s="222">
      <c r="A716" s="164">
        <f>#REF!</f>
        <v/>
      </c>
      <c r="B716" s="145" t="b">
        <v>0</v>
      </c>
      <c r="C716" s="176">
        <f>#REF!</f>
        <v/>
      </c>
      <c r="D716" s="174" t="n"/>
      <c r="E716" s="174" t="n"/>
      <c r="F716" s="176">
        <f>#REF!</f>
        <v/>
      </c>
      <c r="G716" s="174">
        <f>#REF!</f>
        <v/>
      </c>
      <c r="H716" s="174">
        <f>#REF!</f>
        <v/>
      </c>
      <c r="I716" s="174">
        <f>#REF!</f>
        <v/>
      </c>
      <c r="J716" s="174">
        <f>#REF!</f>
        <v/>
      </c>
      <c r="K716" s="176">
        <f>#REF!</f>
        <v/>
      </c>
      <c r="L716" s="173" t="n"/>
      <c r="M716" s="9" t="n"/>
      <c r="N716" s="28" t="b">
        <v>0</v>
      </c>
      <c r="O716" s="172" t="b">
        <v>0</v>
      </c>
      <c r="P716" s="28" t="b">
        <v>0</v>
      </c>
      <c r="Q716" s="28" t="b">
        <v>0</v>
      </c>
      <c r="R716" s="28" t="b">
        <v>0</v>
      </c>
      <c r="S716" s="28" t="b">
        <v>0</v>
      </c>
      <c r="T716" s="28" t="b">
        <v>0</v>
      </c>
      <c r="U716" s="28" t="b">
        <v>0</v>
      </c>
      <c r="V716" s="28" t="b">
        <v>0</v>
      </c>
      <c r="W716" s="28" t="b">
        <v>0</v>
      </c>
    </row>
    <row r="717" ht="69" customHeight="1" s="222">
      <c r="A717" s="164">
        <f>#REF!</f>
        <v/>
      </c>
      <c r="B717" s="145" t="b">
        <v>0</v>
      </c>
      <c r="C717" s="176">
        <f>#REF!</f>
        <v/>
      </c>
      <c r="D717" s="174" t="n"/>
      <c r="E717" s="174" t="n"/>
      <c r="F717" s="176">
        <f>#REF!</f>
        <v/>
      </c>
      <c r="G717" s="174">
        <f>#REF!</f>
        <v/>
      </c>
      <c r="H717" s="174">
        <f>#REF!</f>
        <v/>
      </c>
      <c r="I717" s="174">
        <f>#REF!</f>
        <v/>
      </c>
      <c r="J717" s="174">
        <f>#REF!</f>
        <v/>
      </c>
      <c r="K717" s="176">
        <f>#REF!</f>
        <v/>
      </c>
      <c r="L717" s="173" t="n"/>
      <c r="M717" s="9" t="n"/>
      <c r="N717" s="28" t="b">
        <v>0</v>
      </c>
      <c r="O717" s="172" t="b">
        <v>0</v>
      </c>
      <c r="P717" s="28" t="b">
        <v>0</v>
      </c>
      <c r="Q717" s="28" t="b">
        <v>0</v>
      </c>
      <c r="R717" s="28" t="b">
        <v>0</v>
      </c>
      <c r="S717" s="28" t="b">
        <v>0</v>
      </c>
      <c r="T717" s="28" t="b">
        <v>0</v>
      </c>
      <c r="U717" s="28" t="b">
        <v>0</v>
      </c>
      <c r="V717" s="28" t="b">
        <v>0</v>
      </c>
      <c r="W717" s="28" t="b">
        <v>0</v>
      </c>
    </row>
    <row r="718" ht="69" customHeight="1" s="222">
      <c r="A718" s="164">
        <f>#REF!</f>
        <v/>
      </c>
      <c r="B718" s="145" t="b">
        <v>0</v>
      </c>
      <c r="C718" s="176">
        <f>#REF!</f>
        <v/>
      </c>
      <c r="D718" s="174" t="n"/>
      <c r="E718" s="174" t="n"/>
      <c r="F718" s="176">
        <f>#REF!</f>
        <v/>
      </c>
      <c r="G718" s="174">
        <f>#REF!</f>
        <v/>
      </c>
      <c r="H718" s="174">
        <f>#REF!</f>
        <v/>
      </c>
      <c r="I718" s="174">
        <f>#REF!</f>
        <v/>
      </c>
      <c r="J718" s="174">
        <f>#REF!</f>
        <v/>
      </c>
      <c r="K718" s="176">
        <f>#REF!</f>
        <v/>
      </c>
      <c r="L718" s="173" t="n"/>
      <c r="M718" s="9" t="n"/>
      <c r="N718" s="28" t="b">
        <v>0</v>
      </c>
      <c r="O718" s="172" t="b">
        <v>0</v>
      </c>
      <c r="P718" s="28" t="b">
        <v>0</v>
      </c>
      <c r="Q718" s="28" t="b">
        <v>0</v>
      </c>
      <c r="R718" s="28" t="b">
        <v>0</v>
      </c>
      <c r="S718" s="28" t="b">
        <v>0</v>
      </c>
      <c r="T718" s="28" t="b">
        <v>0</v>
      </c>
      <c r="U718" s="28" t="b">
        <v>0</v>
      </c>
      <c r="V718" s="28" t="b">
        <v>0</v>
      </c>
      <c r="W718" s="28" t="b">
        <v>0</v>
      </c>
    </row>
    <row r="719" ht="69" customHeight="1" s="222">
      <c r="A719" s="164">
        <f>#REF!</f>
        <v/>
      </c>
      <c r="B719" s="145" t="b">
        <v>0</v>
      </c>
      <c r="C719" s="176">
        <f>#REF!</f>
        <v/>
      </c>
      <c r="D719" s="174" t="n"/>
      <c r="E719" s="174" t="n"/>
      <c r="F719" s="176">
        <f>#REF!</f>
        <v/>
      </c>
      <c r="G719" s="174">
        <f>#REF!</f>
        <v/>
      </c>
      <c r="H719" s="174">
        <f>#REF!</f>
        <v/>
      </c>
      <c r="I719" s="174">
        <f>#REF!</f>
        <v/>
      </c>
      <c r="J719" s="174">
        <f>#REF!</f>
        <v/>
      </c>
      <c r="K719" s="176">
        <f>#REF!</f>
        <v/>
      </c>
      <c r="L719" s="173" t="n"/>
      <c r="M719" s="9" t="n"/>
      <c r="N719" s="28" t="b">
        <v>0</v>
      </c>
      <c r="O719" s="172" t="b">
        <v>0</v>
      </c>
      <c r="P719" s="28" t="b">
        <v>0</v>
      </c>
      <c r="Q719" s="28" t="b">
        <v>0</v>
      </c>
      <c r="R719" s="28" t="b">
        <v>0</v>
      </c>
      <c r="S719" s="28" t="b">
        <v>0</v>
      </c>
      <c r="T719" s="28" t="b">
        <v>0</v>
      </c>
      <c r="U719" s="28" t="b">
        <v>0</v>
      </c>
      <c r="V719" s="28" t="b">
        <v>0</v>
      </c>
      <c r="W719" s="28" t="b">
        <v>0</v>
      </c>
    </row>
    <row r="720" ht="69" customHeight="1" s="222">
      <c r="A720" s="164">
        <f>#REF!</f>
        <v/>
      </c>
      <c r="B720" s="145" t="b">
        <v>0</v>
      </c>
      <c r="C720" s="176">
        <f>#REF!</f>
        <v/>
      </c>
      <c r="D720" s="174" t="n"/>
      <c r="E720" s="174" t="n"/>
      <c r="F720" s="176">
        <f>#REF!</f>
        <v/>
      </c>
      <c r="G720" s="174">
        <f>#REF!</f>
        <v/>
      </c>
      <c r="H720" s="174">
        <f>#REF!</f>
        <v/>
      </c>
      <c r="I720" s="174">
        <f>#REF!</f>
        <v/>
      </c>
      <c r="J720" s="174">
        <f>#REF!</f>
        <v/>
      </c>
      <c r="K720" s="176">
        <f>#REF!</f>
        <v/>
      </c>
      <c r="L720" s="173" t="n"/>
      <c r="M720" s="9" t="n"/>
      <c r="N720" s="28" t="b">
        <v>0</v>
      </c>
      <c r="O720" s="172" t="b">
        <v>0</v>
      </c>
      <c r="P720" s="28" t="b">
        <v>0</v>
      </c>
      <c r="Q720" s="28" t="b">
        <v>0</v>
      </c>
      <c r="R720" s="28" t="b">
        <v>0</v>
      </c>
      <c r="S720" s="28" t="b">
        <v>0</v>
      </c>
      <c r="T720" s="28" t="b">
        <v>0</v>
      </c>
      <c r="U720" s="28" t="b">
        <v>0</v>
      </c>
      <c r="V720" s="28" t="b">
        <v>0</v>
      </c>
      <c r="W720" s="28" t="b">
        <v>0</v>
      </c>
    </row>
    <row r="721" ht="69" customHeight="1" s="222">
      <c r="A721" s="164">
        <f>#REF!</f>
        <v/>
      </c>
      <c r="B721" s="145" t="b">
        <v>0</v>
      </c>
      <c r="C721" s="176">
        <f>#REF!</f>
        <v/>
      </c>
      <c r="D721" s="174" t="n"/>
      <c r="E721" s="174" t="n"/>
      <c r="F721" s="176">
        <f>#REF!</f>
        <v/>
      </c>
      <c r="G721" s="174">
        <f>#REF!</f>
        <v/>
      </c>
      <c r="H721" s="174">
        <f>#REF!</f>
        <v/>
      </c>
      <c r="I721" s="174">
        <f>#REF!</f>
        <v/>
      </c>
      <c r="J721" s="174">
        <f>#REF!</f>
        <v/>
      </c>
      <c r="K721" s="176">
        <f>#REF!</f>
        <v/>
      </c>
      <c r="L721" s="173" t="n"/>
      <c r="M721" s="9" t="n"/>
      <c r="N721" s="28" t="b">
        <v>0</v>
      </c>
      <c r="O721" s="172" t="b">
        <v>0</v>
      </c>
      <c r="P721" s="28" t="b">
        <v>0</v>
      </c>
      <c r="Q721" s="28" t="b">
        <v>0</v>
      </c>
      <c r="R721" s="28" t="b">
        <v>0</v>
      </c>
      <c r="S721" s="28" t="b">
        <v>0</v>
      </c>
      <c r="T721" s="28" t="b">
        <v>0</v>
      </c>
      <c r="U721" s="28" t="b">
        <v>0</v>
      </c>
      <c r="V721" s="28" t="b">
        <v>0</v>
      </c>
      <c r="W721" s="28" t="b">
        <v>0</v>
      </c>
    </row>
    <row r="722" ht="69" customHeight="1" s="222">
      <c r="A722" s="164">
        <f>#REF!</f>
        <v/>
      </c>
      <c r="B722" s="145" t="b">
        <v>0</v>
      </c>
      <c r="C722" s="176">
        <f>#REF!</f>
        <v/>
      </c>
      <c r="D722" s="174" t="n"/>
      <c r="E722" s="174" t="n"/>
      <c r="F722" s="176">
        <f>#REF!</f>
        <v/>
      </c>
      <c r="G722" s="174">
        <f>#REF!</f>
        <v/>
      </c>
      <c r="H722" s="174">
        <f>#REF!</f>
        <v/>
      </c>
      <c r="I722" s="174">
        <f>#REF!</f>
        <v/>
      </c>
      <c r="J722" s="174">
        <f>#REF!</f>
        <v/>
      </c>
      <c r="K722" s="176">
        <f>#REF!</f>
        <v/>
      </c>
      <c r="L722" s="173" t="n"/>
      <c r="M722" s="9" t="n"/>
      <c r="N722" s="28" t="b">
        <v>0</v>
      </c>
      <c r="O722" s="172" t="b">
        <v>0</v>
      </c>
      <c r="P722" s="28" t="b">
        <v>0</v>
      </c>
      <c r="Q722" s="28" t="b">
        <v>0</v>
      </c>
      <c r="R722" s="28" t="b">
        <v>0</v>
      </c>
      <c r="S722" s="28" t="b">
        <v>0</v>
      </c>
      <c r="T722" s="28" t="b">
        <v>0</v>
      </c>
      <c r="U722" s="28" t="b">
        <v>0</v>
      </c>
      <c r="V722" s="28" t="b">
        <v>0</v>
      </c>
      <c r="W722" s="28" t="b">
        <v>0</v>
      </c>
    </row>
    <row r="723" ht="69" customHeight="1" s="222">
      <c r="A723" s="164">
        <f>#REF!</f>
        <v/>
      </c>
      <c r="B723" s="145" t="b">
        <v>0</v>
      </c>
      <c r="C723" s="176">
        <f>#REF!</f>
        <v/>
      </c>
      <c r="D723" s="174" t="n"/>
      <c r="E723" s="174" t="n"/>
      <c r="F723" s="176">
        <f>#REF!</f>
        <v/>
      </c>
      <c r="G723" s="174">
        <f>#REF!</f>
        <v/>
      </c>
      <c r="H723" s="174">
        <f>#REF!</f>
        <v/>
      </c>
      <c r="I723" s="174">
        <f>#REF!</f>
        <v/>
      </c>
      <c r="J723" s="174">
        <f>#REF!</f>
        <v/>
      </c>
      <c r="K723" s="176">
        <f>#REF!</f>
        <v/>
      </c>
      <c r="L723" s="173" t="n"/>
      <c r="M723" s="9" t="n"/>
      <c r="N723" s="28" t="b">
        <v>0</v>
      </c>
      <c r="O723" s="172" t="b">
        <v>0</v>
      </c>
      <c r="P723" s="28" t="b">
        <v>0</v>
      </c>
      <c r="Q723" s="28" t="b">
        <v>0</v>
      </c>
      <c r="R723" s="28" t="b">
        <v>0</v>
      </c>
      <c r="S723" s="28" t="b">
        <v>0</v>
      </c>
      <c r="T723" s="28" t="b">
        <v>0</v>
      </c>
      <c r="U723" s="28" t="b">
        <v>0</v>
      </c>
      <c r="V723" s="28" t="b">
        <v>0</v>
      </c>
      <c r="W723" s="28" t="b">
        <v>0</v>
      </c>
    </row>
    <row r="724" ht="69" customHeight="1" s="222">
      <c r="A724" s="164">
        <f>#REF!</f>
        <v/>
      </c>
      <c r="B724" s="145" t="b">
        <v>0</v>
      </c>
      <c r="C724" s="176">
        <f>#REF!</f>
        <v/>
      </c>
      <c r="D724" s="174" t="n"/>
      <c r="E724" s="174" t="n"/>
      <c r="F724" s="176">
        <f>#REF!</f>
        <v/>
      </c>
      <c r="G724" s="174">
        <f>#REF!</f>
        <v/>
      </c>
      <c r="H724" s="174">
        <f>#REF!</f>
        <v/>
      </c>
      <c r="I724" s="174">
        <f>#REF!</f>
        <v/>
      </c>
      <c r="J724" s="174">
        <f>#REF!</f>
        <v/>
      </c>
      <c r="K724" s="176">
        <f>#REF!</f>
        <v/>
      </c>
      <c r="L724" s="173" t="n"/>
      <c r="M724" s="9" t="n"/>
      <c r="N724" s="28" t="b">
        <v>0</v>
      </c>
      <c r="O724" s="172" t="b">
        <v>0</v>
      </c>
      <c r="P724" s="28" t="b">
        <v>0</v>
      </c>
      <c r="Q724" s="28" t="b">
        <v>0</v>
      </c>
      <c r="R724" s="28" t="b">
        <v>0</v>
      </c>
      <c r="S724" s="28" t="b">
        <v>0</v>
      </c>
      <c r="T724" s="28" t="b">
        <v>0</v>
      </c>
      <c r="U724" s="28" t="b">
        <v>0</v>
      </c>
      <c r="V724" s="28" t="b">
        <v>0</v>
      </c>
      <c r="W724" s="28" t="b">
        <v>0</v>
      </c>
    </row>
    <row r="725" ht="69" customHeight="1" s="222">
      <c r="A725" s="164">
        <f>#REF!</f>
        <v/>
      </c>
      <c r="B725" s="145" t="b">
        <v>0</v>
      </c>
      <c r="C725" s="176">
        <f>#REF!</f>
        <v/>
      </c>
      <c r="D725" s="174" t="n"/>
      <c r="E725" s="174" t="n"/>
      <c r="F725" s="176">
        <f>#REF!</f>
        <v/>
      </c>
      <c r="G725" s="174">
        <f>#REF!</f>
        <v/>
      </c>
      <c r="H725" s="174">
        <f>#REF!</f>
        <v/>
      </c>
      <c r="I725" s="174">
        <f>#REF!</f>
        <v/>
      </c>
      <c r="J725" s="174">
        <f>#REF!</f>
        <v/>
      </c>
      <c r="K725" s="176">
        <f>#REF!</f>
        <v/>
      </c>
      <c r="L725" s="173" t="n"/>
      <c r="M725" s="9" t="n"/>
      <c r="N725" s="28" t="b">
        <v>0</v>
      </c>
      <c r="O725" s="172" t="b">
        <v>0</v>
      </c>
      <c r="P725" s="28" t="b">
        <v>0</v>
      </c>
      <c r="Q725" s="28" t="b">
        <v>0</v>
      </c>
      <c r="R725" s="28" t="b">
        <v>0</v>
      </c>
      <c r="S725" s="28" t="b">
        <v>0</v>
      </c>
      <c r="T725" s="28" t="b">
        <v>0</v>
      </c>
      <c r="U725" s="28" t="b">
        <v>0</v>
      </c>
      <c r="V725" s="28" t="b">
        <v>0</v>
      </c>
      <c r="W725" s="28" t="b">
        <v>0</v>
      </c>
    </row>
    <row r="726" ht="69" customHeight="1" s="222">
      <c r="A726" s="164">
        <f>#REF!</f>
        <v/>
      </c>
      <c r="B726" s="145" t="b">
        <v>0</v>
      </c>
      <c r="C726" s="176">
        <f>#REF!</f>
        <v/>
      </c>
      <c r="D726" s="174" t="n"/>
      <c r="E726" s="174" t="n"/>
      <c r="F726" s="176">
        <f>#REF!</f>
        <v/>
      </c>
      <c r="G726" s="174">
        <f>#REF!</f>
        <v/>
      </c>
      <c r="H726" s="174">
        <f>#REF!</f>
        <v/>
      </c>
      <c r="I726" s="174">
        <f>#REF!</f>
        <v/>
      </c>
      <c r="J726" s="174">
        <f>#REF!</f>
        <v/>
      </c>
      <c r="K726" s="176">
        <f>#REF!</f>
        <v/>
      </c>
      <c r="L726" s="173" t="n"/>
      <c r="M726" s="9" t="n"/>
      <c r="N726" s="28" t="b">
        <v>0</v>
      </c>
      <c r="O726" s="172" t="b">
        <v>0</v>
      </c>
      <c r="P726" s="28" t="b">
        <v>0</v>
      </c>
      <c r="Q726" s="28" t="b">
        <v>0</v>
      </c>
      <c r="R726" s="28" t="b">
        <v>0</v>
      </c>
      <c r="S726" s="28" t="b">
        <v>0</v>
      </c>
      <c r="T726" s="28" t="b">
        <v>0</v>
      </c>
      <c r="U726" s="28" t="b">
        <v>0</v>
      </c>
      <c r="V726" s="28" t="b">
        <v>0</v>
      </c>
      <c r="W726" s="28" t="b">
        <v>0</v>
      </c>
    </row>
    <row r="727" ht="69" customHeight="1" s="222">
      <c r="A727" s="164">
        <f>#REF!</f>
        <v/>
      </c>
      <c r="B727" s="145" t="b">
        <v>0</v>
      </c>
      <c r="C727" s="176">
        <f>#REF!</f>
        <v/>
      </c>
      <c r="D727" s="174" t="n"/>
      <c r="E727" s="174" t="n"/>
      <c r="F727" s="176">
        <f>#REF!</f>
        <v/>
      </c>
      <c r="G727" s="174">
        <f>#REF!</f>
        <v/>
      </c>
      <c r="H727" s="174">
        <f>#REF!</f>
        <v/>
      </c>
      <c r="I727" s="174">
        <f>#REF!</f>
        <v/>
      </c>
      <c r="J727" s="174">
        <f>#REF!</f>
        <v/>
      </c>
      <c r="K727" s="176">
        <f>#REF!</f>
        <v/>
      </c>
      <c r="L727" s="173" t="n"/>
      <c r="M727" s="9" t="n"/>
      <c r="N727" s="28" t="b">
        <v>0</v>
      </c>
      <c r="O727" s="172" t="b">
        <v>0</v>
      </c>
      <c r="P727" s="28" t="b">
        <v>0</v>
      </c>
      <c r="Q727" s="28" t="b">
        <v>0</v>
      </c>
      <c r="R727" s="28" t="b">
        <v>0</v>
      </c>
      <c r="S727" s="28" t="b">
        <v>0</v>
      </c>
      <c r="T727" s="28" t="b">
        <v>0</v>
      </c>
      <c r="U727" s="28" t="b">
        <v>0</v>
      </c>
      <c r="V727" s="28" t="b">
        <v>0</v>
      </c>
      <c r="W727" s="28" t="b">
        <v>0</v>
      </c>
    </row>
    <row r="728" ht="69" customHeight="1" s="222">
      <c r="A728" s="164">
        <f>#REF!</f>
        <v/>
      </c>
      <c r="B728" s="145" t="b">
        <v>0</v>
      </c>
      <c r="C728" s="176">
        <f>#REF!</f>
        <v/>
      </c>
      <c r="D728" s="174" t="n"/>
      <c r="E728" s="174" t="n"/>
      <c r="F728" s="176">
        <f>#REF!</f>
        <v/>
      </c>
      <c r="G728" s="174">
        <f>#REF!</f>
        <v/>
      </c>
      <c r="H728" s="174">
        <f>#REF!</f>
        <v/>
      </c>
      <c r="I728" s="174">
        <f>#REF!</f>
        <v/>
      </c>
      <c r="J728" s="174">
        <f>#REF!</f>
        <v/>
      </c>
      <c r="K728" s="176">
        <f>#REF!</f>
        <v/>
      </c>
      <c r="L728" s="173" t="n"/>
      <c r="M728" s="9" t="n"/>
      <c r="N728" s="28" t="b">
        <v>0</v>
      </c>
      <c r="O728" s="172" t="b">
        <v>0</v>
      </c>
      <c r="P728" s="28" t="b">
        <v>0</v>
      </c>
      <c r="Q728" s="28" t="b">
        <v>0</v>
      </c>
      <c r="R728" s="28" t="b">
        <v>0</v>
      </c>
      <c r="S728" s="28" t="b">
        <v>0</v>
      </c>
      <c r="T728" s="28" t="b">
        <v>0</v>
      </c>
      <c r="U728" s="28" t="b">
        <v>0</v>
      </c>
      <c r="V728" s="28" t="b">
        <v>0</v>
      </c>
      <c r="W728" s="28" t="b">
        <v>0</v>
      </c>
    </row>
    <row r="729" ht="69" customHeight="1" s="222">
      <c r="A729" s="164">
        <f>#REF!</f>
        <v/>
      </c>
      <c r="B729" s="145" t="b">
        <v>0</v>
      </c>
      <c r="C729" s="176">
        <f>#REF!</f>
        <v/>
      </c>
      <c r="D729" s="174" t="n"/>
      <c r="E729" s="174" t="n"/>
      <c r="F729" s="176">
        <f>#REF!</f>
        <v/>
      </c>
      <c r="G729" s="174">
        <f>#REF!</f>
        <v/>
      </c>
      <c r="H729" s="174">
        <f>#REF!</f>
        <v/>
      </c>
      <c r="I729" s="174">
        <f>#REF!</f>
        <v/>
      </c>
      <c r="J729" s="174">
        <f>#REF!</f>
        <v/>
      </c>
      <c r="K729" s="176">
        <f>#REF!</f>
        <v/>
      </c>
      <c r="L729" s="173" t="n"/>
      <c r="M729" s="9" t="n"/>
      <c r="N729" s="28" t="b">
        <v>0</v>
      </c>
      <c r="O729" s="172" t="b">
        <v>0</v>
      </c>
      <c r="P729" s="28" t="b">
        <v>0</v>
      </c>
      <c r="Q729" s="28" t="b">
        <v>0</v>
      </c>
      <c r="R729" s="28" t="b">
        <v>0</v>
      </c>
      <c r="S729" s="28" t="b">
        <v>0</v>
      </c>
      <c r="T729" s="28" t="b">
        <v>0</v>
      </c>
      <c r="U729" s="28" t="b">
        <v>0</v>
      </c>
      <c r="V729" s="28" t="b">
        <v>0</v>
      </c>
      <c r="W729" s="28" t="b">
        <v>0</v>
      </c>
    </row>
    <row r="730" ht="69" customHeight="1" s="222">
      <c r="A730" s="164">
        <f>#REF!</f>
        <v/>
      </c>
      <c r="B730" s="145" t="b">
        <v>0</v>
      </c>
      <c r="C730" s="176">
        <f>#REF!</f>
        <v/>
      </c>
      <c r="D730" s="174" t="n"/>
      <c r="E730" s="174" t="n"/>
      <c r="F730" s="176">
        <f>#REF!</f>
        <v/>
      </c>
      <c r="G730" s="174">
        <f>#REF!</f>
        <v/>
      </c>
      <c r="H730" s="174">
        <f>#REF!</f>
        <v/>
      </c>
      <c r="I730" s="174">
        <f>#REF!</f>
        <v/>
      </c>
      <c r="J730" s="174">
        <f>#REF!</f>
        <v/>
      </c>
      <c r="K730" s="176">
        <f>#REF!</f>
        <v/>
      </c>
      <c r="L730" s="173" t="n"/>
      <c r="M730" s="9" t="n"/>
      <c r="N730" s="28" t="b">
        <v>0</v>
      </c>
      <c r="O730" s="172" t="b">
        <v>0</v>
      </c>
      <c r="P730" s="28" t="b">
        <v>0</v>
      </c>
      <c r="Q730" s="28" t="b">
        <v>0</v>
      </c>
      <c r="R730" s="28" t="b">
        <v>0</v>
      </c>
      <c r="S730" s="28" t="b">
        <v>0</v>
      </c>
      <c r="T730" s="28" t="b">
        <v>0</v>
      </c>
      <c r="U730" s="28" t="b">
        <v>0</v>
      </c>
      <c r="V730" s="28" t="b">
        <v>0</v>
      </c>
      <c r="W730" s="28" t="b">
        <v>0</v>
      </c>
    </row>
    <row r="731" ht="69" customHeight="1" s="222">
      <c r="A731" s="164">
        <f>#REF!</f>
        <v/>
      </c>
      <c r="B731" s="145" t="b">
        <v>0</v>
      </c>
      <c r="C731" s="176">
        <f>#REF!</f>
        <v/>
      </c>
      <c r="D731" s="174" t="n"/>
      <c r="E731" s="174" t="n"/>
      <c r="F731" s="176">
        <f>#REF!</f>
        <v/>
      </c>
      <c r="G731" s="174">
        <f>#REF!</f>
        <v/>
      </c>
      <c r="H731" s="174">
        <f>#REF!</f>
        <v/>
      </c>
      <c r="I731" s="174">
        <f>#REF!</f>
        <v/>
      </c>
      <c r="J731" s="174">
        <f>#REF!</f>
        <v/>
      </c>
      <c r="K731" s="176">
        <f>#REF!</f>
        <v/>
      </c>
      <c r="L731" s="173" t="n"/>
      <c r="M731" s="9" t="n"/>
      <c r="N731" s="28" t="b">
        <v>0</v>
      </c>
      <c r="O731" s="172" t="b">
        <v>0</v>
      </c>
      <c r="P731" s="28" t="b">
        <v>0</v>
      </c>
      <c r="Q731" s="28" t="b">
        <v>0</v>
      </c>
      <c r="R731" s="28" t="b">
        <v>0</v>
      </c>
      <c r="S731" s="28" t="b">
        <v>0</v>
      </c>
      <c r="T731" s="28" t="b">
        <v>0</v>
      </c>
      <c r="U731" s="28" t="b">
        <v>0</v>
      </c>
      <c r="V731" s="28" t="b">
        <v>0</v>
      </c>
      <c r="W731" s="28" t="b">
        <v>0</v>
      </c>
    </row>
    <row r="732" ht="69" customHeight="1" s="222">
      <c r="A732" s="164">
        <f>#REF!</f>
        <v/>
      </c>
      <c r="B732" s="145" t="b">
        <v>0</v>
      </c>
      <c r="C732" s="176">
        <f>#REF!</f>
        <v/>
      </c>
      <c r="D732" s="174" t="n"/>
      <c r="E732" s="174" t="n"/>
      <c r="F732" s="176">
        <f>#REF!</f>
        <v/>
      </c>
      <c r="G732" s="174">
        <f>#REF!</f>
        <v/>
      </c>
      <c r="H732" s="174">
        <f>#REF!</f>
        <v/>
      </c>
      <c r="I732" s="174">
        <f>#REF!</f>
        <v/>
      </c>
      <c r="J732" s="174">
        <f>#REF!</f>
        <v/>
      </c>
      <c r="K732" s="176">
        <f>#REF!</f>
        <v/>
      </c>
      <c r="L732" s="173" t="n"/>
      <c r="M732" s="9" t="n"/>
      <c r="N732" s="28" t="b">
        <v>0</v>
      </c>
      <c r="O732" s="172" t="b">
        <v>0</v>
      </c>
      <c r="P732" s="28" t="b">
        <v>0</v>
      </c>
      <c r="Q732" s="28" t="b">
        <v>0</v>
      </c>
      <c r="R732" s="28" t="b">
        <v>0</v>
      </c>
      <c r="S732" s="28" t="b">
        <v>0</v>
      </c>
      <c r="T732" s="28" t="b">
        <v>0</v>
      </c>
      <c r="U732" s="28" t="b">
        <v>0</v>
      </c>
      <c r="V732" s="28" t="b">
        <v>0</v>
      </c>
      <c r="W732" s="28" t="b">
        <v>0</v>
      </c>
    </row>
    <row r="733" ht="69" customHeight="1" s="222">
      <c r="A733" s="164">
        <f>#REF!</f>
        <v/>
      </c>
      <c r="B733" s="145" t="b">
        <v>0</v>
      </c>
      <c r="C733" s="176">
        <f>#REF!</f>
        <v/>
      </c>
      <c r="D733" s="174" t="n"/>
      <c r="E733" s="174" t="n"/>
      <c r="F733" s="176">
        <f>#REF!</f>
        <v/>
      </c>
      <c r="G733" s="174">
        <f>#REF!</f>
        <v/>
      </c>
      <c r="H733" s="174">
        <f>#REF!</f>
        <v/>
      </c>
      <c r="I733" s="174">
        <f>#REF!</f>
        <v/>
      </c>
      <c r="J733" s="174">
        <f>#REF!</f>
        <v/>
      </c>
      <c r="K733" s="176">
        <f>#REF!</f>
        <v/>
      </c>
      <c r="L733" s="173" t="n"/>
      <c r="M733" s="9" t="n"/>
      <c r="N733" s="28" t="b">
        <v>0</v>
      </c>
      <c r="O733" s="172" t="b">
        <v>0</v>
      </c>
      <c r="P733" s="28" t="b">
        <v>0</v>
      </c>
      <c r="Q733" s="28" t="b">
        <v>0</v>
      </c>
      <c r="R733" s="28" t="b">
        <v>0</v>
      </c>
      <c r="S733" s="28" t="b">
        <v>0</v>
      </c>
      <c r="T733" s="28" t="b">
        <v>0</v>
      </c>
      <c r="U733" s="28" t="b">
        <v>0</v>
      </c>
      <c r="V733" s="28" t="b">
        <v>0</v>
      </c>
      <c r="W733" s="28" t="b">
        <v>0</v>
      </c>
    </row>
    <row r="734" ht="69" customHeight="1" s="222">
      <c r="A734" s="164">
        <f>#REF!</f>
        <v/>
      </c>
      <c r="B734" s="145" t="b">
        <v>0</v>
      </c>
      <c r="C734" s="176">
        <f>#REF!</f>
        <v/>
      </c>
      <c r="D734" s="174" t="n"/>
      <c r="E734" s="174" t="n"/>
      <c r="F734" s="176">
        <f>#REF!</f>
        <v/>
      </c>
      <c r="G734" s="174">
        <f>#REF!</f>
        <v/>
      </c>
      <c r="H734" s="174">
        <f>#REF!</f>
        <v/>
      </c>
      <c r="I734" s="174">
        <f>#REF!</f>
        <v/>
      </c>
      <c r="J734" s="174">
        <f>#REF!</f>
        <v/>
      </c>
      <c r="K734" s="176">
        <f>#REF!</f>
        <v/>
      </c>
      <c r="L734" s="173" t="n"/>
      <c r="M734" s="9" t="n"/>
      <c r="N734" s="28" t="b">
        <v>0</v>
      </c>
      <c r="O734" s="172" t="b">
        <v>0</v>
      </c>
      <c r="P734" s="28" t="b">
        <v>0</v>
      </c>
      <c r="Q734" s="28" t="b">
        <v>0</v>
      </c>
      <c r="R734" s="28" t="b">
        <v>0</v>
      </c>
      <c r="S734" s="28" t="b">
        <v>0</v>
      </c>
      <c r="T734" s="28" t="b">
        <v>0</v>
      </c>
      <c r="U734" s="28" t="b">
        <v>0</v>
      </c>
      <c r="V734" s="28" t="b">
        <v>0</v>
      </c>
      <c r="W734" s="28" t="b">
        <v>0</v>
      </c>
    </row>
    <row r="735" ht="69" customHeight="1" s="222">
      <c r="A735" s="164">
        <f>#REF!</f>
        <v/>
      </c>
      <c r="B735" s="145" t="b">
        <v>0</v>
      </c>
      <c r="C735" s="176">
        <f>#REF!</f>
        <v/>
      </c>
      <c r="D735" s="174" t="n"/>
      <c r="E735" s="174" t="n"/>
      <c r="F735" s="176">
        <f>#REF!</f>
        <v/>
      </c>
      <c r="G735" s="174">
        <f>#REF!</f>
        <v/>
      </c>
      <c r="H735" s="174">
        <f>#REF!</f>
        <v/>
      </c>
      <c r="I735" s="174">
        <f>#REF!</f>
        <v/>
      </c>
      <c r="J735" s="174">
        <f>#REF!</f>
        <v/>
      </c>
      <c r="K735" s="176">
        <f>#REF!</f>
        <v/>
      </c>
      <c r="L735" s="173" t="n"/>
      <c r="M735" s="9" t="n"/>
      <c r="N735" s="28" t="b">
        <v>0</v>
      </c>
      <c r="O735" s="172" t="b">
        <v>0</v>
      </c>
      <c r="P735" s="28" t="b">
        <v>0</v>
      </c>
      <c r="Q735" s="28" t="b">
        <v>0</v>
      </c>
      <c r="R735" s="28" t="b">
        <v>0</v>
      </c>
      <c r="S735" s="28" t="b">
        <v>0</v>
      </c>
      <c r="T735" s="28" t="b">
        <v>0</v>
      </c>
      <c r="U735" s="28" t="b">
        <v>0</v>
      </c>
      <c r="V735" s="28" t="b">
        <v>0</v>
      </c>
      <c r="W735" s="28" t="b">
        <v>0</v>
      </c>
    </row>
    <row r="736" ht="69" customHeight="1" s="222">
      <c r="A736" s="164">
        <f>#REF!</f>
        <v/>
      </c>
      <c r="B736" s="145" t="b">
        <v>0</v>
      </c>
      <c r="C736" s="176">
        <f>#REF!</f>
        <v/>
      </c>
      <c r="D736" s="174" t="n"/>
      <c r="E736" s="174" t="n"/>
      <c r="F736" s="176">
        <f>#REF!</f>
        <v/>
      </c>
      <c r="G736" s="174">
        <f>#REF!</f>
        <v/>
      </c>
      <c r="H736" s="174">
        <f>#REF!</f>
        <v/>
      </c>
      <c r="I736" s="174">
        <f>#REF!</f>
        <v/>
      </c>
      <c r="J736" s="174">
        <f>#REF!</f>
        <v/>
      </c>
      <c r="K736" s="176">
        <f>#REF!</f>
        <v/>
      </c>
      <c r="L736" s="173" t="n"/>
      <c r="M736" s="9" t="n"/>
      <c r="N736" s="28" t="b">
        <v>0</v>
      </c>
      <c r="O736" s="172" t="b">
        <v>0</v>
      </c>
      <c r="P736" s="28" t="b">
        <v>0</v>
      </c>
      <c r="Q736" s="28" t="b">
        <v>0</v>
      </c>
      <c r="R736" s="28" t="b">
        <v>0</v>
      </c>
      <c r="S736" s="28" t="b">
        <v>0</v>
      </c>
      <c r="T736" s="28" t="b">
        <v>0</v>
      </c>
      <c r="U736" s="28" t="b">
        <v>0</v>
      </c>
      <c r="V736" s="28" t="b">
        <v>0</v>
      </c>
      <c r="W736" s="28" t="b">
        <v>0</v>
      </c>
    </row>
    <row r="737" ht="69" customHeight="1" s="222">
      <c r="A737" s="164">
        <f>#REF!</f>
        <v/>
      </c>
      <c r="B737" s="145" t="b">
        <v>0</v>
      </c>
      <c r="C737" s="176">
        <f>#REF!</f>
        <v/>
      </c>
      <c r="D737" s="174" t="n"/>
      <c r="E737" s="174" t="n"/>
      <c r="F737" s="176">
        <f>#REF!</f>
        <v/>
      </c>
      <c r="G737" s="174">
        <f>#REF!</f>
        <v/>
      </c>
      <c r="H737" s="174">
        <f>#REF!</f>
        <v/>
      </c>
      <c r="I737" s="174">
        <f>#REF!</f>
        <v/>
      </c>
      <c r="J737" s="174">
        <f>#REF!</f>
        <v/>
      </c>
      <c r="K737" s="176">
        <f>#REF!</f>
        <v/>
      </c>
      <c r="L737" s="173" t="n"/>
      <c r="M737" s="9" t="n"/>
      <c r="N737" s="28" t="b">
        <v>0</v>
      </c>
      <c r="O737" s="172" t="b">
        <v>0</v>
      </c>
      <c r="P737" s="28" t="b">
        <v>0</v>
      </c>
      <c r="Q737" s="28" t="b">
        <v>0</v>
      </c>
      <c r="R737" s="28" t="b">
        <v>0</v>
      </c>
      <c r="S737" s="28" t="b">
        <v>0</v>
      </c>
      <c r="T737" s="28" t="b">
        <v>0</v>
      </c>
      <c r="U737" s="28" t="b">
        <v>0</v>
      </c>
      <c r="V737" s="28" t="b">
        <v>0</v>
      </c>
      <c r="W737" s="28" t="b">
        <v>0</v>
      </c>
    </row>
    <row r="738" ht="69" customHeight="1" s="222">
      <c r="A738" s="164">
        <f>#REF!</f>
        <v/>
      </c>
      <c r="B738" s="145" t="b">
        <v>0</v>
      </c>
      <c r="C738" s="176">
        <f>#REF!</f>
        <v/>
      </c>
      <c r="D738" s="174" t="n"/>
      <c r="E738" s="174" t="n"/>
      <c r="F738" s="176">
        <f>#REF!</f>
        <v/>
      </c>
      <c r="G738" s="174">
        <f>#REF!</f>
        <v/>
      </c>
      <c r="H738" s="174">
        <f>#REF!</f>
        <v/>
      </c>
      <c r="I738" s="174">
        <f>#REF!</f>
        <v/>
      </c>
      <c r="J738" s="174">
        <f>#REF!</f>
        <v/>
      </c>
      <c r="K738" s="176">
        <f>#REF!</f>
        <v/>
      </c>
      <c r="L738" s="173" t="n"/>
      <c r="M738" s="9" t="n"/>
      <c r="N738" s="28" t="b">
        <v>0</v>
      </c>
      <c r="O738" s="172" t="b">
        <v>0</v>
      </c>
      <c r="P738" s="28" t="b">
        <v>0</v>
      </c>
      <c r="Q738" s="28" t="b">
        <v>0</v>
      </c>
      <c r="R738" s="28" t="b">
        <v>0</v>
      </c>
      <c r="S738" s="28" t="b">
        <v>0</v>
      </c>
      <c r="T738" s="28" t="b">
        <v>0</v>
      </c>
      <c r="U738" s="28" t="b">
        <v>0</v>
      </c>
      <c r="V738" s="28" t="b">
        <v>0</v>
      </c>
      <c r="W738" s="28" t="b">
        <v>0</v>
      </c>
    </row>
    <row r="739" ht="69" customHeight="1" s="222">
      <c r="A739" s="164">
        <f>#REF!</f>
        <v/>
      </c>
      <c r="B739" s="145" t="b">
        <v>0</v>
      </c>
      <c r="C739" s="176">
        <f>#REF!</f>
        <v/>
      </c>
      <c r="D739" s="174" t="n"/>
      <c r="E739" s="174" t="n"/>
      <c r="F739" s="176">
        <f>#REF!</f>
        <v/>
      </c>
      <c r="G739" s="174">
        <f>#REF!</f>
        <v/>
      </c>
      <c r="H739" s="174">
        <f>#REF!</f>
        <v/>
      </c>
      <c r="I739" s="174">
        <f>#REF!</f>
        <v/>
      </c>
      <c r="J739" s="174">
        <f>#REF!</f>
        <v/>
      </c>
      <c r="K739" s="176">
        <f>#REF!</f>
        <v/>
      </c>
      <c r="L739" s="173" t="n"/>
      <c r="M739" s="9" t="n"/>
      <c r="N739" s="28" t="b">
        <v>0</v>
      </c>
      <c r="O739" s="172" t="b">
        <v>0</v>
      </c>
      <c r="P739" s="28" t="b">
        <v>0</v>
      </c>
      <c r="Q739" s="28" t="b">
        <v>0</v>
      </c>
      <c r="R739" s="28" t="b">
        <v>0</v>
      </c>
      <c r="S739" s="28" t="b">
        <v>0</v>
      </c>
      <c r="T739" s="28" t="b">
        <v>0</v>
      </c>
      <c r="U739" s="28" t="b">
        <v>0</v>
      </c>
      <c r="V739" s="28" t="b">
        <v>0</v>
      </c>
      <c r="W739" s="28" t="b">
        <v>0</v>
      </c>
    </row>
    <row r="740" ht="69" customHeight="1" s="222">
      <c r="A740" s="164">
        <f>#REF!</f>
        <v/>
      </c>
      <c r="B740" s="145" t="b">
        <v>0</v>
      </c>
      <c r="C740" s="176">
        <f>#REF!</f>
        <v/>
      </c>
      <c r="D740" s="174" t="n"/>
      <c r="E740" s="174" t="n"/>
      <c r="F740" s="176">
        <f>#REF!</f>
        <v/>
      </c>
      <c r="G740" s="174">
        <f>#REF!</f>
        <v/>
      </c>
      <c r="H740" s="174">
        <f>#REF!</f>
        <v/>
      </c>
      <c r="I740" s="174">
        <f>#REF!</f>
        <v/>
      </c>
      <c r="J740" s="174">
        <f>#REF!</f>
        <v/>
      </c>
      <c r="K740" s="176">
        <f>#REF!</f>
        <v/>
      </c>
      <c r="L740" s="173" t="n"/>
      <c r="M740" s="9" t="n"/>
      <c r="N740" s="28" t="b">
        <v>0</v>
      </c>
      <c r="O740" s="172" t="b">
        <v>0</v>
      </c>
      <c r="P740" s="28" t="b">
        <v>0</v>
      </c>
      <c r="Q740" s="28" t="b">
        <v>0</v>
      </c>
      <c r="R740" s="28" t="b">
        <v>0</v>
      </c>
      <c r="S740" s="28" t="b">
        <v>0</v>
      </c>
      <c r="T740" s="28" t="b">
        <v>0</v>
      </c>
      <c r="U740" s="28" t="b">
        <v>0</v>
      </c>
      <c r="V740" s="28" t="b">
        <v>0</v>
      </c>
      <c r="W740" s="28" t="b">
        <v>0</v>
      </c>
    </row>
    <row r="741" ht="69" customHeight="1" s="222">
      <c r="A741" s="164">
        <f>#REF!</f>
        <v/>
      </c>
      <c r="B741" s="145" t="b">
        <v>0</v>
      </c>
      <c r="C741" s="176">
        <f>#REF!</f>
        <v/>
      </c>
      <c r="D741" s="174" t="n"/>
      <c r="E741" s="174" t="n"/>
      <c r="F741" s="176">
        <f>#REF!</f>
        <v/>
      </c>
      <c r="G741" s="174">
        <f>#REF!</f>
        <v/>
      </c>
      <c r="H741" s="174">
        <f>#REF!</f>
        <v/>
      </c>
      <c r="I741" s="174">
        <f>#REF!</f>
        <v/>
      </c>
      <c r="J741" s="174">
        <f>#REF!</f>
        <v/>
      </c>
      <c r="K741" s="176">
        <f>#REF!</f>
        <v/>
      </c>
      <c r="L741" s="173" t="n"/>
      <c r="M741" s="9" t="n"/>
      <c r="N741" s="28" t="b">
        <v>0</v>
      </c>
      <c r="O741" s="172" t="b">
        <v>0</v>
      </c>
      <c r="P741" s="28" t="b">
        <v>0</v>
      </c>
      <c r="Q741" s="28" t="b">
        <v>0</v>
      </c>
      <c r="R741" s="28" t="b">
        <v>0</v>
      </c>
      <c r="S741" s="28" t="b">
        <v>0</v>
      </c>
      <c r="T741" s="28" t="b">
        <v>0</v>
      </c>
      <c r="U741" s="28" t="b">
        <v>0</v>
      </c>
      <c r="V741" s="28" t="b">
        <v>0</v>
      </c>
      <c r="W741" s="28" t="b">
        <v>0</v>
      </c>
    </row>
    <row r="742" ht="69" customHeight="1" s="222">
      <c r="A742" s="164">
        <f>#REF!</f>
        <v/>
      </c>
      <c r="B742" s="145" t="b">
        <v>0</v>
      </c>
      <c r="C742" s="176">
        <f>#REF!</f>
        <v/>
      </c>
      <c r="D742" s="174" t="n"/>
      <c r="E742" s="174" t="n"/>
      <c r="F742" s="176">
        <f>#REF!</f>
        <v/>
      </c>
      <c r="G742" s="174">
        <f>#REF!</f>
        <v/>
      </c>
      <c r="H742" s="174">
        <f>#REF!</f>
        <v/>
      </c>
      <c r="I742" s="174">
        <f>#REF!</f>
        <v/>
      </c>
      <c r="J742" s="174">
        <f>#REF!</f>
        <v/>
      </c>
      <c r="K742" s="176">
        <f>#REF!</f>
        <v/>
      </c>
      <c r="L742" s="173" t="n"/>
      <c r="M742" s="9" t="n"/>
      <c r="N742" s="28" t="b">
        <v>0</v>
      </c>
      <c r="O742" s="172" t="b">
        <v>0</v>
      </c>
      <c r="P742" s="28" t="b">
        <v>0</v>
      </c>
      <c r="Q742" s="28" t="b">
        <v>0</v>
      </c>
      <c r="R742" s="28" t="b">
        <v>0</v>
      </c>
      <c r="S742" s="28" t="b">
        <v>0</v>
      </c>
      <c r="T742" s="28" t="b">
        <v>0</v>
      </c>
      <c r="U742" s="28" t="b">
        <v>0</v>
      </c>
      <c r="V742" s="28" t="b">
        <v>0</v>
      </c>
      <c r="W742" s="28" t="b">
        <v>0</v>
      </c>
    </row>
    <row r="743" ht="69" customHeight="1" s="222">
      <c r="A743" s="164">
        <f>#REF!</f>
        <v/>
      </c>
      <c r="B743" s="145" t="b">
        <v>0</v>
      </c>
      <c r="C743" s="176">
        <f>#REF!</f>
        <v/>
      </c>
      <c r="D743" s="174" t="n"/>
      <c r="E743" s="174" t="n"/>
      <c r="F743" s="176">
        <f>#REF!</f>
        <v/>
      </c>
      <c r="G743" s="174">
        <f>#REF!</f>
        <v/>
      </c>
      <c r="H743" s="174">
        <f>#REF!</f>
        <v/>
      </c>
      <c r="I743" s="174">
        <f>#REF!</f>
        <v/>
      </c>
      <c r="J743" s="174">
        <f>#REF!</f>
        <v/>
      </c>
      <c r="K743" s="176">
        <f>#REF!</f>
        <v/>
      </c>
      <c r="L743" s="173" t="n"/>
      <c r="M743" s="9" t="n"/>
      <c r="N743" s="28" t="b">
        <v>0</v>
      </c>
      <c r="O743" s="172" t="b">
        <v>0</v>
      </c>
      <c r="P743" s="28" t="b">
        <v>0</v>
      </c>
      <c r="Q743" s="28" t="b">
        <v>0</v>
      </c>
      <c r="R743" s="28" t="b">
        <v>0</v>
      </c>
      <c r="S743" s="28" t="b">
        <v>0</v>
      </c>
      <c r="T743" s="28" t="b">
        <v>0</v>
      </c>
      <c r="U743" s="28" t="b">
        <v>0</v>
      </c>
      <c r="V743" s="28" t="b">
        <v>0</v>
      </c>
      <c r="W743" s="28" t="b">
        <v>0</v>
      </c>
    </row>
    <row r="744" ht="69" customHeight="1" s="222">
      <c r="A744" s="164">
        <f>#REF!</f>
        <v/>
      </c>
      <c r="B744" s="145" t="b">
        <v>0</v>
      </c>
      <c r="C744" s="176">
        <f>#REF!</f>
        <v/>
      </c>
      <c r="D744" s="174" t="n"/>
      <c r="E744" s="174" t="n"/>
      <c r="F744" s="176">
        <f>#REF!</f>
        <v/>
      </c>
      <c r="G744" s="174">
        <f>#REF!</f>
        <v/>
      </c>
      <c r="H744" s="174">
        <f>#REF!</f>
        <v/>
      </c>
      <c r="I744" s="174">
        <f>#REF!</f>
        <v/>
      </c>
      <c r="J744" s="174">
        <f>#REF!</f>
        <v/>
      </c>
      <c r="K744" s="176">
        <f>#REF!</f>
        <v/>
      </c>
      <c r="L744" s="173" t="n"/>
      <c r="M744" s="9" t="n"/>
      <c r="N744" s="28" t="b">
        <v>0</v>
      </c>
      <c r="O744" s="172" t="b">
        <v>0</v>
      </c>
      <c r="P744" s="28" t="b">
        <v>0</v>
      </c>
      <c r="Q744" s="28" t="b">
        <v>0</v>
      </c>
      <c r="R744" s="28" t="b">
        <v>0</v>
      </c>
      <c r="S744" s="28" t="b">
        <v>0</v>
      </c>
      <c r="T744" s="28" t="b">
        <v>0</v>
      </c>
      <c r="U744" s="28" t="b">
        <v>0</v>
      </c>
      <c r="V744" s="28" t="b">
        <v>0</v>
      </c>
      <c r="W744" s="28" t="b">
        <v>0</v>
      </c>
    </row>
    <row r="745" ht="69" customHeight="1" s="222">
      <c r="A745" s="164">
        <f>#REF!</f>
        <v/>
      </c>
      <c r="B745" s="145" t="b">
        <v>0</v>
      </c>
      <c r="C745" s="176">
        <f>#REF!</f>
        <v/>
      </c>
      <c r="D745" s="174" t="n"/>
      <c r="E745" s="174" t="n"/>
      <c r="F745" s="176">
        <f>#REF!</f>
        <v/>
      </c>
      <c r="G745" s="174">
        <f>#REF!</f>
        <v/>
      </c>
      <c r="H745" s="174">
        <f>#REF!</f>
        <v/>
      </c>
      <c r="I745" s="174">
        <f>#REF!</f>
        <v/>
      </c>
      <c r="J745" s="174">
        <f>#REF!</f>
        <v/>
      </c>
      <c r="K745" s="176">
        <f>#REF!</f>
        <v/>
      </c>
      <c r="L745" s="173" t="n"/>
      <c r="M745" s="9" t="n"/>
      <c r="N745" s="28" t="b">
        <v>0</v>
      </c>
      <c r="O745" s="172" t="b">
        <v>0</v>
      </c>
      <c r="P745" s="28" t="b">
        <v>0</v>
      </c>
      <c r="Q745" s="28" t="b">
        <v>0</v>
      </c>
      <c r="R745" s="28" t="b">
        <v>0</v>
      </c>
      <c r="S745" s="28" t="b">
        <v>0</v>
      </c>
      <c r="T745" s="28" t="b">
        <v>0</v>
      </c>
      <c r="U745" s="28" t="b">
        <v>0</v>
      </c>
      <c r="V745" s="28" t="b">
        <v>0</v>
      </c>
      <c r="W745" s="28" t="b">
        <v>0</v>
      </c>
    </row>
    <row r="746" ht="69" customHeight="1" s="222">
      <c r="A746" s="164">
        <f>#REF!</f>
        <v/>
      </c>
      <c r="B746" s="145" t="b">
        <v>0</v>
      </c>
      <c r="C746" s="176">
        <f>#REF!</f>
        <v/>
      </c>
      <c r="D746" s="174" t="n"/>
      <c r="E746" s="174" t="n"/>
      <c r="F746" s="176">
        <f>#REF!</f>
        <v/>
      </c>
      <c r="G746" s="174">
        <f>#REF!</f>
        <v/>
      </c>
      <c r="H746" s="174">
        <f>#REF!</f>
        <v/>
      </c>
      <c r="I746" s="174">
        <f>#REF!</f>
        <v/>
      </c>
      <c r="J746" s="174">
        <f>#REF!</f>
        <v/>
      </c>
      <c r="K746" s="176">
        <f>#REF!</f>
        <v/>
      </c>
      <c r="L746" s="173" t="n"/>
      <c r="M746" s="9" t="n"/>
      <c r="N746" s="28" t="b">
        <v>0</v>
      </c>
      <c r="O746" s="172" t="b">
        <v>0</v>
      </c>
      <c r="P746" s="28" t="b">
        <v>0</v>
      </c>
      <c r="Q746" s="28" t="b">
        <v>0</v>
      </c>
      <c r="R746" s="28" t="b">
        <v>0</v>
      </c>
      <c r="S746" s="28" t="b">
        <v>0</v>
      </c>
      <c r="T746" s="28" t="b">
        <v>0</v>
      </c>
      <c r="U746" s="28" t="b">
        <v>0</v>
      </c>
      <c r="V746" s="28" t="b">
        <v>0</v>
      </c>
      <c r="W746" s="28" t="b">
        <v>0</v>
      </c>
    </row>
    <row r="747" ht="69" customHeight="1" s="222">
      <c r="A747" s="164">
        <f>#REF!</f>
        <v/>
      </c>
      <c r="B747" s="145" t="b">
        <v>0</v>
      </c>
      <c r="C747" s="176">
        <f>#REF!</f>
        <v/>
      </c>
      <c r="D747" s="174" t="n"/>
      <c r="E747" s="174" t="n"/>
      <c r="F747" s="176">
        <f>#REF!</f>
        <v/>
      </c>
      <c r="G747" s="174">
        <f>#REF!</f>
        <v/>
      </c>
      <c r="H747" s="174">
        <f>#REF!</f>
        <v/>
      </c>
      <c r="I747" s="174">
        <f>#REF!</f>
        <v/>
      </c>
      <c r="J747" s="174">
        <f>#REF!</f>
        <v/>
      </c>
      <c r="K747" s="176">
        <f>#REF!</f>
        <v/>
      </c>
      <c r="L747" s="173" t="n"/>
      <c r="M747" s="9" t="n"/>
      <c r="N747" s="28" t="b">
        <v>0</v>
      </c>
      <c r="O747" s="172" t="b">
        <v>0</v>
      </c>
      <c r="P747" s="28" t="b">
        <v>0</v>
      </c>
      <c r="Q747" s="28" t="b">
        <v>0</v>
      </c>
      <c r="R747" s="28" t="b">
        <v>0</v>
      </c>
      <c r="S747" s="28" t="b">
        <v>0</v>
      </c>
      <c r="T747" s="28" t="b">
        <v>0</v>
      </c>
      <c r="U747" s="28" t="b">
        <v>0</v>
      </c>
      <c r="V747" s="28" t="b">
        <v>0</v>
      </c>
      <c r="W747" s="28" t="b">
        <v>0</v>
      </c>
    </row>
    <row r="748" ht="69" customHeight="1" s="222">
      <c r="A748" s="164">
        <f>#REF!</f>
        <v/>
      </c>
      <c r="B748" s="145" t="b">
        <v>0</v>
      </c>
      <c r="C748" s="176">
        <f>#REF!</f>
        <v/>
      </c>
      <c r="D748" s="174" t="n"/>
      <c r="E748" s="174" t="n"/>
      <c r="F748" s="176">
        <f>#REF!</f>
        <v/>
      </c>
      <c r="G748" s="174">
        <f>#REF!</f>
        <v/>
      </c>
      <c r="H748" s="174">
        <f>#REF!</f>
        <v/>
      </c>
      <c r="I748" s="174">
        <f>#REF!</f>
        <v/>
      </c>
      <c r="J748" s="174">
        <f>#REF!</f>
        <v/>
      </c>
      <c r="K748" s="176">
        <f>#REF!</f>
        <v/>
      </c>
      <c r="L748" s="173" t="n"/>
      <c r="M748" s="9" t="n"/>
      <c r="N748" s="28" t="b">
        <v>0</v>
      </c>
      <c r="O748" s="172" t="b">
        <v>0</v>
      </c>
      <c r="P748" s="28" t="b">
        <v>0</v>
      </c>
      <c r="Q748" s="28" t="b">
        <v>0</v>
      </c>
      <c r="R748" s="28" t="b">
        <v>0</v>
      </c>
      <c r="S748" s="28" t="b">
        <v>0</v>
      </c>
      <c r="T748" s="28" t="b">
        <v>0</v>
      </c>
      <c r="U748" s="28" t="b">
        <v>0</v>
      </c>
      <c r="V748" s="28" t="b">
        <v>0</v>
      </c>
      <c r="W748" s="28" t="b">
        <v>0</v>
      </c>
    </row>
    <row r="749" ht="69" customHeight="1" s="222">
      <c r="A749" s="164">
        <f>#REF!</f>
        <v/>
      </c>
      <c r="B749" s="145" t="b">
        <v>0</v>
      </c>
      <c r="C749" s="176">
        <f>#REF!</f>
        <v/>
      </c>
      <c r="D749" s="174" t="n"/>
      <c r="E749" s="174" t="n"/>
      <c r="F749" s="176">
        <f>#REF!</f>
        <v/>
      </c>
      <c r="G749" s="174">
        <f>#REF!</f>
        <v/>
      </c>
      <c r="H749" s="174">
        <f>#REF!</f>
        <v/>
      </c>
      <c r="I749" s="174">
        <f>#REF!</f>
        <v/>
      </c>
      <c r="J749" s="174">
        <f>#REF!</f>
        <v/>
      </c>
      <c r="K749" s="176">
        <f>#REF!</f>
        <v/>
      </c>
      <c r="L749" s="173" t="n"/>
      <c r="M749" s="9" t="n"/>
      <c r="N749" s="28" t="b">
        <v>0</v>
      </c>
      <c r="O749" s="172" t="b">
        <v>0</v>
      </c>
      <c r="P749" s="28" t="b">
        <v>0</v>
      </c>
      <c r="Q749" s="28" t="b">
        <v>0</v>
      </c>
      <c r="R749" s="28" t="b">
        <v>0</v>
      </c>
      <c r="S749" s="28" t="b">
        <v>0</v>
      </c>
      <c r="T749" s="28" t="b">
        <v>0</v>
      </c>
      <c r="U749" s="28" t="b">
        <v>0</v>
      </c>
      <c r="V749" s="28" t="b">
        <v>0</v>
      </c>
      <c r="W749" s="28" t="b">
        <v>0</v>
      </c>
    </row>
    <row r="750" ht="69" customHeight="1" s="222">
      <c r="A750" s="164">
        <f>#REF!</f>
        <v/>
      </c>
      <c r="B750" s="145" t="b">
        <v>0</v>
      </c>
      <c r="C750" s="176">
        <f>#REF!</f>
        <v/>
      </c>
      <c r="D750" s="174" t="n"/>
      <c r="E750" s="174" t="n"/>
      <c r="F750" s="176">
        <f>#REF!</f>
        <v/>
      </c>
      <c r="G750" s="174">
        <f>#REF!</f>
        <v/>
      </c>
      <c r="H750" s="174">
        <f>#REF!</f>
        <v/>
      </c>
      <c r="I750" s="174">
        <f>#REF!</f>
        <v/>
      </c>
      <c r="J750" s="174">
        <f>#REF!</f>
        <v/>
      </c>
      <c r="K750" s="176">
        <f>#REF!</f>
        <v/>
      </c>
      <c r="L750" s="173" t="n"/>
      <c r="M750" s="9" t="n"/>
      <c r="N750" s="28" t="b">
        <v>0</v>
      </c>
      <c r="O750" s="172" t="b">
        <v>0</v>
      </c>
      <c r="P750" s="28" t="b">
        <v>0</v>
      </c>
      <c r="Q750" s="28" t="b">
        <v>0</v>
      </c>
      <c r="R750" s="28" t="b">
        <v>0</v>
      </c>
      <c r="S750" s="28" t="b">
        <v>0</v>
      </c>
      <c r="T750" s="28" t="b">
        <v>0</v>
      </c>
      <c r="U750" s="28" t="b">
        <v>0</v>
      </c>
      <c r="V750" s="28" t="b">
        <v>0</v>
      </c>
      <c r="W750" s="28" t="b">
        <v>0</v>
      </c>
    </row>
    <row r="751" ht="69" customHeight="1" s="222">
      <c r="A751" s="164">
        <f>#REF!</f>
        <v/>
      </c>
      <c r="B751" s="145" t="b">
        <v>0</v>
      </c>
      <c r="C751" s="176">
        <f>#REF!</f>
        <v/>
      </c>
      <c r="D751" s="174" t="n"/>
      <c r="E751" s="174" t="n"/>
      <c r="F751" s="176">
        <f>#REF!</f>
        <v/>
      </c>
      <c r="G751" s="174">
        <f>#REF!</f>
        <v/>
      </c>
      <c r="H751" s="174">
        <f>#REF!</f>
        <v/>
      </c>
      <c r="I751" s="174">
        <f>#REF!</f>
        <v/>
      </c>
      <c r="J751" s="174">
        <f>#REF!</f>
        <v/>
      </c>
      <c r="K751" s="176">
        <f>#REF!</f>
        <v/>
      </c>
      <c r="L751" s="173" t="n"/>
      <c r="M751" s="9" t="n"/>
      <c r="N751" s="28" t="b">
        <v>0</v>
      </c>
      <c r="O751" s="172" t="b">
        <v>0</v>
      </c>
      <c r="P751" s="28" t="b">
        <v>0</v>
      </c>
      <c r="Q751" s="28" t="b">
        <v>0</v>
      </c>
      <c r="R751" s="28" t="b">
        <v>0</v>
      </c>
      <c r="S751" s="28" t="b">
        <v>0</v>
      </c>
      <c r="T751" s="28" t="b">
        <v>0</v>
      </c>
      <c r="U751" s="28" t="b">
        <v>0</v>
      </c>
      <c r="V751" s="28" t="b">
        <v>0</v>
      </c>
      <c r="W751" s="28" t="b">
        <v>0</v>
      </c>
    </row>
    <row r="752" ht="69" customHeight="1" s="222">
      <c r="A752" s="164">
        <f>#REF!</f>
        <v/>
      </c>
      <c r="B752" s="145" t="b">
        <v>0</v>
      </c>
      <c r="C752" s="176">
        <f>#REF!</f>
        <v/>
      </c>
      <c r="D752" s="174" t="n"/>
      <c r="E752" s="174" t="n"/>
      <c r="F752" s="176">
        <f>#REF!</f>
        <v/>
      </c>
      <c r="G752" s="174">
        <f>#REF!</f>
        <v/>
      </c>
      <c r="H752" s="174">
        <f>#REF!</f>
        <v/>
      </c>
      <c r="I752" s="174">
        <f>#REF!</f>
        <v/>
      </c>
      <c r="J752" s="174">
        <f>#REF!</f>
        <v/>
      </c>
      <c r="K752" s="176">
        <f>#REF!</f>
        <v/>
      </c>
      <c r="L752" s="173" t="n"/>
      <c r="M752" s="9" t="n"/>
      <c r="N752" s="28" t="b">
        <v>0</v>
      </c>
      <c r="O752" s="172" t="b">
        <v>0</v>
      </c>
      <c r="P752" s="28" t="b">
        <v>0</v>
      </c>
      <c r="Q752" s="28" t="b">
        <v>0</v>
      </c>
      <c r="R752" s="28" t="b">
        <v>0</v>
      </c>
      <c r="S752" s="28" t="b">
        <v>0</v>
      </c>
      <c r="T752" s="28" t="b">
        <v>0</v>
      </c>
      <c r="U752" s="28" t="b">
        <v>0</v>
      </c>
      <c r="V752" s="28" t="b">
        <v>0</v>
      </c>
      <c r="W752" s="28" t="b">
        <v>0</v>
      </c>
    </row>
    <row r="753" ht="69" customHeight="1" s="222">
      <c r="A753" s="164">
        <f>#REF!</f>
        <v/>
      </c>
      <c r="B753" s="145" t="b">
        <v>0</v>
      </c>
      <c r="C753" s="176">
        <f>#REF!</f>
        <v/>
      </c>
      <c r="D753" s="174" t="n"/>
      <c r="E753" s="174" t="n"/>
      <c r="F753" s="176">
        <f>#REF!</f>
        <v/>
      </c>
      <c r="G753" s="174">
        <f>#REF!</f>
        <v/>
      </c>
      <c r="H753" s="174">
        <f>#REF!</f>
        <v/>
      </c>
      <c r="I753" s="174">
        <f>#REF!</f>
        <v/>
      </c>
      <c r="J753" s="174">
        <f>#REF!</f>
        <v/>
      </c>
      <c r="K753" s="176">
        <f>#REF!</f>
        <v/>
      </c>
      <c r="L753" s="173" t="n"/>
      <c r="M753" s="9" t="n"/>
      <c r="N753" s="28" t="b">
        <v>0</v>
      </c>
      <c r="O753" s="172" t="b">
        <v>0</v>
      </c>
      <c r="P753" s="28" t="b">
        <v>0</v>
      </c>
      <c r="Q753" s="28" t="b">
        <v>0</v>
      </c>
      <c r="R753" s="28" t="b">
        <v>0</v>
      </c>
      <c r="S753" s="28" t="b">
        <v>0</v>
      </c>
      <c r="T753" s="28" t="b">
        <v>0</v>
      </c>
      <c r="U753" s="28" t="b">
        <v>0</v>
      </c>
      <c r="V753" s="28" t="b">
        <v>0</v>
      </c>
      <c r="W753" s="28" t="b">
        <v>0</v>
      </c>
    </row>
    <row r="754" ht="69" customHeight="1" s="222">
      <c r="A754" s="164">
        <f>#REF!</f>
        <v/>
      </c>
      <c r="B754" s="145" t="b">
        <v>0</v>
      </c>
      <c r="C754" s="176">
        <f>#REF!</f>
        <v/>
      </c>
      <c r="D754" s="174" t="n"/>
      <c r="E754" s="174" t="n"/>
      <c r="F754" s="176">
        <f>#REF!</f>
        <v/>
      </c>
      <c r="G754" s="174">
        <f>#REF!</f>
        <v/>
      </c>
      <c r="H754" s="174">
        <f>#REF!</f>
        <v/>
      </c>
      <c r="I754" s="174">
        <f>#REF!</f>
        <v/>
      </c>
      <c r="J754" s="174">
        <f>#REF!</f>
        <v/>
      </c>
      <c r="K754" s="176">
        <f>#REF!</f>
        <v/>
      </c>
      <c r="L754" s="173" t="n"/>
      <c r="M754" s="9" t="n"/>
      <c r="N754" s="28" t="b">
        <v>0</v>
      </c>
      <c r="O754" s="172" t="b">
        <v>0</v>
      </c>
      <c r="P754" s="28" t="b">
        <v>0</v>
      </c>
      <c r="Q754" s="28" t="b">
        <v>0</v>
      </c>
      <c r="R754" s="28" t="b">
        <v>0</v>
      </c>
      <c r="S754" s="28" t="b">
        <v>0</v>
      </c>
      <c r="T754" s="28" t="b">
        <v>0</v>
      </c>
      <c r="U754" s="28" t="b">
        <v>0</v>
      </c>
      <c r="V754" s="28" t="b">
        <v>0</v>
      </c>
      <c r="W754" s="28" t="b">
        <v>0</v>
      </c>
    </row>
    <row r="755" ht="69" customHeight="1" s="222">
      <c r="A755" s="164">
        <f>#REF!</f>
        <v/>
      </c>
      <c r="B755" s="145" t="b">
        <v>0</v>
      </c>
      <c r="C755" s="176">
        <f>#REF!</f>
        <v/>
      </c>
      <c r="D755" s="174" t="n"/>
      <c r="E755" s="174" t="n"/>
      <c r="F755" s="176">
        <f>#REF!</f>
        <v/>
      </c>
      <c r="G755" s="174">
        <f>#REF!</f>
        <v/>
      </c>
      <c r="H755" s="174">
        <f>#REF!</f>
        <v/>
      </c>
      <c r="I755" s="174">
        <f>#REF!</f>
        <v/>
      </c>
      <c r="J755" s="174">
        <f>#REF!</f>
        <v/>
      </c>
      <c r="K755" s="176">
        <f>#REF!</f>
        <v/>
      </c>
      <c r="L755" s="173" t="n"/>
      <c r="M755" s="9" t="n"/>
      <c r="N755" s="28" t="b">
        <v>0</v>
      </c>
      <c r="O755" s="172" t="b">
        <v>0</v>
      </c>
      <c r="P755" s="28" t="b">
        <v>0</v>
      </c>
      <c r="Q755" s="28" t="b">
        <v>0</v>
      </c>
      <c r="R755" s="28" t="b">
        <v>0</v>
      </c>
      <c r="S755" s="28" t="b">
        <v>0</v>
      </c>
      <c r="T755" s="28" t="b">
        <v>0</v>
      </c>
      <c r="U755" s="28" t="b">
        <v>0</v>
      </c>
      <c r="V755" s="28" t="b">
        <v>0</v>
      </c>
      <c r="W755" s="28" t="b">
        <v>0</v>
      </c>
    </row>
    <row r="756" ht="69" customHeight="1" s="222">
      <c r="A756" s="164">
        <f>#REF!</f>
        <v/>
      </c>
      <c r="B756" s="145" t="b">
        <v>0</v>
      </c>
      <c r="C756" s="176">
        <f>#REF!</f>
        <v/>
      </c>
      <c r="D756" s="174" t="n"/>
      <c r="E756" s="174" t="n"/>
      <c r="F756" s="176">
        <f>#REF!</f>
        <v/>
      </c>
      <c r="G756" s="174">
        <f>#REF!</f>
        <v/>
      </c>
      <c r="H756" s="174">
        <f>#REF!</f>
        <v/>
      </c>
      <c r="I756" s="174">
        <f>#REF!</f>
        <v/>
      </c>
      <c r="J756" s="174">
        <f>#REF!</f>
        <v/>
      </c>
      <c r="K756" s="176">
        <f>#REF!</f>
        <v/>
      </c>
      <c r="L756" s="173" t="n"/>
      <c r="M756" s="9" t="n"/>
      <c r="N756" s="28" t="b">
        <v>0</v>
      </c>
      <c r="O756" s="172" t="b">
        <v>0</v>
      </c>
      <c r="P756" s="28" t="b">
        <v>0</v>
      </c>
      <c r="Q756" s="28" t="b">
        <v>0</v>
      </c>
      <c r="R756" s="28" t="b">
        <v>0</v>
      </c>
      <c r="S756" s="28" t="b">
        <v>0</v>
      </c>
      <c r="T756" s="28" t="b">
        <v>0</v>
      </c>
      <c r="U756" s="28" t="b">
        <v>0</v>
      </c>
      <c r="V756" s="28" t="b">
        <v>0</v>
      </c>
      <c r="W756" s="28" t="b">
        <v>0</v>
      </c>
    </row>
    <row r="757" ht="69" customHeight="1" s="222">
      <c r="A757" s="164">
        <f>#REF!</f>
        <v/>
      </c>
      <c r="B757" s="145" t="b">
        <v>0</v>
      </c>
      <c r="C757" s="176">
        <f>#REF!</f>
        <v/>
      </c>
      <c r="D757" s="174" t="n"/>
      <c r="E757" s="174" t="n"/>
      <c r="F757" s="176">
        <f>#REF!</f>
        <v/>
      </c>
      <c r="G757" s="174">
        <f>#REF!</f>
        <v/>
      </c>
      <c r="H757" s="174">
        <f>#REF!</f>
        <v/>
      </c>
      <c r="I757" s="174">
        <f>#REF!</f>
        <v/>
      </c>
      <c r="J757" s="174">
        <f>#REF!</f>
        <v/>
      </c>
      <c r="K757" s="176">
        <f>#REF!</f>
        <v/>
      </c>
      <c r="L757" s="173" t="n"/>
      <c r="M757" s="9" t="n"/>
      <c r="N757" s="28" t="b">
        <v>0</v>
      </c>
      <c r="O757" s="172" t="b">
        <v>0</v>
      </c>
      <c r="P757" s="28" t="b">
        <v>0</v>
      </c>
      <c r="Q757" s="28" t="b">
        <v>0</v>
      </c>
      <c r="R757" s="28" t="b">
        <v>0</v>
      </c>
      <c r="S757" s="28" t="b">
        <v>0</v>
      </c>
      <c r="T757" s="28" t="b">
        <v>0</v>
      </c>
      <c r="U757" s="28" t="b">
        <v>0</v>
      </c>
      <c r="V757" s="28" t="b">
        <v>0</v>
      </c>
      <c r="W757" s="28" t="b">
        <v>0</v>
      </c>
    </row>
    <row r="758" ht="69" customHeight="1" s="222">
      <c r="A758" s="164">
        <f>#REF!</f>
        <v/>
      </c>
      <c r="B758" s="145" t="b">
        <v>0</v>
      </c>
      <c r="C758" s="176">
        <f>#REF!</f>
        <v/>
      </c>
      <c r="D758" s="174" t="n"/>
      <c r="E758" s="174" t="n"/>
      <c r="F758" s="176">
        <f>#REF!</f>
        <v/>
      </c>
      <c r="G758" s="174">
        <f>#REF!</f>
        <v/>
      </c>
      <c r="H758" s="174">
        <f>#REF!</f>
        <v/>
      </c>
      <c r="I758" s="174">
        <f>#REF!</f>
        <v/>
      </c>
      <c r="J758" s="174">
        <f>#REF!</f>
        <v/>
      </c>
      <c r="K758" s="176">
        <f>#REF!</f>
        <v/>
      </c>
      <c r="L758" s="173" t="n"/>
      <c r="M758" s="9" t="n"/>
      <c r="N758" s="28" t="b">
        <v>0</v>
      </c>
      <c r="O758" s="172" t="b">
        <v>0</v>
      </c>
      <c r="P758" s="28" t="b">
        <v>0</v>
      </c>
      <c r="Q758" s="28" t="b">
        <v>0</v>
      </c>
      <c r="R758" s="28" t="b">
        <v>0</v>
      </c>
      <c r="S758" s="28" t="b">
        <v>0</v>
      </c>
      <c r="T758" s="28" t="b">
        <v>0</v>
      </c>
      <c r="U758" s="28" t="b">
        <v>0</v>
      </c>
      <c r="V758" s="28" t="b">
        <v>0</v>
      </c>
      <c r="W758" s="28" t="b">
        <v>0</v>
      </c>
    </row>
    <row r="759" ht="69" customHeight="1" s="222">
      <c r="A759" s="164">
        <f>#REF!</f>
        <v/>
      </c>
      <c r="B759" s="145" t="b">
        <v>0</v>
      </c>
      <c r="C759" s="176">
        <f>#REF!</f>
        <v/>
      </c>
      <c r="D759" s="174" t="n"/>
      <c r="E759" s="174" t="n"/>
      <c r="F759" s="176">
        <f>#REF!</f>
        <v/>
      </c>
      <c r="G759" s="174">
        <f>#REF!</f>
        <v/>
      </c>
      <c r="H759" s="174">
        <f>#REF!</f>
        <v/>
      </c>
      <c r="I759" s="174">
        <f>#REF!</f>
        <v/>
      </c>
      <c r="J759" s="174">
        <f>#REF!</f>
        <v/>
      </c>
      <c r="K759" s="176">
        <f>#REF!</f>
        <v/>
      </c>
      <c r="L759" s="173" t="n"/>
      <c r="M759" s="9" t="n"/>
      <c r="N759" s="28" t="b">
        <v>0</v>
      </c>
      <c r="O759" s="172" t="b">
        <v>0</v>
      </c>
      <c r="P759" s="28" t="b">
        <v>0</v>
      </c>
      <c r="Q759" s="28" t="b">
        <v>0</v>
      </c>
      <c r="R759" s="28" t="b">
        <v>0</v>
      </c>
      <c r="S759" s="28" t="b">
        <v>0</v>
      </c>
      <c r="T759" s="28" t="b">
        <v>0</v>
      </c>
      <c r="U759" s="28" t="b">
        <v>0</v>
      </c>
      <c r="V759" s="28" t="b">
        <v>0</v>
      </c>
      <c r="W759" s="28" t="b">
        <v>0</v>
      </c>
    </row>
    <row r="760" ht="69" customHeight="1" s="222">
      <c r="A760" s="164">
        <f>#REF!</f>
        <v/>
      </c>
      <c r="B760" s="145" t="b">
        <v>0</v>
      </c>
      <c r="C760" s="176">
        <f>#REF!</f>
        <v/>
      </c>
      <c r="D760" s="174" t="n"/>
      <c r="E760" s="174" t="n"/>
      <c r="F760" s="176">
        <f>#REF!</f>
        <v/>
      </c>
      <c r="G760" s="174">
        <f>#REF!</f>
        <v/>
      </c>
      <c r="H760" s="174">
        <f>#REF!</f>
        <v/>
      </c>
      <c r="I760" s="174">
        <f>#REF!</f>
        <v/>
      </c>
      <c r="J760" s="174">
        <f>#REF!</f>
        <v/>
      </c>
      <c r="K760" s="176">
        <f>#REF!</f>
        <v/>
      </c>
      <c r="L760" s="173" t="n"/>
      <c r="M760" s="9" t="n"/>
      <c r="N760" s="28" t="b">
        <v>0</v>
      </c>
      <c r="O760" s="172" t="b">
        <v>0</v>
      </c>
      <c r="P760" s="28" t="b">
        <v>0</v>
      </c>
      <c r="Q760" s="28" t="b">
        <v>0</v>
      </c>
      <c r="R760" s="28" t="b">
        <v>0</v>
      </c>
      <c r="S760" s="28" t="b">
        <v>0</v>
      </c>
      <c r="T760" s="28" t="b">
        <v>0</v>
      </c>
      <c r="U760" s="28" t="b">
        <v>0</v>
      </c>
      <c r="V760" s="28" t="b">
        <v>0</v>
      </c>
      <c r="W760" s="28" t="b">
        <v>0</v>
      </c>
    </row>
    <row r="761" ht="69" customHeight="1" s="222">
      <c r="A761" s="164">
        <f>#REF!</f>
        <v/>
      </c>
      <c r="B761" s="145" t="b">
        <v>0</v>
      </c>
      <c r="C761" s="176">
        <f>#REF!</f>
        <v/>
      </c>
      <c r="D761" s="174" t="n"/>
      <c r="E761" s="174" t="n"/>
      <c r="F761" s="176">
        <f>#REF!</f>
        <v/>
      </c>
      <c r="G761" s="174">
        <f>#REF!</f>
        <v/>
      </c>
      <c r="H761" s="174">
        <f>#REF!</f>
        <v/>
      </c>
      <c r="I761" s="174">
        <f>#REF!</f>
        <v/>
      </c>
      <c r="J761" s="174">
        <f>#REF!</f>
        <v/>
      </c>
      <c r="K761" s="176">
        <f>#REF!</f>
        <v/>
      </c>
      <c r="L761" s="173" t="n"/>
      <c r="M761" s="9" t="n"/>
      <c r="N761" s="28" t="b">
        <v>0</v>
      </c>
      <c r="O761" s="172" t="b">
        <v>0</v>
      </c>
      <c r="P761" s="28" t="b">
        <v>0</v>
      </c>
      <c r="Q761" s="28" t="b">
        <v>0</v>
      </c>
      <c r="R761" s="28" t="b">
        <v>0</v>
      </c>
      <c r="S761" s="28" t="b">
        <v>0</v>
      </c>
      <c r="T761" s="28" t="b">
        <v>0</v>
      </c>
      <c r="U761" s="28" t="b">
        <v>0</v>
      </c>
      <c r="V761" s="28" t="b">
        <v>0</v>
      </c>
      <c r="W761" s="28" t="b">
        <v>0</v>
      </c>
    </row>
    <row r="762" ht="69" customHeight="1" s="222">
      <c r="A762" s="164">
        <f>#REF!</f>
        <v/>
      </c>
      <c r="B762" s="145" t="b">
        <v>0</v>
      </c>
      <c r="C762" s="176">
        <f>#REF!</f>
        <v/>
      </c>
      <c r="D762" s="174" t="n"/>
      <c r="E762" s="174" t="n"/>
      <c r="F762" s="176">
        <f>#REF!</f>
        <v/>
      </c>
      <c r="G762" s="174">
        <f>#REF!</f>
        <v/>
      </c>
      <c r="H762" s="174">
        <f>#REF!</f>
        <v/>
      </c>
      <c r="I762" s="174">
        <f>#REF!</f>
        <v/>
      </c>
      <c r="J762" s="174">
        <f>#REF!</f>
        <v/>
      </c>
      <c r="K762" s="176">
        <f>#REF!</f>
        <v/>
      </c>
      <c r="L762" s="173" t="n"/>
      <c r="M762" s="9" t="n"/>
      <c r="N762" s="28" t="b">
        <v>0</v>
      </c>
      <c r="O762" s="172" t="b">
        <v>0</v>
      </c>
      <c r="P762" s="28" t="b">
        <v>0</v>
      </c>
      <c r="Q762" s="28" t="b">
        <v>0</v>
      </c>
      <c r="R762" s="28" t="b">
        <v>0</v>
      </c>
      <c r="S762" s="28" t="b">
        <v>0</v>
      </c>
      <c r="T762" s="28" t="b">
        <v>0</v>
      </c>
      <c r="U762" s="28" t="b">
        <v>0</v>
      </c>
      <c r="V762" s="28" t="b">
        <v>0</v>
      </c>
      <c r="W762" s="28" t="b">
        <v>0</v>
      </c>
    </row>
    <row r="763" ht="69" customHeight="1" s="222">
      <c r="A763" s="164">
        <f>#REF!</f>
        <v/>
      </c>
      <c r="B763" s="145" t="b">
        <v>0</v>
      </c>
      <c r="C763" s="176">
        <f>#REF!</f>
        <v/>
      </c>
      <c r="D763" s="174" t="n"/>
      <c r="E763" s="174" t="n"/>
      <c r="F763" s="176">
        <f>#REF!</f>
        <v/>
      </c>
      <c r="G763" s="174">
        <f>#REF!</f>
        <v/>
      </c>
      <c r="H763" s="174">
        <f>#REF!</f>
        <v/>
      </c>
      <c r="I763" s="174">
        <f>#REF!</f>
        <v/>
      </c>
      <c r="J763" s="174">
        <f>#REF!</f>
        <v/>
      </c>
      <c r="K763" s="176">
        <f>#REF!</f>
        <v/>
      </c>
      <c r="L763" s="173" t="n"/>
      <c r="M763" s="9" t="n"/>
      <c r="N763" s="28" t="b">
        <v>0</v>
      </c>
      <c r="O763" s="172" t="b">
        <v>0</v>
      </c>
      <c r="P763" s="28" t="b">
        <v>0</v>
      </c>
      <c r="Q763" s="28" t="b">
        <v>0</v>
      </c>
      <c r="R763" s="28" t="b">
        <v>0</v>
      </c>
      <c r="S763" s="28" t="b">
        <v>0</v>
      </c>
      <c r="T763" s="28" t="b">
        <v>0</v>
      </c>
      <c r="U763" s="28" t="b">
        <v>0</v>
      </c>
      <c r="V763" s="28" t="b">
        <v>0</v>
      </c>
      <c r="W763" s="28" t="b">
        <v>0</v>
      </c>
    </row>
    <row r="764" ht="69" customHeight="1" s="222">
      <c r="A764" s="164">
        <f>#REF!</f>
        <v/>
      </c>
      <c r="B764" s="145" t="b">
        <v>0</v>
      </c>
      <c r="C764" s="176">
        <f>#REF!</f>
        <v/>
      </c>
      <c r="D764" s="174" t="n"/>
      <c r="E764" s="174" t="n"/>
      <c r="F764" s="176">
        <f>#REF!</f>
        <v/>
      </c>
      <c r="G764" s="174">
        <f>#REF!</f>
        <v/>
      </c>
      <c r="H764" s="174">
        <f>#REF!</f>
        <v/>
      </c>
      <c r="I764" s="174">
        <f>#REF!</f>
        <v/>
      </c>
      <c r="J764" s="174">
        <f>#REF!</f>
        <v/>
      </c>
      <c r="K764" s="176">
        <f>#REF!</f>
        <v/>
      </c>
      <c r="L764" s="173" t="n"/>
      <c r="M764" s="9" t="n"/>
      <c r="N764" s="28" t="b">
        <v>0</v>
      </c>
      <c r="O764" s="172" t="b">
        <v>0</v>
      </c>
      <c r="P764" s="28" t="b">
        <v>0</v>
      </c>
      <c r="Q764" s="28" t="b">
        <v>0</v>
      </c>
      <c r="R764" s="28" t="b">
        <v>0</v>
      </c>
      <c r="S764" s="28" t="b">
        <v>0</v>
      </c>
      <c r="T764" s="28" t="b">
        <v>0</v>
      </c>
      <c r="U764" s="28" t="b">
        <v>0</v>
      </c>
      <c r="V764" s="28" t="b">
        <v>0</v>
      </c>
      <c r="W764" s="28" t="b">
        <v>0</v>
      </c>
    </row>
    <row r="765" ht="69" customHeight="1" s="222">
      <c r="A765" s="164">
        <f>#REF!</f>
        <v/>
      </c>
      <c r="B765" s="145" t="b">
        <v>0</v>
      </c>
      <c r="C765" s="176">
        <f>#REF!</f>
        <v/>
      </c>
      <c r="D765" s="174" t="n"/>
      <c r="E765" s="174" t="n"/>
      <c r="F765" s="176">
        <f>#REF!</f>
        <v/>
      </c>
      <c r="G765" s="174">
        <f>#REF!</f>
        <v/>
      </c>
      <c r="H765" s="174">
        <f>#REF!</f>
        <v/>
      </c>
      <c r="I765" s="174">
        <f>#REF!</f>
        <v/>
      </c>
      <c r="J765" s="174">
        <f>#REF!</f>
        <v/>
      </c>
      <c r="K765" s="176">
        <f>#REF!</f>
        <v/>
      </c>
      <c r="L765" s="173" t="n"/>
      <c r="M765" s="9" t="n"/>
      <c r="N765" s="28" t="b">
        <v>0</v>
      </c>
      <c r="O765" s="172" t="b">
        <v>0</v>
      </c>
      <c r="P765" s="28" t="b">
        <v>0</v>
      </c>
      <c r="Q765" s="28" t="b">
        <v>0</v>
      </c>
      <c r="R765" s="28" t="b">
        <v>0</v>
      </c>
      <c r="S765" s="28" t="b">
        <v>0</v>
      </c>
      <c r="T765" s="28" t="b">
        <v>0</v>
      </c>
      <c r="U765" s="28" t="b">
        <v>0</v>
      </c>
      <c r="V765" s="28" t="b">
        <v>0</v>
      </c>
      <c r="W765" s="28" t="b">
        <v>0</v>
      </c>
    </row>
    <row r="766" ht="69" customHeight="1" s="222">
      <c r="A766" s="164">
        <f>#REF!</f>
        <v/>
      </c>
      <c r="B766" s="145" t="b">
        <v>0</v>
      </c>
      <c r="C766" s="176">
        <f>#REF!</f>
        <v/>
      </c>
      <c r="D766" s="174" t="n"/>
      <c r="E766" s="174" t="n"/>
      <c r="F766" s="176">
        <f>#REF!</f>
        <v/>
      </c>
      <c r="G766" s="174">
        <f>#REF!</f>
        <v/>
      </c>
      <c r="H766" s="174">
        <f>#REF!</f>
        <v/>
      </c>
      <c r="I766" s="174">
        <f>#REF!</f>
        <v/>
      </c>
      <c r="J766" s="174">
        <f>#REF!</f>
        <v/>
      </c>
      <c r="K766" s="176">
        <f>#REF!</f>
        <v/>
      </c>
      <c r="L766" s="173" t="n"/>
      <c r="M766" s="9" t="n"/>
      <c r="N766" s="28" t="b">
        <v>0</v>
      </c>
      <c r="O766" s="172" t="b">
        <v>0</v>
      </c>
      <c r="P766" s="28" t="b">
        <v>0</v>
      </c>
      <c r="Q766" s="28" t="b">
        <v>0</v>
      </c>
      <c r="R766" s="28" t="b">
        <v>0</v>
      </c>
      <c r="S766" s="28" t="b">
        <v>0</v>
      </c>
      <c r="T766" s="28" t="b">
        <v>0</v>
      </c>
      <c r="U766" s="28" t="b">
        <v>0</v>
      </c>
      <c r="V766" s="28" t="b">
        <v>0</v>
      </c>
      <c r="W766" s="28" t="b">
        <v>0</v>
      </c>
    </row>
    <row r="767" ht="69" customHeight="1" s="222">
      <c r="A767" s="164">
        <f>#REF!</f>
        <v/>
      </c>
      <c r="B767" s="145" t="b">
        <v>0</v>
      </c>
      <c r="C767" s="176">
        <f>#REF!</f>
        <v/>
      </c>
      <c r="D767" s="174" t="n"/>
      <c r="E767" s="174" t="n"/>
      <c r="F767" s="176">
        <f>#REF!</f>
        <v/>
      </c>
      <c r="G767" s="174">
        <f>#REF!</f>
        <v/>
      </c>
      <c r="H767" s="174">
        <f>#REF!</f>
        <v/>
      </c>
      <c r="I767" s="174">
        <f>#REF!</f>
        <v/>
      </c>
      <c r="J767" s="174">
        <f>#REF!</f>
        <v/>
      </c>
      <c r="K767" s="176">
        <f>#REF!</f>
        <v/>
      </c>
      <c r="L767" s="173" t="n"/>
      <c r="M767" s="9" t="n"/>
      <c r="N767" s="28" t="b">
        <v>0</v>
      </c>
      <c r="O767" s="172" t="b">
        <v>0</v>
      </c>
      <c r="P767" s="28" t="b">
        <v>0</v>
      </c>
      <c r="Q767" s="28" t="b">
        <v>0</v>
      </c>
      <c r="R767" s="28" t="b">
        <v>0</v>
      </c>
      <c r="S767" s="28" t="b">
        <v>0</v>
      </c>
      <c r="T767" s="28" t="b">
        <v>0</v>
      </c>
      <c r="U767" s="28" t="b">
        <v>0</v>
      </c>
      <c r="V767" s="28" t="b">
        <v>0</v>
      </c>
      <c r="W767" s="28" t="b">
        <v>0</v>
      </c>
    </row>
    <row r="768" ht="69" customHeight="1" s="222">
      <c r="A768" s="164">
        <f>#REF!</f>
        <v/>
      </c>
      <c r="B768" s="145" t="b">
        <v>0</v>
      </c>
      <c r="C768" s="176">
        <f>#REF!</f>
        <v/>
      </c>
      <c r="D768" s="174" t="n"/>
      <c r="E768" s="174" t="n"/>
      <c r="F768" s="176">
        <f>#REF!</f>
        <v/>
      </c>
      <c r="G768" s="174">
        <f>#REF!</f>
        <v/>
      </c>
      <c r="H768" s="174">
        <f>#REF!</f>
        <v/>
      </c>
      <c r="I768" s="174">
        <f>#REF!</f>
        <v/>
      </c>
      <c r="J768" s="174">
        <f>#REF!</f>
        <v/>
      </c>
      <c r="K768" s="176">
        <f>#REF!</f>
        <v/>
      </c>
      <c r="L768" s="173" t="n"/>
      <c r="M768" s="9" t="n"/>
      <c r="N768" s="28" t="b">
        <v>0</v>
      </c>
      <c r="O768" s="172" t="b">
        <v>0</v>
      </c>
      <c r="P768" s="28" t="b">
        <v>0</v>
      </c>
      <c r="Q768" s="28" t="b">
        <v>0</v>
      </c>
      <c r="R768" s="28" t="b">
        <v>0</v>
      </c>
      <c r="S768" s="28" t="b">
        <v>0</v>
      </c>
      <c r="T768" s="28" t="b">
        <v>0</v>
      </c>
      <c r="U768" s="28" t="b">
        <v>0</v>
      </c>
      <c r="V768" s="28" t="b">
        <v>0</v>
      </c>
      <c r="W768" s="28" t="b">
        <v>0</v>
      </c>
    </row>
    <row r="769" ht="69" customHeight="1" s="222">
      <c r="A769" s="164">
        <f>#REF!</f>
        <v/>
      </c>
      <c r="B769" s="145" t="b">
        <v>0</v>
      </c>
      <c r="C769" s="176">
        <f>#REF!</f>
        <v/>
      </c>
      <c r="D769" s="174" t="n"/>
      <c r="E769" s="174" t="n"/>
      <c r="F769" s="176">
        <f>#REF!</f>
        <v/>
      </c>
      <c r="G769" s="174">
        <f>#REF!</f>
        <v/>
      </c>
      <c r="H769" s="174">
        <f>#REF!</f>
        <v/>
      </c>
      <c r="I769" s="174">
        <f>#REF!</f>
        <v/>
      </c>
      <c r="J769" s="174">
        <f>#REF!</f>
        <v/>
      </c>
      <c r="K769" s="176">
        <f>#REF!</f>
        <v/>
      </c>
      <c r="L769" s="173" t="n"/>
      <c r="M769" s="9" t="n"/>
      <c r="N769" s="28" t="b">
        <v>0</v>
      </c>
      <c r="O769" s="172" t="b">
        <v>0</v>
      </c>
      <c r="P769" s="28" t="b">
        <v>0</v>
      </c>
      <c r="Q769" s="28" t="b">
        <v>0</v>
      </c>
      <c r="R769" s="28" t="b">
        <v>0</v>
      </c>
      <c r="S769" s="28" t="b">
        <v>0</v>
      </c>
      <c r="T769" s="28" t="b">
        <v>0</v>
      </c>
      <c r="U769" s="28" t="b">
        <v>0</v>
      </c>
      <c r="V769" s="28" t="b">
        <v>0</v>
      </c>
      <c r="W769" s="28" t="b">
        <v>0</v>
      </c>
    </row>
    <row r="770" ht="69" customHeight="1" s="222">
      <c r="A770" s="164">
        <f>#REF!</f>
        <v/>
      </c>
      <c r="B770" s="145" t="b">
        <v>0</v>
      </c>
      <c r="C770" s="176">
        <f>#REF!</f>
        <v/>
      </c>
      <c r="D770" s="174" t="n"/>
      <c r="E770" s="174" t="n"/>
      <c r="F770" s="176">
        <f>#REF!</f>
        <v/>
      </c>
      <c r="G770" s="174">
        <f>#REF!</f>
        <v/>
      </c>
      <c r="H770" s="174">
        <f>#REF!</f>
        <v/>
      </c>
      <c r="I770" s="174">
        <f>#REF!</f>
        <v/>
      </c>
      <c r="J770" s="174">
        <f>#REF!</f>
        <v/>
      </c>
      <c r="K770" s="176">
        <f>#REF!</f>
        <v/>
      </c>
      <c r="L770" s="173" t="n"/>
      <c r="M770" s="9" t="n"/>
      <c r="N770" s="28" t="b">
        <v>0</v>
      </c>
      <c r="O770" s="172" t="b">
        <v>0</v>
      </c>
      <c r="P770" s="28" t="b">
        <v>0</v>
      </c>
      <c r="Q770" s="28" t="b">
        <v>0</v>
      </c>
      <c r="R770" s="28" t="b">
        <v>0</v>
      </c>
      <c r="S770" s="28" t="b">
        <v>0</v>
      </c>
      <c r="T770" s="28" t="b">
        <v>0</v>
      </c>
      <c r="U770" s="28" t="b">
        <v>0</v>
      </c>
      <c r="V770" s="28" t="b">
        <v>0</v>
      </c>
      <c r="W770" s="28" t="b">
        <v>0</v>
      </c>
    </row>
    <row r="771" ht="69" customHeight="1" s="222">
      <c r="A771" s="164">
        <f>#REF!</f>
        <v/>
      </c>
      <c r="B771" s="145" t="b">
        <v>0</v>
      </c>
      <c r="C771" s="176">
        <f>#REF!</f>
        <v/>
      </c>
      <c r="D771" s="174" t="n"/>
      <c r="E771" s="174" t="n"/>
      <c r="F771" s="176">
        <f>#REF!</f>
        <v/>
      </c>
      <c r="G771" s="174">
        <f>#REF!</f>
        <v/>
      </c>
      <c r="H771" s="174">
        <f>#REF!</f>
        <v/>
      </c>
      <c r="I771" s="174">
        <f>#REF!</f>
        <v/>
      </c>
      <c r="J771" s="174">
        <f>#REF!</f>
        <v/>
      </c>
      <c r="K771" s="176">
        <f>#REF!</f>
        <v/>
      </c>
      <c r="L771" s="173" t="n"/>
      <c r="M771" s="9" t="n"/>
      <c r="N771" s="28" t="b">
        <v>0</v>
      </c>
      <c r="O771" s="172" t="b">
        <v>0</v>
      </c>
      <c r="P771" s="28" t="b">
        <v>0</v>
      </c>
      <c r="Q771" s="28" t="b">
        <v>0</v>
      </c>
      <c r="R771" s="28" t="b">
        <v>0</v>
      </c>
      <c r="S771" s="28" t="b">
        <v>0</v>
      </c>
      <c r="T771" s="28" t="b">
        <v>0</v>
      </c>
      <c r="U771" s="28" t="b">
        <v>0</v>
      </c>
      <c r="V771" s="28" t="b">
        <v>0</v>
      </c>
      <c r="W771" s="28" t="b">
        <v>0</v>
      </c>
    </row>
    <row r="772" ht="69" customHeight="1" s="222">
      <c r="A772" s="164">
        <f>#REF!</f>
        <v/>
      </c>
      <c r="B772" s="145" t="b">
        <v>0</v>
      </c>
      <c r="C772" s="176">
        <f>#REF!</f>
        <v/>
      </c>
      <c r="D772" s="174" t="n"/>
      <c r="E772" s="174" t="n"/>
      <c r="F772" s="176">
        <f>#REF!</f>
        <v/>
      </c>
      <c r="G772" s="174">
        <f>#REF!</f>
        <v/>
      </c>
      <c r="H772" s="174">
        <f>#REF!</f>
        <v/>
      </c>
      <c r="I772" s="174">
        <f>#REF!</f>
        <v/>
      </c>
      <c r="J772" s="174">
        <f>#REF!</f>
        <v/>
      </c>
      <c r="K772" s="176">
        <f>#REF!</f>
        <v/>
      </c>
      <c r="L772" s="173" t="n"/>
      <c r="M772" s="9" t="n"/>
      <c r="N772" s="28" t="b">
        <v>0</v>
      </c>
      <c r="O772" s="172" t="b">
        <v>0</v>
      </c>
      <c r="P772" s="28" t="b">
        <v>0</v>
      </c>
      <c r="Q772" s="28" t="b">
        <v>0</v>
      </c>
      <c r="R772" s="28" t="b">
        <v>0</v>
      </c>
      <c r="S772" s="28" t="b">
        <v>0</v>
      </c>
      <c r="T772" s="28" t="b">
        <v>0</v>
      </c>
      <c r="U772" s="28" t="b">
        <v>0</v>
      </c>
      <c r="V772" s="28" t="b">
        <v>0</v>
      </c>
      <c r="W772" s="28" t="b">
        <v>0</v>
      </c>
    </row>
    <row r="773" ht="69" customHeight="1" s="222">
      <c r="A773" s="164">
        <f>#REF!</f>
        <v/>
      </c>
      <c r="B773" s="145" t="b">
        <v>0</v>
      </c>
      <c r="C773" s="176">
        <f>#REF!</f>
        <v/>
      </c>
      <c r="D773" s="174" t="n"/>
      <c r="E773" s="174" t="n"/>
      <c r="F773" s="176">
        <f>#REF!</f>
        <v/>
      </c>
      <c r="G773" s="174">
        <f>#REF!</f>
        <v/>
      </c>
      <c r="H773" s="174">
        <f>#REF!</f>
        <v/>
      </c>
      <c r="I773" s="174">
        <f>#REF!</f>
        <v/>
      </c>
      <c r="J773" s="174">
        <f>#REF!</f>
        <v/>
      </c>
      <c r="K773" s="176">
        <f>#REF!</f>
        <v/>
      </c>
      <c r="L773" s="173" t="n"/>
      <c r="M773" s="9" t="n"/>
      <c r="N773" s="28" t="b">
        <v>0</v>
      </c>
      <c r="O773" s="172" t="b">
        <v>0</v>
      </c>
      <c r="P773" s="28" t="b">
        <v>0</v>
      </c>
      <c r="Q773" s="28" t="b">
        <v>0</v>
      </c>
      <c r="R773" s="28" t="b">
        <v>0</v>
      </c>
      <c r="S773" s="28" t="b">
        <v>0</v>
      </c>
      <c r="T773" s="28" t="b">
        <v>0</v>
      </c>
      <c r="U773" s="28" t="b">
        <v>0</v>
      </c>
      <c r="V773" s="28" t="b">
        <v>0</v>
      </c>
      <c r="W773" s="28" t="b">
        <v>0</v>
      </c>
    </row>
    <row r="774" ht="69" customHeight="1" s="222">
      <c r="A774" s="164">
        <f>#REF!</f>
        <v/>
      </c>
      <c r="B774" s="145" t="b">
        <v>0</v>
      </c>
      <c r="C774" s="176">
        <f>#REF!</f>
        <v/>
      </c>
      <c r="D774" s="174" t="n"/>
      <c r="E774" s="174" t="n"/>
      <c r="F774" s="176">
        <f>#REF!</f>
        <v/>
      </c>
      <c r="G774" s="174">
        <f>#REF!</f>
        <v/>
      </c>
      <c r="H774" s="174">
        <f>#REF!</f>
        <v/>
      </c>
      <c r="I774" s="174">
        <f>#REF!</f>
        <v/>
      </c>
      <c r="J774" s="174">
        <f>#REF!</f>
        <v/>
      </c>
      <c r="K774" s="176">
        <f>#REF!</f>
        <v/>
      </c>
      <c r="L774" s="173" t="n"/>
      <c r="M774" s="9" t="n"/>
      <c r="N774" s="28" t="b">
        <v>0</v>
      </c>
      <c r="O774" s="172" t="b">
        <v>0</v>
      </c>
      <c r="P774" s="28" t="b">
        <v>0</v>
      </c>
      <c r="Q774" s="28" t="b">
        <v>0</v>
      </c>
      <c r="R774" s="28" t="b">
        <v>0</v>
      </c>
      <c r="S774" s="28" t="b">
        <v>0</v>
      </c>
      <c r="T774" s="28" t="b">
        <v>0</v>
      </c>
      <c r="U774" s="28" t="b">
        <v>0</v>
      </c>
      <c r="V774" s="28" t="b">
        <v>0</v>
      </c>
      <c r="W774" s="28" t="b">
        <v>0</v>
      </c>
    </row>
    <row r="775" ht="69" customHeight="1" s="222">
      <c r="A775" s="164">
        <f>#REF!</f>
        <v/>
      </c>
      <c r="B775" s="145" t="b">
        <v>0</v>
      </c>
      <c r="C775" s="176">
        <f>#REF!</f>
        <v/>
      </c>
      <c r="D775" s="174" t="n"/>
      <c r="E775" s="174" t="n"/>
      <c r="F775" s="176">
        <f>#REF!</f>
        <v/>
      </c>
      <c r="G775" s="174">
        <f>#REF!</f>
        <v/>
      </c>
      <c r="H775" s="174">
        <f>#REF!</f>
        <v/>
      </c>
      <c r="I775" s="174">
        <f>#REF!</f>
        <v/>
      </c>
      <c r="J775" s="174">
        <f>#REF!</f>
        <v/>
      </c>
      <c r="K775" s="176">
        <f>#REF!</f>
        <v/>
      </c>
      <c r="L775" s="173" t="n"/>
      <c r="M775" s="9" t="n"/>
      <c r="N775" s="28" t="b">
        <v>0</v>
      </c>
      <c r="O775" s="172" t="b">
        <v>0</v>
      </c>
      <c r="P775" s="28" t="b">
        <v>0</v>
      </c>
      <c r="Q775" s="28" t="b">
        <v>0</v>
      </c>
      <c r="R775" s="28" t="b">
        <v>0</v>
      </c>
      <c r="S775" s="28" t="b">
        <v>0</v>
      </c>
      <c r="T775" s="28" t="b">
        <v>0</v>
      </c>
      <c r="U775" s="28" t="b">
        <v>0</v>
      </c>
      <c r="V775" s="28" t="b">
        <v>0</v>
      </c>
      <c r="W775" s="28" t="b">
        <v>0</v>
      </c>
    </row>
    <row r="776" ht="69" customHeight="1" s="222">
      <c r="A776" s="164">
        <f>#REF!</f>
        <v/>
      </c>
      <c r="B776" s="145" t="b">
        <v>0</v>
      </c>
      <c r="C776" s="176">
        <f>#REF!</f>
        <v/>
      </c>
      <c r="D776" s="174" t="n"/>
      <c r="E776" s="174" t="n"/>
      <c r="F776" s="176">
        <f>#REF!</f>
        <v/>
      </c>
      <c r="G776" s="174">
        <f>#REF!</f>
        <v/>
      </c>
      <c r="H776" s="174">
        <f>#REF!</f>
        <v/>
      </c>
      <c r="I776" s="174">
        <f>#REF!</f>
        <v/>
      </c>
      <c r="J776" s="174">
        <f>#REF!</f>
        <v/>
      </c>
      <c r="K776" s="176">
        <f>#REF!</f>
        <v/>
      </c>
      <c r="L776" s="173" t="n"/>
      <c r="M776" s="9" t="n"/>
      <c r="N776" s="28" t="b">
        <v>0</v>
      </c>
      <c r="O776" s="172" t="b">
        <v>0</v>
      </c>
      <c r="P776" s="28" t="b">
        <v>0</v>
      </c>
      <c r="Q776" s="28" t="b">
        <v>0</v>
      </c>
      <c r="R776" s="28" t="b">
        <v>0</v>
      </c>
      <c r="S776" s="28" t="b">
        <v>0</v>
      </c>
      <c r="T776" s="28" t="b">
        <v>0</v>
      </c>
      <c r="U776" s="28" t="b">
        <v>0</v>
      </c>
      <c r="V776" s="28" t="b">
        <v>0</v>
      </c>
      <c r="W776" s="28" t="b">
        <v>0</v>
      </c>
    </row>
    <row r="777" ht="69" customHeight="1" s="222">
      <c r="A777" s="164">
        <f>#REF!</f>
        <v/>
      </c>
      <c r="B777" s="145" t="b">
        <v>0</v>
      </c>
      <c r="C777" s="176">
        <f>#REF!</f>
        <v/>
      </c>
      <c r="D777" s="174" t="n"/>
      <c r="E777" s="174" t="n"/>
      <c r="F777" s="176">
        <f>#REF!</f>
        <v/>
      </c>
      <c r="G777" s="174">
        <f>#REF!</f>
        <v/>
      </c>
      <c r="H777" s="174">
        <f>#REF!</f>
        <v/>
      </c>
      <c r="I777" s="174">
        <f>#REF!</f>
        <v/>
      </c>
      <c r="J777" s="174">
        <f>#REF!</f>
        <v/>
      </c>
      <c r="K777" s="176">
        <f>#REF!</f>
        <v/>
      </c>
      <c r="L777" s="173" t="n"/>
      <c r="M777" s="9" t="n"/>
      <c r="N777" s="28" t="b">
        <v>0</v>
      </c>
      <c r="O777" s="172" t="b">
        <v>0</v>
      </c>
      <c r="P777" s="28" t="b">
        <v>0</v>
      </c>
      <c r="Q777" s="28" t="b">
        <v>0</v>
      </c>
      <c r="R777" s="28" t="b">
        <v>0</v>
      </c>
      <c r="S777" s="28" t="b">
        <v>0</v>
      </c>
      <c r="T777" s="28" t="b">
        <v>0</v>
      </c>
      <c r="U777" s="28" t="b">
        <v>0</v>
      </c>
      <c r="V777" s="28" t="b">
        <v>0</v>
      </c>
      <c r="W777" s="28" t="b">
        <v>0</v>
      </c>
    </row>
    <row r="778" ht="69" customHeight="1" s="222">
      <c r="A778" s="164">
        <f>#REF!</f>
        <v/>
      </c>
      <c r="B778" s="145" t="b">
        <v>0</v>
      </c>
      <c r="C778" s="176">
        <f>#REF!</f>
        <v/>
      </c>
      <c r="D778" s="174" t="n"/>
      <c r="E778" s="174" t="n"/>
      <c r="F778" s="176">
        <f>#REF!</f>
        <v/>
      </c>
      <c r="G778" s="174">
        <f>#REF!</f>
        <v/>
      </c>
      <c r="H778" s="174">
        <f>#REF!</f>
        <v/>
      </c>
      <c r="I778" s="174">
        <f>#REF!</f>
        <v/>
      </c>
      <c r="J778" s="174">
        <f>#REF!</f>
        <v/>
      </c>
      <c r="K778" s="176">
        <f>#REF!</f>
        <v/>
      </c>
      <c r="L778" s="173" t="n"/>
      <c r="M778" s="9" t="n"/>
      <c r="N778" s="28" t="b">
        <v>0</v>
      </c>
      <c r="O778" s="172" t="b">
        <v>0</v>
      </c>
      <c r="P778" s="28" t="b">
        <v>0</v>
      </c>
      <c r="Q778" s="28" t="b">
        <v>0</v>
      </c>
      <c r="R778" s="28" t="b">
        <v>0</v>
      </c>
      <c r="S778" s="28" t="b">
        <v>0</v>
      </c>
      <c r="T778" s="28" t="b">
        <v>0</v>
      </c>
      <c r="U778" s="28" t="b">
        <v>0</v>
      </c>
      <c r="V778" s="28" t="b">
        <v>0</v>
      </c>
      <c r="W778" s="28" t="b">
        <v>0</v>
      </c>
    </row>
    <row r="779" ht="69" customHeight="1" s="222">
      <c r="A779" s="164">
        <f>#REF!</f>
        <v/>
      </c>
      <c r="B779" s="145" t="b">
        <v>0</v>
      </c>
      <c r="C779" s="176">
        <f>#REF!</f>
        <v/>
      </c>
      <c r="D779" s="174" t="n"/>
      <c r="E779" s="174" t="n"/>
      <c r="F779" s="176">
        <f>#REF!</f>
        <v/>
      </c>
      <c r="G779" s="174">
        <f>#REF!</f>
        <v/>
      </c>
      <c r="H779" s="174">
        <f>#REF!</f>
        <v/>
      </c>
      <c r="I779" s="174">
        <f>#REF!</f>
        <v/>
      </c>
      <c r="J779" s="174">
        <f>#REF!</f>
        <v/>
      </c>
      <c r="K779" s="176">
        <f>#REF!</f>
        <v/>
      </c>
      <c r="L779" s="173" t="n"/>
      <c r="M779" s="9" t="n"/>
      <c r="N779" s="28" t="b">
        <v>0</v>
      </c>
      <c r="O779" s="172" t="b">
        <v>0</v>
      </c>
      <c r="P779" s="28" t="b">
        <v>0</v>
      </c>
      <c r="Q779" s="28" t="b">
        <v>0</v>
      </c>
      <c r="R779" s="28" t="b">
        <v>0</v>
      </c>
      <c r="S779" s="28" t="b">
        <v>0</v>
      </c>
      <c r="T779" s="28" t="b">
        <v>0</v>
      </c>
      <c r="U779" s="28" t="b">
        <v>0</v>
      </c>
      <c r="V779" s="28" t="b">
        <v>0</v>
      </c>
      <c r="W779" s="28" t="b">
        <v>0</v>
      </c>
    </row>
    <row r="780" ht="69" customHeight="1" s="222">
      <c r="A780" s="164">
        <f>#REF!</f>
        <v/>
      </c>
      <c r="B780" s="145" t="b">
        <v>0</v>
      </c>
      <c r="C780" s="176">
        <f>#REF!</f>
        <v/>
      </c>
      <c r="D780" s="174" t="n"/>
      <c r="E780" s="174" t="n"/>
      <c r="F780" s="176">
        <f>#REF!</f>
        <v/>
      </c>
      <c r="G780" s="174">
        <f>#REF!</f>
        <v/>
      </c>
      <c r="H780" s="174">
        <f>#REF!</f>
        <v/>
      </c>
      <c r="I780" s="174">
        <f>#REF!</f>
        <v/>
      </c>
      <c r="J780" s="174">
        <f>#REF!</f>
        <v/>
      </c>
      <c r="K780" s="176">
        <f>#REF!</f>
        <v/>
      </c>
      <c r="L780" s="173" t="n"/>
      <c r="M780" s="9" t="n"/>
      <c r="N780" s="28" t="b">
        <v>0</v>
      </c>
      <c r="O780" s="172" t="b">
        <v>0</v>
      </c>
      <c r="P780" s="28" t="b">
        <v>0</v>
      </c>
      <c r="Q780" s="28" t="b">
        <v>0</v>
      </c>
      <c r="R780" s="28" t="b">
        <v>0</v>
      </c>
      <c r="S780" s="28" t="b">
        <v>0</v>
      </c>
      <c r="T780" s="28" t="b">
        <v>0</v>
      </c>
      <c r="U780" s="28" t="b">
        <v>0</v>
      </c>
      <c r="V780" s="28" t="b">
        <v>0</v>
      </c>
      <c r="W780" s="28" t="b">
        <v>0</v>
      </c>
    </row>
    <row r="781" ht="69" customHeight="1" s="222">
      <c r="A781" s="164">
        <f>#REF!</f>
        <v/>
      </c>
      <c r="B781" s="145" t="b">
        <v>0</v>
      </c>
      <c r="C781" s="176">
        <f>#REF!</f>
        <v/>
      </c>
      <c r="D781" s="174" t="n"/>
      <c r="E781" s="174" t="n"/>
      <c r="F781" s="176">
        <f>#REF!</f>
        <v/>
      </c>
      <c r="G781" s="174">
        <f>#REF!</f>
        <v/>
      </c>
      <c r="H781" s="174">
        <f>#REF!</f>
        <v/>
      </c>
      <c r="I781" s="174">
        <f>#REF!</f>
        <v/>
      </c>
      <c r="J781" s="174">
        <f>#REF!</f>
        <v/>
      </c>
      <c r="K781" s="176">
        <f>#REF!</f>
        <v/>
      </c>
      <c r="L781" s="173" t="n"/>
      <c r="M781" s="9" t="n"/>
      <c r="N781" s="28" t="b">
        <v>0</v>
      </c>
      <c r="O781" s="172" t="b">
        <v>0</v>
      </c>
      <c r="P781" s="28" t="b">
        <v>0</v>
      </c>
      <c r="Q781" s="28" t="b">
        <v>0</v>
      </c>
      <c r="R781" s="28" t="b">
        <v>0</v>
      </c>
      <c r="S781" s="28" t="b">
        <v>0</v>
      </c>
      <c r="T781" s="28" t="b">
        <v>0</v>
      </c>
      <c r="U781" s="28" t="b">
        <v>0</v>
      </c>
      <c r="V781" s="28" t="b">
        <v>0</v>
      </c>
      <c r="W781" s="28" t="b">
        <v>0</v>
      </c>
    </row>
    <row r="782" ht="69" customHeight="1" s="222">
      <c r="A782" s="164">
        <f>#REF!</f>
        <v/>
      </c>
      <c r="B782" s="145" t="b">
        <v>0</v>
      </c>
      <c r="C782" s="176">
        <f>#REF!</f>
        <v/>
      </c>
      <c r="D782" s="174" t="n"/>
      <c r="E782" s="174" t="n"/>
      <c r="F782" s="176">
        <f>#REF!</f>
        <v/>
      </c>
      <c r="G782" s="174">
        <f>#REF!</f>
        <v/>
      </c>
      <c r="H782" s="174">
        <f>#REF!</f>
        <v/>
      </c>
      <c r="I782" s="174">
        <f>#REF!</f>
        <v/>
      </c>
      <c r="J782" s="174">
        <f>#REF!</f>
        <v/>
      </c>
      <c r="K782" s="176">
        <f>#REF!</f>
        <v/>
      </c>
      <c r="L782" s="173" t="n"/>
      <c r="M782" s="9" t="n"/>
      <c r="N782" s="28" t="b">
        <v>0</v>
      </c>
      <c r="O782" s="172" t="b">
        <v>0</v>
      </c>
      <c r="P782" s="28" t="b">
        <v>0</v>
      </c>
      <c r="Q782" s="28" t="b">
        <v>0</v>
      </c>
      <c r="R782" s="28" t="b">
        <v>0</v>
      </c>
      <c r="S782" s="28" t="b">
        <v>0</v>
      </c>
      <c r="T782" s="28" t="b">
        <v>0</v>
      </c>
      <c r="U782" s="28" t="b">
        <v>0</v>
      </c>
      <c r="V782" s="28" t="b">
        <v>0</v>
      </c>
      <c r="W782" s="28" t="b">
        <v>0</v>
      </c>
    </row>
    <row r="783" ht="69" customHeight="1" s="222">
      <c r="A783" s="164">
        <f>#REF!</f>
        <v/>
      </c>
      <c r="B783" s="145" t="b">
        <v>0</v>
      </c>
      <c r="C783" s="176">
        <f>#REF!</f>
        <v/>
      </c>
      <c r="D783" s="174" t="n"/>
      <c r="E783" s="174" t="n"/>
      <c r="F783" s="176">
        <f>#REF!</f>
        <v/>
      </c>
      <c r="G783" s="174">
        <f>#REF!</f>
        <v/>
      </c>
      <c r="H783" s="174">
        <f>#REF!</f>
        <v/>
      </c>
      <c r="I783" s="174">
        <f>#REF!</f>
        <v/>
      </c>
      <c r="J783" s="174">
        <f>#REF!</f>
        <v/>
      </c>
      <c r="K783" s="176">
        <f>#REF!</f>
        <v/>
      </c>
      <c r="L783" s="173" t="n"/>
      <c r="M783" s="9" t="n"/>
      <c r="N783" s="28" t="b">
        <v>0</v>
      </c>
      <c r="O783" s="172" t="b">
        <v>0</v>
      </c>
      <c r="P783" s="28" t="b">
        <v>0</v>
      </c>
      <c r="Q783" s="28" t="b">
        <v>0</v>
      </c>
      <c r="R783" s="28" t="b">
        <v>0</v>
      </c>
      <c r="S783" s="28" t="b">
        <v>0</v>
      </c>
      <c r="T783" s="28" t="b">
        <v>0</v>
      </c>
      <c r="U783" s="28" t="b">
        <v>0</v>
      </c>
      <c r="V783" s="28" t="b">
        <v>0</v>
      </c>
      <c r="W783" s="28" t="b">
        <v>0</v>
      </c>
    </row>
    <row r="784" ht="69" customHeight="1" s="222">
      <c r="A784" s="164">
        <f>#REF!</f>
        <v/>
      </c>
      <c r="B784" s="145" t="b">
        <v>0</v>
      </c>
      <c r="C784" s="176">
        <f>#REF!</f>
        <v/>
      </c>
      <c r="D784" s="174" t="n"/>
      <c r="E784" s="174" t="n"/>
      <c r="F784" s="176">
        <f>#REF!</f>
        <v/>
      </c>
      <c r="G784" s="174">
        <f>#REF!</f>
        <v/>
      </c>
      <c r="H784" s="174">
        <f>#REF!</f>
        <v/>
      </c>
      <c r="I784" s="174">
        <f>#REF!</f>
        <v/>
      </c>
      <c r="J784" s="174">
        <f>#REF!</f>
        <v/>
      </c>
      <c r="K784" s="176">
        <f>#REF!</f>
        <v/>
      </c>
      <c r="L784" s="173" t="n"/>
      <c r="M784" s="9" t="n"/>
      <c r="N784" s="28" t="b">
        <v>0</v>
      </c>
      <c r="O784" s="172" t="b">
        <v>0</v>
      </c>
      <c r="P784" s="28" t="b">
        <v>0</v>
      </c>
      <c r="Q784" s="28" t="b">
        <v>0</v>
      </c>
      <c r="R784" s="28" t="b">
        <v>0</v>
      </c>
      <c r="S784" s="28" t="b">
        <v>0</v>
      </c>
      <c r="T784" s="28" t="b">
        <v>0</v>
      </c>
      <c r="U784" s="28" t="b">
        <v>0</v>
      </c>
      <c r="V784" s="28" t="b">
        <v>0</v>
      </c>
      <c r="W784" s="28" t="b">
        <v>0</v>
      </c>
    </row>
    <row r="785" ht="69" customHeight="1" s="222">
      <c r="A785" s="164">
        <f>#REF!</f>
        <v/>
      </c>
      <c r="B785" s="145" t="b">
        <v>0</v>
      </c>
      <c r="C785" s="176">
        <f>#REF!</f>
        <v/>
      </c>
      <c r="D785" s="174" t="n"/>
      <c r="E785" s="174" t="n"/>
      <c r="F785" s="176">
        <f>#REF!</f>
        <v/>
      </c>
      <c r="G785" s="174">
        <f>#REF!</f>
        <v/>
      </c>
      <c r="H785" s="174">
        <f>#REF!</f>
        <v/>
      </c>
      <c r="I785" s="174">
        <f>#REF!</f>
        <v/>
      </c>
      <c r="J785" s="174">
        <f>#REF!</f>
        <v/>
      </c>
      <c r="K785" s="176">
        <f>#REF!</f>
        <v/>
      </c>
      <c r="L785" s="173" t="n"/>
      <c r="M785" s="9" t="n"/>
      <c r="N785" s="28" t="b">
        <v>0</v>
      </c>
      <c r="O785" s="172" t="b">
        <v>0</v>
      </c>
      <c r="P785" s="28" t="b">
        <v>0</v>
      </c>
      <c r="Q785" s="28" t="b">
        <v>0</v>
      </c>
      <c r="R785" s="28" t="b">
        <v>0</v>
      </c>
      <c r="S785" s="28" t="b">
        <v>0</v>
      </c>
      <c r="T785" s="28" t="b">
        <v>0</v>
      </c>
      <c r="U785" s="28" t="b">
        <v>0</v>
      </c>
      <c r="V785" s="28" t="b">
        <v>0</v>
      </c>
      <c r="W785" s="28" t="b">
        <v>0</v>
      </c>
    </row>
    <row r="786" ht="69" customHeight="1" s="222">
      <c r="A786" s="164">
        <f>#REF!</f>
        <v/>
      </c>
      <c r="B786" s="145" t="b">
        <v>0</v>
      </c>
      <c r="C786" s="176">
        <f>#REF!</f>
        <v/>
      </c>
      <c r="D786" s="174" t="n"/>
      <c r="E786" s="174" t="n"/>
      <c r="F786" s="176">
        <f>#REF!</f>
        <v/>
      </c>
      <c r="G786" s="174">
        <f>#REF!</f>
        <v/>
      </c>
      <c r="H786" s="174">
        <f>#REF!</f>
        <v/>
      </c>
      <c r="I786" s="174">
        <f>#REF!</f>
        <v/>
      </c>
      <c r="J786" s="174">
        <f>#REF!</f>
        <v/>
      </c>
      <c r="K786" s="176">
        <f>#REF!</f>
        <v/>
      </c>
      <c r="L786" s="173" t="n"/>
      <c r="M786" s="9" t="n"/>
      <c r="N786" s="28" t="b">
        <v>0</v>
      </c>
      <c r="O786" s="172" t="b">
        <v>0</v>
      </c>
      <c r="P786" s="28" t="b">
        <v>0</v>
      </c>
      <c r="Q786" s="28" t="b">
        <v>0</v>
      </c>
      <c r="R786" s="28" t="b">
        <v>0</v>
      </c>
      <c r="S786" s="28" t="b">
        <v>0</v>
      </c>
      <c r="T786" s="28" t="b">
        <v>0</v>
      </c>
      <c r="U786" s="28" t="b">
        <v>0</v>
      </c>
      <c r="V786" s="28" t="b">
        <v>0</v>
      </c>
      <c r="W786" s="28" t="b">
        <v>0</v>
      </c>
    </row>
    <row r="787" ht="69" customHeight="1" s="222">
      <c r="A787" s="164">
        <f>#REF!</f>
        <v/>
      </c>
      <c r="B787" s="145" t="b">
        <v>0</v>
      </c>
      <c r="C787" s="176">
        <f>#REF!</f>
        <v/>
      </c>
      <c r="D787" s="174" t="n"/>
      <c r="E787" s="174" t="n"/>
      <c r="F787" s="176">
        <f>#REF!</f>
        <v/>
      </c>
      <c r="G787" s="174">
        <f>#REF!</f>
        <v/>
      </c>
      <c r="H787" s="174">
        <f>#REF!</f>
        <v/>
      </c>
      <c r="I787" s="174">
        <f>#REF!</f>
        <v/>
      </c>
      <c r="J787" s="174">
        <f>#REF!</f>
        <v/>
      </c>
      <c r="K787" s="176">
        <f>#REF!</f>
        <v/>
      </c>
      <c r="L787" s="173" t="n"/>
      <c r="M787" s="9" t="n"/>
      <c r="N787" s="28" t="b">
        <v>0</v>
      </c>
      <c r="O787" s="172" t="b">
        <v>0</v>
      </c>
      <c r="P787" s="28" t="b">
        <v>0</v>
      </c>
      <c r="Q787" s="28" t="b">
        <v>0</v>
      </c>
      <c r="R787" s="28" t="b">
        <v>0</v>
      </c>
      <c r="S787" s="28" t="b">
        <v>0</v>
      </c>
      <c r="T787" s="28" t="b">
        <v>0</v>
      </c>
      <c r="U787" s="28" t="b">
        <v>0</v>
      </c>
      <c r="V787" s="28" t="b">
        <v>0</v>
      </c>
      <c r="W787" s="28" t="b">
        <v>0</v>
      </c>
    </row>
    <row r="788" ht="69" customHeight="1" s="222">
      <c r="A788" s="164">
        <f>#REF!</f>
        <v/>
      </c>
      <c r="B788" s="145" t="b">
        <v>0</v>
      </c>
      <c r="C788" s="176">
        <f>#REF!</f>
        <v/>
      </c>
      <c r="D788" s="174" t="n"/>
      <c r="E788" s="174" t="n"/>
      <c r="F788" s="176">
        <f>#REF!</f>
        <v/>
      </c>
      <c r="G788" s="174">
        <f>#REF!</f>
        <v/>
      </c>
      <c r="H788" s="174">
        <f>#REF!</f>
        <v/>
      </c>
      <c r="I788" s="174">
        <f>#REF!</f>
        <v/>
      </c>
      <c r="J788" s="174">
        <f>#REF!</f>
        <v/>
      </c>
      <c r="K788" s="176">
        <f>#REF!</f>
        <v/>
      </c>
      <c r="L788" s="173" t="n"/>
      <c r="M788" s="9" t="n"/>
      <c r="N788" s="28" t="b">
        <v>0</v>
      </c>
      <c r="O788" s="172" t="b">
        <v>0</v>
      </c>
      <c r="P788" s="28" t="b">
        <v>0</v>
      </c>
      <c r="Q788" s="28" t="b">
        <v>0</v>
      </c>
      <c r="R788" s="28" t="b">
        <v>0</v>
      </c>
      <c r="S788" s="28" t="b">
        <v>0</v>
      </c>
      <c r="T788" s="28" t="b">
        <v>0</v>
      </c>
      <c r="U788" s="28" t="b">
        <v>0</v>
      </c>
      <c r="V788" s="28" t="b">
        <v>0</v>
      </c>
      <c r="W788" s="28" t="b">
        <v>0</v>
      </c>
    </row>
    <row r="789" ht="69" customHeight="1" s="222">
      <c r="A789" s="164">
        <f>#REF!</f>
        <v/>
      </c>
      <c r="B789" s="145" t="b">
        <v>0</v>
      </c>
      <c r="C789" s="176">
        <f>#REF!</f>
        <v/>
      </c>
      <c r="D789" s="174" t="n"/>
      <c r="E789" s="174" t="n"/>
      <c r="F789" s="176">
        <f>#REF!</f>
        <v/>
      </c>
      <c r="G789" s="174">
        <f>#REF!</f>
        <v/>
      </c>
      <c r="H789" s="174">
        <f>#REF!</f>
        <v/>
      </c>
      <c r="I789" s="174">
        <f>#REF!</f>
        <v/>
      </c>
      <c r="J789" s="174">
        <f>#REF!</f>
        <v/>
      </c>
      <c r="K789" s="176">
        <f>#REF!</f>
        <v/>
      </c>
      <c r="L789" s="173" t="n"/>
      <c r="M789" s="9" t="n"/>
      <c r="N789" s="28" t="b">
        <v>0</v>
      </c>
      <c r="O789" s="172" t="b">
        <v>0</v>
      </c>
      <c r="P789" s="28" t="b">
        <v>0</v>
      </c>
      <c r="Q789" s="28" t="b">
        <v>0</v>
      </c>
      <c r="R789" s="28" t="b">
        <v>0</v>
      </c>
      <c r="S789" s="28" t="b">
        <v>0</v>
      </c>
      <c r="T789" s="28" t="b">
        <v>0</v>
      </c>
      <c r="U789" s="28" t="b">
        <v>0</v>
      </c>
      <c r="V789" s="28" t="b">
        <v>0</v>
      </c>
      <c r="W789" s="28" t="b">
        <v>0</v>
      </c>
    </row>
    <row r="790" ht="69" customHeight="1" s="222">
      <c r="A790" s="164">
        <f>#REF!</f>
        <v/>
      </c>
      <c r="B790" s="145" t="b">
        <v>0</v>
      </c>
      <c r="C790" s="176">
        <f>#REF!</f>
        <v/>
      </c>
      <c r="D790" s="174" t="n"/>
      <c r="E790" s="174" t="n"/>
      <c r="F790" s="176">
        <f>#REF!</f>
        <v/>
      </c>
      <c r="G790" s="174">
        <f>#REF!</f>
        <v/>
      </c>
      <c r="H790" s="174">
        <f>#REF!</f>
        <v/>
      </c>
      <c r="I790" s="174">
        <f>#REF!</f>
        <v/>
      </c>
      <c r="J790" s="174">
        <f>#REF!</f>
        <v/>
      </c>
      <c r="K790" s="176">
        <f>#REF!</f>
        <v/>
      </c>
      <c r="L790" s="173" t="n"/>
      <c r="M790" s="9" t="n"/>
      <c r="N790" s="28" t="b">
        <v>0</v>
      </c>
      <c r="O790" s="172" t="b">
        <v>0</v>
      </c>
      <c r="P790" s="28" t="b">
        <v>0</v>
      </c>
      <c r="Q790" s="28" t="b">
        <v>0</v>
      </c>
      <c r="R790" s="28" t="b">
        <v>0</v>
      </c>
      <c r="S790" s="28" t="b">
        <v>0</v>
      </c>
      <c r="T790" s="28" t="b">
        <v>0</v>
      </c>
      <c r="U790" s="28" t="b">
        <v>0</v>
      </c>
      <c r="V790" s="28" t="b">
        <v>0</v>
      </c>
      <c r="W790" s="28" t="b">
        <v>0</v>
      </c>
    </row>
    <row r="791" ht="69" customHeight="1" s="222">
      <c r="A791" s="164">
        <f>#REF!</f>
        <v/>
      </c>
      <c r="B791" s="145" t="b">
        <v>0</v>
      </c>
      <c r="C791" s="176">
        <f>#REF!</f>
        <v/>
      </c>
      <c r="D791" s="174" t="n"/>
      <c r="E791" s="174" t="n"/>
      <c r="F791" s="176">
        <f>#REF!</f>
        <v/>
      </c>
      <c r="G791" s="174">
        <f>#REF!</f>
        <v/>
      </c>
      <c r="H791" s="174">
        <f>#REF!</f>
        <v/>
      </c>
      <c r="I791" s="174">
        <f>#REF!</f>
        <v/>
      </c>
      <c r="J791" s="174">
        <f>#REF!</f>
        <v/>
      </c>
      <c r="K791" s="176">
        <f>#REF!</f>
        <v/>
      </c>
      <c r="L791" s="173" t="n"/>
      <c r="M791" s="9" t="n"/>
      <c r="N791" s="28" t="b">
        <v>0</v>
      </c>
      <c r="O791" s="172" t="b">
        <v>0</v>
      </c>
      <c r="P791" s="28" t="b">
        <v>0</v>
      </c>
      <c r="Q791" s="28" t="b">
        <v>0</v>
      </c>
      <c r="R791" s="28" t="b">
        <v>0</v>
      </c>
      <c r="S791" s="28" t="b">
        <v>0</v>
      </c>
      <c r="T791" s="28" t="b">
        <v>0</v>
      </c>
      <c r="U791" s="28" t="b">
        <v>0</v>
      </c>
      <c r="V791" s="28" t="b">
        <v>0</v>
      </c>
      <c r="W791" s="28" t="b">
        <v>0</v>
      </c>
    </row>
    <row r="792" ht="69" customHeight="1" s="222">
      <c r="A792" s="164">
        <f>#REF!</f>
        <v/>
      </c>
      <c r="B792" s="145" t="b">
        <v>0</v>
      </c>
      <c r="C792" s="176">
        <f>#REF!</f>
        <v/>
      </c>
      <c r="D792" s="174" t="n"/>
      <c r="E792" s="174" t="n"/>
      <c r="F792" s="176">
        <f>#REF!</f>
        <v/>
      </c>
      <c r="G792" s="174">
        <f>#REF!</f>
        <v/>
      </c>
      <c r="H792" s="174">
        <f>#REF!</f>
        <v/>
      </c>
      <c r="I792" s="174">
        <f>#REF!</f>
        <v/>
      </c>
      <c r="J792" s="174">
        <f>#REF!</f>
        <v/>
      </c>
      <c r="K792" s="176">
        <f>#REF!</f>
        <v/>
      </c>
      <c r="L792" s="173" t="n"/>
      <c r="M792" s="9" t="n"/>
      <c r="N792" s="28" t="b">
        <v>0</v>
      </c>
      <c r="O792" s="172" t="b">
        <v>0</v>
      </c>
      <c r="P792" s="28" t="b">
        <v>0</v>
      </c>
      <c r="Q792" s="28" t="b">
        <v>0</v>
      </c>
      <c r="R792" s="28" t="b">
        <v>0</v>
      </c>
      <c r="S792" s="28" t="b">
        <v>0</v>
      </c>
      <c r="T792" s="28" t="b">
        <v>0</v>
      </c>
      <c r="U792" s="28" t="b">
        <v>0</v>
      </c>
      <c r="V792" s="28" t="b">
        <v>0</v>
      </c>
      <c r="W792" s="28" t="b">
        <v>0</v>
      </c>
    </row>
    <row r="793" ht="69" customHeight="1" s="222">
      <c r="A793" s="164">
        <f>#REF!</f>
        <v/>
      </c>
      <c r="B793" s="145" t="b">
        <v>0</v>
      </c>
      <c r="C793" s="176">
        <f>#REF!</f>
        <v/>
      </c>
      <c r="D793" s="174" t="n"/>
      <c r="E793" s="174" t="n"/>
      <c r="F793" s="176">
        <f>#REF!</f>
        <v/>
      </c>
      <c r="G793" s="174">
        <f>#REF!</f>
        <v/>
      </c>
      <c r="H793" s="174">
        <f>#REF!</f>
        <v/>
      </c>
      <c r="I793" s="174">
        <f>#REF!</f>
        <v/>
      </c>
      <c r="J793" s="174">
        <f>#REF!</f>
        <v/>
      </c>
      <c r="K793" s="176">
        <f>#REF!</f>
        <v/>
      </c>
      <c r="L793" s="173" t="n"/>
      <c r="M793" s="9" t="n"/>
      <c r="N793" s="28" t="b">
        <v>0</v>
      </c>
      <c r="O793" s="172" t="b">
        <v>0</v>
      </c>
      <c r="P793" s="28" t="b">
        <v>0</v>
      </c>
      <c r="Q793" s="28" t="b">
        <v>0</v>
      </c>
      <c r="R793" s="28" t="b">
        <v>0</v>
      </c>
      <c r="S793" s="28" t="b">
        <v>0</v>
      </c>
      <c r="T793" s="28" t="b">
        <v>0</v>
      </c>
      <c r="U793" s="28" t="b">
        <v>0</v>
      </c>
      <c r="V793" s="28" t="b">
        <v>0</v>
      </c>
      <c r="W793" s="28" t="b">
        <v>0</v>
      </c>
    </row>
    <row r="794" ht="69" customHeight="1" s="222">
      <c r="A794" s="164">
        <f>#REF!</f>
        <v/>
      </c>
      <c r="B794" s="145" t="b">
        <v>0</v>
      </c>
      <c r="C794" s="176">
        <f>#REF!</f>
        <v/>
      </c>
      <c r="D794" s="174" t="n"/>
      <c r="E794" s="174" t="n"/>
      <c r="F794" s="176">
        <f>#REF!</f>
        <v/>
      </c>
      <c r="G794" s="174">
        <f>#REF!</f>
        <v/>
      </c>
      <c r="H794" s="174">
        <f>#REF!</f>
        <v/>
      </c>
      <c r="I794" s="174">
        <f>#REF!</f>
        <v/>
      </c>
      <c r="J794" s="174">
        <f>#REF!</f>
        <v/>
      </c>
      <c r="K794" s="176">
        <f>#REF!</f>
        <v/>
      </c>
      <c r="L794" s="173" t="n"/>
      <c r="M794" s="9" t="n"/>
      <c r="N794" s="28" t="b">
        <v>0</v>
      </c>
      <c r="O794" s="172" t="b">
        <v>0</v>
      </c>
      <c r="P794" s="28" t="b">
        <v>0</v>
      </c>
      <c r="Q794" s="28" t="b">
        <v>0</v>
      </c>
      <c r="R794" s="28" t="b">
        <v>0</v>
      </c>
      <c r="S794" s="28" t="b">
        <v>0</v>
      </c>
      <c r="T794" s="28" t="b">
        <v>0</v>
      </c>
      <c r="U794" s="28" t="b">
        <v>0</v>
      </c>
      <c r="V794" s="28" t="b">
        <v>0</v>
      </c>
      <c r="W794" s="28" t="b">
        <v>0</v>
      </c>
    </row>
    <row r="795" ht="69" customHeight="1" s="222">
      <c r="A795" s="164">
        <f>#REF!</f>
        <v/>
      </c>
      <c r="B795" s="145" t="b">
        <v>0</v>
      </c>
      <c r="C795" s="176">
        <f>#REF!</f>
        <v/>
      </c>
      <c r="D795" s="174" t="n"/>
      <c r="E795" s="174" t="n"/>
      <c r="F795" s="176">
        <f>#REF!</f>
        <v/>
      </c>
      <c r="G795" s="174">
        <f>#REF!</f>
        <v/>
      </c>
      <c r="H795" s="174">
        <f>#REF!</f>
        <v/>
      </c>
      <c r="I795" s="174">
        <f>#REF!</f>
        <v/>
      </c>
      <c r="J795" s="174">
        <f>#REF!</f>
        <v/>
      </c>
      <c r="K795" s="176">
        <f>#REF!</f>
        <v/>
      </c>
      <c r="L795" s="173" t="n"/>
      <c r="M795" s="9" t="n"/>
      <c r="N795" s="28" t="b">
        <v>0</v>
      </c>
      <c r="O795" s="172" t="b">
        <v>0</v>
      </c>
      <c r="P795" s="28" t="b">
        <v>0</v>
      </c>
      <c r="Q795" s="28" t="b">
        <v>0</v>
      </c>
      <c r="R795" s="28" t="b">
        <v>0</v>
      </c>
      <c r="S795" s="28" t="b">
        <v>0</v>
      </c>
      <c r="T795" s="28" t="b">
        <v>0</v>
      </c>
      <c r="U795" s="28" t="b">
        <v>0</v>
      </c>
      <c r="V795" s="28" t="b">
        <v>0</v>
      </c>
      <c r="W795" s="28" t="b">
        <v>0</v>
      </c>
    </row>
    <row r="796" ht="69" customHeight="1" s="222">
      <c r="A796" s="164">
        <f>#REF!</f>
        <v/>
      </c>
      <c r="B796" s="145" t="b">
        <v>0</v>
      </c>
      <c r="C796" s="176">
        <f>#REF!</f>
        <v/>
      </c>
      <c r="D796" s="174" t="n"/>
      <c r="E796" s="174" t="n"/>
      <c r="F796" s="176">
        <f>#REF!</f>
        <v/>
      </c>
      <c r="G796" s="174">
        <f>#REF!</f>
        <v/>
      </c>
      <c r="H796" s="174">
        <f>#REF!</f>
        <v/>
      </c>
      <c r="I796" s="174">
        <f>#REF!</f>
        <v/>
      </c>
      <c r="J796" s="174">
        <f>#REF!</f>
        <v/>
      </c>
      <c r="K796" s="176">
        <f>#REF!</f>
        <v/>
      </c>
      <c r="L796" s="173" t="n"/>
      <c r="M796" s="9" t="n"/>
      <c r="N796" s="28" t="b">
        <v>0</v>
      </c>
      <c r="O796" s="172" t="b">
        <v>0</v>
      </c>
      <c r="P796" s="28" t="b">
        <v>0</v>
      </c>
      <c r="Q796" s="28" t="b">
        <v>0</v>
      </c>
      <c r="R796" s="28" t="b">
        <v>0</v>
      </c>
      <c r="S796" s="28" t="b">
        <v>0</v>
      </c>
      <c r="T796" s="28" t="b">
        <v>0</v>
      </c>
      <c r="U796" s="28" t="b">
        <v>0</v>
      </c>
      <c r="V796" s="28" t="b">
        <v>0</v>
      </c>
      <c r="W796" s="28" t="b">
        <v>0</v>
      </c>
    </row>
    <row r="797" ht="69" customHeight="1" s="222">
      <c r="A797" s="164">
        <f>#REF!</f>
        <v/>
      </c>
      <c r="B797" s="145" t="b">
        <v>0</v>
      </c>
      <c r="C797" s="176">
        <f>#REF!</f>
        <v/>
      </c>
      <c r="D797" s="174" t="n"/>
      <c r="E797" s="174" t="n"/>
      <c r="F797" s="176">
        <f>#REF!</f>
        <v/>
      </c>
      <c r="G797" s="174">
        <f>#REF!</f>
        <v/>
      </c>
      <c r="H797" s="174">
        <f>#REF!</f>
        <v/>
      </c>
      <c r="I797" s="174">
        <f>#REF!</f>
        <v/>
      </c>
      <c r="J797" s="174">
        <f>#REF!</f>
        <v/>
      </c>
      <c r="K797" s="176">
        <f>#REF!</f>
        <v/>
      </c>
      <c r="L797" s="173" t="n"/>
      <c r="M797" s="9" t="n"/>
      <c r="N797" s="28" t="b">
        <v>0</v>
      </c>
      <c r="O797" s="172" t="b">
        <v>0</v>
      </c>
      <c r="P797" s="28" t="b">
        <v>0</v>
      </c>
      <c r="Q797" s="28" t="b">
        <v>0</v>
      </c>
      <c r="R797" s="28" t="b">
        <v>0</v>
      </c>
      <c r="S797" s="28" t="b">
        <v>0</v>
      </c>
      <c r="T797" s="28" t="b">
        <v>0</v>
      </c>
      <c r="U797" s="28" t="b">
        <v>0</v>
      </c>
      <c r="V797" s="28" t="b">
        <v>0</v>
      </c>
      <c r="W797" s="28" t="b">
        <v>0</v>
      </c>
    </row>
    <row r="798" ht="69" customHeight="1" s="222">
      <c r="A798" s="164">
        <f>#REF!</f>
        <v/>
      </c>
      <c r="B798" s="145" t="b">
        <v>0</v>
      </c>
      <c r="C798" s="176">
        <f>#REF!</f>
        <v/>
      </c>
      <c r="D798" s="174" t="n"/>
      <c r="E798" s="174" t="n"/>
      <c r="F798" s="176">
        <f>#REF!</f>
        <v/>
      </c>
      <c r="G798" s="174">
        <f>#REF!</f>
        <v/>
      </c>
      <c r="H798" s="174">
        <f>#REF!</f>
        <v/>
      </c>
      <c r="I798" s="174">
        <f>#REF!</f>
        <v/>
      </c>
      <c r="J798" s="174">
        <f>#REF!</f>
        <v/>
      </c>
      <c r="K798" s="176">
        <f>#REF!</f>
        <v/>
      </c>
      <c r="L798" s="173" t="n"/>
      <c r="M798" s="9" t="n"/>
      <c r="N798" s="28" t="b">
        <v>0</v>
      </c>
      <c r="O798" s="172" t="b">
        <v>0</v>
      </c>
      <c r="P798" s="28" t="b">
        <v>0</v>
      </c>
      <c r="Q798" s="28" t="b">
        <v>0</v>
      </c>
      <c r="R798" s="28" t="b">
        <v>0</v>
      </c>
      <c r="S798" s="28" t="b">
        <v>0</v>
      </c>
      <c r="T798" s="28" t="b">
        <v>0</v>
      </c>
      <c r="U798" s="28" t="b">
        <v>0</v>
      </c>
      <c r="V798" s="28" t="b">
        <v>0</v>
      </c>
      <c r="W798" s="28" t="b">
        <v>0</v>
      </c>
    </row>
    <row r="799" ht="69" customHeight="1" s="222">
      <c r="A799" s="164">
        <f>#REF!</f>
        <v/>
      </c>
      <c r="B799" s="145" t="b">
        <v>0</v>
      </c>
      <c r="C799" s="176">
        <f>#REF!</f>
        <v/>
      </c>
      <c r="D799" s="174" t="n"/>
      <c r="E799" s="174" t="n"/>
      <c r="F799" s="176">
        <f>#REF!</f>
        <v/>
      </c>
      <c r="G799" s="174">
        <f>#REF!</f>
        <v/>
      </c>
      <c r="H799" s="174">
        <f>#REF!</f>
        <v/>
      </c>
      <c r="I799" s="174">
        <f>#REF!</f>
        <v/>
      </c>
      <c r="J799" s="174">
        <f>#REF!</f>
        <v/>
      </c>
      <c r="K799" s="176">
        <f>#REF!</f>
        <v/>
      </c>
      <c r="L799" s="173" t="n"/>
      <c r="M799" s="9" t="n"/>
      <c r="N799" s="28" t="b">
        <v>0</v>
      </c>
      <c r="O799" s="172" t="b">
        <v>0</v>
      </c>
      <c r="P799" s="28" t="b">
        <v>0</v>
      </c>
      <c r="Q799" s="28" t="b">
        <v>0</v>
      </c>
      <c r="R799" s="28" t="b">
        <v>0</v>
      </c>
      <c r="S799" s="28" t="b">
        <v>0</v>
      </c>
      <c r="T799" s="28" t="b">
        <v>0</v>
      </c>
      <c r="U799" s="28" t="b">
        <v>0</v>
      </c>
      <c r="V799" s="28" t="b">
        <v>0</v>
      </c>
      <c r="W799" s="28" t="b">
        <v>0</v>
      </c>
    </row>
    <row r="800" ht="69" customHeight="1" s="222">
      <c r="A800" s="164">
        <f>#REF!</f>
        <v/>
      </c>
      <c r="B800" s="145" t="b">
        <v>0</v>
      </c>
      <c r="C800" s="176">
        <f>#REF!</f>
        <v/>
      </c>
      <c r="D800" s="174" t="n"/>
      <c r="E800" s="174" t="n"/>
      <c r="F800" s="176">
        <f>#REF!</f>
        <v/>
      </c>
      <c r="G800" s="174">
        <f>#REF!</f>
        <v/>
      </c>
      <c r="H800" s="174">
        <f>#REF!</f>
        <v/>
      </c>
      <c r="I800" s="174">
        <f>#REF!</f>
        <v/>
      </c>
      <c r="J800" s="174">
        <f>#REF!</f>
        <v/>
      </c>
      <c r="K800" s="176">
        <f>#REF!</f>
        <v/>
      </c>
      <c r="L800" s="173" t="n"/>
      <c r="M800" s="9" t="n"/>
      <c r="N800" s="28" t="b">
        <v>0</v>
      </c>
      <c r="O800" s="172" t="b">
        <v>0</v>
      </c>
      <c r="P800" s="28" t="b">
        <v>0</v>
      </c>
      <c r="Q800" s="28" t="b">
        <v>0</v>
      </c>
      <c r="R800" s="28" t="b">
        <v>0</v>
      </c>
      <c r="S800" s="28" t="b">
        <v>0</v>
      </c>
      <c r="T800" s="28" t="b">
        <v>0</v>
      </c>
      <c r="U800" s="28" t="b">
        <v>0</v>
      </c>
      <c r="V800" s="28" t="b">
        <v>0</v>
      </c>
      <c r="W800" s="28" t="b">
        <v>0</v>
      </c>
    </row>
    <row r="801" ht="69" customHeight="1" s="222">
      <c r="A801" s="164">
        <f>#REF!</f>
        <v/>
      </c>
      <c r="B801" s="145" t="b">
        <v>0</v>
      </c>
      <c r="C801" s="176">
        <f>#REF!</f>
        <v/>
      </c>
      <c r="D801" s="174" t="n"/>
      <c r="E801" s="174" t="n"/>
      <c r="F801" s="176">
        <f>#REF!</f>
        <v/>
      </c>
      <c r="G801" s="174">
        <f>#REF!</f>
        <v/>
      </c>
      <c r="H801" s="174">
        <f>#REF!</f>
        <v/>
      </c>
      <c r="I801" s="174">
        <f>#REF!</f>
        <v/>
      </c>
      <c r="J801" s="174">
        <f>#REF!</f>
        <v/>
      </c>
      <c r="K801" s="176">
        <f>#REF!</f>
        <v/>
      </c>
      <c r="L801" s="173" t="n"/>
      <c r="M801" s="9" t="n"/>
      <c r="N801" s="28" t="b">
        <v>0</v>
      </c>
      <c r="O801" s="172" t="b">
        <v>0</v>
      </c>
      <c r="P801" s="28" t="b">
        <v>0</v>
      </c>
      <c r="Q801" s="28" t="b">
        <v>0</v>
      </c>
      <c r="R801" s="28" t="b">
        <v>0</v>
      </c>
      <c r="S801" s="28" t="b">
        <v>0</v>
      </c>
      <c r="T801" s="28" t="b">
        <v>0</v>
      </c>
      <c r="U801" s="28" t="b">
        <v>0</v>
      </c>
      <c r="V801" s="28" t="b">
        <v>0</v>
      </c>
      <c r="W801" s="28" t="b">
        <v>0</v>
      </c>
    </row>
    <row r="802" ht="69" customHeight="1" s="222">
      <c r="A802" s="164">
        <f>#REF!</f>
        <v/>
      </c>
      <c r="B802" s="145" t="b">
        <v>0</v>
      </c>
      <c r="C802" s="176">
        <f>#REF!</f>
        <v/>
      </c>
      <c r="D802" s="174" t="n"/>
      <c r="E802" s="174" t="n"/>
      <c r="F802" s="176">
        <f>#REF!</f>
        <v/>
      </c>
      <c r="G802" s="174">
        <f>#REF!</f>
        <v/>
      </c>
      <c r="H802" s="174">
        <f>#REF!</f>
        <v/>
      </c>
      <c r="I802" s="174">
        <f>#REF!</f>
        <v/>
      </c>
      <c r="J802" s="174">
        <f>#REF!</f>
        <v/>
      </c>
      <c r="K802" s="176">
        <f>#REF!</f>
        <v/>
      </c>
      <c r="L802" s="173" t="n"/>
      <c r="M802" s="9" t="n"/>
      <c r="N802" s="28" t="b">
        <v>0</v>
      </c>
      <c r="O802" s="172" t="b">
        <v>0</v>
      </c>
      <c r="P802" s="28" t="b">
        <v>0</v>
      </c>
      <c r="Q802" s="28" t="b">
        <v>0</v>
      </c>
      <c r="R802" s="28" t="b">
        <v>0</v>
      </c>
      <c r="S802" s="28" t="b">
        <v>0</v>
      </c>
      <c r="T802" s="28" t="b">
        <v>0</v>
      </c>
      <c r="U802" s="28" t="b">
        <v>0</v>
      </c>
      <c r="V802" s="28" t="b">
        <v>0</v>
      </c>
      <c r="W802" s="28" t="b">
        <v>0</v>
      </c>
    </row>
    <row r="803" ht="69" customHeight="1" s="222">
      <c r="A803" s="164">
        <f>#REF!</f>
        <v/>
      </c>
      <c r="B803" s="145" t="b">
        <v>0</v>
      </c>
      <c r="C803" s="176">
        <f>#REF!</f>
        <v/>
      </c>
      <c r="D803" s="174" t="n"/>
      <c r="E803" s="174" t="n"/>
      <c r="F803" s="176">
        <f>#REF!</f>
        <v/>
      </c>
      <c r="G803" s="174">
        <f>#REF!</f>
        <v/>
      </c>
      <c r="H803" s="174">
        <f>#REF!</f>
        <v/>
      </c>
      <c r="I803" s="174">
        <f>#REF!</f>
        <v/>
      </c>
      <c r="J803" s="174">
        <f>#REF!</f>
        <v/>
      </c>
      <c r="K803" s="176">
        <f>#REF!</f>
        <v/>
      </c>
      <c r="L803" s="173" t="n"/>
      <c r="M803" s="9" t="n"/>
      <c r="N803" s="28" t="b">
        <v>0</v>
      </c>
      <c r="O803" s="172" t="b">
        <v>0</v>
      </c>
      <c r="P803" s="28" t="b">
        <v>0</v>
      </c>
      <c r="Q803" s="28" t="b">
        <v>0</v>
      </c>
      <c r="R803" s="28" t="b">
        <v>0</v>
      </c>
      <c r="S803" s="28" t="b">
        <v>0</v>
      </c>
      <c r="T803" s="28" t="b">
        <v>0</v>
      </c>
      <c r="U803" s="28" t="b">
        <v>0</v>
      </c>
      <c r="V803" s="28" t="b">
        <v>0</v>
      </c>
      <c r="W803" s="28" t="b">
        <v>0</v>
      </c>
    </row>
    <row r="804" ht="69" customHeight="1" s="222">
      <c r="A804" s="164">
        <f>#REF!</f>
        <v/>
      </c>
      <c r="B804" s="145" t="b">
        <v>0</v>
      </c>
      <c r="C804" s="176">
        <f>#REF!</f>
        <v/>
      </c>
      <c r="D804" s="174" t="n"/>
      <c r="E804" s="174" t="n"/>
      <c r="F804" s="176">
        <f>#REF!</f>
        <v/>
      </c>
      <c r="G804" s="174">
        <f>#REF!</f>
        <v/>
      </c>
      <c r="H804" s="174">
        <f>#REF!</f>
        <v/>
      </c>
      <c r="I804" s="174">
        <f>#REF!</f>
        <v/>
      </c>
      <c r="J804" s="174">
        <f>#REF!</f>
        <v/>
      </c>
      <c r="K804" s="176">
        <f>#REF!</f>
        <v/>
      </c>
      <c r="L804" s="173" t="n"/>
      <c r="M804" s="9" t="n"/>
      <c r="N804" s="28" t="b">
        <v>0</v>
      </c>
      <c r="O804" s="172" t="b">
        <v>0</v>
      </c>
      <c r="P804" s="28" t="b">
        <v>0</v>
      </c>
      <c r="Q804" s="28" t="b">
        <v>0</v>
      </c>
      <c r="R804" s="28" t="b">
        <v>0</v>
      </c>
      <c r="S804" s="28" t="b">
        <v>0</v>
      </c>
      <c r="T804" s="28" t="b">
        <v>0</v>
      </c>
      <c r="U804" s="28" t="b">
        <v>0</v>
      </c>
      <c r="V804" s="28" t="b">
        <v>0</v>
      </c>
      <c r="W804" s="28" t="b">
        <v>0</v>
      </c>
    </row>
    <row r="805" ht="69" customHeight="1" s="222">
      <c r="A805" s="164">
        <f>#REF!</f>
        <v/>
      </c>
      <c r="B805" s="145" t="b">
        <v>0</v>
      </c>
      <c r="C805" s="176">
        <f>#REF!</f>
        <v/>
      </c>
      <c r="D805" s="174" t="n"/>
      <c r="E805" s="174" t="n"/>
      <c r="F805" s="176">
        <f>#REF!</f>
        <v/>
      </c>
      <c r="G805" s="174">
        <f>#REF!</f>
        <v/>
      </c>
      <c r="H805" s="174">
        <f>#REF!</f>
        <v/>
      </c>
      <c r="I805" s="174">
        <f>#REF!</f>
        <v/>
      </c>
      <c r="J805" s="174">
        <f>#REF!</f>
        <v/>
      </c>
      <c r="K805" s="176">
        <f>#REF!</f>
        <v/>
      </c>
      <c r="L805" s="173" t="n"/>
      <c r="M805" s="9" t="n"/>
      <c r="N805" s="28" t="b">
        <v>0</v>
      </c>
      <c r="O805" s="172" t="b">
        <v>0</v>
      </c>
      <c r="P805" s="28" t="b">
        <v>0</v>
      </c>
      <c r="Q805" s="28" t="b">
        <v>0</v>
      </c>
      <c r="R805" s="28" t="b">
        <v>0</v>
      </c>
      <c r="S805" s="28" t="b">
        <v>0</v>
      </c>
      <c r="T805" s="28" t="b">
        <v>0</v>
      </c>
      <c r="U805" s="28" t="b">
        <v>0</v>
      </c>
      <c r="V805" s="28" t="b">
        <v>0</v>
      </c>
      <c r="W805" s="28" t="b">
        <v>0</v>
      </c>
    </row>
    <row r="806" ht="69" customHeight="1" s="222">
      <c r="A806" s="164">
        <f>#REF!</f>
        <v/>
      </c>
      <c r="B806" s="145" t="b">
        <v>0</v>
      </c>
      <c r="C806" s="176">
        <f>#REF!</f>
        <v/>
      </c>
      <c r="D806" s="174" t="n"/>
      <c r="E806" s="174" t="n"/>
      <c r="F806" s="176">
        <f>#REF!</f>
        <v/>
      </c>
      <c r="G806" s="174">
        <f>#REF!</f>
        <v/>
      </c>
      <c r="H806" s="174">
        <f>#REF!</f>
        <v/>
      </c>
      <c r="I806" s="174">
        <f>#REF!</f>
        <v/>
      </c>
      <c r="J806" s="174">
        <f>#REF!</f>
        <v/>
      </c>
      <c r="K806" s="176">
        <f>#REF!</f>
        <v/>
      </c>
      <c r="L806" s="173" t="n"/>
      <c r="M806" s="9" t="n"/>
      <c r="N806" s="28" t="b">
        <v>0</v>
      </c>
      <c r="O806" s="172" t="b">
        <v>0</v>
      </c>
      <c r="P806" s="28" t="b">
        <v>0</v>
      </c>
      <c r="Q806" s="28" t="b">
        <v>0</v>
      </c>
      <c r="R806" s="28" t="b">
        <v>0</v>
      </c>
      <c r="S806" s="28" t="b">
        <v>0</v>
      </c>
      <c r="T806" s="28" t="b">
        <v>0</v>
      </c>
      <c r="U806" s="28" t="b">
        <v>0</v>
      </c>
      <c r="V806" s="28" t="b">
        <v>0</v>
      </c>
      <c r="W806" s="28" t="b">
        <v>0</v>
      </c>
    </row>
    <row r="807" ht="69" customHeight="1" s="222">
      <c r="A807" s="164">
        <f>#REF!</f>
        <v/>
      </c>
      <c r="B807" s="145" t="b">
        <v>0</v>
      </c>
      <c r="C807" s="176">
        <f>#REF!</f>
        <v/>
      </c>
      <c r="D807" s="174" t="n"/>
      <c r="E807" s="174" t="n"/>
      <c r="F807" s="176">
        <f>#REF!</f>
        <v/>
      </c>
      <c r="G807" s="174">
        <f>#REF!</f>
        <v/>
      </c>
      <c r="H807" s="174">
        <f>#REF!</f>
        <v/>
      </c>
      <c r="I807" s="174">
        <f>#REF!</f>
        <v/>
      </c>
      <c r="J807" s="174">
        <f>#REF!</f>
        <v/>
      </c>
      <c r="K807" s="176">
        <f>#REF!</f>
        <v/>
      </c>
      <c r="L807" s="173" t="n"/>
      <c r="M807" s="9" t="n"/>
      <c r="N807" s="28" t="b">
        <v>0</v>
      </c>
      <c r="O807" s="172" t="b">
        <v>0</v>
      </c>
      <c r="P807" s="28" t="b">
        <v>0</v>
      </c>
      <c r="Q807" s="28" t="b">
        <v>0</v>
      </c>
      <c r="R807" s="28" t="b">
        <v>0</v>
      </c>
      <c r="S807" s="28" t="b">
        <v>0</v>
      </c>
      <c r="T807" s="28" t="b">
        <v>0</v>
      </c>
      <c r="U807" s="28" t="b">
        <v>0</v>
      </c>
      <c r="V807" s="28" t="b">
        <v>0</v>
      </c>
      <c r="W807" s="28" t="b">
        <v>0</v>
      </c>
    </row>
    <row r="808" ht="69" customHeight="1" s="222">
      <c r="A808" s="164">
        <f>#REF!</f>
        <v/>
      </c>
      <c r="B808" s="145" t="b">
        <v>0</v>
      </c>
      <c r="C808" s="176">
        <f>#REF!</f>
        <v/>
      </c>
      <c r="D808" s="174" t="n"/>
      <c r="E808" s="174" t="n"/>
      <c r="F808" s="176">
        <f>#REF!</f>
        <v/>
      </c>
      <c r="G808" s="174">
        <f>#REF!</f>
        <v/>
      </c>
      <c r="H808" s="174">
        <f>#REF!</f>
        <v/>
      </c>
      <c r="I808" s="174">
        <f>#REF!</f>
        <v/>
      </c>
      <c r="J808" s="174">
        <f>#REF!</f>
        <v/>
      </c>
      <c r="K808" s="176">
        <f>#REF!</f>
        <v/>
      </c>
      <c r="L808" s="173" t="n"/>
      <c r="M808" s="9" t="n"/>
      <c r="N808" s="28" t="b">
        <v>0</v>
      </c>
      <c r="O808" s="172" t="b">
        <v>0</v>
      </c>
      <c r="P808" s="28" t="b">
        <v>0</v>
      </c>
      <c r="Q808" s="28" t="b">
        <v>0</v>
      </c>
      <c r="R808" s="28" t="b">
        <v>0</v>
      </c>
      <c r="S808" s="28" t="b">
        <v>0</v>
      </c>
      <c r="T808" s="28" t="b">
        <v>0</v>
      </c>
      <c r="U808" s="28" t="b">
        <v>0</v>
      </c>
      <c r="V808" s="28" t="b">
        <v>0</v>
      </c>
      <c r="W808" s="28" t="b">
        <v>0</v>
      </c>
    </row>
    <row r="809" ht="69" customHeight="1" s="222">
      <c r="A809" s="164">
        <f>#REF!</f>
        <v/>
      </c>
      <c r="B809" s="145" t="b">
        <v>0</v>
      </c>
      <c r="C809" s="176">
        <f>#REF!</f>
        <v/>
      </c>
      <c r="D809" s="174" t="n"/>
      <c r="E809" s="174" t="n"/>
      <c r="F809" s="176">
        <f>#REF!</f>
        <v/>
      </c>
      <c r="G809" s="174">
        <f>#REF!</f>
        <v/>
      </c>
      <c r="H809" s="174">
        <f>#REF!</f>
        <v/>
      </c>
      <c r="I809" s="174">
        <f>#REF!</f>
        <v/>
      </c>
      <c r="J809" s="174">
        <f>#REF!</f>
        <v/>
      </c>
      <c r="K809" s="176">
        <f>#REF!</f>
        <v/>
      </c>
      <c r="L809" s="173" t="n"/>
      <c r="M809" s="9" t="n"/>
      <c r="N809" s="28" t="b">
        <v>0</v>
      </c>
      <c r="O809" s="172" t="b">
        <v>0</v>
      </c>
      <c r="P809" s="28" t="b">
        <v>0</v>
      </c>
      <c r="Q809" s="28" t="b">
        <v>0</v>
      </c>
      <c r="R809" s="28" t="b">
        <v>0</v>
      </c>
      <c r="S809" s="28" t="b">
        <v>0</v>
      </c>
      <c r="T809" s="28" t="b">
        <v>0</v>
      </c>
      <c r="U809" s="28" t="b">
        <v>0</v>
      </c>
      <c r="V809" s="28" t="b">
        <v>0</v>
      </c>
      <c r="W809" s="28" t="b">
        <v>0</v>
      </c>
    </row>
    <row r="810" ht="69" customHeight="1" s="222">
      <c r="A810" s="164">
        <f>#REF!</f>
        <v/>
      </c>
      <c r="B810" s="145" t="b">
        <v>0</v>
      </c>
      <c r="C810" s="176">
        <f>#REF!</f>
        <v/>
      </c>
      <c r="D810" s="174" t="n"/>
      <c r="E810" s="174" t="n"/>
      <c r="F810" s="176">
        <f>#REF!</f>
        <v/>
      </c>
      <c r="G810" s="174">
        <f>#REF!</f>
        <v/>
      </c>
      <c r="H810" s="174">
        <f>#REF!</f>
        <v/>
      </c>
      <c r="I810" s="174">
        <f>#REF!</f>
        <v/>
      </c>
      <c r="J810" s="174">
        <f>#REF!</f>
        <v/>
      </c>
      <c r="K810" s="176">
        <f>#REF!</f>
        <v/>
      </c>
      <c r="L810" s="173" t="n"/>
      <c r="M810" s="9" t="n"/>
      <c r="N810" s="28" t="b">
        <v>0</v>
      </c>
      <c r="O810" s="172" t="b">
        <v>0</v>
      </c>
      <c r="P810" s="28" t="b">
        <v>0</v>
      </c>
      <c r="Q810" s="28" t="b">
        <v>0</v>
      </c>
      <c r="R810" s="28" t="b">
        <v>0</v>
      </c>
      <c r="S810" s="28" t="b">
        <v>0</v>
      </c>
      <c r="T810" s="28" t="b">
        <v>0</v>
      </c>
      <c r="U810" s="28" t="b">
        <v>0</v>
      </c>
      <c r="V810" s="28" t="b">
        <v>0</v>
      </c>
      <c r="W810" s="28" t="b">
        <v>0</v>
      </c>
    </row>
    <row r="811" ht="69" customHeight="1" s="222">
      <c r="A811" s="164">
        <f>#REF!</f>
        <v/>
      </c>
      <c r="B811" s="145" t="b">
        <v>0</v>
      </c>
      <c r="C811" s="176">
        <f>#REF!</f>
        <v/>
      </c>
      <c r="D811" s="174" t="n"/>
      <c r="E811" s="174" t="n"/>
      <c r="F811" s="176">
        <f>#REF!</f>
        <v/>
      </c>
      <c r="G811" s="174">
        <f>#REF!</f>
        <v/>
      </c>
      <c r="H811" s="174">
        <f>#REF!</f>
        <v/>
      </c>
      <c r="I811" s="174">
        <f>#REF!</f>
        <v/>
      </c>
      <c r="J811" s="174">
        <f>#REF!</f>
        <v/>
      </c>
      <c r="K811" s="176">
        <f>#REF!</f>
        <v/>
      </c>
      <c r="L811" s="173" t="n"/>
      <c r="M811" s="9" t="n"/>
      <c r="N811" s="28" t="b">
        <v>0</v>
      </c>
      <c r="O811" s="172" t="b">
        <v>0</v>
      </c>
      <c r="P811" s="28" t="b">
        <v>0</v>
      </c>
      <c r="Q811" s="28" t="b">
        <v>0</v>
      </c>
      <c r="R811" s="28" t="b">
        <v>0</v>
      </c>
      <c r="S811" s="28" t="b">
        <v>0</v>
      </c>
      <c r="T811" s="28" t="b">
        <v>0</v>
      </c>
      <c r="U811" s="28" t="b">
        <v>0</v>
      </c>
      <c r="V811" s="28" t="b">
        <v>0</v>
      </c>
      <c r="W811" s="28" t="b">
        <v>0</v>
      </c>
    </row>
    <row r="812" ht="69" customHeight="1" s="222">
      <c r="A812" s="164">
        <f>#REF!</f>
        <v/>
      </c>
      <c r="B812" s="145" t="b">
        <v>0</v>
      </c>
      <c r="C812" s="176">
        <f>#REF!</f>
        <v/>
      </c>
      <c r="D812" s="174" t="n"/>
      <c r="E812" s="174" t="n"/>
      <c r="F812" s="176">
        <f>#REF!</f>
        <v/>
      </c>
      <c r="G812" s="174">
        <f>#REF!</f>
        <v/>
      </c>
      <c r="H812" s="174">
        <f>#REF!</f>
        <v/>
      </c>
      <c r="I812" s="174">
        <f>#REF!</f>
        <v/>
      </c>
      <c r="J812" s="174">
        <f>#REF!</f>
        <v/>
      </c>
      <c r="K812" s="176">
        <f>#REF!</f>
        <v/>
      </c>
      <c r="L812" s="173" t="n"/>
      <c r="M812" s="9" t="n"/>
      <c r="N812" s="28" t="b">
        <v>0</v>
      </c>
      <c r="O812" s="172" t="b">
        <v>0</v>
      </c>
      <c r="P812" s="28" t="b">
        <v>0</v>
      </c>
      <c r="Q812" s="28" t="b">
        <v>0</v>
      </c>
      <c r="R812" s="28" t="b">
        <v>0</v>
      </c>
      <c r="S812" s="28" t="b">
        <v>0</v>
      </c>
      <c r="T812" s="28" t="b">
        <v>0</v>
      </c>
      <c r="U812" s="28" t="b">
        <v>0</v>
      </c>
      <c r="V812" s="28" t="b">
        <v>0</v>
      </c>
      <c r="W812" s="28" t="b">
        <v>0</v>
      </c>
    </row>
    <row r="813" ht="69" customHeight="1" s="222">
      <c r="A813" s="164">
        <f>#REF!</f>
        <v/>
      </c>
      <c r="B813" s="145" t="b">
        <v>0</v>
      </c>
      <c r="C813" s="176">
        <f>#REF!</f>
        <v/>
      </c>
      <c r="D813" s="174" t="n"/>
      <c r="E813" s="174" t="n"/>
      <c r="F813" s="176">
        <f>#REF!</f>
        <v/>
      </c>
      <c r="G813" s="174">
        <f>#REF!</f>
        <v/>
      </c>
      <c r="H813" s="174">
        <f>#REF!</f>
        <v/>
      </c>
      <c r="I813" s="174">
        <f>#REF!</f>
        <v/>
      </c>
      <c r="J813" s="174">
        <f>#REF!</f>
        <v/>
      </c>
      <c r="K813" s="176">
        <f>#REF!</f>
        <v/>
      </c>
      <c r="L813" s="173" t="n"/>
      <c r="M813" s="9" t="n"/>
      <c r="N813" s="28" t="b">
        <v>0</v>
      </c>
      <c r="O813" s="172" t="b">
        <v>0</v>
      </c>
      <c r="P813" s="28" t="b">
        <v>0</v>
      </c>
      <c r="Q813" s="28" t="b">
        <v>0</v>
      </c>
      <c r="R813" s="28" t="b">
        <v>0</v>
      </c>
      <c r="S813" s="28" t="b">
        <v>0</v>
      </c>
      <c r="T813" s="28" t="b">
        <v>0</v>
      </c>
      <c r="U813" s="28" t="b">
        <v>0</v>
      </c>
      <c r="V813" s="28" t="b">
        <v>0</v>
      </c>
      <c r="W813" s="28" t="b">
        <v>0</v>
      </c>
    </row>
    <row r="814" ht="69" customHeight="1" s="222">
      <c r="A814" s="164">
        <f>#REF!</f>
        <v/>
      </c>
      <c r="B814" s="145" t="b">
        <v>0</v>
      </c>
      <c r="C814" s="176">
        <f>#REF!</f>
        <v/>
      </c>
      <c r="D814" s="174" t="n"/>
      <c r="E814" s="174" t="n"/>
      <c r="F814" s="176">
        <f>#REF!</f>
        <v/>
      </c>
      <c r="G814" s="174">
        <f>#REF!</f>
        <v/>
      </c>
      <c r="H814" s="174">
        <f>#REF!</f>
        <v/>
      </c>
      <c r="I814" s="174">
        <f>#REF!</f>
        <v/>
      </c>
      <c r="J814" s="174">
        <f>#REF!</f>
        <v/>
      </c>
      <c r="K814" s="176">
        <f>#REF!</f>
        <v/>
      </c>
      <c r="L814" s="173" t="n"/>
      <c r="M814" s="9" t="n"/>
      <c r="N814" s="28" t="b">
        <v>0</v>
      </c>
      <c r="O814" s="172" t="b">
        <v>0</v>
      </c>
      <c r="P814" s="28" t="b">
        <v>0</v>
      </c>
      <c r="Q814" s="28" t="b">
        <v>0</v>
      </c>
      <c r="R814" s="28" t="b">
        <v>0</v>
      </c>
      <c r="S814" s="28" t="b">
        <v>0</v>
      </c>
      <c r="T814" s="28" t="b">
        <v>0</v>
      </c>
      <c r="U814" s="28" t="b">
        <v>0</v>
      </c>
      <c r="V814" s="28" t="b">
        <v>0</v>
      </c>
      <c r="W814" s="28" t="b">
        <v>0</v>
      </c>
    </row>
    <row r="815" ht="69" customHeight="1" s="222">
      <c r="A815" s="164">
        <f>#REF!</f>
        <v/>
      </c>
      <c r="B815" s="145" t="b">
        <v>0</v>
      </c>
      <c r="C815" s="176">
        <f>#REF!</f>
        <v/>
      </c>
      <c r="D815" s="174" t="n"/>
      <c r="E815" s="174" t="n"/>
      <c r="F815" s="176">
        <f>#REF!</f>
        <v/>
      </c>
      <c r="G815" s="174">
        <f>#REF!</f>
        <v/>
      </c>
      <c r="H815" s="174">
        <f>#REF!</f>
        <v/>
      </c>
      <c r="I815" s="174">
        <f>#REF!</f>
        <v/>
      </c>
      <c r="J815" s="174">
        <f>#REF!</f>
        <v/>
      </c>
      <c r="K815" s="176">
        <f>#REF!</f>
        <v/>
      </c>
      <c r="L815" s="173" t="n"/>
      <c r="M815" s="9" t="n"/>
      <c r="N815" s="28" t="b">
        <v>0</v>
      </c>
      <c r="O815" s="172" t="b">
        <v>0</v>
      </c>
      <c r="P815" s="28" t="b">
        <v>0</v>
      </c>
      <c r="Q815" s="28" t="b">
        <v>0</v>
      </c>
      <c r="R815" s="28" t="b">
        <v>0</v>
      </c>
      <c r="S815" s="28" t="b">
        <v>0</v>
      </c>
      <c r="T815" s="28" t="b">
        <v>0</v>
      </c>
      <c r="U815" s="28" t="b">
        <v>0</v>
      </c>
      <c r="V815" s="28" t="b">
        <v>0</v>
      </c>
      <c r="W815" s="28" t="b">
        <v>0</v>
      </c>
    </row>
    <row r="816" ht="69" customHeight="1" s="222">
      <c r="A816" s="164">
        <f>#REF!</f>
        <v/>
      </c>
      <c r="B816" s="145" t="b">
        <v>0</v>
      </c>
      <c r="C816" s="176">
        <f>#REF!</f>
        <v/>
      </c>
      <c r="D816" s="174" t="n"/>
      <c r="E816" s="174" t="n"/>
      <c r="F816" s="176">
        <f>#REF!</f>
        <v/>
      </c>
      <c r="G816" s="174">
        <f>#REF!</f>
        <v/>
      </c>
      <c r="H816" s="174">
        <f>#REF!</f>
        <v/>
      </c>
      <c r="I816" s="174">
        <f>#REF!</f>
        <v/>
      </c>
      <c r="J816" s="174">
        <f>#REF!</f>
        <v/>
      </c>
      <c r="K816" s="176">
        <f>#REF!</f>
        <v/>
      </c>
      <c r="L816" s="173" t="n"/>
      <c r="M816" s="9" t="n"/>
      <c r="N816" s="28" t="b">
        <v>0</v>
      </c>
      <c r="O816" s="172" t="b">
        <v>0</v>
      </c>
      <c r="P816" s="28" t="b">
        <v>0</v>
      </c>
      <c r="Q816" s="28" t="b">
        <v>0</v>
      </c>
      <c r="R816" s="28" t="b">
        <v>0</v>
      </c>
      <c r="S816" s="28" t="b">
        <v>0</v>
      </c>
      <c r="T816" s="28" t="b">
        <v>0</v>
      </c>
      <c r="U816" s="28" t="b">
        <v>0</v>
      </c>
      <c r="V816" s="28" t="b">
        <v>0</v>
      </c>
      <c r="W816" s="28" t="b">
        <v>0</v>
      </c>
    </row>
    <row r="817" ht="69" customHeight="1" s="222">
      <c r="A817" s="164">
        <f>#REF!</f>
        <v/>
      </c>
      <c r="B817" s="145" t="b">
        <v>0</v>
      </c>
      <c r="C817" s="176">
        <f>#REF!</f>
        <v/>
      </c>
      <c r="D817" s="174" t="n"/>
      <c r="E817" s="174" t="n"/>
      <c r="F817" s="176">
        <f>#REF!</f>
        <v/>
      </c>
      <c r="G817" s="174">
        <f>#REF!</f>
        <v/>
      </c>
      <c r="H817" s="174">
        <f>#REF!</f>
        <v/>
      </c>
      <c r="I817" s="174">
        <f>#REF!</f>
        <v/>
      </c>
      <c r="J817" s="174">
        <f>#REF!</f>
        <v/>
      </c>
      <c r="K817" s="176">
        <f>#REF!</f>
        <v/>
      </c>
      <c r="L817" s="173" t="n"/>
      <c r="M817" s="9" t="n"/>
      <c r="N817" s="28" t="b">
        <v>0</v>
      </c>
      <c r="O817" s="172" t="b">
        <v>0</v>
      </c>
      <c r="P817" s="28" t="b">
        <v>0</v>
      </c>
      <c r="Q817" s="28" t="b">
        <v>0</v>
      </c>
      <c r="R817" s="28" t="b">
        <v>0</v>
      </c>
      <c r="S817" s="28" t="b">
        <v>0</v>
      </c>
      <c r="T817" s="28" t="b">
        <v>0</v>
      </c>
      <c r="U817" s="28" t="b">
        <v>0</v>
      </c>
      <c r="V817" s="28" t="b">
        <v>0</v>
      </c>
      <c r="W817" s="28" t="b">
        <v>0</v>
      </c>
    </row>
    <row r="818" ht="69" customHeight="1" s="222">
      <c r="A818" s="164">
        <f>#REF!</f>
        <v/>
      </c>
      <c r="B818" s="145" t="b">
        <v>0</v>
      </c>
      <c r="C818" s="176">
        <f>#REF!</f>
        <v/>
      </c>
      <c r="D818" s="174" t="n"/>
      <c r="E818" s="174" t="n"/>
      <c r="F818" s="176">
        <f>#REF!</f>
        <v/>
      </c>
      <c r="G818" s="174">
        <f>#REF!</f>
        <v/>
      </c>
      <c r="H818" s="174">
        <f>#REF!</f>
        <v/>
      </c>
      <c r="I818" s="174">
        <f>#REF!</f>
        <v/>
      </c>
      <c r="J818" s="174">
        <f>#REF!</f>
        <v/>
      </c>
      <c r="K818" s="176">
        <f>#REF!</f>
        <v/>
      </c>
      <c r="L818" s="173" t="n"/>
      <c r="M818" s="9" t="n"/>
      <c r="N818" s="28" t="b">
        <v>0</v>
      </c>
      <c r="O818" s="172" t="b">
        <v>0</v>
      </c>
      <c r="P818" s="28" t="b">
        <v>0</v>
      </c>
      <c r="Q818" s="28" t="b">
        <v>0</v>
      </c>
      <c r="R818" s="28" t="b">
        <v>0</v>
      </c>
      <c r="S818" s="28" t="b">
        <v>0</v>
      </c>
      <c r="T818" s="28" t="b">
        <v>0</v>
      </c>
      <c r="U818" s="28" t="b">
        <v>0</v>
      </c>
      <c r="V818" s="28" t="b">
        <v>0</v>
      </c>
      <c r="W818" s="28" t="b">
        <v>0</v>
      </c>
    </row>
    <row r="819" ht="69" customHeight="1" s="222">
      <c r="A819" s="164">
        <f>#REF!</f>
        <v/>
      </c>
      <c r="B819" s="145" t="b">
        <v>0</v>
      </c>
      <c r="C819" s="176">
        <f>#REF!</f>
        <v/>
      </c>
      <c r="D819" s="174" t="n"/>
      <c r="E819" s="174" t="n"/>
      <c r="F819" s="176">
        <f>#REF!</f>
        <v/>
      </c>
      <c r="G819" s="174">
        <f>#REF!</f>
        <v/>
      </c>
      <c r="H819" s="174">
        <f>#REF!</f>
        <v/>
      </c>
      <c r="I819" s="174">
        <f>#REF!</f>
        <v/>
      </c>
      <c r="J819" s="174">
        <f>#REF!</f>
        <v/>
      </c>
      <c r="K819" s="176">
        <f>#REF!</f>
        <v/>
      </c>
      <c r="L819" s="173" t="n"/>
      <c r="M819" s="9" t="n"/>
      <c r="N819" s="28" t="b">
        <v>0</v>
      </c>
      <c r="O819" s="172" t="b">
        <v>0</v>
      </c>
      <c r="P819" s="28" t="b">
        <v>0</v>
      </c>
      <c r="Q819" s="28" t="b">
        <v>0</v>
      </c>
      <c r="R819" s="28" t="b">
        <v>0</v>
      </c>
      <c r="S819" s="28" t="b">
        <v>0</v>
      </c>
      <c r="T819" s="28" t="b">
        <v>0</v>
      </c>
      <c r="U819" s="28" t="b">
        <v>0</v>
      </c>
      <c r="V819" s="28" t="b">
        <v>0</v>
      </c>
      <c r="W819" s="28" t="b">
        <v>0</v>
      </c>
    </row>
    <row r="820" ht="69" customHeight="1" s="222">
      <c r="A820" s="164">
        <f>#REF!</f>
        <v/>
      </c>
      <c r="B820" s="145" t="b">
        <v>0</v>
      </c>
      <c r="C820" s="176">
        <f>#REF!</f>
        <v/>
      </c>
      <c r="D820" s="174" t="n"/>
      <c r="E820" s="174" t="n"/>
      <c r="F820" s="176">
        <f>#REF!</f>
        <v/>
      </c>
      <c r="G820" s="174">
        <f>#REF!</f>
        <v/>
      </c>
      <c r="H820" s="174">
        <f>#REF!</f>
        <v/>
      </c>
      <c r="I820" s="174">
        <f>#REF!</f>
        <v/>
      </c>
      <c r="J820" s="174">
        <f>#REF!</f>
        <v/>
      </c>
      <c r="K820" s="176">
        <f>#REF!</f>
        <v/>
      </c>
      <c r="L820" s="173" t="n"/>
      <c r="M820" s="9" t="n"/>
      <c r="N820" s="28" t="b">
        <v>0</v>
      </c>
      <c r="O820" s="172" t="b">
        <v>0</v>
      </c>
      <c r="P820" s="28" t="b">
        <v>0</v>
      </c>
      <c r="Q820" s="28" t="b">
        <v>0</v>
      </c>
      <c r="R820" s="28" t="b">
        <v>0</v>
      </c>
      <c r="S820" s="28" t="b">
        <v>0</v>
      </c>
      <c r="T820" s="28" t="b">
        <v>0</v>
      </c>
      <c r="U820" s="28" t="b">
        <v>0</v>
      </c>
      <c r="V820" s="28" t="b">
        <v>0</v>
      </c>
      <c r="W820" s="28" t="b">
        <v>0</v>
      </c>
    </row>
    <row r="821" ht="69" customHeight="1" s="222">
      <c r="A821" s="164">
        <f>#REF!</f>
        <v/>
      </c>
      <c r="B821" s="145" t="b">
        <v>0</v>
      </c>
      <c r="C821" s="176">
        <f>#REF!</f>
        <v/>
      </c>
      <c r="D821" s="174" t="n"/>
      <c r="E821" s="174" t="n"/>
      <c r="F821" s="176">
        <f>#REF!</f>
        <v/>
      </c>
      <c r="G821" s="174">
        <f>#REF!</f>
        <v/>
      </c>
      <c r="H821" s="174">
        <f>#REF!</f>
        <v/>
      </c>
      <c r="I821" s="174">
        <f>#REF!</f>
        <v/>
      </c>
      <c r="J821" s="174">
        <f>#REF!</f>
        <v/>
      </c>
      <c r="K821" s="176">
        <f>#REF!</f>
        <v/>
      </c>
      <c r="L821" s="173" t="n"/>
      <c r="M821" s="9" t="n"/>
      <c r="N821" s="28" t="b">
        <v>0</v>
      </c>
      <c r="O821" s="172" t="b">
        <v>0</v>
      </c>
      <c r="P821" s="28" t="b">
        <v>0</v>
      </c>
      <c r="Q821" s="28" t="b">
        <v>0</v>
      </c>
      <c r="R821" s="28" t="b">
        <v>0</v>
      </c>
      <c r="S821" s="28" t="b">
        <v>0</v>
      </c>
      <c r="T821" s="28" t="b">
        <v>0</v>
      </c>
      <c r="U821" s="28" t="b">
        <v>0</v>
      </c>
      <c r="V821" s="28" t="b">
        <v>0</v>
      </c>
      <c r="W821" s="28" t="b">
        <v>0</v>
      </c>
    </row>
    <row r="822" ht="69" customHeight="1" s="222">
      <c r="A822" s="164">
        <f>#REF!</f>
        <v/>
      </c>
      <c r="B822" s="145" t="b">
        <v>0</v>
      </c>
      <c r="C822" s="176">
        <f>#REF!</f>
        <v/>
      </c>
      <c r="D822" s="174" t="n"/>
      <c r="E822" s="174" t="n"/>
      <c r="F822" s="176">
        <f>#REF!</f>
        <v/>
      </c>
      <c r="G822" s="174">
        <f>#REF!</f>
        <v/>
      </c>
      <c r="H822" s="174">
        <f>#REF!</f>
        <v/>
      </c>
      <c r="I822" s="174">
        <f>#REF!</f>
        <v/>
      </c>
      <c r="J822" s="174">
        <f>#REF!</f>
        <v/>
      </c>
      <c r="K822" s="176">
        <f>#REF!</f>
        <v/>
      </c>
      <c r="L822" s="173" t="n"/>
      <c r="M822" s="9" t="n"/>
      <c r="N822" s="28" t="b">
        <v>0</v>
      </c>
      <c r="O822" s="172" t="b">
        <v>0</v>
      </c>
      <c r="P822" s="28" t="b">
        <v>0</v>
      </c>
      <c r="Q822" s="28" t="b">
        <v>0</v>
      </c>
      <c r="R822" s="28" t="b">
        <v>0</v>
      </c>
      <c r="S822" s="28" t="b">
        <v>0</v>
      </c>
      <c r="T822" s="28" t="b">
        <v>0</v>
      </c>
      <c r="U822" s="28" t="b">
        <v>0</v>
      </c>
      <c r="V822" s="28" t="b">
        <v>0</v>
      </c>
      <c r="W822" s="28" t="b">
        <v>0</v>
      </c>
    </row>
    <row r="823" ht="69" customHeight="1" s="222">
      <c r="A823" s="164">
        <f>#REF!</f>
        <v/>
      </c>
      <c r="B823" s="145" t="b">
        <v>0</v>
      </c>
      <c r="C823" s="176">
        <f>#REF!</f>
        <v/>
      </c>
      <c r="D823" s="174" t="n"/>
      <c r="E823" s="174" t="n"/>
      <c r="F823" s="176">
        <f>#REF!</f>
        <v/>
      </c>
      <c r="G823" s="174">
        <f>#REF!</f>
        <v/>
      </c>
      <c r="H823" s="174">
        <f>#REF!</f>
        <v/>
      </c>
      <c r="I823" s="174">
        <f>#REF!</f>
        <v/>
      </c>
      <c r="J823" s="174">
        <f>#REF!</f>
        <v/>
      </c>
      <c r="K823" s="176">
        <f>#REF!</f>
        <v/>
      </c>
      <c r="L823" s="173" t="n"/>
      <c r="M823" s="9" t="n"/>
      <c r="N823" s="28" t="b">
        <v>0</v>
      </c>
      <c r="O823" s="172" t="b">
        <v>0</v>
      </c>
      <c r="P823" s="28" t="b">
        <v>0</v>
      </c>
      <c r="Q823" s="28" t="b">
        <v>0</v>
      </c>
      <c r="R823" s="28" t="b">
        <v>0</v>
      </c>
      <c r="S823" s="28" t="b">
        <v>0</v>
      </c>
      <c r="T823" s="28" t="b">
        <v>0</v>
      </c>
      <c r="U823" s="28" t="b">
        <v>0</v>
      </c>
      <c r="V823" s="28" t="b">
        <v>0</v>
      </c>
      <c r="W823" s="28" t="b">
        <v>0</v>
      </c>
    </row>
    <row r="824" ht="69" customHeight="1" s="222">
      <c r="A824" s="164">
        <f>#REF!</f>
        <v/>
      </c>
      <c r="B824" s="145" t="b">
        <v>0</v>
      </c>
      <c r="C824" s="176">
        <f>#REF!</f>
        <v/>
      </c>
      <c r="D824" s="174" t="n"/>
      <c r="E824" s="174" t="n"/>
      <c r="F824" s="176">
        <f>#REF!</f>
        <v/>
      </c>
      <c r="G824" s="174">
        <f>#REF!</f>
        <v/>
      </c>
      <c r="H824" s="174">
        <f>#REF!</f>
        <v/>
      </c>
      <c r="I824" s="174">
        <f>#REF!</f>
        <v/>
      </c>
      <c r="J824" s="174">
        <f>#REF!</f>
        <v/>
      </c>
      <c r="K824" s="176">
        <f>#REF!</f>
        <v/>
      </c>
      <c r="L824" s="173" t="n"/>
      <c r="M824" s="9" t="n"/>
      <c r="N824" s="28" t="b">
        <v>0</v>
      </c>
      <c r="O824" s="172" t="b">
        <v>0</v>
      </c>
      <c r="P824" s="28" t="b">
        <v>0</v>
      </c>
      <c r="Q824" s="28" t="b">
        <v>0</v>
      </c>
      <c r="R824" s="28" t="b">
        <v>0</v>
      </c>
      <c r="S824" s="28" t="b">
        <v>0</v>
      </c>
      <c r="T824" s="28" t="b">
        <v>0</v>
      </c>
      <c r="U824" s="28" t="b">
        <v>0</v>
      </c>
      <c r="V824" s="28" t="b">
        <v>0</v>
      </c>
      <c r="W824" s="28" t="b">
        <v>0</v>
      </c>
    </row>
    <row r="825" ht="69" customHeight="1" s="222">
      <c r="A825" s="164">
        <f>#REF!</f>
        <v/>
      </c>
      <c r="B825" s="145" t="b">
        <v>0</v>
      </c>
      <c r="C825" s="176">
        <f>#REF!</f>
        <v/>
      </c>
      <c r="D825" s="174" t="n"/>
      <c r="E825" s="174" t="n"/>
      <c r="F825" s="176">
        <f>#REF!</f>
        <v/>
      </c>
      <c r="G825" s="174">
        <f>#REF!</f>
        <v/>
      </c>
      <c r="H825" s="174">
        <f>#REF!</f>
        <v/>
      </c>
      <c r="I825" s="174">
        <f>#REF!</f>
        <v/>
      </c>
      <c r="J825" s="174">
        <f>#REF!</f>
        <v/>
      </c>
      <c r="K825" s="176">
        <f>#REF!</f>
        <v/>
      </c>
      <c r="L825" s="173" t="n"/>
      <c r="M825" s="9" t="n"/>
      <c r="N825" s="28" t="b">
        <v>0</v>
      </c>
      <c r="O825" s="172" t="b">
        <v>0</v>
      </c>
      <c r="P825" s="28" t="b">
        <v>0</v>
      </c>
      <c r="Q825" s="28" t="b">
        <v>0</v>
      </c>
      <c r="R825" s="28" t="b">
        <v>0</v>
      </c>
      <c r="S825" s="28" t="b">
        <v>0</v>
      </c>
      <c r="T825" s="28" t="b">
        <v>0</v>
      </c>
      <c r="U825" s="28" t="b">
        <v>0</v>
      </c>
      <c r="V825" s="28" t="b">
        <v>0</v>
      </c>
      <c r="W825" s="28" t="b">
        <v>0</v>
      </c>
    </row>
    <row r="826" ht="69" customHeight="1" s="222">
      <c r="A826" s="164">
        <f>#REF!</f>
        <v/>
      </c>
      <c r="B826" s="145" t="b">
        <v>0</v>
      </c>
      <c r="C826" s="176">
        <f>#REF!</f>
        <v/>
      </c>
      <c r="D826" s="174" t="n"/>
      <c r="E826" s="174" t="n"/>
      <c r="F826" s="176">
        <f>#REF!</f>
        <v/>
      </c>
      <c r="G826" s="174">
        <f>#REF!</f>
        <v/>
      </c>
      <c r="H826" s="174">
        <f>#REF!</f>
        <v/>
      </c>
      <c r="I826" s="174">
        <f>#REF!</f>
        <v/>
      </c>
      <c r="J826" s="174">
        <f>#REF!</f>
        <v/>
      </c>
      <c r="K826" s="176">
        <f>#REF!</f>
        <v/>
      </c>
      <c r="L826" s="173" t="n"/>
      <c r="M826" s="9" t="n"/>
      <c r="N826" s="28" t="b">
        <v>0</v>
      </c>
      <c r="O826" s="172" t="b">
        <v>0</v>
      </c>
      <c r="P826" s="28" t="b">
        <v>0</v>
      </c>
      <c r="Q826" s="28" t="b">
        <v>0</v>
      </c>
      <c r="R826" s="28" t="b">
        <v>0</v>
      </c>
      <c r="S826" s="28" t="b">
        <v>0</v>
      </c>
      <c r="T826" s="28" t="b">
        <v>0</v>
      </c>
      <c r="U826" s="28" t="b">
        <v>0</v>
      </c>
      <c r="V826" s="28" t="b">
        <v>0</v>
      </c>
      <c r="W826" s="28" t="b">
        <v>0</v>
      </c>
    </row>
    <row r="827" ht="69" customHeight="1" s="222">
      <c r="A827" s="164">
        <f>#REF!</f>
        <v/>
      </c>
      <c r="B827" s="145" t="b">
        <v>0</v>
      </c>
      <c r="C827" s="176">
        <f>#REF!</f>
        <v/>
      </c>
      <c r="D827" s="174" t="n"/>
      <c r="E827" s="174" t="n"/>
      <c r="F827" s="176">
        <f>#REF!</f>
        <v/>
      </c>
      <c r="G827" s="174">
        <f>#REF!</f>
        <v/>
      </c>
      <c r="H827" s="174">
        <f>#REF!</f>
        <v/>
      </c>
      <c r="I827" s="174">
        <f>#REF!</f>
        <v/>
      </c>
      <c r="J827" s="174">
        <f>#REF!</f>
        <v/>
      </c>
      <c r="K827" s="176">
        <f>#REF!</f>
        <v/>
      </c>
      <c r="L827" s="173" t="n"/>
      <c r="M827" s="9" t="n"/>
      <c r="N827" s="28" t="b">
        <v>0</v>
      </c>
      <c r="O827" s="172" t="b">
        <v>0</v>
      </c>
      <c r="P827" s="28" t="b">
        <v>0</v>
      </c>
      <c r="Q827" s="28" t="b">
        <v>0</v>
      </c>
      <c r="R827" s="28" t="b">
        <v>0</v>
      </c>
      <c r="S827" s="28" t="b">
        <v>0</v>
      </c>
      <c r="T827" s="28" t="b">
        <v>0</v>
      </c>
      <c r="U827" s="28" t="b">
        <v>0</v>
      </c>
      <c r="V827" s="28" t="b">
        <v>0</v>
      </c>
      <c r="W827" s="28" t="b">
        <v>0</v>
      </c>
    </row>
    <row r="828" ht="69" customHeight="1" s="222">
      <c r="A828" s="164">
        <f>#REF!</f>
        <v/>
      </c>
      <c r="B828" s="145" t="b">
        <v>0</v>
      </c>
      <c r="C828" s="176">
        <f>#REF!</f>
        <v/>
      </c>
      <c r="D828" s="174" t="n"/>
      <c r="E828" s="174" t="n"/>
      <c r="F828" s="176">
        <f>#REF!</f>
        <v/>
      </c>
      <c r="G828" s="174">
        <f>#REF!</f>
        <v/>
      </c>
      <c r="H828" s="174">
        <f>#REF!</f>
        <v/>
      </c>
      <c r="I828" s="174">
        <f>#REF!</f>
        <v/>
      </c>
      <c r="J828" s="174">
        <f>#REF!</f>
        <v/>
      </c>
      <c r="K828" s="176">
        <f>#REF!</f>
        <v/>
      </c>
      <c r="L828" s="173" t="n"/>
      <c r="M828" s="9" t="n"/>
      <c r="N828" s="28" t="b">
        <v>0</v>
      </c>
      <c r="O828" s="172" t="b">
        <v>0</v>
      </c>
      <c r="P828" s="28" t="b">
        <v>0</v>
      </c>
      <c r="Q828" s="28" t="b">
        <v>0</v>
      </c>
      <c r="R828" s="28" t="b">
        <v>0</v>
      </c>
      <c r="S828" s="28" t="b">
        <v>0</v>
      </c>
      <c r="T828" s="28" t="b">
        <v>0</v>
      </c>
      <c r="U828" s="28" t="b">
        <v>0</v>
      </c>
      <c r="V828" s="28" t="b">
        <v>0</v>
      </c>
      <c r="W828" s="28" t="b">
        <v>0</v>
      </c>
    </row>
    <row r="829" ht="69" customHeight="1" s="222">
      <c r="A829" s="164">
        <f>#REF!</f>
        <v/>
      </c>
      <c r="B829" s="145" t="b">
        <v>0</v>
      </c>
      <c r="C829" s="176">
        <f>#REF!</f>
        <v/>
      </c>
      <c r="D829" s="174" t="n"/>
      <c r="E829" s="174" t="n"/>
      <c r="F829" s="176">
        <f>#REF!</f>
        <v/>
      </c>
      <c r="G829" s="174">
        <f>#REF!</f>
        <v/>
      </c>
      <c r="H829" s="174">
        <f>#REF!</f>
        <v/>
      </c>
      <c r="I829" s="174">
        <f>#REF!</f>
        <v/>
      </c>
      <c r="J829" s="174">
        <f>#REF!</f>
        <v/>
      </c>
      <c r="K829" s="176">
        <f>#REF!</f>
        <v/>
      </c>
      <c r="L829" s="173" t="n"/>
      <c r="M829" s="9" t="n"/>
      <c r="N829" s="28" t="b">
        <v>0</v>
      </c>
      <c r="O829" s="172" t="b">
        <v>0</v>
      </c>
      <c r="P829" s="28" t="b">
        <v>0</v>
      </c>
      <c r="Q829" s="28" t="b">
        <v>0</v>
      </c>
      <c r="R829" s="28" t="b">
        <v>0</v>
      </c>
      <c r="S829" s="28" t="b">
        <v>0</v>
      </c>
      <c r="T829" s="28" t="b">
        <v>0</v>
      </c>
      <c r="U829" s="28" t="b">
        <v>0</v>
      </c>
      <c r="V829" s="28" t="b">
        <v>0</v>
      </c>
      <c r="W829" s="28" t="b">
        <v>0</v>
      </c>
    </row>
    <row r="830" ht="69" customHeight="1" s="222">
      <c r="A830" s="164">
        <f>#REF!</f>
        <v/>
      </c>
      <c r="B830" s="145" t="b">
        <v>0</v>
      </c>
      <c r="C830" s="176">
        <f>#REF!</f>
        <v/>
      </c>
      <c r="D830" s="174" t="n"/>
      <c r="E830" s="174" t="n"/>
      <c r="F830" s="176">
        <f>#REF!</f>
        <v/>
      </c>
      <c r="G830" s="174">
        <f>#REF!</f>
        <v/>
      </c>
      <c r="H830" s="174">
        <f>#REF!</f>
        <v/>
      </c>
      <c r="I830" s="174">
        <f>#REF!</f>
        <v/>
      </c>
      <c r="J830" s="174">
        <f>#REF!</f>
        <v/>
      </c>
      <c r="K830" s="176">
        <f>#REF!</f>
        <v/>
      </c>
      <c r="L830" s="173" t="n"/>
      <c r="M830" s="9" t="n"/>
      <c r="N830" s="28" t="b">
        <v>0</v>
      </c>
      <c r="O830" s="172" t="b">
        <v>0</v>
      </c>
      <c r="P830" s="28" t="b">
        <v>0</v>
      </c>
      <c r="Q830" s="28" t="b">
        <v>0</v>
      </c>
      <c r="R830" s="28" t="b">
        <v>0</v>
      </c>
      <c r="S830" s="28" t="b">
        <v>0</v>
      </c>
      <c r="T830" s="28" t="b">
        <v>0</v>
      </c>
      <c r="U830" s="28" t="b">
        <v>0</v>
      </c>
      <c r="V830" s="28" t="b">
        <v>0</v>
      </c>
      <c r="W830" s="28" t="b">
        <v>0</v>
      </c>
    </row>
    <row r="831" ht="69" customHeight="1" s="222">
      <c r="A831" s="164">
        <f>#REF!</f>
        <v/>
      </c>
      <c r="B831" s="145" t="b">
        <v>0</v>
      </c>
      <c r="C831" s="176">
        <f>#REF!</f>
        <v/>
      </c>
      <c r="D831" s="174" t="n"/>
      <c r="E831" s="174" t="n"/>
      <c r="F831" s="176">
        <f>#REF!</f>
        <v/>
      </c>
      <c r="G831" s="174">
        <f>#REF!</f>
        <v/>
      </c>
      <c r="H831" s="174">
        <f>#REF!</f>
        <v/>
      </c>
      <c r="I831" s="174">
        <f>#REF!</f>
        <v/>
      </c>
      <c r="J831" s="174">
        <f>#REF!</f>
        <v/>
      </c>
      <c r="K831" s="176">
        <f>#REF!</f>
        <v/>
      </c>
      <c r="L831" s="173" t="n"/>
      <c r="M831" s="9" t="n"/>
      <c r="N831" s="28" t="b">
        <v>0</v>
      </c>
      <c r="O831" s="172" t="b">
        <v>0</v>
      </c>
      <c r="P831" s="28" t="b">
        <v>0</v>
      </c>
      <c r="Q831" s="28" t="b">
        <v>0</v>
      </c>
      <c r="R831" s="28" t="b">
        <v>0</v>
      </c>
      <c r="S831" s="28" t="b">
        <v>0</v>
      </c>
      <c r="T831" s="28" t="b">
        <v>0</v>
      </c>
      <c r="U831" s="28" t="b">
        <v>0</v>
      </c>
      <c r="V831" s="28" t="b">
        <v>0</v>
      </c>
      <c r="W831" s="28" t="b">
        <v>0</v>
      </c>
    </row>
    <row r="832" ht="69" customHeight="1" s="222">
      <c r="A832" s="164">
        <f>#REF!</f>
        <v/>
      </c>
      <c r="B832" s="145" t="b">
        <v>0</v>
      </c>
      <c r="C832" s="176">
        <f>#REF!</f>
        <v/>
      </c>
      <c r="D832" s="174" t="n"/>
      <c r="E832" s="174" t="n"/>
      <c r="F832" s="176">
        <f>#REF!</f>
        <v/>
      </c>
      <c r="G832" s="174">
        <f>#REF!</f>
        <v/>
      </c>
      <c r="H832" s="174">
        <f>#REF!</f>
        <v/>
      </c>
      <c r="I832" s="174">
        <f>#REF!</f>
        <v/>
      </c>
      <c r="J832" s="174">
        <f>#REF!</f>
        <v/>
      </c>
      <c r="K832" s="176">
        <f>#REF!</f>
        <v/>
      </c>
      <c r="L832" s="173" t="n"/>
      <c r="M832" s="9" t="n"/>
      <c r="N832" s="28" t="b">
        <v>0</v>
      </c>
      <c r="O832" s="172" t="b">
        <v>0</v>
      </c>
      <c r="P832" s="28" t="b">
        <v>0</v>
      </c>
      <c r="Q832" s="28" t="b">
        <v>0</v>
      </c>
      <c r="R832" s="28" t="b">
        <v>0</v>
      </c>
      <c r="S832" s="28" t="b">
        <v>0</v>
      </c>
      <c r="T832" s="28" t="b">
        <v>0</v>
      </c>
      <c r="U832" s="28" t="b">
        <v>0</v>
      </c>
      <c r="V832" s="28" t="b">
        <v>0</v>
      </c>
      <c r="W832" s="28" t="b">
        <v>0</v>
      </c>
    </row>
    <row r="833" ht="69" customHeight="1" s="222">
      <c r="A833" s="164">
        <f>#REF!</f>
        <v/>
      </c>
      <c r="B833" s="145" t="b">
        <v>0</v>
      </c>
      <c r="C833" s="176">
        <f>#REF!</f>
        <v/>
      </c>
      <c r="D833" s="174" t="n"/>
      <c r="E833" s="174" t="n"/>
      <c r="F833" s="176">
        <f>#REF!</f>
        <v/>
      </c>
      <c r="G833" s="174">
        <f>#REF!</f>
        <v/>
      </c>
      <c r="H833" s="174">
        <f>#REF!</f>
        <v/>
      </c>
      <c r="I833" s="174">
        <f>#REF!</f>
        <v/>
      </c>
      <c r="J833" s="174">
        <f>#REF!</f>
        <v/>
      </c>
      <c r="K833" s="176">
        <f>#REF!</f>
        <v/>
      </c>
      <c r="L833" s="173" t="n"/>
      <c r="M833" s="9" t="n"/>
      <c r="N833" s="28" t="b">
        <v>0</v>
      </c>
      <c r="O833" s="172" t="b">
        <v>0</v>
      </c>
      <c r="P833" s="28" t="b">
        <v>0</v>
      </c>
      <c r="Q833" s="28" t="b">
        <v>0</v>
      </c>
      <c r="R833" s="28" t="b">
        <v>0</v>
      </c>
      <c r="S833" s="28" t="b">
        <v>0</v>
      </c>
      <c r="T833" s="28" t="b">
        <v>0</v>
      </c>
      <c r="U833" s="28" t="b">
        <v>0</v>
      </c>
      <c r="V833" s="28" t="b">
        <v>0</v>
      </c>
      <c r="W833" s="28" t="b">
        <v>0</v>
      </c>
    </row>
    <row r="834" ht="69" customHeight="1" s="222">
      <c r="A834" s="164">
        <f>#REF!</f>
        <v/>
      </c>
      <c r="B834" s="145" t="b">
        <v>0</v>
      </c>
      <c r="C834" s="176">
        <f>#REF!</f>
        <v/>
      </c>
      <c r="D834" s="174" t="n"/>
      <c r="E834" s="174" t="n"/>
      <c r="F834" s="176">
        <f>#REF!</f>
        <v/>
      </c>
      <c r="G834" s="174">
        <f>#REF!</f>
        <v/>
      </c>
      <c r="H834" s="174">
        <f>#REF!</f>
        <v/>
      </c>
      <c r="I834" s="174">
        <f>#REF!</f>
        <v/>
      </c>
      <c r="J834" s="174">
        <f>#REF!</f>
        <v/>
      </c>
      <c r="K834" s="176">
        <f>#REF!</f>
        <v/>
      </c>
      <c r="L834" s="173" t="n"/>
      <c r="M834" s="9" t="n"/>
      <c r="N834" s="28" t="b">
        <v>0</v>
      </c>
      <c r="O834" s="172" t="b">
        <v>0</v>
      </c>
      <c r="P834" s="28" t="b">
        <v>0</v>
      </c>
      <c r="Q834" s="28" t="b">
        <v>0</v>
      </c>
      <c r="R834" s="28" t="b">
        <v>0</v>
      </c>
      <c r="S834" s="28" t="b">
        <v>0</v>
      </c>
      <c r="T834" s="28" t="b">
        <v>0</v>
      </c>
      <c r="U834" s="28" t="b">
        <v>0</v>
      </c>
      <c r="V834" s="28" t="b">
        <v>0</v>
      </c>
      <c r="W834" s="28" t="b">
        <v>0</v>
      </c>
    </row>
    <row r="835" ht="69" customHeight="1" s="222">
      <c r="A835" s="164">
        <f>#REF!</f>
        <v/>
      </c>
      <c r="B835" s="145" t="b">
        <v>0</v>
      </c>
      <c r="C835" s="176">
        <f>#REF!</f>
        <v/>
      </c>
      <c r="D835" s="174" t="n"/>
      <c r="E835" s="174" t="n"/>
      <c r="F835" s="176">
        <f>#REF!</f>
        <v/>
      </c>
      <c r="G835" s="174">
        <f>#REF!</f>
        <v/>
      </c>
      <c r="H835" s="174">
        <f>#REF!</f>
        <v/>
      </c>
      <c r="I835" s="174">
        <f>#REF!</f>
        <v/>
      </c>
      <c r="J835" s="174">
        <f>#REF!</f>
        <v/>
      </c>
      <c r="K835" s="176">
        <f>#REF!</f>
        <v/>
      </c>
      <c r="L835" s="173" t="n"/>
      <c r="M835" s="9" t="n"/>
      <c r="N835" s="28" t="b">
        <v>0</v>
      </c>
      <c r="O835" s="172" t="b">
        <v>0</v>
      </c>
      <c r="P835" s="28" t="b">
        <v>0</v>
      </c>
      <c r="Q835" s="28" t="b">
        <v>0</v>
      </c>
      <c r="R835" s="28" t="b">
        <v>0</v>
      </c>
      <c r="S835" s="28" t="b">
        <v>0</v>
      </c>
      <c r="T835" s="28" t="b">
        <v>0</v>
      </c>
      <c r="U835" s="28" t="b">
        <v>0</v>
      </c>
      <c r="V835" s="28" t="b">
        <v>0</v>
      </c>
      <c r="W835" s="28" t="b">
        <v>0</v>
      </c>
    </row>
    <row r="836" ht="69" customHeight="1" s="222">
      <c r="A836" s="164">
        <f>#REF!</f>
        <v/>
      </c>
      <c r="B836" s="145" t="b">
        <v>0</v>
      </c>
      <c r="C836" s="176">
        <f>#REF!</f>
        <v/>
      </c>
      <c r="D836" s="174" t="n"/>
      <c r="E836" s="174" t="n"/>
      <c r="F836" s="176">
        <f>#REF!</f>
        <v/>
      </c>
      <c r="G836" s="174">
        <f>#REF!</f>
        <v/>
      </c>
      <c r="H836" s="174">
        <f>#REF!</f>
        <v/>
      </c>
      <c r="I836" s="174">
        <f>#REF!</f>
        <v/>
      </c>
      <c r="J836" s="174">
        <f>#REF!</f>
        <v/>
      </c>
      <c r="K836" s="176">
        <f>#REF!</f>
        <v/>
      </c>
      <c r="L836" s="173" t="n"/>
      <c r="M836" s="9" t="n"/>
      <c r="N836" s="28" t="b">
        <v>0</v>
      </c>
      <c r="O836" s="172" t="b">
        <v>0</v>
      </c>
      <c r="P836" s="28" t="b">
        <v>0</v>
      </c>
      <c r="Q836" s="28" t="b">
        <v>0</v>
      </c>
      <c r="R836" s="28" t="b">
        <v>0</v>
      </c>
      <c r="S836" s="28" t="b">
        <v>0</v>
      </c>
      <c r="T836" s="28" t="b">
        <v>0</v>
      </c>
      <c r="U836" s="28" t="b">
        <v>0</v>
      </c>
      <c r="V836" s="28" t="b">
        <v>0</v>
      </c>
      <c r="W836" s="28" t="b">
        <v>0</v>
      </c>
    </row>
    <row r="837" ht="69" customHeight="1" s="222">
      <c r="A837" s="164">
        <f>#REF!</f>
        <v/>
      </c>
      <c r="B837" s="145" t="b">
        <v>0</v>
      </c>
      <c r="C837" s="176">
        <f>#REF!</f>
        <v/>
      </c>
      <c r="D837" s="174" t="n"/>
      <c r="E837" s="174" t="n"/>
      <c r="F837" s="176">
        <f>#REF!</f>
        <v/>
      </c>
      <c r="G837" s="174">
        <f>#REF!</f>
        <v/>
      </c>
      <c r="H837" s="174">
        <f>#REF!</f>
        <v/>
      </c>
      <c r="I837" s="174">
        <f>#REF!</f>
        <v/>
      </c>
      <c r="J837" s="174">
        <f>#REF!</f>
        <v/>
      </c>
      <c r="K837" s="176">
        <f>#REF!</f>
        <v/>
      </c>
      <c r="L837" s="173" t="n"/>
      <c r="M837" s="9" t="n"/>
      <c r="N837" s="28" t="b">
        <v>0</v>
      </c>
      <c r="O837" s="172" t="b">
        <v>0</v>
      </c>
      <c r="P837" s="28" t="b">
        <v>0</v>
      </c>
      <c r="Q837" s="28" t="b">
        <v>0</v>
      </c>
      <c r="R837" s="28" t="b">
        <v>0</v>
      </c>
      <c r="S837" s="28" t="b">
        <v>0</v>
      </c>
      <c r="T837" s="28" t="b">
        <v>0</v>
      </c>
      <c r="U837" s="28" t="b">
        <v>0</v>
      </c>
      <c r="V837" s="28" t="b">
        <v>0</v>
      </c>
      <c r="W837" s="28" t="b">
        <v>0</v>
      </c>
    </row>
    <row r="838" ht="69" customHeight="1" s="222">
      <c r="A838" s="164">
        <f>#REF!</f>
        <v/>
      </c>
      <c r="B838" s="145" t="b">
        <v>0</v>
      </c>
      <c r="C838" s="176">
        <f>#REF!</f>
        <v/>
      </c>
      <c r="D838" s="174" t="n"/>
      <c r="E838" s="174" t="n"/>
      <c r="F838" s="176">
        <f>#REF!</f>
        <v/>
      </c>
      <c r="G838" s="174">
        <f>#REF!</f>
        <v/>
      </c>
      <c r="H838" s="174">
        <f>#REF!</f>
        <v/>
      </c>
      <c r="I838" s="174">
        <f>#REF!</f>
        <v/>
      </c>
      <c r="J838" s="174">
        <f>#REF!</f>
        <v/>
      </c>
      <c r="K838" s="176">
        <f>#REF!</f>
        <v/>
      </c>
      <c r="L838" s="173" t="n"/>
      <c r="M838" s="9" t="n"/>
      <c r="N838" s="28" t="b">
        <v>0</v>
      </c>
      <c r="O838" s="172" t="b">
        <v>0</v>
      </c>
      <c r="P838" s="28" t="b">
        <v>0</v>
      </c>
      <c r="Q838" s="28" t="b">
        <v>0</v>
      </c>
      <c r="R838" s="28" t="b">
        <v>0</v>
      </c>
      <c r="S838" s="28" t="b">
        <v>0</v>
      </c>
      <c r="T838" s="28" t="b">
        <v>0</v>
      </c>
      <c r="U838" s="28" t="b">
        <v>0</v>
      </c>
      <c r="V838" s="28" t="b">
        <v>0</v>
      </c>
      <c r="W838" s="28" t="b">
        <v>0</v>
      </c>
    </row>
    <row r="839" ht="69" customHeight="1" s="222">
      <c r="A839" s="164">
        <f>#REF!</f>
        <v/>
      </c>
      <c r="B839" s="145" t="b">
        <v>0</v>
      </c>
      <c r="C839" s="176">
        <f>#REF!</f>
        <v/>
      </c>
      <c r="D839" s="174" t="n"/>
      <c r="E839" s="174" t="n"/>
      <c r="F839" s="176">
        <f>#REF!</f>
        <v/>
      </c>
      <c r="G839" s="174">
        <f>#REF!</f>
        <v/>
      </c>
      <c r="H839" s="174">
        <f>#REF!</f>
        <v/>
      </c>
      <c r="I839" s="174">
        <f>#REF!</f>
        <v/>
      </c>
      <c r="J839" s="174">
        <f>#REF!</f>
        <v/>
      </c>
      <c r="K839" s="176">
        <f>#REF!</f>
        <v/>
      </c>
      <c r="L839" s="173" t="n"/>
      <c r="M839" s="9" t="n"/>
      <c r="N839" s="28" t="b">
        <v>0</v>
      </c>
      <c r="O839" s="172" t="b">
        <v>0</v>
      </c>
      <c r="P839" s="28" t="b">
        <v>0</v>
      </c>
      <c r="Q839" s="28" t="b">
        <v>0</v>
      </c>
      <c r="R839" s="28" t="b">
        <v>0</v>
      </c>
      <c r="S839" s="28" t="b">
        <v>0</v>
      </c>
      <c r="T839" s="28" t="b">
        <v>0</v>
      </c>
      <c r="U839" s="28" t="b">
        <v>0</v>
      </c>
      <c r="V839" s="28" t="b">
        <v>0</v>
      </c>
      <c r="W839" s="28" t="b">
        <v>0</v>
      </c>
    </row>
    <row r="840" ht="69" customHeight="1" s="222">
      <c r="A840" s="164">
        <f>#REF!</f>
        <v/>
      </c>
      <c r="B840" s="145" t="b">
        <v>0</v>
      </c>
      <c r="C840" s="176">
        <f>#REF!</f>
        <v/>
      </c>
      <c r="D840" s="174" t="n"/>
      <c r="E840" s="174" t="n"/>
      <c r="F840" s="176">
        <f>#REF!</f>
        <v/>
      </c>
      <c r="G840" s="174">
        <f>#REF!</f>
        <v/>
      </c>
      <c r="H840" s="174">
        <f>#REF!</f>
        <v/>
      </c>
      <c r="I840" s="174">
        <f>#REF!</f>
        <v/>
      </c>
      <c r="J840" s="174">
        <f>#REF!</f>
        <v/>
      </c>
      <c r="K840" s="176">
        <f>#REF!</f>
        <v/>
      </c>
      <c r="L840" s="173" t="n"/>
      <c r="M840" s="9" t="n"/>
      <c r="N840" s="28" t="b">
        <v>0</v>
      </c>
      <c r="O840" s="172" t="b">
        <v>0</v>
      </c>
      <c r="P840" s="28" t="b">
        <v>0</v>
      </c>
      <c r="Q840" s="28" t="b">
        <v>0</v>
      </c>
      <c r="R840" s="28" t="b">
        <v>0</v>
      </c>
      <c r="S840" s="28" t="b">
        <v>0</v>
      </c>
      <c r="T840" s="28" t="b">
        <v>0</v>
      </c>
      <c r="U840" s="28" t="b">
        <v>0</v>
      </c>
      <c r="V840" s="28" t="b">
        <v>0</v>
      </c>
      <c r="W840" s="28" t="b">
        <v>0</v>
      </c>
    </row>
    <row r="841" ht="69" customHeight="1" s="222">
      <c r="A841" s="164">
        <f>#REF!</f>
        <v/>
      </c>
      <c r="B841" s="145" t="b">
        <v>0</v>
      </c>
      <c r="C841" s="176">
        <f>#REF!</f>
        <v/>
      </c>
      <c r="D841" s="174" t="n"/>
      <c r="E841" s="174" t="n"/>
      <c r="F841" s="176">
        <f>#REF!</f>
        <v/>
      </c>
      <c r="G841" s="174">
        <f>#REF!</f>
        <v/>
      </c>
      <c r="H841" s="174">
        <f>#REF!</f>
        <v/>
      </c>
      <c r="I841" s="174">
        <f>#REF!</f>
        <v/>
      </c>
      <c r="J841" s="174">
        <f>#REF!</f>
        <v/>
      </c>
      <c r="K841" s="176">
        <f>#REF!</f>
        <v/>
      </c>
      <c r="L841" s="173" t="n"/>
      <c r="M841" s="9" t="n"/>
      <c r="N841" s="28" t="b">
        <v>0</v>
      </c>
      <c r="O841" s="172" t="b">
        <v>0</v>
      </c>
      <c r="P841" s="28" t="b">
        <v>0</v>
      </c>
      <c r="Q841" s="28" t="b">
        <v>0</v>
      </c>
      <c r="R841" s="28" t="b">
        <v>0</v>
      </c>
      <c r="S841" s="28" t="b">
        <v>0</v>
      </c>
      <c r="T841" s="28" t="b">
        <v>0</v>
      </c>
      <c r="U841" s="28" t="b">
        <v>0</v>
      </c>
      <c r="V841" s="28" t="b">
        <v>0</v>
      </c>
      <c r="W841" s="28" t="b">
        <v>0</v>
      </c>
    </row>
    <row r="842" ht="69" customHeight="1" s="222">
      <c r="A842" s="164">
        <f>#REF!</f>
        <v/>
      </c>
      <c r="B842" s="145" t="b">
        <v>0</v>
      </c>
      <c r="C842" s="176">
        <f>#REF!</f>
        <v/>
      </c>
      <c r="D842" s="174" t="n"/>
      <c r="E842" s="174" t="n"/>
      <c r="F842" s="176">
        <f>#REF!</f>
        <v/>
      </c>
      <c r="G842" s="174">
        <f>#REF!</f>
        <v/>
      </c>
      <c r="H842" s="174">
        <f>#REF!</f>
        <v/>
      </c>
      <c r="I842" s="174">
        <f>#REF!</f>
        <v/>
      </c>
      <c r="J842" s="174">
        <f>#REF!</f>
        <v/>
      </c>
      <c r="K842" s="176">
        <f>#REF!</f>
        <v/>
      </c>
      <c r="L842" s="173" t="n"/>
      <c r="M842" s="9" t="n"/>
      <c r="N842" s="28" t="b">
        <v>0</v>
      </c>
      <c r="O842" s="172" t="b">
        <v>0</v>
      </c>
      <c r="P842" s="28" t="b">
        <v>0</v>
      </c>
      <c r="Q842" s="28" t="b">
        <v>0</v>
      </c>
      <c r="R842" s="28" t="b">
        <v>0</v>
      </c>
      <c r="S842" s="28" t="b">
        <v>0</v>
      </c>
      <c r="T842" s="28" t="b">
        <v>0</v>
      </c>
      <c r="U842" s="28" t="b">
        <v>0</v>
      </c>
      <c r="V842" s="28" t="b">
        <v>0</v>
      </c>
      <c r="W842" s="28" t="b">
        <v>0</v>
      </c>
    </row>
    <row r="843" ht="69" customHeight="1" s="222">
      <c r="A843" s="164">
        <f>#REF!</f>
        <v/>
      </c>
      <c r="B843" s="145" t="b">
        <v>0</v>
      </c>
      <c r="C843" s="176">
        <f>#REF!</f>
        <v/>
      </c>
      <c r="D843" s="174" t="n"/>
      <c r="E843" s="174" t="n"/>
      <c r="F843" s="176">
        <f>#REF!</f>
        <v/>
      </c>
      <c r="G843" s="174">
        <f>#REF!</f>
        <v/>
      </c>
      <c r="H843" s="174">
        <f>#REF!</f>
        <v/>
      </c>
      <c r="I843" s="174">
        <f>#REF!</f>
        <v/>
      </c>
      <c r="J843" s="174">
        <f>#REF!</f>
        <v/>
      </c>
      <c r="K843" s="176">
        <f>#REF!</f>
        <v/>
      </c>
      <c r="L843" s="173" t="n"/>
      <c r="M843" s="9" t="n"/>
      <c r="N843" s="28" t="b">
        <v>0</v>
      </c>
      <c r="O843" s="172" t="b">
        <v>0</v>
      </c>
      <c r="P843" s="28" t="b">
        <v>0</v>
      </c>
      <c r="Q843" s="28" t="b">
        <v>0</v>
      </c>
      <c r="R843" s="28" t="b">
        <v>0</v>
      </c>
      <c r="S843" s="28" t="b">
        <v>0</v>
      </c>
      <c r="T843" s="28" t="b">
        <v>0</v>
      </c>
      <c r="U843" s="28" t="b">
        <v>0</v>
      </c>
      <c r="V843" s="28" t="b">
        <v>0</v>
      </c>
      <c r="W843" s="28" t="b">
        <v>0</v>
      </c>
    </row>
    <row r="844" ht="69" customHeight="1" s="222">
      <c r="A844" s="164">
        <f>#REF!</f>
        <v/>
      </c>
      <c r="B844" s="145" t="b">
        <v>0</v>
      </c>
      <c r="C844" s="176">
        <f>#REF!</f>
        <v/>
      </c>
      <c r="D844" s="174" t="n"/>
      <c r="E844" s="174" t="n"/>
      <c r="F844" s="176">
        <f>#REF!</f>
        <v/>
      </c>
      <c r="G844" s="174">
        <f>#REF!</f>
        <v/>
      </c>
      <c r="H844" s="174">
        <f>#REF!</f>
        <v/>
      </c>
      <c r="I844" s="174">
        <f>#REF!</f>
        <v/>
      </c>
      <c r="J844" s="174">
        <f>#REF!</f>
        <v/>
      </c>
      <c r="K844" s="176">
        <f>#REF!</f>
        <v/>
      </c>
      <c r="L844" s="173" t="n"/>
      <c r="M844" s="9" t="n"/>
      <c r="N844" s="28" t="b">
        <v>0</v>
      </c>
      <c r="O844" s="172" t="b">
        <v>0</v>
      </c>
      <c r="P844" s="28" t="b">
        <v>0</v>
      </c>
      <c r="Q844" s="28" t="b">
        <v>0</v>
      </c>
      <c r="R844" s="28" t="b">
        <v>0</v>
      </c>
      <c r="S844" s="28" t="b">
        <v>0</v>
      </c>
      <c r="T844" s="28" t="b">
        <v>0</v>
      </c>
      <c r="U844" s="28" t="b">
        <v>0</v>
      </c>
      <c r="V844" s="28" t="b">
        <v>0</v>
      </c>
      <c r="W844" s="28" t="b">
        <v>0</v>
      </c>
    </row>
    <row r="845" ht="69" customHeight="1" s="222">
      <c r="A845" s="164">
        <f>#REF!</f>
        <v/>
      </c>
      <c r="B845" s="145" t="b">
        <v>0</v>
      </c>
      <c r="C845" s="176">
        <f>#REF!</f>
        <v/>
      </c>
      <c r="D845" s="174" t="n"/>
      <c r="E845" s="174" t="n"/>
      <c r="F845" s="176">
        <f>#REF!</f>
        <v/>
      </c>
      <c r="G845" s="174">
        <f>#REF!</f>
        <v/>
      </c>
      <c r="H845" s="174">
        <f>#REF!</f>
        <v/>
      </c>
      <c r="I845" s="174">
        <f>#REF!</f>
        <v/>
      </c>
      <c r="J845" s="174">
        <f>#REF!</f>
        <v/>
      </c>
      <c r="K845" s="176">
        <f>#REF!</f>
        <v/>
      </c>
      <c r="L845" s="173" t="n"/>
      <c r="M845" s="9" t="n"/>
      <c r="N845" s="28" t="b">
        <v>0</v>
      </c>
      <c r="O845" s="172" t="b">
        <v>0</v>
      </c>
      <c r="P845" s="28" t="b">
        <v>0</v>
      </c>
      <c r="Q845" s="28" t="b">
        <v>0</v>
      </c>
      <c r="R845" s="28" t="b">
        <v>0</v>
      </c>
      <c r="S845" s="28" t="b">
        <v>0</v>
      </c>
      <c r="T845" s="28" t="b">
        <v>0</v>
      </c>
      <c r="U845" s="28" t="b">
        <v>0</v>
      </c>
      <c r="V845" s="28" t="b">
        <v>0</v>
      </c>
      <c r="W845" s="28" t="b">
        <v>0</v>
      </c>
    </row>
    <row r="846" ht="69" customHeight="1" s="222">
      <c r="A846" s="164">
        <f>#REF!</f>
        <v/>
      </c>
      <c r="B846" s="145" t="b">
        <v>0</v>
      </c>
      <c r="C846" s="176">
        <f>#REF!</f>
        <v/>
      </c>
      <c r="D846" s="174" t="n"/>
      <c r="E846" s="174" t="n"/>
      <c r="F846" s="176">
        <f>#REF!</f>
        <v/>
      </c>
      <c r="G846" s="174">
        <f>#REF!</f>
        <v/>
      </c>
      <c r="H846" s="174">
        <f>#REF!</f>
        <v/>
      </c>
      <c r="I846" s="174">
        <f>#REF!</f>
        <v/>
      </c>
      <c r="J846" s="174">
        <f>#REF!</f>
        <v/>
      </c>
      <c r="K846" s="176">
        <f>#REF!</f>
        <v/>
      </c>
      <c r="L846" s="173" t="n"/>
      <c r="M846" s="9" t="n"/>
      <c r="N846" s="28" t="b">
        <v>0</v>
      </c>
      <c r="O846" s="172" t="b">
        <v>0</v>
      </c>
      <c r="P846" s="28" t="b">
        <v>0</v>
      </c>
      <c r="Q846" s="28" t="b">
        <v>0</v>
      </c>
      <c r="R846" s="28" t="b">
        <v>0</v>
      </c>
      <c r="S846" s="28" t="b">
        <v>0</v>
      </c>
      <c r="T846" s="28" t="b">
        <v>0</v>
      </c>
      <c r="U846" s="28" t="b">
        <v>0</v>
      </c>
      <c r="V846" s="28" t="b">
        <v>0</v>
      </c>
      <c r="W846" s="28" t="b">
        <v>0</v>
      </c>
    </row>
    <row r="847" ht="69" customHeight="1" s="222">
      <c r="A847" s="164">
        <f>#REF!</f>
        <v/>
      </c>
      <c r="B847" s="145" t="b">
        <v>0</v>
      </c>
      <c r="C847" s="176">
        <f>#REF!</f>
        <v/>
      </c>
      <c r="D847" s="174" t="n"/>
      <c r="E847" s="174" t="n"/>
      <c r="F847" s="176">
        <f>#REF!</f>
        <v/>
      </c>
      <c r="G847" s="174">
        <f>#REF!</f>
        <v/>
      </c>
      <c r="H847" s="174">
        <f>#REF!</f>
        <v/>
      </c>
      <c r="I847" s="174">
        <f>#REF!</f>
        <v/>
      </c>
      <c r="J847" s="174">
        <f>#REF!</f>
        <v/>
      </c>
      <c r="K847" s="176">
        <f>#REF!</f>
        <v/>
      </c>
      <c r="L847" s="173" t="n"/>
      <c r="M847" s="9" t="n"/>
      <c r="N847" s="28" t="b">
        <v>0</v>
      </c>
      <c r="O847" s="172" t="b">
        <v>0</v>
      </c>
      <c r="P847" s="28" t="b">
        <v>0</v>
      </c>
      <c r="Q847" s="28" t="b">
        <v>0</v>
      </c>
      <c r="R847" s="28" t="b">
        <v>0</v>
      </c>
      <c r="S847" s="28" t="b">
        <v>0</v>
      </c>
      <c r="T847" s="28" t="b">
        <v>0</v>
      </c>
      <c r="U847" s="28" t="b">
        <v>0</v>
      </c>
      <c r="V847" s="28" t="b">
        <v>0</v>
      </c>
      <c r="W847" s="28" t="b">
        <v>0</v>
      </c>
    </row>
    <row r="848" ht="69" customHeight="1" s="222">
      <c r="A848" s="164">
        <f>#REF!</f>
        <v/>
      </c>
      <c r="B848" s="145" t="b">
        <v>0</v>
      </c>
      <c r="C848" s="176">
        <f>#REF!</f>
        <v/>
      </c>
      <c r="D848" s="174" t="n"/>
      <c r="E848" s="174" t="n"/>
      <c r="F848" s="176">
        <f>#REF!</f>
        <v/>
      </c>
      <c r="G848" s="174">
        <f>#REF!</f>
        <v/>
      </c>
      <c r="H848" s="174">
        <f>#REF!</f>
        <v/>
      </c>
      <c r="I848" s="174">
        <f>#REF!</f>
        <v/>
      </c>
      <c r="J848" s="174">
        <f>#REF!</f>
        <v/>
      </c>
      <c r="K848" s="176">
        <f>#REF!</f>
        <v/>
      </c>
      <c r="L848" s="173" t="n"/>
      <c r="M848" s="9" t="n"/>
      <c r="N848" s="28" t="b">
        <v>0</v>
      </c>
      <c r="O848" s="172" t="b">
        <v>0</v>
      </c>
      <c r="P848" s="28" t="b">
        <v>0</v>
      </c>
      <c r="Q848" s="28" t="b">
        <v>0</v>
      </c>
      <c r="R848" s="28" t="b">
        <v>0</v>
      </c>
      <c r="S848" s="28" t="b">
        <v>0</v>
      </c>
      <c r="T848" s="28" t="b">
        <v>0</v>
      </c>
      <c r="U848" s="28" t="b">
        <v>0</v>
      </c>
      <c r="V848" s="28" t="b">
        <v>0</v>
      </c>
      <c r="W848" s="28" t="b">
        <v>0</v>
      </c>
    </row>
    <row r="849" ht="69" customHeight="1" s="222">
      <c r="A849" s="164">
        <f>#REF!</f>
        <v/>
      </c>
      <c r="B849" s="145" t="b">
        <v>0</v>
      </c>
      <c r="C849" s="176">
        <f>#REF!</f>
        <v/>
      </c>
      <c r="D849" s="174" t="n"/>
      <c r="E849" s="174" t="n"/>
      <c r="F849" s="176">
        <f>#REF!</f>
        <v/>
      </c>
      <c r="G849" s="174">
        <f>#REF!</f>
        <v/>
      </c>
      <c r="H849" s="174">
        <f>#REF!</f>
        <v/>
      </c>
      <c r="I849" s="174">
        <f>#REF!</f>
        <v/>
      </c>
      <c r="J849" s="174">
        <f>#REF!</f>
        <v/>
      </c>
      <c r="K849" s="176">
        <f>#REF!</f>
        <v/>
      </c>
      <c r="L849" s="173" t="n"/>
      <c r="M849" s="9" t="n"/>
      <c r="N849" s="28" t="b">
        <v>0</v>
      </c>
      <c r="O849" s="172" t="b">
        <v>0</v>
      </c>
      <c r="P849" s="28" t="b">
        <v>0</v>
      </c>
      <c r="Q849" s="28" t="b">
        <v>0</v>
      </c>
      <c r="R849" s="28" t="b">
        <v>0</v>
      </c>
      <c r="S849" s="28" t="b">
        <v>0</v>
      </c>
      <c r="T849" s="28" t="b">
        <v>0</v>
      </c>
      <c r="U849" s="28" t="b">
        <v>0</v>
      </c>
      <c r="V849" s="28" t="b">
        <v>0</v>
      </c>
      <c r="W849" s="28" t="b">
        <v>0</v>
      </c>
    </row>
    <row r="850" ht="69" customHeight="1" s="222">
      <c r="A850" s="164">
        <f>#REF!</f>
        <v/>
      </c>
      <c r="B850" s="145" t="b">
        <v>0</v>
      </c>
      <c r="C850" s="176">
        <f>#REF!</f>
        <v/>
      </c>
      <c r="D850" s="174" t="n"/>
      <c r="E850" s="174" t="n"/>
      <c r="F850" s="176">
        <f>#REF!</f>
        <v/>
      </c>
      <c r="G850" s="174">
        <f>#REF!</f>
        <v/>
      </c>
      <c r="H850" s="174">
        <f>#REF!</f>
        <v/>
      </c>
      <c r="I850" s="174">
        <f>#REF!</f>
        <v/>
      </c>
      <c r="J850" s="174">
        <f>#REF!</f>
        <v/>
      </c>
      <c r="K850" s="176">
        <f>#REF!</f>
        <v/>
      </c>
      <c r="L850" s="173" t="n"/>
      <c r="M850" s="9" t="n"/>
      <c r="N850" s="28" t="b">
        <v>0</v>
      </c>
      <c r="O850" s="172" t="b">
        <v>0</v>
      </c>
      <c r="P850" s="28" t="b">
        <v>0</v>
      </c>
      <c r="Q850" s="28" t="b">
        <v>0</v>
      </c>
      <c r="R850" s="28" t="b">
        <v>0</v>
      </c>
      <c r="S850" s="28" t="b">
        <v>0</v>
      </c>
      <c r="T850" s="28" t="b">
        <v>0</v>
      </c>
      <c r="U850" s="28" t="b">
        <v>0</v>
      </c>
      <c r="V850" s="28" t="b">
        <v>0</v>
      </c>
      <c r="W850" s="28" t="b">
        <v>0</v>
      </c>
    </row>
    <row r="851" ht="69" customHeight="1" s="222">
      <c r="A851" s="164">
        <f>#REF!</f>
        <v/>
      </c>
      <c r="B851" s="145" t="b">
        <v>0</v>
      </c>
      <c r="C851" s="176">
        <f>#REF!</f>
        <v/>
      </c>
      <c r="D851" s="174" t="n"/>
      <c r="E851" s="174" t="n"/>
      <c r="F851" s="176">
        <f>#REF!</f>
        <v/>
      </c>
      <c r="G851" s="174">
        <f>#REF!</f>
        <v/>
      </c>
      <c r="H851" s="174">
        <f>#REF!</f>
        <v/>
      </c>
      <c r="I851" s="174">
        <f>#REF!</f>
        <v/>
      </c>
      <c r="J851" s="174">
        <f>#REF!</f>
        <v/>
      </c>
      <c r="K851" s="176">
        <f>#REF!</f>
        <v/>
      </c>
      <c r="L851" s="173" t="n"/>
      <c r="M851" s="9" t="n"/>
      <c r="N851" s="28" t="b">
        <v>0</v>
      </c>
      <c r="O851" s="172" t="b">
        <v>0</v>
      </c>
      <c r="P851" s="28" t="b">
        <v>0</v>
      </c>
      <c r="Q851" s="28" t="b">
        <v>0</v>
      </c>
      <c r="R851" s="28" t="b">
        <v>0</v>
      </c>
      <c r="S851" s="28" t="b">
        <v>0</v>
      </c>
      <c r="T851" s="28" t="b">
        <v>0</v>
      </c>
      <c r="U851" s="28" t="b">
        <v>0</v>
      </c>
      <c r="V851" s="28" t="b">
        <v>0</v>
      </c>
      <c r="W851" s="28" t="b">
        <v>0</v>
      </c>
    </row>
    <row r="852" ht="69" customHeight="1" s="222">
      <c r="A852" s="164">
        <f>#REF!</f>
        <v/>
      </c>
      <c r="B852" s="145" t="b">
        <v>0</v>
      </c>
      <c r="C852" s="176">
        <f>#REF!</f>
        <v/>
      </c>
      <c r="D852" s="174" t="n"/>
      <c r="E852" s="174" t="n"/>
      <c r="F852" s="176">
        <f>#REF!</f>
        <v/>
      </c>
      <c r="G852" s="174">
        <f>#REF!</f>
        <v/>
      </c>
      <c r="H852" s="174">
        <f>#REF!</f>
        <v/>
      </c>
      <c r="I852" s="174">
        <f>#REF!</f>
        <v/>
      </c>
      <c r="J852" s="174">
        <f>#REF!</f>
        <v/>
      </c>
      <c r="K852" s="176">
        <f>#REF!</f>
        <v/>
      </c>
      <c r="L852" s="173" t="n"/>
      <c r="M852" s="9" t="n"/>
      <c r="N852" s="28" t="b">
        <v>0</v>
      </c>
      <c r="O852" s="172" t="b">
        <v>0</v>
      </c>
      <c r="P852" s="28" t="b">
        <v>0</v>
      </c>
      <c r="Q852" s="28" t="b">
        <v>0</v>
      </c>
      <c r="R852" s="28" t="b">
        <v>0</v>
      </c>
      <c r="S852" s="28" t="b">
        <v>0</v>
      </c>
      <c r="T852" s="28" t="b">
        <v>0</v>
      </c>
      <c r="U852" s="28" t="b">
        <v>0</v>
      </c>
      <c r="V852" s="28" t="b">
        <v>0</v>
      </c>
      <c r="W852" s="28" t="b">
        <v>0</v>
      </c>
    </row>
    <row r="853" ht="69" customHeight="1" s="222">
      <c r="A853" s="164">
        <f>#REF!</f>
        <v/>
      </c>
      <c r="B853" s="145" t="b">
        <v>0</v>
      </c>
      <c r="C853" s="176">
        <f>#REF!</f>
        <v/>
      </c>
      <c r="D853" s="174" t="n"/>
      <c r="E853" s="174" t="n"/>
      <c r="F853" s="176">
        <f>#REF!</f>
        <v/>
      </c>
      <c r="G853" s="174">
        <f>#REF!</f>
        <v/>
      </c>
      <c r="H853" s="174">
        <f>#REF!</f>
        <v/>
      </c>
      <c r="I853" s="174">
        <f>#REF!</f>
        <v/>
      </c>
      <c r="J853" s="174">
        <f>#REF!</f>
        <v/>
      </c>
      <c r="K853" s="176">
        <f>#REF!</f>
        <v/>
      </c>
      <c r="L853" s="173" t="n"/>
      <c r="M853" s="9" t="n"/>
      <c r="N853" s="28" t="b">
        <v>0</v>
      </c>
      <c r="O853" s="172" t="b">
        <v>0</v>
      </c>
      <c r="P853" s="28" t="b">
        <v>0</v>
      </c>
      <c r="Q853" s="28" t="b">
        <v>0</v>
      </c>
      <c r="R853" s="28" t="b">
        <v>0</v>
      </c>
      <c r="S853" s="28" t="b">
        <v>0</v>
      </c>
      <c r="T853" s="28" t="b">
        <v>0</v>
      </c>
      <c r="U853" s="28" t="b">
        <v>0</v>
      </c>
      <c r="V853" s="28" t="b">
        <v>0</v>
      </c>
      <c r="W853" s="28" t="b">
        <v>0</v>
      </c>
    </row>
    <row r="854" ht="69" customHeight="1" s="222">
      <c r="A854" s="164">
        <f>#REF!</f>
        <v/>
      </c>
      <c r="B854" s="145" t="b">
        <v>0</v>
      </c>
      <c r="C854" s="176">
        <f>#REF!</f>
        <v/>
      </c>
      <c r="D854" s="174" t="n"/>
      <c r="E854" s="174" t="n"/>
      <c r="F854" s="176">
        <f>#REF!</f>
        <v/>
      </c>
      <c r="G854" s="174">
        <f>#REF!</f>
        <v/>
      </c>
      <c r="H854" s="174">
        <f>#REF!</f>
        <v/>
      </c>
      <c r="I854" s="174">
        <f>#REF!</f>
        <v/>
      </c>
      <c r="J854" s="174">
        <f>#REF!</f>
        <v/>
      </c>
      <c r="K854" s="176">
        <f>#REF!</f>
        <v/>
      </c>
      <c r="L854" s="173" t="n"/>
      <c r="M854" s="9" t="n"/>
      <c r="N854" s="28" t="b">
        <v>0</v>
      </c>
      <c r="O854" s="172" t="b">
        <v>0</v>
      </c>
      <c r="P854" s="28" t="b">
        <v>0</v>
      </c>
      <c r="Q854" s="28" t="b">
        <v>0</v>
      </c>
      <c r="R854" s="28" t="b">
        <v>0</v>
      </c>
      <c r="S854" s="28" t="b">
        <v>0</v>
      </c>
      <c r="T854" s="28" t="b">
        <v>0</v>
      </c>
      <c r="U854" s="28" t="b">
        <v>0</v>
      </c>
      <c r="V854" s="28" t="b">
        <v>0</v>
      </c>
      <c r="W854" s="28" t="b">
        <v>0</v>
      </c>
    </row>
    <row r="855" ht="69" customHeight="1" s="222">
      <c r="A855" s="164">
        <f>#REF!</f>
        <v/>
      </c>
      <c r="B855" s="145" t="b">
        <v>0</v>
      </c>
      <c r="C855" s="176">
        <f>#REF!</f>
        <v/>
      </c>
      <c r="D855" s="174" t="n"/>
      <c r="E855" s="174" t="n"/>
      <c r="F855" s="176">
        <f>#REF!</f>
        <v/>
      </c>
      <c r="G855" s="174">
        <f>#REF!</f>
        <v/>
      </c>
      <c r="H855" s="174">
        <f>#REF!</f>
        <v/>
      </c>
      <c r="I855" s="174">
        <f>#REF!</f>
        <v/>
      </c>
      <c r="J855" s="174">
        <f>#REF!</f>
        <v/>
      </c>
      <c r="K855" s="176">
        <f>#REF!</f>
        <v/>
      </c>
      <c r="L855" s="173" t="n"/>
      <c r="M855" s="9" t="n"/>
      <c r="N855" s="28" t="b">
        <v>0</v>
      </c>
      <c r="O855" s="172" t="b">
        <v>0</v>
      </c>
      <c r="P855" s="28" t="b">
        <v>0</v>
      </c>
      <c r="Q855" s="28" t="b">
        <v>0</v>
      </c>
      <c r="R855" s="28" t="b">
        <v>0</v>
      </c>
      <c r="S855" s="28" t="b">
        <v>0</v>
      </c>
      <c r="T855" s="28" t="b">
        <v>0</v>
      </c>
      <c r="U855" s="28" t="b">
        <v>0</v>
      </c>
      <c r="V855" s="28" t="b">
        <v>0</v>
      </c>
      <c r="W855" s="28" t="b">
        <v>0</v>
      </c>
    </row>
    <row r="856" ht="69" customHeight="1" s="222">
      <c r="A856" s="164">
        <f>#REF!</f>
        <v/>
      </c>
      <c r="B856" s="145" t="b">
        <v>0</v>
      </c>
      <c r="C856" s="176">
        <f>#REF!</f>
        <v/>
      </c>
      <c r="D856" s="174" t="n"/>
      <c r="E856" s="174" t="n"/>
      <c r="F856" s="176">
        <f>#REF!</f>
        <v/>
      </c>
      <c r="G856" s="174">
        <f>#REF!</f>
        <v/>
      </c>
      <c r="H856" s="174">
        <f>#REF!</f>
        <v/>
      </c>
      <c r="I856" s="174">
        <f>#REF!</f>
        <v/>
      </c>
      <c r="J856" s="174">
        <f>#REF!</f>
        <v/>
      </c>
      <c r="K856" s="176">
        <f>#REF!</f>
        <v/>
      </c>
      <c r="L856" s="173" t="n"/>
      <c r="M856" s="9" t="n"/>
      <c r="N856" s="28" t="b">
        <v>0</v>
      </c>
      <c r="O856" s="172" t="b">
        <v>0</v>
      </c>
      <c r="P856" s="28" t="b">
        <v>0</v>
      </c>
      <c r="Q856" s="28" t="b">
        <v>0</v>
      </c>
      <c r="R856" s="28" t="b">
        <v>0</v>
      </c>
      <c r="S856" s="28" t="b">
        <v>0</v>
      </c>
      <c r="T856" s="28" t="b">
        <v>0</v>
      </c>
      <c r="U856" s="28" t="b">
        <v>0</v>
      </c>
      <c r="V856" s="28" t="b">
        <v>0</v>
      </c>
      <c r="W856" s="28" t="b">
        <v>0</v>
      </c>
    </row>
    <row r="857" ht="69" customHeight="1" s="222">
      <c r="A857" s="164">
        <f>#REF!</f>
        <v/>
      </c>
      <c r="B857" s="145" t="b">
        <v>0</v>
      </c>
      <c r="C857" s="176">
        <f>#REF!</f>
        <v/>
      </c>
      <c r="D857" s="174" t="n"/>
      <c r="E857" s="174" t="n"/>
      <c r="F857" s="176">
        <f>#REF!</f>
        <v/>
      </c>
      <c r="G857" s="174">
        <f>#REF!</f>
        <v/>
      </c>
      <c r="H857" s="174">
        <f>#REF!</f>
        <v/>
      </c>
      <c r="I857" s="174">
        <f>#REF!</f>
        <v/>
      </c>
      <c r="J857" s="174">
        <f>#REF!</f>
        <v/>
      </c>
      <c r="K857" s="176">
        <f>#REF!</f>
        <v/>
      </c>
      <c r="L857" s="173" t="n"/>
      <c r="M857" s="9" t="n"/>
      <c r="N857" s="28" t="b">
        <v>0</v>
      </c>
      <c r="O857" s="172" t="b">
        <v>0</v>
      </c>
      <c r="P857" s="28" t="b">
        <v>0</v>
      </c>
      <c r="Q857" s="28" t="b">
        <v>0</v>
      </c>
      <c r="R857" s="28" t="b">
        <v>0</v>
      </c>
      <c r="S857" s="28" t="b">
        <v>0</v>
      </c>
      <c r="T857" s="28" t="b">
        <v>0</v>
      </c>
      <c r="U857" s="28" t="b">
        <v>0</v>
      </c>
      <c r="V857" s="28" t="b">
        <v>0</v>
      </c>
      <c r="W857" s="28" t="b">
        <v>0</v>
      </c>
    </row>
    <row r="858" ht="69" customHeight="1" s="222">
      <c r="A858" s="164">
        <f>#REF!</f>
        <v/>
      </c>
      <c r="B858" s="145" t="b">
        <v>0</v>
      </c>
      <c r="C858" s="176">
        <f>#REF!</f>
        <v/>
      </c>
      <c r="D858" s="174" t="n"/>
      <c r="E858" s="174" t="n"/>
      <c r="F858" s="176">
        <f>#REF!</f>
        <v/>
      </c>
      <c r="G858" s="174">
        <f>#REF!</f>
        <v/>
      </c>
      <c r="H858" s="174">
        <f>#REF!</f>
        <v/>
      </c>
      <c r="I858" s="174">
        <f>#REF!</f>
        <v/>
      </c>
      <c r="J858" s="174">
        <f>#REF!</f>
        <v/>
      </c>
      <c r="K858" s="176">
        <f>#REF!</f>
        <v/>
      </c>
      <c r="L858" s="173" t="n"/>
      <c r="M858" s="9" t="n"/>
      <c r="N858" s="28" t="b">
        <v>0</v>
      </c>
      <c r="O858" s="172" t="b">
        <v>0</v>
      </c>
      <c r="P858" s="28" t="b">
        <v>0</v>
      </c>
      <c r="Q858" s="28" t="b">
        <v>0</v>
      </c>
      <c r="R858" s="28" t="b">
        <v>0</v>
      </c>
      <c r="S858" s="28" t="b">
        <v>0</v>
      </c>
      <c r="T858" s="28" t="b">
        <v>0</v>
      </c>
      <c r="U858" s="28" t="b">
        <v>0</v>
      </c>
      <c r="V858" s="28" t="b">
        <v>0</v>
      </c>
      <c r="W858" s="28" t="b">
        <v>0</v>
      </c>
    </row>
    <row r="859" ht="69" customHeight="1" s="222">
      <c r="A859" s="164">
        <f>#REF!</f>
        <v/>
      </c>
      <c r="B859" s="145" t="b">
        <v>0</v>
      </c>
      <c r="C859" s="176">
        <f>#REF!</f>
        <v/>
      </c>
      <c r="D859" s="174" t="n"/>
      <c r="E859" s="174" t="n"/>
      <c r="F859" s="176">
        <f>#REF!</f>
        <v/>
      </c>
      <c r="G859" s="174">
        <f>#REF!</f>
        <v/>
      </c>
      <c r="H859" s="174">
        <f>#REF!</f>
        <v/>
      </c>
      <c r="I859" s="174">
        <f>#REF!</f>
        <v/>
      </c>
      <c r="J859" s="174">
        <f>#REF!</f>
        <v/>
      </c>
      <c r="K859" s="176">
        <f>#REF!</f>
        <v/>
      </c>
      <c r="L859" s="173" t="n"/>
      <c r="M859" s="9" t="n"/>
      <c r="N859" s="28" t="b">
        <v>0</v>
      </c>
      <c r="O859" s="172" t="b">
        <v>0</v>
      </c>
      <c r="P859" s="28" t="b">
        <v>0</v>
      </c>
      <c r="Q859" s="28" t="b">
        <v>0</v>
      </c>
      <c r="R859" s="28" t="b">
        <v>0</v>
      </c>
      <c r="S859" s="28" t="b">
        <v>0</v>
      </c>
      <c r="T859" s="28" t="b">
        <v>0</v>
      </c>
      <c r="U859" s="28" t="b">
        <v>0</v>
      </c>
      <c r="V859" s="28" t="b">
        <v>0</v>
      </c>
      <c r="W859" s="28" t="b">
        <v>0</v>
      </c>
    </row>
    <row r="860" ht="69" customHeight="1" s="222">
      <c r="A860" s="164">
        <f>#REF!</f>
        <v/>
      </c>
      <c r="B860" s="145" t="b">
        <v>0</v>
      </c>
      <c r="C860" s="176">
        <f>#REF!</f>
        <v/>
      </c>
      <c r="D860" s="174" t="n"/>
      <c r="E860" s="174" t="n"/>
      <c r="F860" s="176">
        <f>#REF!</f>
        <v/>
      </c>
      <c r="G860" s="174">
        <f>#REF!</f>
        <v/>
      </c>
      <c r="H860" s="174">
        <f>#REF!</f>
        <v/>
      </c>
      <c r="I860" s="174">
        <f>#REF!</f>
        <v/>
      </c>
      <c r="J860" s="174">
        <f>#REF!</f>
        <v/>
      </c>
      <c r="K860" s="176">
        <f>#REF!</f>
        <v/>
      </c>
      <c r="L860" s="173" t="n"/>
      <c r="M860" s="9" t="n"/>
      <c r="N860" s="28" t="b">
        <v>0</v>
      </c>
      <c r="O860" s="172" t="b">
        <v>0</v>
      </c>
      <c r="P860" s="28" t="b">
        <v>0</v>
      </c>
      <c r="Q860" s="28" t="b">
        <v>0</v>
      </c>
      <c r="R860" s="28" t="b">
        <v>0</v>
      </c>
      <c r="S860" s="28" t="b">
        <v>0</v>
      </c>
      <c r="T860" s="28" t="b">
        <v>0</v>
      </c>
      <c r="U860" s="28" t="b">
        <v>0</v>
      </c>
      <c r="V860" s="28" t="b">
        <v>0</v>
      </c>
      <c r="W860" s="28" t="b">
        <v>0</v>
      </c>
    </row>
    <row r="861" ht="69" customHeight="1" s="222">
      <c r="A861" s="164">
        <f>#REF!</f>
        <v/>
      </c>
      <c r="B861" s="145" t="b">
        <v>0</v>
      </c>
      <c r="C861" s="176">
        <f>#REF!</f>
        <v/>
      </c>
      <c r="D861" s="174" t="n"/>
      <c r="E861" s="174" t="n"/>
      <c r="F861" s="176">
        <f>#REF!</f>
        <v/>
      </c>
      <c r="G861" s="174">
        <f>#REF!</f>
        <v/>
      </c>
      <c r="H861" s="174">
        <f>#REF!</f>
        <v/>
      </c>
      <c r="I861" s="174">
        <f>#REF!</f>
        <v/>
      </c>
      <c r="J861" s="174">
        <f>#REF!</f>
        <v/>
      </c>
      <c r="K861" s="176">
        <f>#REF!</f>
        <v/>
      </c>
      <c r="L861" s="173" t="n"/>
      <c r="M861" s="9" t="n"/>
      <c r="N861" s="28" t="b">
        <v>0</v>
      </c>
      <c r="O861" s="172" t="b">
        <v>0</v>
      </c>
      <c r="P861" s="28" t="b">
        <v>0</v>
      </c>
      <c r="Q861" s="28" t="b">
        <v>0</v>
      </c>
      <c r="R861" s="28" t="b">
        <v>0</v>
      </c>
      <c r="S861" s="28" t="b">
        <v>0</v>
      </c>
      <c r="T861" s="28" t="b">
        <v>0</v>
      </c>
      <c r="U861" s="28" t="b">
        <v>0</v>
      </c>
      <c r="V861" s="28" t="b">
        <v>0</v>
      </c>
      <c r="W861" s="28" t="b">
        <v>0</v>
      </c>
    </row>
    <row r="862" ht="69" customHeight="1" s="222">
      <c r="A862" s="164">
        <f>#REF!</f>
        <v/>
      </c>
      <c r="B862" s="145" t="b">
        <v>0</v>
      </c>
      <c r="C862" s="176">
        <f>#REF!</f>
        <v/>
      </c>
      <c r="D862" s="174" t="n"/>
      <c r="E862" s="174" t="n"/>
      <c r="F862" s="176">
        <f>#REF!</f>
        <v/>
      </c>
      <c r="G862" s="174">
        <f>#REF!</f>
        <v/>
      </c>
      <c r="H862" s="174">
        <f>#REF!</f>
        <v/>
      </c>
      <c r="I862" s="174">
        <f>#REF!</f>
        <v/>
      </c>
      <c r="J862" s="174">
        <f>#REF!</f>
        <v/>
      </c>
      <c r="K862" s="176">
        <f>#REF!</f>
        <v/>
      </c>
      <c r="L862" s="173" t="n"/>
      <c r="M862" s="9" t="n"/>
      <c r="N862" s="28" t="b">
        <v>0</v>
      </c>
      <c r="O862" s="172" t="b">
        <v>0</v>
      </c>
      <c r="P862" s="28" t="b">
        <v>0</v>
      </c>
      <c r="Q862" s="28" t="b">
        <v>0</v>
      </c>
      <c r="R862" s="28" t="b">
        <v>0</v>
      </c>
      <c r="S862" s="28" t="b">
        <v>0</v>
      </c>
      <c r="T862" s="28" t="b">
        <v>0</v>
      </c>
      <c r="U862" s="28" t="b">
        <v>0</v>
      </c>
      <c r="V862" s="28" t="b">
        <v>0</v>
      </c>
      <c r="W862" s="28" t="b">
        <v>0</v>
      </c>
    </row>
    <row r="863" ht="69" customHeight="1" s="222">
      <c r="A863" s="164">
        <f>#REF!</f>
        <v/>
      </c>
      <c r="B863" s="145" t="b">
        <v>0</v>
      </c>
      <c r="C863" s="176">
        <f>#REF!</f>
        <v/>
      </c>
      <c r="D863" s="174" t="n"/>
      <c r="E863" s="174" t="n"/>
      <c r="F863" s="176">
        <f>#REF!</f>
        <v/>
      </c>
      <c r="G863" s="174">
        <f>#REF!</f>
        <v/>
      </c>
      <c r="H863" s="174">
        <f>#REF!</f>
        <v/>
      </c>
      <c r="I863" s="174">
        <f>#REF!</f>
        <v/>
      </c>
      <c r="J863" s="174">
        <f>#REF!</f>
        <v/>
      </c>
      <c r="K863" s="176">
        <f>#REF!</f>
        <v/>
      </c>
      <c r="L863" s="173" t="n"/>
      <c r="M863" s="9" t="n"/>
      <c r="N863" s="28" t="b">
        <v>0</v>
      </c>
      <c r="O863" s="172" t="b">
        <v>0</v>
      </c>
      <c r="P863" s="28" t="b">
        <v>0</v>
      </c>
      <c r="Q863" s="28" t="b">
        <v>0</v>
      </c>
      <c r="R863" s="28" t="b">
        <v>0</v>
      </c>
      <c r="S863" s="28" t="b">
        <v>0</v>
      </c>
      <c r="T863" s="28" t="b">
        <v>0</v>
      </c>
      <c r="U863" s="28" t="b">
        <v>0</v>
      </c>
      <c r="V863" s="28" t="b">
        <v>0</v>
      </c>
      <c r="W863" s="28" t="b">
        <v>0</v>
      </c>
    </row>
    <row r="864" ht="69" customHeight="1" s="222">
      <c r="A864" s="164">
        <f>#REF!</f>
        <v/>
      </c>
      <c r="B864" s="145" t="b">
        <v>0</v>
      </c>
      <c r="C864" s="176">
        <f>#REF!</f>
        <v/>
      </c>
      <c r="D864" s="174" t="n"/>
      <c r="E864" s="174" t="n"/>
      <c r="F864" s="176">
        <f>#REF!</f>
        <v/>
      </c>
      <c r="G864" s="174">
        <f>#REF!</f>
        <v/>
      </c>
      <c r="H864" s="174">
        <f>#REF!</f>
        <v/>
      </c>
      <c r="I864" s="174">
        <f>#REF!</f>
        <v/>
      </c>
      <c r="J864" s="174">
        <f>#REF!</f>
        <v/>
      </c>
      <c r="K864" s="176">
        <f>#REF!</f>
        <v/>
      </c>
      <c r="L864" s="173" t="n"/>
      <c r="M864" s="9" t="n"/>
      <c r="N864" s="28" t="b">
        <v>0</v>
      </c>
      <c r="O864" s="172" t="b">
        <v>0</v>
      </c>
      <c r="P864" s="28" t="b">
        <v>0</v>
      </c>
      <c r="Q864" s="28" t="b">
        <v>0</v>
      </c>
      <c r="R864" s="28" t="b">
        <v>0</v>
      </c>
      <c r="S864" s="28" t="b">
        <v>0</v>
      </c>
      <c r="T864" s="28" t="b">
        <v>0</v>
      </c>
      <c r="U864" s="28" t="b">
        <v>0</v>
      </c>
      <c r="V864" s="28" t="b">
        <v>0</v>
      </c>
      <c r="W864" s="28" t="b">
        <v>0</v>
      </c>
    </row>
    <row r="865" ht="69" customHeight="1" s="222">
      <c r="A865" s="164">
        <f>#REF!</f>
        <v/>
      </c>
      <c r="B865" s="145" t="b">
        <v>0</v>
      </c>
      <c r="C865" s="176">
        <f>#REF!</f>
        <v/>
      </c>
      <c r="D865" s="174" t="n"/>
      <c r="E865" s="174" t="n"/>
      <c r="F865" s="176">
        <f>#REF!</f>
        <v/>
      </c>
      <c r="G865" s="174">
        <f>#REF!</f>
        <v/>
      </c>
      <c r="H865" s="174">
        <f>#REF!</f>
        <v/>
      </c>
      <c r="I865" s="174">
        <f>#REF!</f>
        <v/>
      </c>
      <c r="J865" s="174">
        <f>#REF!</f>
        <v/>
      </c>
      <c r="K865" s="176">
        <f>#REF!</f>
        <v/>
      </c>
      <c r="L865" s="173" t="n"/>
      <c r="M865" s="9" t="n"/>
      <c r="N865" s="28" t="b">
        <v>0</v>
      </c>
      <c r="O865" s="172" t="b">
        <v>0</v>
      </c>
      <c r="P865" s="28" t="b">
        <v>0</v>
      </c>
      <c r="Q865" s="28" t="b">
        <v>0</v>
      </c>
      <c r="R865" s="28" t="b">
        <v>0</v>
      </c>
      <c r="S865" s="28" t="b">
        <v>0</v>
      </c>
      <c r="T865" s="28" t="b">
        <v>0</v>
      </c>
      <c r="U865" s="28" t="b">
        <v>0</v>
      </c>
      <c r="V865" s="28" t="b">
        <v>0</v>
      </c>
      <c r="W865" s="28" t="b">
        <v>0</v>
      </c>
    </row>
    <row r="866" ht="69" customHeight="1" s="222">
      <c r="A866" s="164">
        <f>#REF!</f>
        <v/>
      </c>
      <c r="B866" s="145" t="b">
        <v>0</v>
      </c>
      <c r="C866" s="176">
        <f>#REF!</f>
        <v/>
      </c>
      <c r="D866" s="174" t="n"/>
      <c r="E866" s="174" t="n"/>
      <c r="F866" s="176">
        <f>#REF!</f>
        <v/>
      </c>
      <c r="G866" s="174">
        <f>#REF!</f>
        <v/>
      </c>
      <c r="H866" s="174">
        <f>#REF!</f>
        <v/>
      </c>
      <c r="I866" s="174">
        <f>#REF!</f>
        <v/>
      </c>
      <c r="J866" s="174">
        <f>#REF!</f>
        <v/>
      </c>
      <c r="K866" s="176">
        <f>#REF!</f>
        <v/>
      </c>
      <c r="L866" s="173" t="n"/>
      <c r="M866" s="9" t="n"/>
      <c r="N866" s="28" t="b">
        <v>0</v>
      </c>
      <c r="O866" s="172" t="b">
        <v>0</v>
      </c>
      <c r="P866" s="28" t="b">
        <v>0</v>
      </c>
      <c r="Q866" s="28" t="b">
        <v>0</v>
      </c>
      <c r="R866" s="28" t="b">
        <v>0</v>
      </c>
      <c r="S866" s="28" t="b">
        <v>0</v>
      </c>
      <c r="T866" s="28" t="b">
        <v>0</v>
      </c>
      <c r="U866" s="28" t="b">
        <v>0</v>
      </c>
      <c r="V866" s="28" t="b">
        <v>0</v>
      </c>
      <c r="W866" s="28" t="b">
        <v>0</v>
      </c>
    </row>
    <row r="867" ht="69" customHeight="1" s="222">
      <c r="A867" s="164">
        <f>#REF!</f>
        <v/>
      </c>
      <c r="B867" s="145" t="b">
        <v>0</v>
      </c>
      <c r="C867" s="176">
        <f>#REF!</f>
        <v/>
      </c>
      <c r="D867" s="174" t="n"/>
      <c r="E867" s="174" t="n"/>
      <c r="F867" s="176">
        <f>#REF!</f>
        <v/>
      </c>
      <c r="G867" s="174">
        <f>#REF!</f>
        <v/>
      </c>
      <c r="H867" s="174">
        <f>#REF!</f>
        <v/>
      </c>
      <c r="I867" s="174">
        <f>#REF!</f>
        <v/>
      </c>
      <c r="J867" s="174">
        <f>#REF!</f>
        <v/>
      </c>
      <c r="K867" s="176">
        <f>#REF!</f>
        <v/>
      </c>
      <c r="L867" s="173" t="n"/>
      <c r="M867" s="9" t="n"/>
      <c r="N867" s="28" t="b">
        <v>0</v>
      </c>
      <c r="O867" s="172" t="b">
        <v>0</v>
      </c>
      <c r="P867" s="28" t="b">
        <v>0</v>
      </c>
      <c r="Q867" s="28" t="b">
        <v>0</v>
      </c>
      <c r="R867" s="28" t="b">
        <v>0</v>
      </c>
      <c r="S867" s="28" t="b">
        <v>0</v>
      </c>
      <c r="T867" s="28" t="b">
        <v>0</v>
      </c>
      <c r="U867" s="28" t="b">
        <v>0</v>
      </c>
      <c r="V867" s="28" t="b">
        <v>0</v>
      </c>
      <c r="W867" s="28" t="b">
        <v>0</v>
      </c>
    </row>
    <row r="868" ht="69" customHeight="1" s="222">
      <c r="A868" s="164">
        <f>#REF!</f>
        <v/>
      </c>
      <c r="B868" s="145" t="b">
        <v>0</v>
      </c>
      <c r="C868" s="176">
        <f>#REF!</f>
        <v/>
      </c>
      <c r="D868" s="174" t="n"/>
      <c r="E868" s="174" t="n"/>
      <c r="F868" s="176">
        <f>#REF!</f>
        <v/>
      </c>
      <c r="G868" s="174">
        <f>#REF!</f>
        <v/>
      </c>
      <c r="H868" s="174">
        <f>#REF!</f>
        <v/>
      </c>
      <c r="I868" s="174">
        <f>#REF!</f>
        <v/>
      </c>
      <c r="J868" s="174">
        <f>#REF!</f>
        <v/>
      </c>
      <c r="K868" s="176">
        <f>#REF!</f>
        <v/>
      </c>
      <c r="L868" s="173" t="n"/>
      <c r="M868" s="9" t="n"/>
      <c r="N868" s="28" t="b">
        <v>0</v>
      </c>
      <c r="O868" s="172" t="b">
        <v>0</v>
      </c>
      <c r="P868" s="28" t="b">
        <v>0</v>
      </c>
      <c r="Q868" s="28" t="b">
        <v>0</v>
      </c>
      <c r="R868" s="28" t="b">
        <v>0</v>
      </c>
      <c r="S868" s="28" t="b">
        <v>0</v>
      </c>
      <c r="T868" s="28" t="b">
        <v>0</v>
      </c>
      <c r="U868" s="28" t="b">
        <v>0</v>
      </c>
      <c r="V868" s="28" t="b">
        <v>0</v>
      </c>
      <c r="W868" s="28" t="b">
        <v>0</v>
      </c>
    </row>
    <row r="869" ht="69" customHeight="1" s="222">
      <c r="A869" s="164">
        <f>#REF!</f>
        <v/>
      </c>
      <c r="B869" s="145" t="b">
        <v>0</v>
      </c>
      <c r="C869" s="176">
        <f>#REF!</f>
        <v/>
      </c>
      <c r="D869" s="174" t="n"/>
      <c r="E869" s="174" t="n"/>
      <c r="F869" s="176">
        <f>#REF!</f>
        <v/>
      </c>
      <c r="G869" s="174">
        <f>#REF!</f>
        <v/>
      </c>
      <c r="H869" s="174">
        <f>#REF!</f>
        <v/>
      </c>
      <c r="I869" s="174">
        <f>#REF!</f>
        <v/>
      </c>
      <c r="J869" s="174">
        <f>#REF!</f>
        <v/>
      </c>
      <c r="K869" s="176">
        <f>#REF!</f>
        <v/>
      </c>
      <c r="L869" s="173" t="n"/>
      <c r="M869" s="9" t="n"/>
      <c r="N869" s="28" t="b">
        <v>0</v>
      </c>
      <c r="O869" s="172" t="b">
        <v>0</v>
      </c>
      <c r="P869" s="28" t="b">
        <v>0</v>
      </c>
      <c r="Q869" s="28" t="b">
        <v>0</v>
      </c>
      <c r="R869" s="28" t="b">
        <v>0</v>
      </c>
      <c r="S869" s="28" t="b">
        <v>0</v>
      </c>
      <c r="T869" s="28" t="b">
        <v>0</v>
      </c>
      <c r="U869" s="28" t="b">
        <v>0</v>
      </c>
      <c r="V869" s="28" t="b">
        <v>0</v>
      </c>
      <c r="W869" s="28" t="b">
        <v>0</v>
      </c>
    </row>
    <row r="870" ht="69" customHeight="1" s="222">
      <c r="A870" s="164">
        <f>#REF!</f>
        <v/>
      </c>
      <c r="B870" s="145" t="b">
        <v>0</v>
      </c>
      <c r="C870" s="176">
        <f>#REF!</f>
        <v/>
      </c>
      <c r="D870" s="174" t="n"/>
      <c r="E870" s="174" t="n"/>
      <c r="F870" s="176">
        <f>#REF!</f>
        <v/>
      </c>
      <c r="G870" s="174">
        <f>#REF!</f>
        <v/>
      </c>
      <c r="H870" s="174">
        <f>#REF!</f>
        <v/>
      </c>
      <c r="I870" s="174">
        <f>#REF!</f>
        <v/>
      </c>
      <c r="J870" s="174">
        <f>#REF!</f>
        <v/>
      </c>
      <c r="K870" s="176">
        <f>#REF!</f>
        <v/>
      </c>
      <c r="L870" s="173" t="n"/>
      <c r="M870" s="9" t="n"/>
      <c r="N870" s="28" t="b">
        <v>0</v>
      </c>
      <c r="O870" s="172" t="b">
        <v>0</v>
      </c>
      <c r="P870" s="28" t="b">
        <v>0</v>
      </c>
      <c r="Q870" s="28" t="b">
        <v>0</v>
      </c>
      <c r="R870" s="28" t="b">
        <v>0</v>
      </c>
      <c r="S870" s="28" t="b">
        <v>0</v>
      </c>
      <c r="T870" s="28" t="b">
        <v>0</v>
      </c>
      <c r="U870" s="28" t="b">
        <v>0</v>
      </c>
      <c r="V870" s="28" t="b">
        <v>0</v>
      </c>
      <c r="W870" s="28" t="b">
        <v>0</v>
      </c>
    </row>
    <row r="871" ht="69" customHeight="1" s="222">
      <c r="A871" s="164">
        <f>#REF!</f>
        <v/>
      </c>
      <c r="B871" s="145" t="b">
        <v>0</v>
      </c>
      <c r="C871" s="176">
        <f>#REF!</f>
        <v/>
      </c>
      <c r="D871" s="174" t="n"/>
      <c r="E871" s="174" t="n"/>
      <c r="F871" s="176">
        <f>#REF!</f>
        <v/>
      </c>
      <c r="G871" s="174">
        <f>#REF!</f>
        <v/>
      </c>
      <c r="H871" s="174">
        <f>#REF!</f>
        <v/>
      </c>
      <c r="I871" s="174">
        <f>#REF!</f>
        <v/>
      </c>
      <c r="J871" s="174">
        <f>#REF!</f>
        <v/>
      </c>
      <c r="K871" s="176">
        <f>#REF!</f>
        <v/>
      </c>
      <c r="L871" s="173" t="n"/>
      <c r="M871" s="9" t="n"/>
      <c r="N871" s="28" t="b">
        <v>0</v>
      </c>
      <c r="O871" s="172" t="b">
        <v>0</v>
      </c>
      <c r="P871" s="28" t="b">
        <v>0</v>
      </c>
      <c r="Q871" s="28" t="b">
        <v>0</v>
      </c>
      <c r="R871" s="28" t="b">
        <v>0</v>
      </c>
      <c r="S871" s="28" t="b">
        <v>0</v>
      </c>
      <c r="T871" s="28" t="b">
        <v>0</v>
      </c>
      <c r="U871" s="28" t="b">
        <v>0</v>
      </c>
      <c r="V871" s="28" t="b">
        <v>0</v>
      </c>
      <c r="W871" s="28" t="b">
        <v>0</v>
      </c>
    </row>
    <row r="872" ht="69" customHeight="1" s="222">
      <c r="A872" s="164">
        <f>#REF!</f>
        <v/>
      </c>
      <c r="B872" s="145" t="b">
        <v>0</v>
      </c>
      <c r="C872" s="176">
        <f>#REF!</f>
        <v/>
      </c>
      <c r="D872" s="174" t="n"/>
      <c r="E872" s="174" t="n"/>
      <c r="F872" s="176">
        <f>#REF!</f>
        <v/>
      </c>
      <c r="G872" s="174">
        <f>#REF!</f>
        <v/>
      </c>
      <c r="H872" s="174">
        <f>#REF!</f>
        <v/>
      </c>
      <c r="I872" s="174">
        <f>#REF!</f>
        <v/>
      </c>
      <c r="J872" s="174">
        <f>#REF!</f>
        <v/>
      </c>
      <c r="K872" s="176">
        <f>#REF!</f>
        <v/>
      </c>
      <c r="L872" s="173" t="n"/>
      <c r="M872" s="9" t="n"/>
      <c r="N872" s="28" t="b">
        <v>0</v>
      </c>
      <c r="O872" s="172" t="b">
        <v>0</v>
      </c>
      <c r="P872" s="28" t="b">
        <v>0</v>
      </c>
      <c r="Q872" s="28" t="b">
        <v>0</v>
      </c>
      <c r="R872" s="28" t="b">
        <v>0</v>
      </c>
      <c r="S872" s="28" t="b">
        <v>0</v>
      </c>
      <c r="T872" s="28" t="b">
        <v>0</v>
      </c>
      <c r="U872" s="28" t="b">
        <v>0</v>
      </c>
      <c r="V872" s="28" t="b">
        <v>0</v>
      </c>
      <c r="W872" s="28" t="b">
        <v>0</v>
      </c>
    </row>
    <row r="873" ht="69" customHeight="1" s="222">
      <c r="A873" s="164">
        <f>#REF!</f>
        <v/>
      </c>
      <c r="B873" s="145" t="b">
        <v>0</v>
      </c>
      <c r="C873" s="176">
        <f>#REF!</f>
        <v/>
      </c>
      <c r="D873" s="174" t="n"/>
      <c r="E873" s="174" t="n"/>
      <c r="F873" s="176">
        <f>#REF!</f>
        <v/>
      </c>
      <c r="G873" s="174">
        <f>#REF!</f>
        <v/>
      </c>
      <c r="H873" s="174">
        <f>#REF!</f>
        <v/>
      </c>
      <c r="I873" s="174">
        <f>#REF!</f>
        <v/>
      </c>
      <c r="J873" s="174">
        <f>#REF!</f>
        <v/>
      </c>
      <c r="K873" s="176">
        <f>#REF!</f>
        <v/>
      </c>
      <c r="L873" s="173" t="n"/>
      <c r="M873" s="9" t="n"/>
      <c r="N873" s="28" t="b">
        <v>0</v>
      </c>
      <c r="O873" s="172" t="b">
        <v>0</v>
      </c>
      <c r="P873" s="28" t="b">
        <v>0</v>
      </c>
      <c r="Q873" s="28" t="b">
        <v>0</v>
      </c>
      <c r="R873" s="28" t="b">
        <v>0</v>
      </c>
      <c r="S873" s="28" t="b">
        <v>0</v>
      </c>
      <c r="T873" s="28" t="b">
        <v>0</v>
      </c>
      <c r="U873" s="28" t="b">
        <v>0</v>
      </c>
      <c r="V873" s="28" t="b">
        <v>0</v>
      </c>
      <c r="W873" s="28" t="b">
        <v>0</v>
      </c>
    </row>
    <row r="874" ht="69" customHeight="1" s="222">
      <c r="A874" s="164">
        <f>#REF!</f>
        <v/>
      </c>
      <c r="B874" s="145" t="b">
        <v>0</v>
      </c>
      <c r="C874" s="176">
        <f>#REF!</f>
        <v/>
      </c>
      <c r="D874" s="174" t="n"/>
      <c r="E874" s="174" t="n"/>
      <c r="F874" s="176">
        <f>#REF!</f>
        <v/>
      </c>
      <c r="G874" s="174">
        <f>#REF!</f>
        <v/>
      </c>
      <c r="H874" s="174">
        <f>#REF!</f>
        <v/>
      </c>
      <c r="I874" s="174">
        <f>#REF!</f>
        <v/>
      </c>
      <c r="J874" s="174">
        <f>#REF!</f>
        <v/>
      </c>
      <c r="K874" s="176">
        <f>#REF!</f>
        <v/>
      </c>
      <c r="L874" s="173" t="n"/>
      <c r="M874" s="9" t="n"/>
      <c r="N874" s="28" t="b">
        <v>0</v>
      </c>
      <c r="O874" s="172" t="b">
        <v>0</v>
      </c>
      <c r="P874" s="28" t="b">
        <v>0</v>
      </c>
      <c r="Q874" s="28" t="b">
        <v>0</v>
      </c>
      <c r="R874" s="28" t="b">
        <v>0</v>
      </c>
      <c r="S874" s="28" t="b">
        <v>0</v>
      </c>
      <c r="T874" s="28" t="b">
        <v>0</v>
      </c>
      <c r="U874" s="28" t="b">
        <v>0</v>
      </c>
      <c r="V874" s="28" t="b">
        <v>0</v>
      </c>
      <c r="W874" s="28" t="b">
        <v>0</v>
      </c>
    </row>
    <row r="875" ht="69" customHeight="1" s="222">
      <c r="A875" s="164">
        <f>#REF!</f>
        <v/>
      </c>
      <c r="B875" s="145" t="b">
        <v>0</v>
      </c>
      <c r="C875" s="176">
        <f>#REF!</f>
        <v/>
      </c>
      <c r="D875" s="174" t="n"/>
      <c r="E875" s="174" t="n"/>
      <c r="F875" s="176">
        <f>#REF!</f>
        <v/>
      </c>
      <c r="G875" s="174">
        <f>#REF!</f>
        <v/>
      </c>
      <c r="H875" s="174">
        <f>#REF!</f>
        <v/>
      </c>
      <c r="I875" s="174">
        <f>#REF!</f>
        <v/>
      </c>
      <c r="J875" s="174">
        <f>#REF!</f>
        <v/>
      </c>
      <c r="K875" s="176">
        <f>#REF!</f>
        <v/>
      </c>
      <c r="L875" s="173" t="n"/>
      <c r="M875" s="9" t="n"/>
      <c r="N875" s="28" t="b">
        <v>0</v>
      </c>
      <c r="O875" s="172" t="b">
        <v>0</v>
      </c>
      <c r="P875" s="28" t="b">
        <v>0</v>
      </c>
      <c r="Q875" s="28" t="b">
        <v>0</v>
      </c>
      <c r="R875" s="28" t="b">
        <v>0</v>
      </c>
      <c r="S875" s="28" t="b">
        <v>0</v>
      </c>
      <c r="T875" s="28" t="b">
        <v>0</v>
      </c>
      <c r="U875" s="28" t="b">
        <v>0</v>
      </c>
      <c r="V875" s="28" t="b">
        <v>0</v>
      </c>
      <c r="W875" s="28" t="b">
        <v>0</v>
      </c>
    </row>
    <row r="876" ht="69" customHeight="1" s="222">
      <c r="A876" s="164">
        <f>#REF!</f>
        <v/>
      </c>
      <c r="B876" s="145" t="b">
        <v>0</v>
      </c>
      <c r="C876" s="176">
        <f>#REF!</f>
        <v/>
      </c>
      <c r="D876" s="174" t="n"/>
      <c r="E876" s="174" t="n"/>
      <c r="F876" s="176">
        <f>#REF!</f>
        <v/>
      </c>
      <c r="G876" s="174">
        <f>#REF!</f>
        <v/>
      </c>
      <c r="H876" s="174">
        <f>#REF!</f>
        <v/>
      </c>
      <c r="I876" s="174">
        <f>#REF!</f>
        <v/>
      </c>
      <c r="J876" s="174">
        <f>#REF!</f>
        <v/>
      </c>
      <c r="K876" s="176">
        <f>#REF!</f>
        <v/>
      </c>
      <c r="L876" s="173" t="n"/>
      <c r="M876" s="9" t="n"/>
      <c r="N876" s="28" t="b">
        <v>0</v>
      </c>
      <c r="O876" s="172" t="b">
        <v>0</v>
      </c>
      <c r="P876" s="28" t="b">
        <v>0</v>
      </c>
      <c r="Q876" s="28" t="b">
        <v>0</v>
      </c>
      <c r="R876" s="28" t="b">
        <v>0</v>
      </c>
      <c r="S876" s="28" t="b">
        <v>0</v>
      </c>
      <c r="T876" s="28" t="b">
        <v>0</v>
      </c>
      <c r="U876" s="28" t="b">
        <v>0</v>
      </c>
      <c r="V876" s="28" t="b">
        <v>0</v>
      </c>
      <c r="W876" s="28" t="b">
        <v>0</v>
      </c>
    </row>
    <row r="877" ht="69" customHeight="1" s="222">
      <c r="A877" s="164">
        <f>#REF!</f>
        <v/>
      </c>
      <c r="B877" s="145" t="b">
        <v>0</v>
      </c>
      <c r="C877" s="176">
        <f>#REF!</f>
        <v/>
      </c>
      <c r="D877" s="174" t="n"/>
      <c r="E877" s="174" t="n"/>
      <c r="F877" s="176">
        <f>#REF!</f>
        <v/>
      </c>
      <c r="G877" s="174">
        <f>#REF!</f>
        <v/>
      </c>
      <c r="H877" s="174">
        <f>#REF!</f>
        <v/>
      </c>
      <c r="I877" s="174">
        <f>#REF!</f>
        <v/>
      </c>
      <c r="J877" s="174">
        <f>#REF!</f>
        <v/>
      </c>
      <c r="K877" s="176">
        <f>#REF!</f>
        <v/>
      </c>
      <c r="L877" s="173" t="n"/>
      <c r="M877" s="9" t="n"/>
      <c r="N877" s="28" t="b">
        <v>0</v>
      </c>
      <c r="O877" s="172" t="b">
        <v>0</v>
      </c>
      <c r="P877" s="28" t="b">
        <v>0</v>
      </c>
      <c r="Q877" s="28" t="b">
        <v>0</v>
      </c>
      <c r="R877" s="28" t="b">
        <v>0</v>
      </c>
      <c r="S877" s="28" t="b">
        <v>0</v>
      </c>
      <c r="T877" s="28" t="b">
        <v>0</v>
      </c>
      <c r="U877" s="28" t="b">
        <v>0</v>
      </c>
      <c r="V877" s="28" t="b">
        <v>0</v>
      </c>
      <c r="W877" s="28" t="b">
        <v>0</v>
      </c>
    </row>
    <row r="878" ht="69" customHeight="1" s="222">
      <c r="A878" s="164">
        <f>#REF!</f>
        <v/>
      </c>
      <c r="B878" s="145" t="b">
        <v>0</v>
      </c>
      <c r="C878" s="176">
        <f>#REF!</f>
        <v/>
      </c>
      <c r="D878" s="174" t="n"/>
      <c r="E878" s="174" t="n"/>
      <c r="F878" s="176">
        <f>#REF!</f>
        <v/>
      </c>
      <c r="G878" s="174">
        <f>#REF!</f>
        <v/>
      </c>
      <c r="H878" s="174">
        <f>#REF!</f>
        <v/>
      </c>
      <c r="I878" s="174">
        <f>#REF!</f>
        <v/>
      </c>
      <c r="J878" s="174">
        <f>#REF!</f>
        <v/>
      </c>
      <c r="K878" s="176">
        <f>#REF!</f>
        <v/>
      </c>
      <c r="L878" s="173" t="n"/>
      <c r="M878" s="9" t="n"/>
      <c r="N878" s="28" t="b">
        <v>0</v>
      </c>
      <c r="O878" s="172" t="b">
        <v>0</v>
      </c>
      <c r="P878" s="28" t="b">
        <v>0</v>
      </c>
      <c r="Q878" s="28" t="b">
        <v>0</v>
      </c>
      <c r="R878" s="28" t="b">
        <v>0</v>
      </c>
      <c r="S878" s="28" t="b">
        <v>0</v>
      </c>
      <c r="T878" s="28" t="b">
        <v>0</v>
      </c>
      <c r="U878" s="28" t="b">
        <v>0</v>
      </c>
      <c r="V878" s="28" t="b">
        <v>0</v>
      </c>
      <c r="W878" s="28" t="b">
        <v>0</v>
      </c>
    </row>
    <row r="879" ht="69" customHeight="1" s="222">
      <c r="A879" s="164">
        <f>#REF!</f>
        <v/>
      </c>
      <c r="B879" s="145" t="b">
        <v>0</v>
      </c>
      <c r="C879" s="176">
        <f>#REF!</f>
        <v/>
      </c>
      <c r="D879" s="174" t="n"/>
      <c r="E879" s="174" t="n"/>
      <c r="F879" s="176">
        <f>#REF!</f>
        <v/>
      </c>
      <c r="G879" s="174">
        <f>#REF!</f>
        <v/>
      </c>
      <c r="H879" s="174">
        <f>#REF!</f>
        <v/>
      </c>
      <c r="I879" s="174">
        <f>#REF!</f>
        <v/>
      </c>
      <c r="J879" s="174">
        <f>#REF!</f>
        <v/>
      </c>
      <c r="K879" s="176">
        <f>#REF!</f>
        <v/>
      </c>
      <c r="L879" s="173" t="n"/>
      <c r="M879" s="9" t="n"/>
      <c r="N879" s="28" t="b">
        <v>0</v>
      </c>
      <c r="O879" s="172" t="b">
        <v>0</v>
      </c>
      <c r="P879" s="28" t="b">
        <v>0</v>
      </c>
      <c r="Q879" s="28" t="b">
        <v>0</v>
      </c>
      <c r="R879" s="28" t="b">
        <v>0</v>
      </c>
      <c r="S879" s="28" t="b">
        <v>0</v>
      </c>
      <c r="T879" s="28" t="b">
        <v>0</v>
      </c>
      <c r="U879" s="28" t="b">
        <v>0</v>
      </c>
      <c r="V879" s="28" t="b">
        <v>0</v>
      </c>
      <c r="W879" s="28" t="b">
        <v>0</v>
      </c>
    </row>
    <row r="880" ht="69" customHeight="1" s="222">
      <c r="A880" s="164">
        <f>#REF!</f>
        <v/>
      </c>
      <c r="B880" s="145" t="b">
        <v>0</v>
      </c>
      <c r="C880" s="176">
        <f>#REF!</f>
        <v/>
      </c>
      <c r="D880" s="174" t="n"/>
      <c r="E880" s="174" t="n"/>
      <c r="F880" s="176">
        <f>#REF!</f>
        <v/>
      </c>
      <c r="G880" s="174">
        <f>#REF!</f>
        <v/>
      </c>
      <c r="H880" s="174">
        <f>#REF!</f>
        <v/>
      </c>
      <c r="I880" s="174">
        <f>#REF!</f>
        <v/>
      </c>
      <c r="J880" s="174">
        <f>#REF!</f>
        <v/>
      </c>
      <c r="K880" s="176">
        <f>#REF!</f>
        <v/>
      </c>
      <c r="L880" s="173" t="n"/>
      <c r="M880" s="9" t="n"/>
      <c r="N880" s="28" t="b">
        <v>0</v>
      </c>
      <c r="O880" s="172" t="b">
        <v>0</v>
      </c>
      <c r="P880" s="28" t="b">
        <v>0</v>
      </c>
      <c r="Q880" s="28" t="b">
        <v>0</v>
      </c>
      <c r="R880" s="28" t="b">
        <v>0</v>
      </c>
      <c r="S880" s="28" t="b">
        <v>0</v>
      </c>
      <c r="T880" s="28" t="b">
        <v>0</v>
      </c>
      <c r="U880" s="28" t="b">
        <v>0</v>
      </c>
      <c r="V880" s="28" t="b">
        <v>0</v>
      </c>
      <c r="W880" s="28" t="b">
        <v>0</v>
      </c>
    </row>
    <row r="881" ht="69" customHeight="1" s="222">
      <c r="A881" s="164">
        <f>#REF!</f>
        <v/>
      </c>
      <c r="B881" s="145" t="b">
        <v>0</v>
      </c>
      <c r="C881" s="176">
        <f>#REF!</f>
        <v/>
      </c>
      <c r="D881" s="174" t="n"/>
      <c r="E881" s="174" t="n"/>
      <c r="F881" s="176">
        <f>#REF!</f>
        <v/>
      </c>
      <c r="G881" s="174">
        <f>#REF!</f>
        <v/>
      </c>
      <c r="H881" s="174">
        <f>#REF!</f>
        <v/>
      </c>
      <c r="I881" s="174">
        <f>#REF!</f>
        <v/>
      </c>
      <c r="J881" s="174">
        <f>#REF!</f>
        <v/>
      </c>
      <c r="K881" s="176">
        <f>#REF!</f>
        <v/>
      </c>
      <c r="L881" s="173" t="n"/>
      <c r="M881" s="9" t="n"/>
      <c r="N881" s="28" t="b">
        <v>0</v>
      </c>
      <c r="O881" s="172" t="b">
        <v>0</v>
      </c>
      <c r="P881" s="28" t="b">
        <v>0</v>
      </c>
      <c r="Q881" s="28" t="b">
        <v>0</v>
      </c>
      <c r="R881" s="28" t="b">
        <v>0</v>
      </c>
      <c r="S881" s="28" t="b">
        <v>0</v>
      </c>
      <c r="T881" s="28" t="b">
        <v>0</v>
      </c>
      <c r="U881" s="28" t="b">
        <v>0</v>
      </c>
      <c r="V881" s="28" t="b">
        <v>0</v>
      </c>
      <c r="W881" s="28" t="b">
        <v>0</v>
      </c>
    </row>
    <row r="882" ht="69" customHeight="1" s="222">
      <c r="A882" s="164">
        <f>#REF!</f>
        <v/>
      </c>
      <c r="B882" s="145" t="b">
        <v>0</v>
      </c>
      <c r="C882" s="176">
        <f>#REF!</f>
        <v/>
      </c>
      <c r="D882" s="174" t="n"/>
      <c r="E882" s="174" t="n"/>
      <c r="F882" s="176">
        <f>#REF!</f>
        <v/>
      </c>
      <c r="G882" s="174">
        <f>#REF!</f>
        <v/>
      </c>
      <c r="H882" s="174">
        <f>#REF!</f>
        <v/>
      </c>
      <c r="I882" s="174">
        <f>#REF!</f>
        <v/>
      </c>
      <c r="J882" s="174">
        <f>#REF!</f>
        <v/>
      </c>
      <c r="K882" s="176">
        <f>#REF!</f>
        <v/>
      </c>
      <c r="L882" s="173" t="n"/>
      <c r="M882" s="9" t="n"/>
      <c r="N882" s="28" t="b">
        <v>0</v>
      </c>
      <c r="O882" s="172" t="b">
        <v>0</v>
      </c>
      <c r="P882" s="28" t="b">
        <v>0</v>
      </c>
      <c r="Q882" s="28" t="b">
        <v>0</v>
      </c>
      <c r="R882" s="28" t="b">
        <v>0</v>
      </c>
      <c r="S882" s="28" t="b">
        <v>0</v>
      </c>
      <c r="T882" s="28" t="b">
        <v>0</v>
      </c>
      <c r="U882" s="28" t="b">
        <v>0</v>
      </c>
      <c r="V882" s="28" t="b">
        <v>0</v>
      </c>
      <c r="W882" s="28" t="b">
        <v>0</v>
      </c>
    </row>
    <row r="883" ht="69" customHeight="1" s="222">
      <c r="A883" s="164">
        <f>#REF!</f>
        <v/>
      </c>
      <c r="B883" s="145" t="b">
        <v>0</v>
      </c>
      <c r="C883" s="176">
        <f>#REF!</f>
        <v/>
      </c>
      <c r="D883" s="174" t="n"/>
      <c r="E883" s="174" t="n"/>
      <c r="F883" s="176">
        <f>#REF!</f>
        <v/>
      </c>
      <c r="G883" s="174">
        <f>#REF!</f>
        <v/>
      </c>
      <c r="H883" s="174">
        <f>#REF!</f>
        <v/>
      </c>
      <c r="I883" s="174">
        <f>#REF!</f>
        <v/>
      </c>
      <c r="J883" s="174">
        <f>#REF!</f>
        <v/>
      </c>
      <c r="K883" s="176">
        <f>#REF!</f>
        <v/>
      </c>
      <c r="L883" s="173" t="n"/>
      <c r="M883" s="9" t="n"/>
      <c r="N883" s="28" t="b">
        <v>0</v>
      </c>
      <c r="O883" s="172" t="b">
        <v>0</v>
      </c>
      <c r="P883" s="28" t="b">
        <v>0</v>
      </c>
      <c r="Q883" s="28" t="b">
        <v>0</v>
      </c>
      <c r="R883" s="28" t="b">
        <v>0</v>
      </c>
      <c r="S883" s="28" t="b">
        <v>0</v>
      </c>
      <c r="T883" s="28" t="b">
        <v>0</v>
      </c>
      <c r="U883" s="28" t="b">
        <v>0</v>
      </c>
      <c r="V883" s="28" t="b">
        <v>0</v>
      </c>
      <c r="W883" s="28" t="b">
        <v>0</v>
      </c>
    </row>
    <row r="884" ht="69" customHeight="1" s="222">
      <c r="A884" s="164">
        <f>#REF!</f>
        <v/>
      </c>
      <c r="B884" s="145" t="b">
        <v>0</v>
      </c>
      <c r="C884" s="176">
        <f>#REF!</f>
        <v/>
      </c>
      <c r="D884" s="174" t="n"/>
      <c r="E884" s="174" t="n"/>
      <c r="F884" s="176">
        <f>#REF!</f>
        <v/>
      </c>
      <c r="G884" s="174">
        <f>#REF!</f>
        <v/>
      </c>
      <c r="H884" s="174">
        <f>#REF!</f>
        <v/>
      </c>
      <c r="I884" s="174">
        <f>#REF!</f>
        <v/>
      </c>
      <c r="J884" s="174">
        <f>#REF!</f>
        <v/>
      </c>
      <c r="K884" s="176">
        <f>#REF!</f>
        <v/>
      </c>
      <c r="L884" s="173" t="n"/>
      <c r="M884" s="9" t="n"/>
      <c r="N884" s="28" t="b">
        <v>0</v>
      </c>
      <c r="O884" s="172" t="b">
        <v>0</v>
      </c>
      <c r="P884" s="28" t="b">
        <v>0</v>
      </c>
      <c r="Q884" s="28" t="b">
        <v>0</v>
      </c>
      <c r="R884" s="28" t="b">
        <v>0</v>
      </c>
      <c r="S884" s="28" t="b">
        <v>0</v>
      </c>
      <c r="T884" s="28" t="b">
        <v>0</v>
      </c>
      <c r="U884" s="28" t="b">
        <v>0</v>
      </c>
      <c r="V884" s="28" t="b">
        <v>0</v>
      </c>
      <c r="W884" s="28" t="b">
        <v>0</v>
      </c>
    </row>
    <row r="885" ht="69" customHeight="1" s="222">
      <c r="A885" s="164">
        <f>#REF!</f>
        <v/>
      </c>
      <c r="B885" s="145" t="b">
        <v>0</v>
      </c>
      <c r="C885" s="176">
        <f>#REF!</f>
        <v/>
      </c>
      <c r="D885" s="174" t="n"/>
      <c r="E885" s="174" t="n"/>
      <c r="F885" s="176">
        <f>#REF!</f>
        <v/>
      </c>
      <c r="G885" s="174">
        <f>#REF!</f>
        <v/>
      </c>
      <c r="H885" s="174">
        <f>#REF!</f>
        <v/>
      </c>
      <c r="I885" s="174">
        <f>#REF!</f>
        <v/>
      </c>
      <c r="J885" s="174">
        <f>#REF!</f>
        <v/>
      </c>
      <c r="K885" s="176">
        <f>#REF!</f>
        <v/>
      </c>
      <c r="L885" s="173" t="n"/>
      <c r="M885" s="9" t="n"/>
      <c r="N885" s="28" t="b">
        <v>0</v>
      </c>
      <c r="O885" s="172" t="b">
        <v>0</v>
      </c>
      <c r="P885" s="28" t="b">
        <v>0</v>
      </c>
      <c r="Q885" s="28" t="b">
        <v>0</v>
      </c>
      <c r="R885" s="28" t="b">
        <v>0</v>
      </c>
      <c r="S885" s="28" t="b">
        <v>0</v>
      </c>
      <c r="T885" s="28" t="b">
        <v>0</v>
      </c>
      <c r="U885" s="28" t="b">
        <v>0</v>
      </c>
      <c r="V885" s="28" t="b">
        <v>0</v>
      </c>
      <c r="W885" s="28" t="b">
        <v>0</v>
      </c>
    </row>
    <row r="886" ht="69" customHeight="1" s="222">
      <c r="A886" s="164">
        <f>#REF!</f>
        <v/>
      </c>
      <c r="B886" s="145" t="b">
        <v>0</v>
      </c>
      <c r="C886" s="176">
        <f>#REF!</f>
        <v/>
      </c>
      <c r="D886" s="174" t="n"/>
      <c r="E886" s="174" t="n"/>
      <c r="F886" s="176">
        <f>#REF!</f>
        <v/>
      </c>
      <c r="G886" s="174">
        <f>#REF!</f>
        <v/>
      </c>
      <c r="H886" s="174">
        <f>#REF!</f>
        <v/>
      </c>
      <c r="I886" s="174">
        <f>#REF!</f>
        <v/>
      </c>
      <c r="J886" s="174">
        <f>#REF!</f>
        <v/>
      </c>
      <c r="K886" s="176">
        <f>#REF!</f>
        <v/>
      </c>
      <c r="L886" s="173" t="n"/>
      <c r="M886" s="9" t="n"/>
      <c r="N886" s="28" t="b">
        <v>0</v>
      </c>
      <c r="O886" s="172" t="b">
        <v>0</v>
      </c>
      <c r="P886" s="28" t="b">
        <v>0</v>
      </c>
      <c r="Q886" s="28" t="b">
        <v>0</v>
      </c>
      <c r="R886" s="28" t="b">
        <v>0</v>
      </c>
      <c r="S886" s="28" t="b">
        <v>0</v>
      </c>
      <c r="T886" s="28" t="b">
        <v>0</v>
      </c>
      <c r="U886" s="28" t="b">
        <v>0</v>
      </c>
      <c r="V886" s="28" t="b">
        <v>0</v>
      </c>
      <c r="W886" s="28" t="b">
        <v>0</v>
      </c>
    </row>
    <row r="887" ht="69" customHeight="1" s="222">
      <c r="A887" s="164">
        <f>#REF!</f>
        <v/>
      </c>
      <c r="B887" s="145" t="b">
        <v>0</v>
      </c>
      <c r="C887" s="176">
        <f>#REF!</f>
        <v/>
      </c>
      <c r="D887" s="174" t="n"/>
      <c r="E887" s="174" t="n"/>
      <c r="F887" s="176">
        <f>#REF!</f>
        <v/>
      </c>
      <c r="G887" s="174">
        <f>#REF!</f>
        <v/>
      </c>
      <c r="H887" s="174">
        <f>#REF!</f>
        <v/>
      </c>
      <c r="I887" s="174">
        <f>#REF!</f>
        <v/>
      </c>
      <c r="J887" s="174">
        <f>#REF!</f>
        <v/>
      </c>
      <c r="K887" s="176">
        <f>#REF!</f>
        <v/>
      </c>
      <c r="L887" s="173" t="n"/>
      <c r="M887" s="9" t="n"/>
      <c r="N887" s="28" t="b">
        <v>0</v>
      </c>
      <c r="O887" s="172" t="b">
        <v>0</v>
      </c>
      <c r="P887" s="28" t="b">
        <v>0</v>
      </c>
      <c r="Q887" s="28" t="b">
        <v>0</v>
      </c>
      <c r="R887" s="28" t="b">
        <v>0</v>
      </c>
      <c r="S887" s="28" t="b">
        <v>0</v>
      </c>
      <c r="T887" s="28" t="b">
        <v>0</v>
      </c>
      <c r="U887" s="28" t="b">
        <v>0</v>
      </c>
      <c r="V887" s="28" t="b">
        <v>0</v>
      </c>
      <c r="W887" s="28" t="b">
        <v>0</v>
      </c>
    </row>
    <row r="888" ht="69" customHeight="1" s="222">
      <c r="A888" s="164">
        <f>#REF!</f>
        <v/>
      </c>
      <c r="B888" s="145" t="b">
        <v>0</v>
      </c>
      <c r="C888" s="176">
        <f>#REF!</f>
        <v/>
      </c>
      <c r="D888" s="174" t="n"/>
      <c r="E888" s="174" t="n"/>
      <c r="F888" s="176">
        <f>#REF!</f>
        <v/>
      </c>
      <c r="G888" s="174">
        <f>#REF!</f>
        <v/>
      </c>
      <c r="H888" s="174">
        <f>#REF!</f>
        <v/>
      </c>
      <c r="I888" s="174">
        <f>#REF!</f>
        <v/>
      </c>
      <c r="J888" s="174">
        <f>#REF!</f>
        <v/>
      </c>
      <c r="K888" s="176">
        <f>#REF!</f>
        <v/>
      </c>
      <c r="L888" s="173" t="n"/>
      <c r="M888" s="9" t="n"/>
      <c r="N888" s="28" t="b">
        <v>0</v>
      </c>
      <c r="O888" s="172" t="b">
        <v>0</v>
      </c>
      <c r="P888" s="28" t="b">
        <v>0</v>
      </c>
      <c r="Q888" s="28" t="b">
        <v>0</v>
      </c>
      <c r="R888" s="28" t="b">
        <v>0</v>
      </c>
      <c r="S888" s="28" t="b">
        <v>0</v>
      </c>
      <c r="T888" s="28" t="b">
        <v>0</v>
      </c>
      <c r="U888" s="28" t="b">
        <v>0</v>
      </c>
      <c r="V888" s="28" t="b">
        <v>0</v>
      </c>
      <c r="W888" s="28" t="b">
        <v>0</v>
      </c>
    </row>
    <row r="889" ht="69" customHeight="1" s="222">
      <c r="A889" s="164">
        <f>#REF!</f>
        <v/>
      </c>
      <c r="B889" s="145" t="b">
        <v>0</v>
      </c>
      <c r="C889" s="176">
        <f>#REF!</f>
        <v/>
      </c>
      <c r="D889" s="174" t="n"/>
      <c r="E889" s="174" t="n"/>
      <c r="F889" s="176">
        <f>#REF!</f>
        <v/>
      </c>
      <c r="G889" s="174">
        <f>#REF!</f>
        <v/>
      </c>
      <c r="H889" s="174">
        <f>#REF!</f>
        <v/>
      </c>
      <c r="I889" s="174">
        <f>#REF!</f>
        <v/>
      </c>
      <c r="J889" s="174">
        <f>#REF!</f>
        <v/>
      </c>
      <c r="K889" s="176">
        <f>#REF!</f>
        <v/>
      </c>
      <c r="L889" s="173" t="n"/>
      <c r="M889" s="9" t="n"/>
      <c r="N889" s="28" t="b">
        <v>0</v>
      </c>
      <c r="O889" s="172" t="b">
        <v>0</v>
      </c>
      <c r="P889" s="28" t="b">
        <v>0</v>
      </c>
      <c r="Q889" s="28" t="b">
        <v>0</v>
      </c>
      <c r="R889" s="28" t="b">
        <v>0</v>
      </c>
      <c r="S889" s="28" t="b">
        <v>0</v>
      </c>
      <c r="T889" s="28" t="b">
        <v>0</v>
      </c>
      <c r="U889" s="28" t="b">
        <v>0</v>
      </c>
      <c r="V889" s="28" t="b">
        <v>0</v>
      </c>
      <c r="W889" s="28" t="b">
        <v>0</v>
      </c>
    </row>
    <row r="890" ht="69" customHeight="1" s="222">
      <c r="A890" s="164">
        <f>#REF!</f>
        <v/>
      </c>
      <c r="B890" s="145" t="b">
        <v>0</v>
      </c>
      <c r="C890" s="176">
        <f>#REF!</f>
        <v/>
      </c>
      <c r="D890" s="174" t="n"/>
      <c r="E890" s="174" t="n"/>
      <c r="F890" s="176">
        <f>#REF!</f>
        <v/>
      </c>
      <c r="G890" s="174">
        <f>#REF!</f>
        <v/>
      </c>
      <c r="H890" s="174">
        <f>#REF!</f>
        <v/>
      </c>
      <c r="I890" s="174">
        <f>#REF!</f>
        <v/>
      </c>
      <c r="J890" s="174">
        <f>#REF!</f>
        <v/>
      </c>
      <c r="K890" s="176">
        <f>#REF!</f>
        <v/>
      </c>
      <c r="L890" s="173" t="n"/>
      <c r="M890" s="9" t="n"/>
      <c r="N890" s="28" t="b">
        <v>0</v>
      </c>
      <c r="O890" s="172" t="b">
        <v>0</v>
      </c>
      <c r="P890" s="28" t="b">
        <v>0</v>
      </c>
      <c r="Q890" s="28" t="b">
        <v>0</v>
      </c>
      <c r="R890" s="28" t="b">
        <v>0</v>
      </c>
      <c r="S890" s="28" t="b">
        <v>0</v>
      </c>
      <c r="T890" s="28" t="b">
        <v>0</v>
      </c>
      <c r="U890" s="28" t="b">
        <v>0</v>
      </c>
      <c r="V890" s="28" t="b">
        <v>0</v>
      </c>
      <c r="W890" s="28" t="b">
        <v>0</v>
      </c>
    </row>
    <row r="891" ht="69" customHeight="1" s="222">
      <c r="A891" s="164">
        <f>#REF!</f>
        <v/>
      </c>
      <c r="B891" s="145" t="b">
        <v>0</v>
      </c>
      <c r="C891" s="176">
        <f>#REF!</f>
        <v/>
      </c>
      <c r="D891" s="174" t="n"/>
      <c r="E891" s="174" t="n"/>
      <c r="F891" s="176">
        <f>#REF!</f>
        <v/>
      </c>
      <c r="G891" s="174">
        <f>#REF!</f>
        <v/>
      </c>
      <c r="H891" s="174">
        <f>#REF!</f>
        <v/>
      </c>
      <c r="I891" s="174">
        <f>#REF!</f>
        <v/>
      </c>
      <c r="J891" s="174">
        <f>#REF!</f>
        <v/>
      </c>
      <c r="K891" s="176">
        <f>#REF!</f>
        <v/>
      </c>
      <c r="L891" s="173" t="n"/>
      <c r="M891" s="9" t="n"/>
      <c r="N891" s="28" t="b">
        <v>0</v>
      </c>
      <c r="O891" s="172" t="b">
        <v>0</v>
      </c>
      <c r="P891" s="28" t="b">
        <v>0</v>
      </c>
      <c r="Q891" s="28" t="b">
        <v>0</v>
      </c>
      <c r="R891" s="28" t="b">
        <v>0</v>
      </c>
      <c r="S891" s="28" t="b">
        <v>0</v>
      </c>
      <c r="T891" s="28" t="b">
        <v>0</v>
      </c>
      <c r="U891" s="28" t="b">
        <v>0</v>
      </c>
      <c r="V891" s="28" t="b">
        <v>0</v>
      </c>
      <c r="W891" s="28" t="b">
        <v>0</v>
      </c>
    </row>
    <row r="892" ht="69" customHeight="1" s="222">
      <c r="A892" s="164">
        <f>#REF!</f>
        <v/>
      </c>
      <c r="B892" s="145" t="b">
        <v>0</v>
      </c>
      <c r="C892" s="176">
        <f>#REF!</f>
        <v/>
      </c>
      <c r="D892" s="174" t="n"/>
      <c r="E892" s="174" t="n"/>
      <c r="F892" s="176">
        <f>#REF!</f>
        <v/>
      </c>
      <c r="G892" s="174">
        <f>#REF!</f>
        <v/>
      </c>
      <c r="H892" s="174">
        <f>#REF!</f>
        <v/>
      </c>
      <c r="I892" s="174">
        <f>#REF!</f>
        <v/>
      </c>
      <c r="J892" s="174">
        <f>#REF!</f>
        <v/>
      </c>
      <c r="K892" s="176">
        <f>#REF!</f>
        <v/>
      </c>
      <c r="L892" s="173" t="n"/>
      <c r="M892" s="9" t="n"/>
      <c r="N892" s="28" t="b">
        <v>0</v>
      </c>
      <c r="O892" s="172" t="b">
        <v>0</v>
      </c>
      <c r="P892" s="28" t="b">
        <v>0</v>
      </c>
      <c r="Q892" s="28" t="b">
        <v>0</v>
      </c>
      <c r="R892" s="28" t="b">
        <v>0</v>
      </c>
      <c r="S892" s="28" t="b">
        <v>0</v>
      </c>
      <c r="T892" s="28" t="b">
        <v>0</v>
      </c>
      <c r="U892" s="28" t="b">
        <v>0</v>
      </c>
      <c r="V892" s="28" t="b">
        <v>0</v>
      </c>
      <c r="W892" s="28" t="b">
        <v>0</v>
      </c>
    </row>
    <row r="893" ht="69" customHeight="1" s="222">
      <c r="A893" s="164">
        <f>#REF!</f>
        <v/>
      </c>
      <c r="B893" s="145" t="b">
        <v>0</v>
      </c>
      <c r="C893" s="176">
        <f>#REF!</f>
        <v/>
      </c>
      <c r="D893" s="174" t="n"/>
      <c r="E893" s="174" t="n"/>
      <c r="F893" s="176">
        <f>#REF!</f>
        <v/>
      </c>
      <c r="G893" s="174">
        <f>#REF!</f>
        <v/>
      </c>
      <c r="H893" s="174">
        <f>#REF!</f>
        <v/>
      </c>
      <c r="I893" s="174">
        <f>#REF!</f>
        <v/>
      </c>
      <c r="J893" s="174">
        <f>#REF!</f>
        <v/>
      </c>
      <c r="K893" s="176">
        <f>#REF!</f>
        <v/>
      </c>
      <c r="L893" s="173" t="n"/>
      <c r="M893" s="9" t="n"/>
      <c r="N893" s="28" t="b">
        <v>0</v>
      </c>
      <c r="O893" s="172" t="b">
        <v>0</v>
      </c>
      <c r="P893" s="28" t="b">
        <v>0</v>
      </c>
      <c r="Q893" s="28" t="b">
        <v>0</v>
      </c>
      <c r="R893" s="28" t="b">
        <v>0</v>
      </c>
      <c r="S893" s="28" t="b">
        <v>0</v>
      </c>
      <c r="T893" s="28" t="b">
        <v>0</v>
      </c>
      <c r="U893" s="28" t="b">
        <v>0</v>
      </c>
      <c r="V893" s="28" t="b">
        <v>0</v>
      </c>
      <c r="W893" s="28" t="b">
        <v>0</v>
      </c>
    </row>
    <row r="894" ht="69" customHeight="1" s="222">
      <c r="A894" s="164">
        <f>#REF!</f>
        <v/>
      </c>
      <c r="B894" s="145" t="b">
        <v>0</v>
      </c>
      <c r="C894" s="176">
        <f>#REF!</f>
        <v/>
      </c>
      <c r="D894" s="174" t="n"/>
      <c r="E894" s="174" t="n"/>
      <c r="F894" s="176">
        <f>#REF!</f>
        <v/>
      </c>
      <c r="G894" s="174">
        <f>#REF!</f>
        <v/>
      </c>
      <c r="H894" s="174">
        <f>#REF!</f>
        <v/>
      </c>
      <c r="I894" s="174">
        <f>#REF!</f>
        <v/>
      </c>
      <c r="J894" s="174">
        <f>#REF!</f>
        <v/>
      </c>
      <c r="K894" s="176">
        <f>#REF!</f>
        <v/>
      </c>
      <c r="L894" s="173" t="n"/>
      <c r="M894" s="9" t="n"/>
      <c r="N894" s="28" t="b">
        <v>0</v>
      </c>
      <c r="O894" s="172" t="b">
        <v>0</v>
      </c>
      <c r="P894" s="28" t="b">
        <v>0</v>
      </c>
      <c r="Q894" s="28" t="b">
        <v>0</v>
      </c>
      <c r="R894" s="28" t="b">
        <v>0</v>
      </c>
      <c r="S894" s="28" t="b">
        <v>0</v>
      </c>
      <c r="T894" s="28" t="b">
        <v>0</v>
      </c>
      <c r="U894" s="28" t="b">
        <v>0</v>
      </c>
      <c r="V894" s="28" t="b">
        <v>0</v>
      </c>
      <c r="W894" s="28" t="b">
        <v>0</v>
      </c>
    </row>
    <row r="895" ht="69" customHeight="1" s="222">
      <c r="A895" s="164">
        <f>#REF!</f>
        <v/>
      </c>
      <c r="B895" s="145" t="b">
        <v>0</v>
      </c>
      <c r="C895" s="176">
        <f>#REF!</f>
        <v/>
      </c>
      <c r="D895" s="174" t="n"/>
      <c r="E895" s="174" t="n"/>
      <c r="F895" s="176">
        <f>#REF!</f>
        <v/>
      </c>
      <c r="G895" s="174">
        <f>#REF!</f>
        <v/>
      </c>
      <c r="H895" s="174">
        <f>#REF!</f>
        <v/>
      </c>
      <c r="I895" s="174">
        <f>#REF!</f>
        <v/>
      </c>
      <c r="J895" s="174">
        <f>#REF!</f>
        <v/>
      </c>
      <c r="K895" s="176">
        <f>#REF!</f>
        <v/>
      </c>
      <c r="L895" s="173" t="n"/>
      <c r="M895" s="9" t="n"/>
      <c r="N895" s="28" t="b">
        <v>0</v>
      </c>
      <c r="O895" s="172" t="b">
        <v>0</v>
      </c>
      <c r="P895" s="28" t="b">
        <v>0</v>
      </c>
      <c r="Q895" s="28" t="b">
        <v>0</v>
      </c>
      <c r="R895" s="28" t="b">
        <v>0</v>
      </c>
      <c r="S895" s="28" t="b">
        <v>0</v>
      </c>
      <c r="T895" s="28" t="b">
        <v>0</v>
      </c>
      <c r="U895" s="28" t="b">
        <v>0</v>
      </c>
      <c r="V895" s="28" t="b">
        <v>0</v>
      </c>
      <c r="W895" s="28" t="b">
        <v>0</v>
      </c>
    </row>
    <row r="896" ht="69" customHeight="1" s="222">
      <c r="A896" s="164">
        <f>#REF!</f>
        <v/>
      </c>
      <c r="B896" s="145" t="b">
        <v>0</v>
      </c>
      <c r="C896" s="176">
        <f>#REF!</f>
        <v/>
      </c>
      <c r="D896" s="174" t="n"/>
      <c r="E896" s="174" t="n"/>
      <c r="F896" s="176">
        <f>#REF!</f>
        <v/>
      </c>
      <c r="G896" s="174">
        <f>#REF!</f>
        <v/>
      </c>
      <c r="H896" s="174">
        <f>#REF!</f>
        <v/>
      </c>
      <c r="I896" s="174">
        <f>#REF!</f>
        <v/>
      </c>
      <c r="J896" s="174">
        <f>#REF!</f>
        <v/>
      </c>
      <c r="K896" s="176">
        <f>#REF!</f>
        <v/>
      </c>
      <c r="L896" s="173" t="n"/>
      <c r="M896" s="9" t="n"/>
      <c r="N896" s="28" t="b">
        <v>0</v>
      </c>
      <c r="O896" s="172" t="b">
        <v>0</v>
      </c>
      <c r="P896" s="28" t="b">
        <v>0</v>
      </c>
      <c r="Q896" s="28" t="b">
        <v>0</v>
      </c>
      <c r="R896" s="28" t="b">
        <v>0</v>
      </c>
      <c r="S896" s="28" t="b">
        <v>0</v>
      </c>
      <c r="T896" s="28" t="b">
        <v>0</v>
      </c>
      <c r="U896" s="28" t="b">
        <v>0</v>
      </c>
      <c r="V896" s="28" t="b">
        <v>0</v>
      </c>
      <c r="W896" s="28" t="b">
        <v>0</v>
      </c>
    </row>
    <row r="897" ht="69" customHeight="1" s="222">
      <c r="A897" s="164">
        <f>#REF!</f>
        <v/>
      </c>
      <c r="B897" s="145" t="b">
        <v>0</v>
      </c>
      <c r="C897" s="176">
        <f>#REF!</f>
        <v/>
      </c>
      <c r="D897" s="174" t="n"/>
      <c r="E897" s="174" t="n"/>
      <c r="F897" s="176">
        <f>#REF!</f>
        <v/>
      </c>
      <c r="G897" s="174">
        <f>#REF!</f>
        <v/>
      </c>
      <c r="H897" s="174">
        <f>#REF!</f>
        <v/>
      </c>
      <c r="I897" s="174">
        <f>#REF!</f>
        <v/>
      </c>
      <c r="J897" s="174">
        <f>#REF!</f>
        <v/>
      </c>
      <c r="K897" s="176">
        <f>#REF!</f>
        <v/>
      </c>
      <c r="L897" s="173" t="n"/>
      <c r="M897" s="9" t="n"/>
      <c r="N897" s="28" t="b">
        <v>0</v>
      </c>
      <c r="O897" s="172" t="b">
        <v>0</v>
      </c>
      <c r="P897" s="28" t="b">
        <v>0</v>
      </c>
      <c r="Q897" s="28" t="b">
        <v>0</v>
      </c>
      <c r="R897" s="28" t="b">
        <v>0</v>
      </c>
      <c r="S897" s="28" t="b">
        <v>0</v>
      </c>
      <c r="T897" s="28" t="b">
        <v>0</v>
      </c>
      <c r="U897" s="28" t="b">
        <v>0</v>
      </c>
      <c r="V897" s="28" t="b">
        <v>0</v>
      </c>
      <c r="W897" s="28" t="b">
        <v>0</v>
      </c>
    </row>
    <row r="898" ht="69" customHeight="1" s="222">
      <c r="A898" s="164">
        <f>#REF!</f>
        <v/>
      </c>
      <c r="B898" s="145" t="b">
        <v>0</v>
      </c>
      <c r="C898" s="176">
        <f>#REF!</f>
        <v/>
      </c>
      <c r="D898" s="174" t="n"/>
      <c r="E898" s="174" t="n"/>
      <c r="F898" s="176">
        <f>#REF!</f>
        <v/>
      </c>
      <c r="G898" s="174">
        <f>#REF!</f>
        <v/>
      </c>
      <c r="H898" s="174">
        <f>#REF!</f>
        <v/>
      </c>
      <c r="I898" s="174">
        <f>#REF!</f>
        <v/>
      </c>
      <c r="J898" s="174">
        <f>#REF!</f>
        <v/>
      </c>
      <c r="K898" s="176">
        <f>#REF!</f>
        <v/>
      </c>
      <c r="L898" s="173" t="n"/>
      <c r="M898" s="9" t="n"/>
      <c r="N898" s="28" t="b">
        <v>0</v>
      </c>
      <c r="O898" s="172" t="b">
        <v>0</v>
      </c>
      <c r="P898" s="28" t="b">
        <v>0</v>
      </c>
      <c r="Q898" s="28" t="b">
        <v>0</v>
      </c>
      <c r="R898" s="28" t="b">
        <v>0</v>
      </c>
      <c r="S898" s="28" t="b">
        <v>0</v>
      </c>
      <c r="T898" s="28" t="b">
        <v>0</v>
      </c>
      <c r="U898" s="28" t="b">
        <v>0</v>
      </c>
      <c r="V898" s="28" t="b">
        <v>0</v>
      </c>
      <c r="W898" s="28" t="b">
        <v>0</v>
      </c>
    </row>
    <row r="899" ht="69" customHeight="1" s="222">
      <c r="A899" s="164">
        <f>#REF!</f>
        <v/>
      </c>
      <c r="B899" s="145" t="b">
        <v>0</v>
      </c>
      <c r="C899" s="176">
        <f>#REF!</f>
        <v/>
      </c>
      <c r="D899" s="174" t="n"/>
      <c r="E899" s="174" t="n"/>
      <c r="F899" s="176">
        <f>#REF!</f>
        <v/>
      </c>
      <c r="G899" s="174">
        <f>#REF!</f>
        <v/>
      </c>
      <c r="H899" s="174">
        <f>#REF!</f>
        <v/>
      </c>
      <c r="I899" s="174">
        <f>#REF!</f>
        <v/>
      </c>
      <c r="J899" s="174">
        <f>#REF!</f>
        <v/>
      </c>
      <c r="K899" s="176">
        <f>#REF!</f>
        <v/>
      </c>
      <c r="L899" s="173" t="n"/>
      <c r="M899" s="9" t="n"/>
      <c r="N899" s="28" t="b">
        <v>0</v>
      </c>
      <c r="O899" s="172" t="b">
        <v>0</v>
      </c>
      <c r="P899" s="28" t="b">
        <v>0</v>
      </c>
      <c r="Q899" s="28" t="b">
        <v>0</v>
      </c>
      <c r="R899" s="28" t="b">
        <v>0</v>
      </c>
      <c r="S899" s="28" t="b">
        <v>0</v>
      </c>
      <c r="T899" s="28" t="b">
        <v>0</v>
      </c>
      <c r="U899" s="28" t="b">
        <v>0</v>
      </c>
      <c r="V899" s="28" t="b">
        <v>0</v>
      </c>
      <c r="W899" s="28" t="b">
        <v>0</v>
      </c>
    </row>
    <row r="900" ht="69" customHeight="1" s="222">
      <c r="A900" s="164">
        <f>#REF!</f>
        <v/>
      </c>
      <c r="B900" s="145" t="b">
        <v>0</v>
      </c>
      <c r="C900" s="176">
        <f>#REF!</f>
        <v/>
      </c>
      <c r="D900" s="174" t="n"/>
      <c r="E900" s="174" t="n"/>
      <c r="F900" s="176">
        <f>#REF!</f>
        <v/>
      </c>
      <c r="G900" s="174">
        <f>#REF!</f>
        <v/>
      </c>
      <c r="H900" s="174">
        <f>#REF!</f>
        <v/>
      </c>
      <c r="I900" s="174">
        <f>#REF!</f>
        <v/>
      </c>
      <c r="J900" s="174">
        <f>#REF!</f>
        <v/>
      </c>
      <c r="K900" s="176">
        <f>#REF!</f>
        <v/>
      </c>
      <c r="L900" s="173" t="n"/>
      <c r="M900" s="9" t="n"/>
      <c r="N900" s="28" t="b">
        <v>0</v>
      </c>
      <c r="O900" s="172" t="b">
        <v>0</v>
      </c>
      <c r="P900" s="28" t="b">
        <v>0</v>
      </c>
      <c r="Q900" s="28" t="b">
        <v>0</v>
      </c>
      <c r="R900" s="28" t="b">
        <v>0</v>
      </c>
      <c r="S900" s="28" t="b">
        <v>0</v>
      </c>
      <c r="T900" s="28" t="b">
        <v>0</v>
      </c>
      <c r="U900" s="28" t="b">
        <v>0</v>
      </c>
      <c r="V900" s="28" t="b">
        <v>0</v>
      </c>
      <c r="W900" s="28" t="b">
        <v>0</v>
      </c>
    </row>
    <row r="901" ht="69" customHeight="1" s="222">
      <c r="A901" s="164">
        <f>#REF!</f>
        <v/>
      </c>
      <c r="B901" s="145" t="b">
        <v>0</v>
      </c>
      <c r="C901" s="176">
        <f>#REF!</f>
        <v/>
      </c>
      <c r="D901" s="174" t="n"/>
      <c r="E901" s="174" t="n"/>
      <c r="F901" s="176">
        <f>#REF!</f>
        <v/>
      </c>
      <c r="G901" s="174">
        <f>#REF!</f>
        <v/>
      </c>
      <c r="H901" s="174">
        <f>#REF!</f>
        <v/>
      </c>
      <c r="I901" s="174">
        <f>#REF!</f>
        <v/>
      </c>
      <c r="J901" s="174">
        <f>#REF!</f>
        <v/>
      </c>
      <c r="K901" s="176">
        <f>#REF!</f>
        <v/>
      </c>
      <c r="L901" s="173" t="n"/>
      <c r="M901" s="9" t="n"/>
      <c r="N901" s="28" t="b">
        <v>0</v>
      </c>
      <c r="O901" s="172" t="b">
        <v>0</v>
      </c>
      <c r="P901" s="28" t="b">
        <v>0</v>
      </c>
      <c r="Q901" s="28" t="b">
        <v>0</v>
      </c>
      <c r="R901" s="28" t="b">
        <v>0</v>
      </c>
      <c r="S901" s="28" t="b">
        <v>0</v>
      </c>
      <c r="T901" s="28" t="b">
        <v>0</v>
      </c>
      <c r="U901" s="28" t="b">
        <v>0</v>
      </c>
      <c r="V901" s="28" t="b">
        <v>0</v>
      </c>
      <c r="W901" s="28" t="b">
        <v>0</v>
      </c>
    </row>
    <row r="902" ht="69" customHeight="1" s="222">
      <c r="A902" s="164">
        <f>#REF!</f>
        <v/>
      </c>
      <c r="B902" s="145" t="b">
        <v>0</v>
      </c>
      <c r="C902" s="176">
        <f>#REF!</f>
        <v/>
      </c>
      <c r="D902" s="174" t="n"/>
      <c r="E902" s="174" t="n"/>
      <c r="F902" s="176">
        <f>#REF!</f>
        <v/>
      </c>
      <c r="G902" s="174">
        <f>#REF!</f>
        <v/>
      </c>
      <c r="H902" s="174">
        <f>#REF!</f>
        <v/>
      </c>
      <c r="I902" s="174">
        <f>#REF!</f>
        <v/>
      </c>
      <c r="J902" s="174">
        <f>#REF!</f>
        <v/>
      </c>
      <c r="K902" s="176">
        <f>#REF!</f>
        <v/>
      </c>
      <c r="L902" s="173" t="n"/>
      <c r="M902" s="9" t="n"/>
      <c r="N902" s="28" t="b">
        <v>0</v>
      </c>
      <c r="O902" s="172" t="b">
        <v>0</v>
      </c>
      <c r="P902" s="28" t="b">
        <v>0</v>
      </c>
      <c r="Q902" s="28" t="b">
        <v>0</v>
      </c>
      <c r="R902" s="28" t="b">
        <v>0</v>
      </c>
      <c r="S902" s="28" t="b">
        <v>0</v>
      </c>
      <c r="T902" s="28" t="b">
        <v>0</v>
      </c>
      <c r="U902" s="28" t="b">
        <v>0</v>
      </c>
      <c r="V902" s="28" t="b">
        <v>0</v>
      </c>
      <c r="W902" s="28" t="b">
        <v>0</v>
      </c>
    </row>
    <row r="903" ht="69" customHeight="1" s="222">
      <c r="A903" s="164">
        <f>#REF!</f>
        <v/>
      </c>
      <c r="B903" s="145" t="b">
        <v>0</v>
      </c>
      <c r="C903" s="176">
        <f>#REF!</f>
        <v/>
      </c>
      <c r="D903" s="174" t="n"/>
      <c r="E903" s="174" t="n"/>
      <c r="F903" s="176">
        <f>#REF!</f>
        <v/>
      </c>
      <c r="G903" s="174">
        <f>#REF!</f>
        <v/>
      </c>
      <c r="H903" s="174">
        <f>#REF!</f>
        <v/>
      </c>
      <c r="I903" s="174">
        <f>#REF!</f>
        <v/>
      </c>
      <c r="J903" s="174">
        <f>#REF!</f>
        <v/>
      </c>
      <c r="K903" s="176">
        <f>#REF!</f>
        <v/>
      </c>
      <c r="L903" s="173" t="n"/>
      <c r="M903" s="9" t="n"/>
      <c r="N903" s="28" t="b">
        <v>0</v>
      </c>
      <c r="O903" s="172" t="b">
        <v>0</v>
      </c>
      <c r="P903" s="28" t="b">
        <v>0</v>
      </c>
      <c r="Q903" s="28" t="b">
        <v>0</v>
      </c>
      <c r="R903" s="28" t="b">
        <v>0</v>
      </c>
      <c r="S903" s="28" t="b">
        <v>0</v>
      </c>
      <c r="T903" s="28" t="b">
        <v>0</v>
      </c>
      <c r="U903" s="28" t="b">
        <v>0</v>
      </c>
      <c r="V903" s="28" t="b">
        <v>0</v>
      </c>
      <c r="W903" s="28" t="b">
        <v>0</v>
      </c>
    </row>
    <row r="904" ht="69" customHeight="1" s="222">
      <c r="A904" s="164">
        <f>#REF!</f>
        <v/>
      </c>
      <c r="B904" s="145" t="b">
        <v>0</v>
      </c>
      <c r="C904" s="176">
        <f>#REF!</f>
        <v/>
      </c>
      <c r="D904" s="174" t="n"/>
      <c r="E904" s="174" t="n"/>
      <c r="F904" s="176">
        <f>#REF!</f>
        <v/>
      </c>
      <c r="G904" s="174">
        <f>#REF!</f>
        <v/>
      </c>
      <c r="H904" s="174">
        <f>#REF!</f>
        <v/>
      </c>
      <c r="I904" s="174">
        <f>#REF!</f>
        <v/>
      </c>
      <c r="J904" s="174">
        <f>#REF!</f>
        <v/>
      </c>
      <c r="K904" s="176">
        <f>#REF!</f>
        <v/>
      </c>
      <c r="L904" s="173" t="n"/>
      <c r="M904" s="9" t="n"/>
      <c r="N904" s="28" t="b">
        <v>0</v>
      </c>
      <c r="O904" s="172" t="b">
        <v>0</v>
      </c>
      <c r="P904" s="28" t="b">
        <v>0</v>
      </c>
      <c r="Q904" s="28" t="b">
        <v>0</v>
      </c>
      <c r="R904" s="28" t="b">
        <v>0</v>
      </c>
      <c r="S904" s="28" t="b">
        <v>0</v>
      </c>
      <c r="T904" s="28" t="b">
        <v>0</v>
      </c>
      <c r="U904" s="28" t="b">
        <v>0</v>
      </c>
      <c r="V904" s="28" t="b">
        <v>0</v>
      </c>
      <c r="W904" s="28" t="b">
        <v>0</v>
      </c>
    </row>
    <row r="905" ht="69" customHeight="1" s="222">
      <c r="A905" s="164">
        <f>#REF!</f>
        <v/>
      </c>
      <c r="B905" s="145" t="b">
        <v>0</v>
      </c>
      <c r="C905" s="176">
        <f>#REF!</f>
        <v/>
      </c>
      <c r="D905" s="174" t="n"/>
      <c r="E905" s="174" t="n"/>
      <c r="F905" s="176">
        <f>#REF!</f>
        <v/>
      </c>
      <c r="G905" s="174">
        <f>#REF!</f>
        <v/>
      </c>
      <c r="H905" s="174">
        <f>#REF!</f>
        <v/>
      </c>
      <c r="I905" s="174">
        <f>#REF!</f>
        <v/>
      </c>
      <c r="J905" s="174">
        <f>#REF!</f>
        <v/>
      </c>
      <c r="K905" s="176">
        <f>#REF!</f>
        <v/>
      </c>
      <c r="L905" s="173" t="n"/>
      <c r="M905" s="9" t="n"/>
      <c r="N905" s="28" t="b">
        <v>0</v>
      </c>
      <c r="O905" s="172" t="b">
        <v>0</v>
      </c>
      <c r="P905" s="28" t="b">
        <v>0</v>
      </c>
      <c r="Q905" s="28" t="b">
        <v>0</v>
      </c>
      <c r="R905" s="28" t="b">
        <v>0</v>
      </c>
      <c r="S905" s="28" t="b">
        <v>0</v>
      </c>
      <c r="T905" s="28" t="b">
        <v>0</v>
      </c>
      <c r="U905" s="28" t="b">
        <v>0</v>
      </c>
      <c r="V905" s="28" t="b">
        <v>0</v>
      </c>
      <c r="W905" s="28" t="b">
        <v>0</v>
      </c>
    </row>
    <row r="906" ht="69" customHeight="1" s="222">
      <c r="A906" s="164">
        <f>#REF!</f>
        <v/>
      </c>
      <c r="B906" s="145" t="b">
        <v>0</v>
      </c>
      <c r="C906" s="176">
        <f>#REF!</f>
        <v/>
      </c>
      <c r="D906" s="174" t="n"/>
      <c r="E906" s="174" t="n"/>
      <c r="F906" s="176">
        <f>#REF!</f>
        <v/>
      </c>
      <c r="G906" s="174">
        <f>#REF!</f>
        <v/>
      </c>
      <c r="H906" s="174">
        <f>#REF!</f>
        <v/>
      </c>
      <c r="I906" s="174">
        <f>#REF!</f>
        <v/>
      </c>
      <c r="J906" s="174">
        <f>#REF!</f>
        <v/>
      </c>
      <c r="K906" s="176">
        <f>#REF!</f>
        <v/>
      </c>
      <c r="L906" s="173" t="n"/>
      <c r="M906" s="9" t="n"/>
      <c r="N906" s="28" t="b">
        <v>0</v>
      </c>
      <c r="O906" s="172" t="b">
        <v>0</v>
      </c>
      <c r="P906" s="28" t="b">
        <v>0</v>
      </c>
      <c r="Q906" s="28" t="b">
        <v>0</v>
      </c>
      <c r="R906" s="28" t="b">
        <v>0</v>
      </c>
      <c r="S906" s="28" t="b">
        <v>0</v>
      </c>
      <c r="T906" s="28" t="b">
        <v>0</v>
      </c>
      <c r="U906" s="28" t="b">
        <v>0</v>
      </c>
      <c r="V906" s="28" t="b">
        <v>0</v>
      </c>
      <c r="W906" s="28" t="b">
        <v>0</v>
      </c>
    </row>
    <row r="907" ht="69" customHeight="1" s="222">
      <c r="A907" s="164">
        <f>#REF!</f>
        <v/>
      </c>
      <c r="B907" s="145" t="b">
        <v>0</v>
      </c>
      <c r="C907" s="176">
        <f>#REF!</f>
        <v/>
      </c>
      <c r="D907" s="174" t="n"/>
      <c r="E907" s="174" t="n"/>
      <c r="F907" s="176">
        <f>#REF!</f>
        <v/>
      </c>
      <c r="G907" s="174">
        <f>#REF!</f>
        <v/>
      </c>
      <c r="H907" s="174">
        <f>#REF!</f>
        <v/>
      </c>
      <c r="I907" s="174">
        <f>#REF!</f>
        <v/>
      </c>
      <c r="J907" s="174">
        <f>#REF!</f>
        <v/>
      </c>
      <c r="K907" s="176">
        <f>#REF!</f>
        <v/>
      </c>
      <c r="L907" s="173" t="n"/>
      <c r="M907" s="9" t="n"/>
      <c r="N907" s="28" t="b">
        <v>0</v>
      </c>
      <c r="O907" s="172" t="b">
        <v>0</v>
      </c>
      <c r="P907" s="28" t="b">
        <v>0</v>
      </c>
      <c r="Q907" s="28" t="b">
        <v>0</v>
      </c>
      <c r="R907" s="28" t="b">
        <v>0</v>
      </c>
      <c r="S907" s="28" t="b">
        <v>0</v>
      </c>
      <c r="T907" s="28" t="b">
        <v>0</v>
      </c>
      <c r="U907" s="28" t="b">
        <v>0</v>
      </c>
      <c r="V907" s="28" t="b">
        <v>0</v>
      </c>
      <c r="W907" s="28" t="b">
        <v>0</v>
      </c>
    </row>
    <row r="908" ht="69" customHeight="1" s="222">
      <c r="A908" s="164">
        <f>#REF!</f>
        <v/>
      </c>
      <c r="B908" s="145" t="b">
        <v>0</v>
      </c>
      <c r="C908" s="176">
        <f>#REF!</f>
        <v/>
      </c>
      <c r="D908" s="174" t="n"/>
      <c r="E908" s="174" t="n"/>
      <c r="F908" s="176">
        <f>#REF!</f>
        <v/>
      </c>
      <c r="G908" s="174">
        <f>#REF!</f>
        <v/>
      </c>
      <c r="H908" s="174">
        <f>#REF!</f>
        <v/>
      </c>
      <c r="I908" s="174">
        <f>#REF!</f>
        <v/>
      </c>
      <c r="J908" s="174">
        <f>#REF!</f>
        <v/>
      </c>
      <c r="K908" s="176">
        <f>#REF!</f>
        <v/>
      </c>
      <c r="L908" s="173" t="n"/>
      <c r="M908" s="9" t="n"/>
      <c r="N908" s="28" t="b">
        <v>0</v>
      </c>
      <c r="O908" s="172" t="b">
        <v>0</v>
      </c>
      <c r="P908" s="28" t="b">
        <v>0</v>
      </c>
      <c r="Q908" s="28" t="b">
        <v>0</v>
      </c>
      <c r="R908" s="28" t="b">
        <v>0</v>
      </c>
      <c r="S908" s="28" t="b">
        <v>0</v>
      </c>
      <c r="T908" s="28" t="b">
        <v>0</v>
      </c>
      <c r="U908" s="28" t="b">
        <v>0</v>
      </c>
      <c r="V908" s="28" t="b">
        <v>0</v>
      </c>
      <c r="W908" s="28" t="b">
        <v>0</v>
      </c>
    </row>
    <row r="909" ht="69" customHeight="1" s="222">
      <c r="A909" s="164">
        <f>#REF!</f>
        <v/>
      </c>
      <c r="B909" s="145" t="b">
        <v>0</v>
      </c>
      <c r="C909" s="176">
        <f>#REF!</f>
        <v/>
      </c>
      <c r="D909" s="174" t="n"/>
      <c r="E909" s="174" t="n"/>
      <c r="F909" s="176">
        <f>#REF!</f>
        <v/>
      </c>
      <c r="G909" s="174">
        <f>#REF!</f>
        <v/>
      </c>
      <c r="H909" s="174">
        <f>#REF!</f>
        <v/>
      </c>
      <c r="I909" s="174">
        <f>#REF!</f>
        <v/>
      </c>
      <c r="J909" s="174">
        <f>#REF!</f>
        <v/>
      </c>
      <c r="K909" s="176">
        <f>#REF!</f>
        <v/>
      </c>
      <c r="L909" s="173" t="n"/>
      <c r="M909" s="9" t="n"/>
      <c r="N909" s="28" t="b">
        <v>0</v>
      </c>
      <c r="O909" s="172" t="b">
        <v>0</v>
      </c>
      <c r="P909" s="28" t="b">
        <v>0</v>
      </c>
      <c r="Q909" s="28" t="b">
        <v>0</v>
      </c>
      <c r="R909" s="28" t="b">
        <v>0</v>
      </c>
      <c r="S909" s="28" t="b">
        <v>0</v>
      </c>
      <c r="T909" s="28" t="b">
        <v>0</v>
      </c>
      <c r="U909" s="28" t="b">
        <v>0</v>
      </c>
      <c r="V909" s="28" t="b">
        <v>0</v>
      </c>
      <c r="W909" s="28" t="b">
        <v>0</v>
      </c>
    </row>
    <row r="910" ht="69" customHeight="1" s="222">
      <c r="A910" s="164">
        <f>#REF!</f>
        <v/>
      </c>
      <c r="B910" s="145" t="b">
        <v>0</v>
      </c>
      <c r="C910" s="176">
        <f>#REF!</f>
        <v/>
      </c>
      <c r="D910" s="174" t="n"/>
      <c r="E910" s="174" t="n"/>
      <c r="F910" s="176">
        <f>#REF!</f>
        <v/>
      </c>
      <c r="G910" s="174">
        <f>#REF!</f>
        <v/>
      </c>
      <c r="H910" s="174">
        <f>#REF!</f>
        <v/>
      </c>
      <c r="I910" s="174">
        <f>#REF!</f>
        <v/>
      </c>
      <c r="J910" s="174">
        <f>#REF!</f>
        <v/>
      </c>
      <c r="K910" s="176">
        <f>#REF!</f>
        <v/>
      </c>
      <c r="L910" s="173" t="n"/>
      <c r="M910" s="9" t="n"/>
      <c r="N910" s="28" t="b">
        <v>0</v>
      </c>
      <c r="O910" s="172" t="b">
        <v>0</v>
      </c>
      <c r="P910" s="28" t="b">
        <v>0</v>
      </c>
      <c r="Q910" s="28" t="b">
        <v>0</v>
      </c>
      <c r="R910" s="28" t="b">
        <v>0</v>
      </c>
      <c r="S910" s="28" t="b">
        <v>0</v>
      </c>
      <c r="T910" s="28" t="b">
        <v>0</v>
      </c>
      <c r="U910" s="28" t="b">
        <v>0</v>
      </c>
      <c r="V910" s="28" t="b">
        <v>0</v>
      </c>
      <c r="W910" s="28" t="b">
        <v>0</v>
      </c>
    </row>
    <row r="911" ht="69" customHeight="1" s="222">
      <c r="A911" s="164">
        <f>#REF!</f>
        <v/>
      </c>
      <c r="B911" s="145" t="b">
        <v>0</v>
      </c>
      <c r="C911" s="176">
        <f>#REF!</f>
        <v/>
      </c>
      <c r="D911" s="174" t="n"/>
      <c r="E911" s="174" t="n"/>
      <c r="F911" s="176">
        <f>#REF!</f>
        <v/>
      </c>
      <c r="G911" s="174">
        <f>#REF!</f>
        <v/>
      </c>
      <c r="H911" s="174">
        <f>#REF!</f>
        <v/>
      </c>
      <c r="I911" s="174">
        <f>#REF!</f>
        <v/>
      </c>
      <c r="J911" s="174">
        <f>#REF!</f>
        <v/>
      </c>
      <c r="K911" s="176">
        <f>#REF!</f>
        <v/>
      </c>
      <c r="L911" s="173" t="n"/>
      <c r="M911" s="9" t="n"/>
      <c r="N911" s="28" t="b">
        <v>0</v>
      </c>
      <c r="O911" s="172" t="b">
        <v>0</v>
      </c>
      <c r="P911" s="28" t="b">
        <v>0</v>
      </c>
      <c r="Q911" s="28" t="b">
        <v>0</v>
      </c>
      <c r="R911" s="28" t="b">
        <v>0</v>
      </c>
      <c r="S911" s="28" t="b">
        <v>0</v>
      </c>
      <c r="T911" s="28" t="b">
        <v>0</v>
      </c>
      <c r="U911" s="28" t="b">
        <v>0</v>
      </c>
      <c r="V911" s="28" t="b">
        <v>0</v>
      </c>
      <c r="W911" s="28" t="b">
        <v>0</v>
      </c>
    </row>
    <row r="912" ht="69" customHeight="1" s="222">
      <c r="A912" s="164">
        <f>#REF!</f>
        <v/>
      </c>
      <c r="B912" s="145" t="b">
        <v>0</v>
      </c>
      <c r="C912" s="176">
        <f>#REF!</f>
        <v/>
      </c>
      <c r="D912" s="174" t="n"/>
      <c r="E912" s="174" t="n"/>
      <c r="F912" s="176">
        <f>#REF!</f>
        <v/>
      </c>
      <c r="G912" s="174">
        <f>#REF!</f>
        <v/>
      </c>
      <c r="H912" s="174">
        <f>#REF!</f>
        <v/>
      </c>
      <c r="I912" s="174">
        <f>#REF!</f>
        <v/>
      </c>
      <c r="J912" s="174">
        <f>#REF!</f>
        <v/>
      </c>
      <c r="K912" s="176">
        <f>#REF!</f>
        <v/>
      </c>
      <c r="L912" s="173" t="n"/>
      <c r="M912" s="9" t="n"/>
      <c r="N912" s="28" t="b">
        <v>0</v>
      </c>
      <c r="O912" s="172" t="b">
        <v>0</v>
      </c>
      <c r="P912" s="28" t="b">
        <v>0</v>
      </c>
      <c r="Q912" s="28" t="b">
        <v>0</v>
      </c>
      <c r="R912" s="28" t="b">
        <v>0</v>
      </c>
      <c r="S912" s="28" t="b">
        <v>0</v>
      </c>
      <c r="T912" s="28" t="b">
        <v>0</v>
      </c>
      <c r="U912" s="28" t="b">
        <v>0</v>
      </c>
      <c r="V912" s="28" t="b">
        <v>0</v>
      </c>
      <c r="W912" s="28" t="b">
        <v>0</v>
      </c>
    </row>
    <row r="913" ht="69" customHeight="1" s="222">
      <c r="A913" s="164">
        <f>#REF!</f>
        <v/>
      </c>
      <c r="B913" s="145" t="b">
        <v>0</v>
      </c>
      <c r="C913" s="176">
        <f>#REF!</f>
        <v/>
      </c>
      <c r="D913" s="174" t="n"/>
      <c r="E913" s="174" t="n"/>
      <c r="F913" s="176">
        <f>#REF!</f>
        <v/>
      </c>
      <c r="G913" s="174">
        <f>#REF!</f>
        <v/>
      </c>
      <c r="H913" s="174">
        <f>#REF!</f>
        <v/>
      </c>
      <c r="I913" s="174">
        <f>#REF!</f>
        <v/>
      </c>
      <c r="J913" s="174">
        <f>#REF!</f>
        <v/>
      </c>
      <c r="K913" s="176">
        <f>#REF!</f>
        <v/>
      </c>
      <c r="L913" s="173" t="n"/>
      <c r="M913" s="9" t="n"/>
      <c r="N913" s="28" t="b">
        <v>0</v>
      </c>
      <c r="O913" s="172" t="b">
        <v>0</v>
      </c>
      <c r="P913" s="28" t="b">
        <v>0</v>
      </c>
      <c r="Q913" s="28" t="b">
        <v>0</v>
      </c>
      <c r="R913" s="28" t="b">
        <v>0</v>
      </c>
      <c r="S913" s="28" t="b">
        <v>0</v>
      </c>
      <c r="T913" s="28" t="b">
        <v>0</v>
      </c>
      <c r="U913" s="28" t="b">
        <v>0</v>
      </c>
      <c r="V913" s="28" t="b">
        <v>0</v>
      </c>
      <c r="W913" s="28" t="b">
        <v>0</v>
      </c>
    </row>
    <row r="914" ht="69" customHeight="1" s="222">
      <c r="A914" s="164">
        <f>#REF!</f>
        <v/>
      </c>
      <c r="B914" s="145" t="b">
        <v>0</v>
      </c>
      <c r="C914" s="176">
        <f>#REF!</f>
        <v/>
      </c>
      <c r="D914" s="174" t="n"/>
      <c r="E914" s="174" t="n"/>
      <c r="F914" s="176">
        <f>#REF!</f>
        <v/>
      </c>
      <c r="G914" s="174">
        <f>#REF!</f>
        <v/>
      </c>
      <c r="H914" s="174">
        <f>#REF!</f>
        <v/>
      </c>
      <c r="I914" s="174">
        <f>#REF!</f>
        <v/>
      </c>
      <c r="J914" s="174">
        <f>#REF!</f>
        <v/>
      </c>
      <c r="K914" s="176">
        <f>#REF!</f>
        <v/>
      </c>
      <c r="L914" s="173" t="n"/>
      <c r="M914" s="9" t="n"/>
      <c r="N914" s="28" t="b">
        <v>0</v>
      </c>
      <c r="O914" s="172" t="b">
        <v>0</v>
      </c>
      <c r="P914" s="28" t="b">
        <v>0</v>
      </c>
      <c r="Q914" s="28" t="b">
        <v>0</v>
      </c>
      <c r="R914" s="28" t="b">
        <v>0</v>
      </c>
      <c r="S914" s="28" t="b">
        <v>0</v>
      </c>
      <c r="T914" s="28" t="b">
        <v>0</v>
      </c>
      <c r="U914" s="28" t="b">
        <v>0</v>
      </c>
      <c r="V914" s="28" t="b">
        <v>0</v>
      </c>
      <c r="W914" s="28" t="b">
        <v>0</v>
      </c>
    </row>
    <row r="915" ht="69" customHeight="1" s="222">
      <c r="A915" s="164">
        <f>#REF!</f>
        <v/>
      </c>
      <c r="B915" s="145" t="b">
        <v>0</v>
      </c>
      <c r="C915" s="176">
        <f>#REF!</f>
        <v/>
      </c>
      <c r="D915" s="174" t="n"/>
      <c r="E915" s="174" t="n"/>
      <c r="F915" s="176">
        <f>#REF!</f>
        <v/>
      </c>
      <c r="G915" s="174">
        <f>#REF!</f>
        <v/>
      </c>
      <c r="H915" s="174">
        <f>#REF!</f>
        <v/>
      </c>
      <c r="I915" s="174">
        <f>#REF!</f>
        <v/>
      </c>
      <c r="J915" s="174">
        <f>#REF!</f>
        <v/>
      </c>
      <c r="K915" s="176">
        <f>#REF!</f>
        <v/>
      </c>
      <c r="L915" s="173" t="n"/>
      <c r="M915" s="9" t="n"/>
      <c r="N915" s="28" t="b">
        <v>0</v>
      </c>
      <c r="O915" s="172" t="b">
        <v>0</v>
      </c>
      <c r="P915" s="28" t="b">
        <v>0</v>
      </c>
      <c r="Q915" s="28" t="b">
        <v>0</v>
      </c>
      <c r="R915" s="28" t="b">
        <v>0</v>
      </c>
      <c r="S915" s="28" t="b">
        <v>0</v>
      </c>
      <c r="T915" s="28" t="b">
        <v>0</v>
      </c>
      <c r="U915" s="28" t="b">
        <v>0</v>
      </c>
      <c r="V915" s="28" t="b">
        <v>0</v>
      </c>
      <c r="W915" s="28" t="b">
        <v>0</v>
      </c>
    </row>
    <row r="916" ht="69" customHeight="1" s="222">
      <c r="A916" s="164">
        <f>#REF!</f>
        <v/>
      </c>
      <c r="B916" s="145" t="b">
        <v>0</v>
      </c>
      <c r="C916" s="176">
        <f>#REF!</f>
        <v/>
      </c>
      <c r="D916" s="174" t="n"/>
      <c r="E916" s="174" t="n"/>
      <c r="F916" s="176">
        <f>#REF!</f>
        <v/>
      </c>
      <c r="G916" s="174">
        <f>#REF!</f>
        <v/>
      </c>
      <c r="H916" s="174">
        <f>#REF!</f>
        <v/>
      </c>
      <c r="I916" s="174">
        <f>#REF!</f>
        <v/>
      </c>
      <c r="J916" s="174">
        <f>#REF!</f>
        <v/>
      </c>
      <c r="K916" s="176">
        <f>#REF!</f>
        <v/>
      </c>
      <c r="L916" s="173" t="n"/>
      <c r="M916" s="9" t="n"/>
      <c r="N916" s="28" t="b">
        <v>0</v>
      </c>
      <c r="O916" s="172" t="b">
        <v>0</v>
      </c>
      <c r="P916" s="28" t="b">
        <v>0</v>
      </c>
      <c r="Q916" s="28" t="b">
        <v>0</v>
      </c>
      <c r="R916" s="28" t="b">
        <v>0</v>
      </c>
      <c r="S916" s="28" t="b">
        <v>0</v>
      </c>
      <c r="T916" s="28" t="b">
        <v>0</v>
      </c>
      <c r="U916" s="28" t="b">
        <v>0</v>
      </c>
      <c r="V916" s="28" t="b">
        <v>0</v>
      </c>
      <c r="W916" s="28" t="b">
        <v>0</v>
      </c>
    </row>
    <row r="917" ht="69" customHeight="1" s="222">
      <c r="A917" s="164">
        <f>#REF!</f>
        <v/>
      </c>
      <c r="B917" s="145" t="b">
        <v>0</v>
      </c>
      <c r="C917" s="176">
        <f>#REF!</f>
        <v/>
      </c>
      <c r="D917" s="174" t="n"/>
      <c r="E917" s="174" t="n"/>
      <c r="F917" s="176">
        <f>#REF!</f>
        <v/>
      </c>
      <c r="G917" s="174">
        <f>#REF!</f>
        <v/>
      </c>
      <c r="H917" s="174">
        <f>#REF!</f>
        <v/>
      </c>
      <c r="I917" s="174">
        <f>#REF!</f>
        <v/>
      </c>
      <c r="J917" s="174">
        <f>#REF!</f>
        <v/>
      </c>
      <c r="K917" s="176">
        <f>#REF!</f>
        <v/>
      </c>
      <c r="L917" s="173" t="n"/>
      <c r="M917" s="9" t="n"/>
      <c r="N917" s="28" t="b">
        <v>0</v>
      </c>
      <c r="O917" s="172" t="b">
        <v>0</v>
      </c>
      <c r="P917" s="28" t="b">
        <v>0</v>
      </c>
      <c r="Q917" s="28" t="b">
        <v>0</v>
      </c>
      <c r="R917" s="28" t="b">
        <v>0</v>
      </c>
      <c r="S917" s="28" t="b">
        <v>0</v>
      </c>
      <c r="T917" s="28" t="b">
        <v>0</v>
      </c>
      <c r="U917" s="28" t="b">
        <v>0</v>
      </c>
      <c r="V917" s="28" t="b">
        <v>0</v>
      </c>
      <c r="W917" s="28" t="b">
        <v>0</v>
      </c>
    </row>
    <row r="918" ht="69" customHeight="1" s="222">
      <c r="A918" s="164">
        <f>#REF!</f>
        <v/>
      </c>
      <c r="B918" s="145" t="b">
        <v>0</v>
      </c>
      <c r="C918" s="176">
        <f>#REF!</f>
        <v/>
      </c>
      <c r="D918" s="174" t="n"/>
      <c r="E918" s="174" t="n"/>
      <c r="F918" s="176">
        <f>#REF!</f>
        <v/>
      </c>
      <c r="G918" s="174">
        <f>#REF!</f>
        <v/>
      </c>
      <c r="H918" s="174">
        <f>#REF!</f>
        <v/>
      </c>
      <c r="I918" s="174">
        <f>#REF!</f>
        <v/>
      </c>
      <c r="J918" s="174">
        <f>#REF!</f>
        <v/>
      </c>
      <c r="K918" s="176">
        <f>#REF!</f>
        <v/>
      </c>
      <c r="L918" s="173" t="n"/>
      <c r="M918" s="9" t="n"/>
      <c r="N918" s="28" t="b">
        <v>0</v>
      </c>
      <c r="O918" s="172" t="b">
        <v>0</v>
      </c>
      <c r="P918" s="28" t="b">
        <v>0</v>
      </c>
      <c r="Q918" s="28" t="b">
        <v>0</v>
      </c>
      <c r="R918" s="28" t="b">
        <v>0</v>
      </c>
      <c r="S918" s="28" t="b">
        <v>0</v>
      </c>
      <c r="T918" s="28" t="b">
        <v>0</v>
      </c>
      <c r="U918" s="28" t="b">
        <v>0</v>
      </c>
      <c r="V918" s="28" t="b">
        <v>0</v>
      </c>
      <c r="W918" s="28" t="b">
        <v>0</v>
      </c>
    </row>
    <row r="919" ht="69" customHeight="1" s="222">
      <c r="A919" s="164">
        <f>#REF!</f>
        <v/>
      </c>
      <c r="B919" s="145" t="b">
        <v>0</v>
      </c>
      <c r="C919" s="176">
        <f>#REF!</f>
        <v/>
      </c>
      <c r="D919" s="174" t="n"/>
      <c r="E919" s="174" t="n"/>
      <c r="F919" s="176">
        <f>#REF!</f>
        <v/>
      </c>
      <c r="G919" s="174">
        <f>#REF!</f>
        <v/>
      </c>
      <c r="H919" s="174">
        <f>#REF!</f>
        <v/>
      </c>
      <c r="I919" s="174">
        <f>#REF!</f>
        <v/>
      </c>
      <c r="J919" s="174">
        <f>#REF!</f>
        <v/>
      </c>
      <c r="K919" s="176">
        <f>#REF!</f>
        <v/>
      </c>
      <c r="L919" s="173" t="n"/>
      <c r="M919" s="9" t="n"/>
      <c r="N919" s="28" t="b">
        <v>0</v>
      </c>
      <c r="O919" s="172" t="b">
        <v>0</v>
      </c>
      <c r="P919" s="28" t="b">
        <v>0</v>
      </c>
      <c r="Q919" s="28" t="b">
        <v>0</v>
      </c>
      <c r="R919" s="28" t="b">
        <v>0</v>
      </c>
      <c r="S919" s="28" t="b">
        <v>0</v>
      </c>
      <c r="T919" s="28" t="b">
        <v>0</v>
      </c>
      <c r="U919" s="28" t="b">
        <v>0</v>
      </c>
      <c r="V919" s="28" t="b">
        <v>0</v>
      </c>
      <c r="W919" s="28" t="b">
        <v>0</v>
      </c>
    </row>
    <row r="920" ht="69" customHeight="1" s="222">
      <c r="A920" s="164">
        <f>#REF!</f>
        <v/>
      </c>
      <c r="B920" s="145" t="b">
        <v>0</v>
      </c>
      <c r="C920" s="176">
        <f>#REF!</f>
        <v/>
      </c>
      <c r="D920" s="174" t="n"/>
      <c r="E920" s="174" t="n"/>
      <c r="F920" s="176">
        <f>#REF!</f>
        <v/>
      </c>
      <c r="G920" s="174">
        <f>#REF!</f>
        <v/>
      </c>
      <c r="H920" s="174">
        <f>#REF!</f>
        <v/>
      </c>
      <c r="I920" s="174">
        <f>#REF!</f>
        <v/>
      </c>
      <c r="J920" s="174">
        <f>#REF!</f>
        <v/>
      </c>
      <c r="K920" s="176">
        <f>#REF!</f>
        <v/>
      </c>
      <c r="L920" s="173" t="n"/>
      <c r="M920" s="9" t="n"/>
      <c r="N920" s="28" t="b">
        <v>0</v>
      </c>
      <c r="O920" s="172" t="b">
        <v>0</v>
      </c>
      <c r="P920" s="28" t="b">
        <v>0</v>
      </c>
      <c r="Q920" s="28" t="b">
        <v>0</v>
      </c>
      <c r="R920" s="28" t="b">
        <v>0</v>
      </c>
      <c r="S920" s="28" t="b">
        <v>0</v>
      </c>
      <c r="T920" s="28" t="b">
        <v>0</v>
      </c>
      <c r="U920" s="28" t="b">
        <v>0</v>
      </c>
      <c r="V920" s="28" t="b">
        <v>0</v>
      </c>
      <c r="W920" s="28" t="b">
        <v>0</v>
      </c>
    </row>
    <row r="921" ht="69" customHeight="1" s="222">
      <c r="A921" s="164">
        <f>#REF!</f>
        <v/>
      </c>
      <c r="B921" s="145" t="b">
        <v>0</v>
      </c>
      <c r="C921" s="176">
        <f>#REF!</f>
        <v/>
      </c>
      <c r="D921" s="174" t="n"/>
      <c r="E921" s="174" t="n"/>
      <c r="F921" s="176">
        <f>#REF!</f>
        <v/>
      </c>
      <c r="G921" s="174">
        <f>#REF!</f>
        <v/>
      </c>
      <c r="H921" s="174">
        <f>#REF!</f>
        <v/>
      </c>
      <c r="I921" s="174">
        <f>#REF!</f>
        <v/>
      </c>
      <c r="J921" s="174">
        <f>#REF!</f>
        <v/>
      </c>
      <c r="K921" s="176">
        <f>#REF!</f>
        <v/>
      </c>
      <c r="L921" s="173" t="n"/>
      <c r="M921" s="9" t="n"/>
      <c r="N921" s="28" t="b">
        <v>0</v>
      </c>
      <c r="O921" s="172" t="b">
        <v>0</v>
      </c>
      <c r="P921" s="28" t="b">
        <v>0</v>
      </c>
      <c r="Q921" s="28" t="b">
        <v>0</v>
      </c>
      <c r="R921" s="28" t="b">
        <v>0</v>
      </c>
      <c r="S921" s="28" t="b">
        <v>0</v>
      </c>
      <c r="T921" s="28" t="b">
        <v>0</v>
      </c>
      <c r="U921" s="28" t="b">
        <v>0</v>
      </c>
      <c r="V921" s="28" t="b">
        <v>0</v>
      </c>
      <c r="W921" s="28" t="b">
        <v>0</v>
      </c>
    </row>
    <row r="922" ht="69" customHeight="1" s="222">
      <c r="A922" s="164">
        <f>#REF!</f>
        <v/>
      </c>
      <c r="B922" s="145" t="b">
        <v>0</v>
      </c>
      <c r="C922" s="176">
        <f>#REF!</f>
        <v/>
      </c>
      <c r="D922" s="174" t="n"/>
      <c r="E922" s="174" t="n"/>
      <c r="F922" s="176">
        <f>#REF!</f>
        <v/>
      </c>
      <c r="G922" s="174">
        <f>#REF!</f>
        <v/>
      </c>
      <c r="H922" s="174">
        <f>#REF!</f>
        <v/>
      </c>
      <c r="I922" s="174">
        <f>#REF!</f>
        <v/>
      </c>
      <c r="J922" s="174">
        <f>#REF!</f>
        <v/>
      </c>
      <c r="K922" s="176">
        <f>#REF!</f>
        <v/>
      </c>
      <c r="L922" s="173" t="n"/>
      <c r="M922" s="9" t="n"/>
      <c r="N922" s="28" t="b">
        <v>0</v>
      </c>
      <c r="O922" s="172" t="b">
        <v>0</v>
      </c>
      <c r="P922" s="28" t="b">
        <v>0</v>
      </c>
      <c r="Q922" s="28" t="b">
        <v>0</v>
      </c>
      <c r="R922" s="28" t="b">
        <v>0</v>
      </c>
      <c r="S922" s="28" t="b">
        <v>0</v>
      </c>
      <c r="T922" s="28" t="b">
        <v>0</v>
      </c>
      <c r="U922" s="28" t="b">
        <v>0</v>
      </c>
      <c r="V922" s="28" t="b">
        <v>0</v>
      </c>
      <c r="W922" s="28" t="b">
        <v>0</v>
      </c>
    </row>
    <row r="923" ht="69" customHeight="1" s="222">
      <c r="A923" s="164">
        <f>#REF!</f>
        <v/>
      </c>
      <c r="B923" s="145" t="b">
        <v>0</v>
      </c>
      <c r="C923" s="176">
        <f>#REF!</f>
        <v/>
      </c>
      <c r="D923" s="174" t="n"/>
      <c r="E923" s="174" t="n"/>
      <c r="F923" s="176">
        <f>#REF!</f>
        <v/>
      </c>
      <c r="G923" s="174">
        <f>#REF!</f>
        <v/>
      </c>
      <c r="H923" s="174">
        <f>#REF!</f>
        <v/>
      </c>
      <c r="I923" s="174">
        <f>#REF!</f>
        <v/>
      </c>
      <c r="J923" s="174">
        <f>#REF!</f>
        <v/>
      </c>
      <c r="K923" s="176">
        <f>#REF!</f>
        <v/>
      </c>
      <c r="L923" s="173" t="n"/>
      <c r="M923" s="9" t="n"/>
      <c r="N923" s="28" t="b">
        <v>0</v>
      </c>
      <c r="O923" s="172" t="b">
        <v>0</v>
      </c>
      <c r="P923" s="28" t="b">
        <v>0</v>
      </c>
      <c r="Q923" s="28" t="b">
        <v>0</v>
      </c>
      <c r="R923" s="28" t="b">
        <v>0</v>
      </c>
      <c r="S923" s="28" t="b">
        <v>0</v>
      </c>
      <c r="T923" s="28" t="b">
        <v>0</v>
      </c>
      <c r="U923" s="28" t="b">
        <v>0</v>
      </c>
      <c r="V923" s="28" t="b">
        <v>0</v>
      </c>
      <c r="W923" s="28" t="b">
        <v>0</v>
      </c>
    </row>
    <row r="924" ht="69" customHeight="1" s="222">
      <c r="A924" s="164">
        <f>#REF!</f>
        <v/>
      </c>
      <c r="B924" s="145" t="b">
        <v>0</v>
      </c>
      <c r="C924" s="176">
        <f>#REF!</f>
        <v/>
      </c>
      <c r="D924" s="174" t="n"/>
      <c r="E924" s="174" t="n"/>
      <c r="F924" s="176">
        <f>#REF!</f>
        <v/>
      </c>
      <c r="G924" s="174">
        <f>#REF!</f>
        <v/>
      </c>
      <c r="H924" s="174">
        <f>#REF!</f>
        <v/>
      </c>
      <c r="I924" s="174">
        <f>#REF!</f>
        <v/>
      </c>
      <c r="J924" s="174">
        <f>#REF!</f>
        <v/>
      </c>
      <c r="K924" s="176">
        <f>#REF!</f>
        <v/>
      </c>
      <c r="L924" s="173" t="n"/>
      <c r="M924" s="9" t="n"/>
      <c r="N924" s="28" t="b">
        <v>0</v>
      </c>
      <c r="O924" s="172" t="b">
        <v>0</v>
      </c>
      <c r="P924" s="28" t="b">
        <v>0</v>
      </c>
      <c r="Q924" s="28" t="b">
        <v>0</v>
      </c>
      <c r="R924" s="28" t="b">
        <v>0</v>
      </c>
      <c r="S924" s="28" t="b">
        <v>0</v>
      </c>
      <c r="T924" s="28" t="b">
        <v>0</v>
      </c>
      <c r="U924" s="28" t="b">
        <v>0</v>
      </c>
      <c r="V924" s="28" t="b">
        <v>0</v>
      </c>
      <c r="W924" s="28" t="b">
        <v>0</v>
      </c>
    </row>
    <row r="925" ht="69" customHeight="1" s="222">
      <c r="A925" s="164">
        <f>#REF!</f>
        <v/>
      </c>
      <c r="B925" s="145" t="b">
        <v>0</v>
      </c>
      <c r="C925" s="176">
        <f>#REF!</f>
        <v/>
      </c>
      <c r="D925" s="174" t="n"/>
      <c r="E925" s="174" t="n"/>
      <c r="F925" s="176">
        <f>#REF!</f>
        <v/>
      </c>
      <c r="G925" s="174">
        <f>#REF!</f>
        <v/>
      </c>
      <c r="H925" s="174">
        <f>#REF!</f>
        <v/>
      </c>
      <c r="I925" s="174">
        <f>#REF!</f>
        <v/>
      </c>
      <c r="J925" s="174">
        <f>#REF!</f>
        <v/>
      </c>
      <c r="K925" s="176">
        <f>#REF!</f>
        <v/>
      </c>
      <c r="L925" s="173" t="n"/>
      <c r="M925" s="9" t="n"/>
      <c r="N925" s="28" t="b">
        <v>0</v>
      </c>
      <c r="O925" s="172" t="b">
        <v>0</v>
      </c>
      <c r="P925" s="28" t="b">
        <v>0</v>
      </c>
      <c r="Q925" s="28" t="b">
        <v>0</v>
      </c>
      <c r="R925" s="28" t="b">
        <v>0</v>
      </c>
      <c r="S925" s="28" t="b">
        <v>0</v>
      </c>
      <c r="T925" s="28" t="b">
        <v>0</v>
      </c>
      <c r="U925" s="28" t="b">
        <v>0</v>
      </c>
      <c r="V925" s="28" t="b">
        <v>0</v>
      </c>
      <c r="W925" s="28" t="b">
        <v>0</v>
      </c>
    </row>
    <row r="926" ht="69" customHeight="1" s="222">
      <c r="A926" s="164">
        <f>#REF!</f>
        <v/>
      </c>
      <c r="B926" s="145" t="b">
        <v>0</v>
      </c>
      <c r="C926" s="176">
        <f>#REF!</f>
        <v/>
      </c>
      <c r="D926" s="174" t="n"/>
      <c r="E926" s="174" t="n"/>
      <c r="F926" s="176">
        <f>#REF!</f>
        <v/>
      </c>
      <c r="G926" s="174">
        <f>#REF!</f>
        <v/>
      </c>
      <c r="H926" s="174">
        <f>#REF!</f>
        <v/>
      </c>
      <c r="I926" s="174">
        <f>#REF!</f>
        <v/>
      </c>
      <c r="J926" s="174">
        <f>#REF!</f>
        <v/>
      </c>
      <c r="K926" s="176">
        <f>#REF!</f>
        <v/>
      </c>
      <c r="L926" s="173" t="n"/>
      <c r="M926" s="9" t="n"/>
      <c r="N926" s="28" t="b">
        <v>0</v>
      </c>
      <c r="O926" s="172" t="b">
        <v>0</v>
      </c>
      <c r="P926" s="28" t="b">
        <v>0</v>
      </c>
      <c r="Q926" s="28" t="b">
        <v>0</v>
      </c>
      <c r="R926" s="28" t="b">
        <v>0</v>
      </c>
      <c r="S926" s="28" t="b">
        <v>0</v>
      </c>
      <c r="T926" s="28" t="b">
        <v>0</v>
      </c>
      <c r="U926" s="28" t="b">
        <v>0</v>
      </c>
      <c r="V926" s="28" t="b">
        <v>0</v>
      </c>
      <c r="W926" s="28" t="b">
        <v>0</v>
      </c>
    </row>
    <row r="927" ht="69" customHeight="1" s="222">
      <c r="A927" s="164">
        <f>#REF!</f>
        <v/>
      </c>
      <c r="B927" s="145" t="b">
        <v>0</v>
      </c>
      <c r="C927" s="176">
        <f>#REF!</f>
        <v/>
      </c>
      <c r="D927" s="174" t="n"/>
      <c r="E927" s="174" t="n"/>
      <c r="F927" s="176">
        <f>#REF!</f>
        <v/>
      </c>
      <c r="G927" s="174">
        <f>#REF!</f>
        <v/>
      </c>
      <c r="H927" s="174">
        <f>#REF!</f>
        <v/>
      </c>
      <c r="I927" s="174">
        <f>#REF!</f>
        <v/>
      </c>
      <c r="J927" s="174">
        <f>#REF!</f>
        <v/>
      </c>
      <c r="K927" s="176">
        <f>#REF!</f>
        <v/>
      </c>
      <c r="L927" s="173" t="n"/>
      <c r="M927" s="9" t="n"/>
      <c r="N927" s="28" t="b">
        <v>0</v>
      </c>
      <c r="O927" s="172" t="b">
        <v>0</v>
      </c>
      <c r="P927" s="28" t="b">
        <v>0</v>
      </c>
      <c r="Q927" s="28" t="b">
        <v>0</v>
      </c>
      <c r="R927" s="28" t="b">
        <v>0</v>
      </c>
      <c r="S927" s="28" t="b">
        <v>0</v>
      </c>
      <c r="T927" s="28" t="b">
        <v>0</v>
      </c>
      <c r="U927" s="28" t="b">
        <v>0</v>
      </c>
      <c r="V927" s="28" t="b">
        <v>0</v>
      </c>
      <c r="W927" s="28" t="b">
        <v>0</v>
      </c>
    </row>
    <row r="928" ht="69" customHeight="1" s="222">
      <c r="A928" s="164">
        <f>#REF!</f>
        <v/>
      </c>
      <c r="B928" s="145" t="b">
        <v>0</v>
      </c>
      <c r="C928" s="176">
        <f>#REF!</f>
        <v/>
      </c>
      <c r="D928" s="174" t="n"/>
      <c r="E928" s="174" t="n"/>
      <c r="F928" s="176">
        <f>#REF!</f>
        <v/>
      </c>
      <c r="G928" s="174">
        <f>#REF!</f>
        <v/>
      </c>
      <c r="H928" s="174">
        <f>#REF!</f>
        <v/>
      </c>
      <c r="I928" s="174">
        <f>#REF!</f>
        <v/>
      </c>
      <c r="J928" s="174">
        <f>#REF!</f>
        <v/>
      </c>
      <c r="K928" s="176">
        <f>#REF!</f>
        <v/>
      </c>
      <c r="L928" s="173" t="n"/>
      <c r="M928" s="9" t="n"/>
      <c r="N928" s="28" t="b">
        <v>0</v>
      </c>
      <c r="O928" s="172" t="b">
        <v>0</v>
      </c>
      <c r="P928" s="28" t="b">
        <v>0</v>
      </c>
      <c r="Q928" s="28" t="b">
        <v>0</v>
      </c>
      <c r="R928" s="28" t="b">
        <v>0</v>
      </c>
      <c r="S928" s="28" t="b">
        <v>0</v>
      </c>
      <c r="T928" s="28" t="b">
        <v>0</v>
      </c>
      <c r="U928" s="28" t="b">
        <v>0</v>
      </c>
      <c r="V928" s="28" t="b">
        <v>0</v>
      </c>
      <c r="W928" s="28" t="b">
        <v>0</v>
      </c>
    </row>
    <row r="929" ht="69" customHeight="1" s="222">
      <c r="A929" s="164">
        <f>#REF!</f>
        <v/>
      </c>
      <c r="B929" s="145" t="b">
        <v>0</v>
      </c>
      <c r="C929" s="176">
        <f>#REF!</f>
        <v/>
      </c>
      <c r="D929" s="174" t="n"/>
      <c r="E929" s="174" t="n"/>
      <c r="F929" s="176">
        <f>#REF!</f>
        <v/>
      </c>
      <c r="G929" s="174">
        <f>#REF!</f>
        <v/>
      </c>
      <c r="H929" s="174">
        <f>#REF!</f>
        <v/>
      </c>
      <c r="I929" s="174">
        <f>#REF!</f>
        <v/>
      </c>
      <c r="J929" s="174">
        <f>#REF!</f>
        <v/>
      </c>
      <c r="K929" s="176">
        <f>#REF!</f>
        <v/>
      </c>
      <c r="L929" s="173" t="n"/>
      <c r="M929" s="9" t="n"/>
      <c r="N929" s="28" t="b">
        <v>0</v>
      </c>
      <c r="O929" s="172" t="b">
        <v>0</v>
      </c>
      <c r="P929" s="28" t="b">
        <v>0</v>
      </c>
      <c r="Q929" s="28" t="b">
        <v>0</v>
      </c>
      <c r="R929" s="28" t="b">
        <v>0</v>
      </c>
      <c r="S929" s="28" t="b">
        <v>0</v>
      </c>
      <c r="T929" s="28" t="b">
        <v>0</v>
      </c>
      <c r="U929" s="28" t="b">
        <v>0</v>
      </c>
      <c r="V929" s="28" t="b">
        <v>0</v>
      </c>
      <c r="W929" s="28" t="b">
        <v>0</v>
      </c>
    </row>
    <row r="930" ht="69" customHeight="1" s="222">
      <c r="A930" s="164">
        <f>#REF!</f>
        <v/>
      </c>
      <c r="B930" s="145" t="b">
        <v>0</v>
      </c>
      <c r="C930" s="176">
        <f>#REF!</f>
        <v/>
      </c>
      <c r="D930" s="174" t="n"/>
      <c r="E930" s="174" t="n"/>
      <c r="F930" s="176">
        <f>#REF!</f>
        <v/>
      </c>
      <c r="G930" s="174">
        <f>#REF!</f>
        <v/>
      </c>
      <c r="H930" s="174">
        <f>#REF!</f>
        <v/>
      </c>
      <c r="I930" s="174">
        <f>#REF!</f>
        <v/>
      </c>
      <c r="J930" s="174">
        <f>#REF!</f>
        <v/>
      </c>
      <c r="K930" s="176">
        <f>#REF!</f>
        <v/>
      </c>
      <c r="L930" s="173" t="n"/>
      <c r="M930" s="9" t="n"/>
      <c r="N930" s="28" t="b">
        <v>0</v>
      </c>
      <c r="O930" s="172" t="b">
        <v>0</v>
      </c>
      <c r="P930" s="28" t="b">
        <v>0</v>
      </c>
      <c r="Q930" s="28" t="b">
        <v>0</v>
      </c>
      <c r="R930" s="28" t="b">
        <v>0</v>
      </c>
      <c r="S930" s="28" t="b">
        <v>0</v>
      </c>
      <c r="T930" s="28" t="b">
        <v>0</v>
      </c>
      <c r="U930" s="28" t="b">
        <v>0</v>
      </c>
      <c r="V930" s="28" t="b">
        <v>0</v>
      </c>
      <c r="W930" s="28" t="b">
        <v>0</v>
      </c>
    </row>
    <row r="931" ht="69" customHeight="1" s="222">
      <c r="A931" s="164">
        <f>#REF!</f>
        <v/>
      </c>
      <c r="B931" s="145" t="b">
        <v>0</v>
      </c>
      <c r="C931" s="176">
        <f>#REF!</f>
        <v/>
      </c>
      <c r="D931" s="174" t="n"/>
      <c r="E931" s="174" t="n"/>
      <c r="F931" s="176">
        <f>#REF!</f>
        <v/>
      </c>
      <c r="G931" s="174">
        <f>#REF!</f>
        <v/>
      </c>
      <c r="H931" s="174">
        <f>#REF!</f>
        <v/>
      </c>
      <c r="I931" s="174">
        <f>#REF!</f>
        <v/>
      </c>
      <c r="J931" s="174">
        <f>#REF!</f>
        <v/>
      </c>
      <c r="K931" s="176">
        <f>#REF!</f>
        <v/>
      </c>
      <c r="L931" s="173" t="n"/>
      <c r="M931" s="9" t="n"/>
      <c r="N931" s="28" t="b">
        <v>0</v>
      </c>
      <c r="O931" s="172" t="b">
        <v>0</v>
      </c>
      <c r="P931" s="28" t="b">
        <v>0</v>
      </c>
      <c r="Q931" s="28" t="b">
        <v>0</v>
      </c>
      <c r="R931" s="28" t="b">
        <v>0</v>
      </c>
      <c r="S931" s="28" t="b">
        <v>0</v>
      </c>
      <c r="T931" s="28" t="b">
        <v>0</v>
      </c>
      <c r="U931" s="28" t="b">
        <v>0</v>
      </c>
      <c r="V931" s="28" t="b">
        <v>0</v>
      </c>
      <c r="W931" s="28" t="b">
        <v>0</v>
      </c>
    </row>
    <row r="932" ht="69" customHeight="1" s="222">
      <c r="A932" s="164">
        <f>#REF!</f>
        <v/>
      </c>
      <c r="B932" s="145" t="b">
        <v>0</v>
      </c>
      <c r="C932" s="176">
        <f>#REF!</f>
        <v/>
      </c>
      <c r="D932" s="174" t="n"/>
      <c r="E932" s="174" t="n"/>
      <c r="F932" s="176">
        <f>#REF!</f>
        <v/>
      </c>
      <c r="G932" s="174">
        <f>#REF!</f>
        <v/>
      </c>
      <c r="H932" s="174">
        <f>#REF!</f>
        <v/>
      </c>
      <c r="I932" s="174">
        <f>#REF!</f>
        <v/>
      </c>
      <c r="J932" s="174">
        <f>#REF!</f>
        <v/>
      </c>
      <c r="K932" s="176">
        <f>#REF!</f>
        <v/>
      </c>
      <c r="L932" s="173" t="n"/>
      <c r="M932" s="9" t="n"/>
      <c r="N932" s="28" t="b">
        <v>0</v>
      </c>
      <c r="O932" s="172" t="b">
        <v>0</v>
      </c>
      <c r="P932" s="28" t="b">
        <v>0</v>
      </c>
      <c r="Q932" s="28" t="b">
        <v>0</v>
      </c>
      <c r="R932" s="28" t="b">
        <v>0</v>
      </c>
      <c r="S932" s="28" t="b">
        <v>0</v>
      </c>
      <c r="T932" s="28" t="b">
        <v>0</v>
      </c>
      <c r="U932" s="28" t="b">
        <v>0</v>
      </c>
      <c r="V932" s="28" t="b">
        <v>0</v>
      </c>
      <c r="W932" s="28" t="b">
        <v>0</v>
      </c>
    </row>
    <row r="933" ht="69" customHeight="1" s="222">
      <c r="A933" s="164">
        <f>#REF!</f>
        <v/>
      </c>
      <c r="B933" s="145" t="b">
        <v>0</v>
      </c>
      <c r="C933" s="176">
        <f>#REF!</f>
        <v/>
      </c>
      <c r="D933" s="174" t="n"/>
      <c r="E933" s="174" t="n"/>
      <c r="F933" s="176">
        <f>#REF!</f>
        <v/>
      </c>
      <c r="G933" s="174">
        <f>#REF!</f>
        <v/>
      </c>
      <c r="H933" s="174">
        <f>#REF!</f>
        <v/>
      </c>
      <c r="I933" s="174">
        <f>#REF!</f>
        <v/>
      </c>
      <c r="J933" s="174">
        <f>#REF!</f>
        <v/>
      </c>
      <c r="K933" s="176">
        <f>#REF!</f>
        <v/>
      </c>
      <c r="L933" s="173" t="n"/>
      <c r="M933" s="9" t="n"/>
      <c r="N933" s="28" t="b">
        <v>0</v>
      </c>
      <c r="O933" s="172" t="b">
        <v>0</v>
      </c>
      <c r="P933" s="28" t="b">
        <v>0</v>
      </c>
      <c r="Q933" s="28" t="b">
        <v>0</v>
      </c>
      <c r="R933" s="28" t="b">
        <v>0</v>
      </c>
      <c r="S933" s="28" t="b">
        <v>0</v>
      </c>
      <c r="T933" s="28" t="b">
        <v>0</v>
      </c>
      <c r="U933" s="28" t="b">
        <v>0</v>
      </c>
      <c r="V933" s="28" t="b">
        <v>0</v>
      </c>
      <c r="W933" s="28" t="b">
        <v>0</v>
      </c>
    </row>
    <row r="934" ht="69" customHeight="1" s="222">
      <c r="A934" s="164">
        <f>#REF!</f>
        <v/>
      </c>
      <c r="B934" s="145" t="b">
        <v>0</v>
      </c>
      <c r="C934" s="176">
        <f>#REF!</f>
        <v/>
      </c>
      <c r="D934" s="174" t="n"/>
      <c r="E934" s="174" t="n"/>
      <c r="F934" s="176">
        <f>#REF!</f>
        <v/>
      </c>
      <c r="G934" s="174">
        <f>#REF!</f>
        <v/>
      </c>
      <c r="H934" s="174">
        <f>#REF!</f>
        <v/>
      </c>
      <c r="I934" s="174">
        <f>#REF!</f>
        <v/>
      </c>
      <c r="J934" s="174">
        <f>#REF!</f>
        <v/>
      </c>
      <c r="K934" s="176">
        <f>#REF!</f>
        <v/>
      </c>
      <c r="L934" s="173" t="n"/>
      <c r="M934" s="9" t="n"/>
      <c r="N934" s="28" t="b">
        <v>0</v>
      </c>
      <c r="O934" s="172" t="b">
        <v>0</v>
      </c>
      <c r="P934" s="28" t="b">
        <v>0</v>
      </c>
      <c r="Q934" s="28" t="b">
        <v>0</v>
      </c>
      <c r="R934" s="28" t="b">
        <v>0</v>
      </c>
      <c r="S934" s="28" t="b">
        <v>0</v>
      </c>
      <c r="T934" s="28" t="b">
        <v>0</v>
      </c>
      <c r="U934" s="28" t="b">
        <v>0</v>
      </c>
      <c r="V934" s="28" t="b">
        <v>0</v>
      </c>
      <c r="W934" s="28" t="b">
        <v>0</v>
      </c>
    </row>
    <row r="935" ht="69" customHeight="1" s="222">
      <c r="A935" s="164">
        <f>#REF!</f>
        <v/>
      </c>
      <c r="B935" s="145" t="b">
        <v>0</v>
      </c>
      <c r="C935" s="176">
        <f>#REF!</f>
        <v/>
      </c>
      <c r="D935" s="174" t="n"/>
      <c r="E935" s="174" t="n"/>
      <c r="F935" s="176">
        <f>#REF!</f>
        <v/>
      </c>
      <c r="G935" s="174">
        <f>#REF!</f>
        <v/>
      </c>
      <c r="H935" s="174">
        <f>#REF!</f>
        <v/>
      </c>
      <c r="I935" s="174">
        <f>#REF!</f>
        <v/>
      </c>
      <c r="J935" s="174">
        <f>#REF!</f>
        <v/>
      </c>
      <c r="K935" s="176">
        <f>#REF!</f>
        <v/>
      </c>
      <c r="L935" s="173" t="n"/>
      <c r="M935" s="9" t="n"/>
      <c r="N935" s="28" t="b">
        <v>0</v>
      </c>
      <c r="O935" s="172" t="b">
        <v>0</v>
      </c>
      <c r="P935" s="28" t="b">
        <v>0</v>
      </c>
      <c r="Q935" s="28" t="b">
        <v>0</v>
      </c>
      <c r="R935" s="28" t="b">
        <v>0</v>
      </c>
      <c r="S935" s="28" t="b">
        <v>0</v>
      </c>
      <c r="T935" s="28" t="b">
        <v>0</v>
      </c>
      <c r="U935" s="28" t="b">
        <v>0</v>
      </c>
      <c r="V935" s="28" t="b">
        <v>0</v>
      </c>
      <c r="W935" s="28" t="b">
        <v>0</v>
      </c>
    </row>
    <row r="936" ht="69" customHeight="1" s="222">
      <c r="A936" s="164">
        <f>#REF!</f>
        <v/>
      </c>
      <c r="B936" s="145" t="b">
        <v>0</v>
      </c>
      <c r="C936" s="176">
        <f>#REF!</f>
        <v/>
      </c>
      <c r="D936" s="174" t="n"/>
      <c r="E936" s="174" t="n"/>
      <c r="F936" s="176">
        <f>#REF!</f>
        <v/>
      </c>
      <c r="G936" s="174">
        <f>#REF!</f>
        <v/>
      </c>
      <c r="H936" s="174">
        <f>#REF!</f>
        <v/>
      </c>
      <c r="I936" s="174">
        <f>#REF!</f>
        <v/>
      </c>
      <c r="J936" s="174">
        <f>#REF!</f>
        <v/>
      </c>
      <c r="K936" s="176">
        <f>#REF!</f>
        <v/>
      </c>
      <c r="L936" s="173" t="n"/>
      <c r="M936" s="9" t="n"/>
      <c r="N936" s="28" t="b">
        <v>0</v>
      </c>
      <c r="O936" s="172" t="b">
        <v>0</v>
      </c>
      <c r="P936" s="28" t="b">
        <v>0</v>
      </c>
      <c r="Q936" s="28" t="b">
        <v>0</v>
      </c>
      <c r="R936" s="28" t="b">
        <v>0</v>
      </c>
      <c r="S936" s="28" t="b">
        <v>0</v>
      </c>
      <c r="T936" s="28" t="b">
        <v>0</v>
      </c>
      <c r="U936" s="28" t="b">
        <v>0</v>
      </c>
      <c r="V936" s="28" t="b">
        <v>0</v>
      </c>
      <c r="W936" s="28" t="b">
        <v>0</v>
      </c>
    </row>
    <row r="937" ht="69" customHeight="1" s="222">
      <c r="A937" s="164">
        <f>#REF!</f>
        <v/>
      </c>
      <c r="B937" s="145" t="b">
        <v>0</v>
      </c>
      <c r="C937" s="176">
        <f>#REF!</f>
        <v/>
      </c>
      <c r="D937" s="174" t="n"/>
      <c r="E937" s="174" t="n"/>
      <c r="F937" s="176">
        <f>#REF!</f>
        <v/>
      </c>
      <c r="G937" s="174">
        <f>#REF!</f>
        <v/>
      </c>
      <c r="H937" s="174">
        <f>#REF!</f>
        <v/>
      </c>
      <c r="I937" s="174">
        <f>#REF!</f>
        <v/>
      </c>
      <c r="J937" s="174">
        <f>#REF!</f>
        <v/>
      </c>
      <c r="K937" s="176">
        <f>#REF!</f>
        <v/>
      </c>
      <c r="L937" s="173" t="n"/>
      <c r="M937" s="9" t="n"/>
      <c r="N937" s="28" t="b">
        <v>0</v>
      </c>
      <c r="O937" s="172" t="b">
        <v>0</v>
      </c>
      <c r="P937" s="28" t="b">
        <v>0</v>
      </c>
      <c r="Q937" s="28" t="b">
        <v>0</v>
      </c>
      <c r="R937" s="28" t="b">
        <v>0</v>
      </c>
      <c r="S937" s="28" t="b">
        <v>0</v>
      </c>
      <c r="T937" s="28" t="b">
        <v>0</v>
      </c>
      <c r="U937" s="28" t="b">
        <v>0</v>
      </c>
      <c r="V937" s="28" t="b">
        <v>0</v>
      </c>
      <c r="W937" s="28" t="b">
        <v>0</v>
      </c>
    </row>
    <row r="938" ht="69" customHeight="1" s="222">
      <c r="A938" s="164">
        <f>#REF!</f>
        <v/>
      </c>
      <c r="B938" s="145" t="b">
        <v>0</v>
      </c>
      <c r="C938" s="176">
        <f>#REF!</f>
        <v/>
      </c>
      <c r="D938" s="174" t="n"/>
      <c r="E938" s="174" t="n"/>
      <c r="F938" s="176">
        <f>#REF!</f>
        <v/>
      </c>
      <c r="G938" s="174">
        <f>#REF!</f>
        <v/>
      </c>
      <c r="H938" s="174">
        <f>#REF!</f>
        <v/>
      </c>
      <c r="I938" s="174">
        <f>#REF!</f>
        <v/>
      </c>
      <c r="J938" s="174">
        <f>#REF!</f>
        <v/>
      </c>
      <c r="K938" s="176">
        <f>#REF!</f>
        <v/>
      </c>
      <c r="L938" s="173" t="n"/>
      <c r="M938" s="9" t="n"/>
      <c r="N938" s="28" t="b">
        <v>0</v>
      </c>
      <c r="O938" s="172" t="b">
        <v>0</v>
      </c>
      <c r="P938" s="28" t="b">
        <v>0</v>
      </c>
      <c r="Q938" s="28" t="b">
        <v>0</v>
      </c>
      <c r="R938" s="28" t="b">
        <v>0</v>
      </c>
      <c r="S938" s="28" t="b">
        <v>0</v>
      </c>
      <c r="T938" s="28" t="b">
        <v>0</v>
      </c>
      <c r="U938" s="28" t="b">
        <v>0</v>
      </c>
      <c r="V938" s="28" t="b">
        <v>0</v>
      </c>
      <c r="W938" s="28" t="b">
        <v>0</v>
      </c>
    </row>
    <row r="939" ht="69" customHeight="1" s="222">
      <c r="A939" s="164">
        <f>#REF!</f>
        <v/>
      </c>
      <c r="B939" s="145" t="b">
        <v>0</v>
      </c>
      <c r="C939" s="176">
        <f>#REF!</f>
        <v/>
      </c>
      <c r="D939" s="174" t="n"/>
      <c r="E939" s="174" t="n"/>
      <c r="F939" s="176">
        <f>#REF!</f>
        <v/>
      </c>
      <c r="G939" s="174">
        <f>#REF!</f>
        <v/>
      </c>
      <c r="H939" s="174">
        <f>#REF!</f>
        <v/>
      </c>
      <c r="I939" s="174">
        <f>#REF!</f>
        <v/>
      </c>
      <c r="J939" s="174">
        <f>#REF!</f>
        <v/>
      </c>
      <c r="K939" s="176">
        <f>#REF!</f>
        <v/>
      </c>
      <c r="L939" s="173" t="n"/>
      <c r="M939" s="9" t="n"/>
      <c r="N939" s="28" t="b">
        <v>0</v>
      </c>
      <c r="O939" s="172" t="b">
        <v>0</v>
      </c>
      <c r="P939" s="28" t="b">
        <v>0</v>
      </c>
      <c r="Q939" s="28" t="b">
        <v>0</v>
      </c>
      <c r="R939" s="28" t="b">
        <v>0</v>
      </c>
      <c r="S939" s="28" t="b">
        <v>0</v>
      </c>
      <c r="T939" s="28" t="b">
        <v>0</v>
      </c>
      <c r="U939" s="28" t="b">
        <v>0</v>
      </c>
      <c r="V939" s="28" t="b">
        <v>0</v>
      </c>
      <c r="W939" s="28" t="b">
        <v>0</v>
      </c>
    </row>
    <row r="940" ht="69" customHeight="1" s="222">
      <c r="A940" s="164">
        <f>#REF!</f>
        <v/>
      </c>
      <c r="B940" s="145" t="b">
        <v>0</v>
      </c>
      <c r="C940" s="176">
        <f>#REF!</f>
        <v/>
      </c>
      <c r="D940" s="174" t="n"/>
      <c r="E940" s="174" t="n"/>
      <c r="F940" s="176">
        <f>#REF!</f>
        <v/>
      </c>
      <c r="G940" s="174">
        <f>#REF!</f>
        <v/>
      </c>
      <c r="H940" s="174">
        <f>#REF!</f>
        <v/>
      </c>
      <c r="I940" s="174">
        <f>#REF!</f>
        <v/>
      </c>
      <c r="J940" s="174">
        <f>#REF!</f>
        <v/>
      </c>
      <c r="K940" s="176">
        <f>#REF!</f>
        <v/>
      </c>
      <c r="L940" s="173" t="n"/>
      <c r="M940" s="9" t="n"/>
      <c r="N940" s="28" t="b">
        <v>0</v>
      </c>
      <c r="O940" s="172" t="b">
        <v>0</v>
      </c>
      <c r="P940" s="28" t="b">
        <v>0</v>
      </c>
      <c r="Q940" s="28" t="b">
        <v>0</v>
      </c>
      <c r="R940" s="28" t="b">
        <v>0</v>
      </c>
      <c r="S940" s="28" t="b">
        <v>0</v>
      </c>
      <c r="T940" s="28" t="b">
        <v>0</v>
      </c>
      <c r="U940" s="28" t="b">
        <v>0</v>
      </c>
      <c r="V940" s="28" t="b">
        <v>0</v>
      </c>
      <c r="W940" s="28" t="b">
        <v>0</v>
      </c>
    </row>
    <row r="941" ht="69" customHeight="1" s="222">
      <c r="A941" s="164">
        <f>#REF!</f>
        <v/>
      </c>
      <c r="B941" s="145" t="b">
        <v>0</v>
      </c>
      <c r="C941" s="176">
        <f>#REF!</f>
        <v/>
      </c>
      <c r="D941" s="174" t="n"/>
      <c r="E941" s="174" t="n"/>
      <c r="F941" s="176">
        <f>#REF!</f>
        <v/>
      </c>
      <c r="G941" s="174">
        <f>#REF!</f>
        <v/>
      </c>
      <c r="H941" s="174">
        <f>#REF!</f>
        <v/>
      </c>
      <c r="I941" s="174">
        <f>#REF!</f>
        <v/>
      </c>
      <c r="J941" s="174">
        <f>#REF!</f>
        <v/>
      </c>
      <c r="K941" s="176">
        <f>#REF!</f>
        <v/>
      </c>
      <c r="L941" s="173" t="n"/>
      <c r="M941" s="9" t="n"/>
      <c r="N941" s="28" t="b">
        <v>0</v>
      </c>
      <c r="O941" s="172" t="b">
        <v>0</v>
      </c>
      <c r="P941" s="28" t="b">
        <v>0</v>
      </c>
      <c r="Q941" s="28" t="b">
        <v>0</v>
      </c>
      <c r="R941" s="28" t="b">
        <v>0</v>
      </c>
      <c r="S941" s="28" t="b">
        <v>0</v>
      </c>
      <c r="T941" s="28" t="b">
        <v>0</v>
      </c>
      <c r="U941" s="28" t="b">
        <v>0</v>
      </c>
      <c r="V941" s="28" t="b">
        <v>0</v>
      </c>
      <c r="W941" s="28" t="b">
        <v>0</v>
      </c>
    </row>
    <row r="942" ht="69" customHeight="1" s="222">
      <c r="A942" s="164">
        <f>#REF!</f>
        <v/>
      </c>
      <c r="B942" s="145" t="b">
        <v>0</v>
      </c>
      <c r="C942" s="176">
        <f>#REF!</f>
        <v/>
      </c>
      <c r="D942" s="174" t="n"/>
      <c r="E942" s="174" t="n"/>
      <c r="F942" s="176">
        <f>#REF!</f>
        <v/>
      </c>
      <c r="G942" s="174">
        <f>#REF!</f>
        <v/>
      </c>
      <c r="H942" s="174">
        <f>#REF!</f>
        <v/>
      </c>
      <c r="I942" s="174">
        <f>#REF!</f>
        <v/>
      </c>
      <c r="J942" s="174">
        <f>#REF!</f>
        <v/>
      </c>
      <c r="K942" s="176">
        <f>#REF!</f>
        <v/>
      </c>
      <c r="L942" s="173" t="n"/>
      <c r="M942" s="9" t="n"/>
      <c r="N942" s="28" t="b">
        <v>0</v>
      </c>
      <c r="O942" s="172" t="b">
        <v>0</v>
      </c>
      <c r="P942" s="28" t="b">
        <v>0</v>
      </c>
      <c r="Q942" s="28" t="b">
        <v>0</v>
      </c>
      <c r="R942" s="28" t="b">
        <v>0</v>
      </c>
      <c r="S942" s="28" t="b">
        <v>0</v>
      </c>
      <c r="T942" s="28" t="b">
        <v>0</v>
      </c>
      <c r="U942" s="28" t="b">
        <v>0</v>
      </c>
      <c r="V942" s="28" t="b">
        <v>0</v>
      </c>
      <c r="W942" s="28" t="b">
        <v>0</v>
      </c>
    </row>
    <row r="943" ht="69" customHeight="1" s="222">
      <c r="A943" s="164">
        <f>#REF!</f>
        <v/>
      </c>
      <c r="B943" s="145" t="b">
        <v>0</v>
      </c>
      <c r="C943" s="176">
        <f>#REF!</f>
        <v/>
      </c>
      <c r="D943" s="174" t="n"/>
      <c r="E943" s="174" t="n"/>
      <c r="F943" s="176">
        <f>#REF!</f>
        <v/>
      </c>
      <c r="G943" s="174">
        <f>#REF!</f>
        <v/>
      </c>
      <c r="H943" s="174">
        <f>#REF!</f>
        <v/>
      </c>
      <c r="I943" s="174">
        <f>#REF!</f>
        <v/>
      </c>
      <c r="J943" s="174">
        <f>#REF!</f>
        <v/>
      </c>
      <c r="K943" s="176">
        <f>#REF!</f>
        <v/>
      </c>
      <c r="L943" s="173" t="n"/>
      <c r="M943" s="9" t="n"/>
      <c r="N943" s="28" t="b">
        <v>0</v>
      </c>
      <c r="O943" s="172" t="b">
        <v>0</v>
      </c>
      <c r="P943" s="28" t="b">
        <v>0</v>
      </c>
      <c r="Q943" s="28" t="b">
        <v>0</v>
      </c>
      <c r="R943" s="28" t="b">
        <v>0</v>
      </c>
      <c r="S943" s="28" t="b">
        <v>0</v>
      </c>
      <c r="T943" s="28" t="b">
        <v>0</v>
      </c>
      <c r="U943" s="28" t="b">
        <v>0</v>
      </c>
      <c r="V943" s="28" t="b">
        <v>0</v>
      </c>
      <c r="W943" s="28" t="b">
        <v>0</v>
      </c>
    </row>
    <row r="944" ht="69" customHeight="1" s="222">
      <c r="A944" s="164">
        <f>#REF!</f>
        <v/>
      </c>
      <c r="B944" s="145" t="b">
        <v>0</v>
      </c>
      <c r="C944" s="176">
        <f>#REF!</f>
        <v/>
      </c>
      <c r="D944" s="174" t="n"/>
      <c r="E944" s="174" t="n"/>
      <c r="F944" s="176">
        <f>#REF!</f>
        <v/>
      </c>
      <c r="G944" s="174">
        <f>#REF!</f>
        <v/>
      </c>
      <c r="H944" s="174">
        <f>#REF!</f>
        <v/>
      </c>
      <c r="I944" s="174">
        <f>#REF!</f>
        <v/>
      </c>
      <c r="J944" s="174">
        <f>#REF!</f>
        <v/>
      </c>
      <c r="K944" s="176">
        <f>#REF!</f>
        <v/>
      </c>
      <c r="L944" s="173" t="n"/>
      <c r="M944" s="9" t="n"/>
      <c r="N944" s="28" t="b">
        <v>0</v>
      </c>
      <c r="O944" s="172" t="b">
        <v>0</v>
      </c>
      <c r="P944" s="28" t="b">
        <v>0</v>
      </c>
      <c r="Q944" s="28" t="b">
        <v>0</v>
      </c>
      <c r="R944" s="28" t="b">
        <v>0</v>
      </c>
      <c r="S944" s="28" t="b">
        <v>0</v>
      </c>
      <c r="T944" s="28" t="b">
        <v>0</v>
      </c>
      <c r="U944" s="28" t="b">
        <v>0</v>
      </c>
      <c r="V944" s="28" t="b">
        <v>0</v>
      </c>
      <c r="W944" s="28" t="b">
        <v>0</v>
      </c>
    </row>
    <row r="945" ht="69" customHeight="1" s="222">
      <c r="A945" s="164">
        <f>#REF!</f>
        <v/>
      </c>
      <c r="B945" s="145" t="b">
        <v>0</v>
      </c>
      <c r="C945" s="176">
        <f>#REF!</f>
        <v/>
      </c>
      <c r="D945" s="174" t="n"/>
      <c r="E945" s="174" t="n"/>
      <c r="F945" s="176">
        <f>#REF!</f>
        <v/>
      </c>
      <c r="G945" s="174">
        <f>#REF!</f>
        <v/>
      </c>
      <c r="H945" s="174">
        <f>#REF!</f>
        <v/>
      </c>
      <c r="I945" s="174">
        <f>#REF!</f>
        <v/>
      </c>
      <c r="J945" s="174">
        <f>#REF!</f>
        <v/>
      </c>
      <c r="K945" s="176">
        <f>#REF!</f>
        <v/>
      </c>
      <c r="L945" s="173" t="n"/>
      <c r="M945" s="9" t="n"/>
      <c r="N945" s="28" t="b">
        <v>0</v>
      </c>
      <c r="O945" s="172" t="b">
        <v>0</v>
      </c>
      <c r="P945" s="28" t="b">
        <v>0</v>
      </c>
      <c r="Q945" s="28" t="b">
        <v>0</v>
      </c>
      <c r="R945" s="28" t="b">
        <v>0</v>
      </c>
      <c r="S945" s="28" t="b">
        <v>0</v>
      </c>
      <c r="T945" s="28" t="b">
        <v>0</v>
      </c>
      <c r="U945" s="28" t="b">
        <v>0</v>
      </c>
      <c r="V945" s="28" t="b">
        <v>0</v>
      </c>
      <c r="W945" s="28" t="b">
        <v>0</v>
      </c>
    </row>
    <row r="946" ht="69" customHeight="1" s="222">
      <c r="A946" s="164">
        <f>#REF!</f>
        <v/>
      </c>
      <c r="B946" s="145" t="b">
        <v>0</v>
      </c>
      <c r="C946" s="176">
        <f>#REF!</f>
        <v/>
      </c>
      <c r="D946" s="174" t="n"/>
      <c r="E946" s="174" t="n"/>
      <c r="F946" s="176">
        <f>#REF!</f>
        <v/>
      </c>
      <c r="G946" s="174">
        <f>#REF!</f>
        <v/>
      </c>
      <c r="H946" s="174">
        <f>#REF!</f>
        <v/>
      </c>
      <c r="I946" s="174">
        <f>#REF!</f>
        <v/>
      </c>
      <c r="J946" s="174">
        <f>#REF!</f>
        <v/>
      </c>
      <c r="K946" s="176">
        <f>#REF!</f>
        <v/>
      </c>
      <c r="L946" s="173" t="n"/>
      <c r="M946" s="9" t="n"/>
      <c r="N946" s="28" t="b">
        <v>0</v>
      </c>
      <c r="O946" s="172" t="b">
        <v>0</v>
      </c>
      <c r="P946" s="28" t="b">
        <v>0</v>
      </c>
      <c r="Q946" s="28" t="b">
        <v>0</v>
      </c>
      <c r="R946" s="28" t="b">
        <v>0</v>
      </c>
      <c r="S946" s="28" t="b">
        <v>0</v>
      </c>
      <c r="T946" s="28" t="b">
        <v>0</v>
      </c>
      <c r="U946" s="28" t="b">
        <v>0</v>
      </c>
      <c r="V946" s="28" t="b">
        <v>0</v>
      </c>
      <c r="W946" s="28" t="b">
        <v>0</v>
      </c>
    </row>
    <row r="947" ht="69" customHeight="1" s="222">
      <c r="A947" s="164">
        <f>#REF!</f>
        <v/>
      </c>
      <c r="B947" s="145" t="b">
        <v>0</v>
      </c>
      <c r="C947" s="176">
        <f>#REF!</f>
        <v/>
      </c>
      <c r="D947" s="174" t="n"/>
      <c r="E947" s="174" t="n"/>
      <c r="F947" s="176">
        <f>#REF!</f>
        <v/>
      </c>
      <c r="G947" s="174">
        <f>#REF!</f>
        <v/>
      </c>
      <c r="H947" s="174">
        <f>#REF!</f>
        <v/>
      </c>
      <c r="I947" s="174">
        <f>#REF!</f>
        <v/>
      </c>
      <c r="J947" s="174">
        <f>#REF!</f>
        <v/>
      </c>
      <c r="K947" s="176">
        <f>#REF!</f>
        <v/>
      </c>
      <c r="L947" s="173" t="n"/>
      <c r="M947" s="9" t="n"/>
      <c r="N947" s="28" t="b">
        <v>0</v>
      </c>
      <c r="O947" s="172" t="b">
        <v>0</v>
      </c>
      <c r="P947" s="28" t="b">
        <v>0</v>
      </c>
      <c r="Q947" s="28" t="b">
        <v>0</v>
      </c>
      <c r="R947" s="28" t="b">
        <v>0</v>
      </c>
      <c r="S947" s="28" t="b">
        <v>0</v>
      </c>
      <c r="T947" s="28" t="b">
        <v>0</v>
      </c>
      <c r="U947" s="28" t="b">
        <v>0</v>
      </c>
      <c r="V947" s="28" t="b">
        <v>0</v>
      </c>
      <c r="W947" s="28" t="b">
        <v>0</v>
      </c>
    </row>
    <row r="948" ht="69" customHeight="1" s="222">
      <c r="A948" s="164">
        <f>#REF!</f>
        <v/>
      </c>
      <c r="B948" s="145" t="b">
        <v>0</v>
      </c>
      <c r="C948" s="176">
        <f>#REF!</f>
        <v/>
      </c>
      <c r="D948" s="174" t="n"/>
      <c r="E948" s="174" t="n"/>
      <c r="F948" s="176">
        <f>#REF!</f>
        <v/>
      </c>
      <c r="G948" s="174">
        <f>#REF!</f>
        <v/>
      </c>
      <c r="H948" s="174">
        <f>#REF!</f>
        <v/>
      </c>
      <c r="I948" s="174">
        <f>#REF!</f>
        <v/>
      </c>
      <c r="J948" s="174">
        <f>#REF!</f>
        <v/>
      </c>
      <c r="K948" s="176">
        <f>#REF!</f>
        <v/>
      </c>
      <c r="L948" s="173" t="n"/>
      <c r="M948" s="9" t="n"/>
      <c r="N948" s="28" t="b">
        <v>0</v>
      </c>
      <c r="O948" s="172" t="b">
        <v>0</v>
      </c>
      <c r="P948" s="28" t="b">
        <v>0</v>
      </c>
      <c r="Q948" s="28" t="b">
        <v>0</v>
      </c>
      <c r="R948" s="28" t="b">
        <v>0</v>
      </c>
      <c r="S948" s="28" t="b">
        <v>0</v>
      </c>
      <c r="T948" s="28" t="b">
        <v>0</v>
      </c>
      <c r="U948" s="28" t="b">
        <v>0</v>
      </c>
      <c r="V948" s="28" t="b">
        <v>0</v>
      </c>
      <c r="W948" s="28" t="b">
        <v>0</v>
      </c>
    </row>
    <row r="949" ht="69" customHeight="1" s="222">
      <c r="A949" s="164">
        <f>#REF!</f>
        <v/>
      </c>
      <c r="B949" s="145" t="b">
        <v>0</v>
      </c>
      <c r="C949" s="176">
        <f>#REF!</f>
        <v/>
      </c>
      <c r="D949" s="174" t="n"/>
      <c r="E949" s="174" t="n"/>
      <c r="F949" s="176">
        <f>#REF!</f>
        <v/>
      </c>
      <c r="G949" s="174">
        <f>#REF!</f>
        <v/>
      </c>
      <c r="H949" s="174">
        <f>#REF!</f>
        <v/>
      </c>
      <c r="I949" s="174">
        <f>#REF!</f>
        <v/>
      </c>
      <c r="J949" s="174">
        <f>#REF!</f>
        <v/>
      </c>
      <c r="K949" s="176">
        <f>#REF!</f>
        <v/>
      </c>
      <c r="L949" s="173" t="n"/>
      <c r="M949" s="9" t="n"/>
      <c r="N949" s="28" t="b">
        <v>0</v>
      </c>
      <c r="O949" s="172" t="b">
        <v>0</v>
      </c>
      <c r="P949" s="28" t="b">
        <v>0</v>
      </c>
      <c r="Q949" s="28" t="b">
        <v>0</v>
      </c>
      <c r="R949" s="28" t="b">
        <v>0</v>
      </c>
      <c r="S949" s="28" t="b">
        <v>0</v>
      </c>
      <c r="T949" s="28" t="b">
        <v>0</v>
      </c>
      <c r="U949" s="28" t="b">
        <v>0</v>
      </c>
      <c r="V949" s="28" t="b">
        <v>0</v>
      </c>
      <c r="W949" s="28" t="b">
        <v>0</v>
      </c>
    </row>
    <row r="950" ht="69" customHeight="1" s="222">
      <c r="A950" s="164">
        <f>#REF!</f>
        <v/>
      </c>
      <c r="B950" s="145" t="b">
        <v>0</v>
      </c>
      <c r="C950" s="176">
        <f>#REF!</f>
        <v/>
      </c>
      <c r="D950" s="174" t="n"/>
      <c r="E950" s="174" t="n"/>
      <c r="F950" s="176">
        <f>#REF!</f>
        <v/>
      </c>
      <c r="G950" s="174">
        <f>#REF!</f>
        <v/>
      </c>
      <c r="H950" s="174">
        <f>#REF!</f>
        <v/>
      </c>
      <c r="I950" s="174">
        <f>#REF!</f>
        <v/>
      </c>
      <c r="J950" s="174">
        <f>#REF!</f>
        <v/>
      </c>
      <c r="K950" s="176">
        <f>#REF!</f>
        <v/>
      </c>
      <c r="L950" s="173" t="n"/>
      <c r="M950" s="9" t="n"/>
      <c r="N950" s="28" t="b">
        <v>0</v>
      </c>
      <c r="O950" s="172" t="b">
        <v>0</v>
      </c>
      <c r="P950" s="28" t="b">
        <v>0</v>
      </c>
      <c r="Q950" s="28" t="b">
        <v>0</v>
      </c>
      <c r="R950" s="28" t="b">
        <v>0</v>
      </c>
      <c r="S950" s="28" t="b">
        <v>0</v>
      </c>
      <c r="T950" s="28" t="b">
        <v>0</v>
      </c>
      <c r="U950" s="28" t="b">
        <v>0</v>
      </c>
      <c r="V950" s="28" t="b">
        <v>0</v>
      </c>
      <c r="W950" s="28" t="b">
        <v>0</v>
      </c>
    </row>
    <row r="951" ht="69" customHeight="1" s="222">
      <c r="A951" s="164">
        <f>#REF!</f>
        <v/>
      </c>
      <c r="B951" s="145" t="b">
        <v>0</v>
      </c>
      <c r="C951" s="176">
        <f>#REF!</f>
        <v/>
      </c>
      <c r="D951" s="174" t="n"/>
      <c r="E951" s="174" t="n"/>
      <c r="F951" s="176">
        <f>#REF!</f>
        <v/>
      </c>
      <c r="G951" s="174">
        <f>#REF!</f>
        <v/>
      </c>
      <c r="H951" s="174">
        <f>#REF!</f>
        <v/>
      </c>
      <c r="I951" s="174">
        <f>#REF!</f>
        <v/>
      </c>
      <c r="J951" s="174">
        <f>#REF!</f>
        <v/>
      </c>
      <c r="K951" s="176">
        <f>#REF!</f>
        <v/>
      </c>
      <c r="L951" s="173" t="n"/>
      <c r="M951" s="9" t="n"/>
      <c r="N951" s="28" t="b">
        <v>0</v>
      </c>
      <c r="O951" s="172" t="b">
        <v>0</v>
      </c>
      <c r="P951" s="28" t="b">
        <v>0</v>
      </c>
      <c r="Q951" s="28" t="b">
        <v>0</v>
      </c>
      <c r="R951" s="28" t="b">
        <v>0</v>
      </c>
      <c r="S951" s="28" t="b">
        <v>0</v>
      </c>
      <c r="T951" s="28" t="b">
        <v>0</v>
      </c>
      <c r="U951" s="28" t="b">
        <v>0</v>
      </c>
      <c r="V951" s="28" t="b">
        <v>0</v>
      </c>
      <c r="W951" s="28" t="b">
        <v>0</v>
      </c>
    </row>
    <row r="952" ht="69" customHeight="1" s="222">
      <c r="A952" s="164">
        <f>#REF!</f>
        <v/>
      </c>
      <c r="B952" s="145" t="b">
        <v>0</v>
      </c>
      <c r="C952" s="176">
        <f>#REF!</f>
        <v/>
      </c>
      <c r="D952" s="174" t="n"/>
      <c r="E952" s="174" t="n"/>
      <c r="F952" s="176">
        <f>#REF!</f>
        <v/>
      </c>
      <c r="G952" s="174">
        <f>#REF!</f>
        <v/>
      </c>
      <c r="H952" s="174">
        <f>#REF!</f>
        <v/>
      </c>
      <c r="I952" s="174">
        <f>#REF!</f>
        <v/>
      </c>
      <c r="J952" s="174">
        <f>#REF!</f>
        <v/>
      </c>
      <c r="K952" s="176">
        <f>#REF!</f>
        <v/>
      </c>
      <c r="L952" s="173" t="n"/>
      <c r="M952" s="9" t="n"/>
      <c r="N952" s="28" t="b">
        <v>0</v>
      </c>
      <c r="O952" s="172" t="b">
        <v>0</v>
      </c>
      <c r="P952" s="28" t="b">
        <v>0</v>
      </c>
      <c r="Q952" s="28" t="b">
        <v>0</v>
      </c>
      <c r="R952" s="28" t="b">
        <v>0</v>
      </c>
      <c r="S952" s="28" t="b">
        <v>0</v>
      </c>
      <c r="T952" s="28" t="b">
        <v>0</v>
      </c>
      <c r="U952" s="28" t="b">
        <v>0</v>
      </c>
      <c r="V952" s="28" t="b">
        <v>0</v>
      </c>
      <c r="W952" s="28" t="b">
        <v>0</v>
      </c>
    </row>
    <row r="953" ht="69" customHeight="1" s="222">
      <c r="A953" s="164">
        <f>#REF!</f>
        <v/>
      </c>
      <c r="B953" s="145" t="b">
        <v>0</v>
      </c>
      <c r="C953" s="176">
        <f>#REF!</f>
        <v/>
      </c>
      <c r="D953" s="174" t="n"/>
      <c r="E953" s="174" t="n"/>
      <c r="F953" s="176">
        <f>#REF!</f>
        <v/>
      </c>
      <c r="G953" s="174">
        <f>#REF!</f>
        <v/>
      </c>
      <c r="H953" s="174">
        <f>#REF!</f>
        <v/>
      </c>
      <c r="I953" s="174">
        <f>#REF!</f>
        <v/>
      </c>
      <c r="J953" s="174">
        <f>#REF!</f>
        <v/>
      </c>
      <c r="K953" s="176">
        <f>#REF!</f>
        <v/>
      </c>
      <c r="L953" s="173" t="n"/>
      <c r="M953" s="9" t="n"/>
      <c r="N953" s="28" t="b">
        <v>0</v>
      </c>
      <c r="O953" s="172" t="b">
        <v>0</v>
      </c>
      <c r="P953" s="28" t="b">
        <v>0</v>
      </c>
      <c r="Q953" s="28" t="b">
        <v>0</v>
      </c>
      <c r="R953" s="28" t="b">
        <v>0</v>
      </c>
      <c r="S953" s="28" t="b">
        <v>0</v>
      </c>
      <c r="T953" s="28" t="b">
        <v>0</v>
      </c>
      <c r="U953" s="28" t="b">
        <v>0</v>
      </c>
      <c r="V953" s="28" t="b">
        <v>0</v>
      </c>
      <c r="W953" s="28" t="b">
        <v>0</v>
      </c>
    </row>
    <row r="954" ht="69" customHeight="1" s="222">
      <c r="A954" s="164">
        <f>#REF!</f>
        <v/>
      </c>
      <c r="B954" s="145" t="b">
        <v>0</v>
      </c>
      <c r="C954" s="176">
        <f>#REF!</f>
        <v/>
      </c>
      <c r="D954" s="174" t="n"/>
      <c r="E954" s="174" t="n"/>
      <c r="F954" s="176">
        <f>#REF!</f>
        <v/>
      </c>
      <c r="G954" s="174">
        <f>#REF!</f>
        <v/>
      </c>
      <c r="H954" s="174">
        <f>#REF!</f>
        <v/>
      </c>
      <c r="I954" s="174">
        <f>#REF!</f>
        <v/>
      </c>
      <c r="J954" s="174">
        <f>#REF!</f>
        <v/>
      </c>
      <c r="K954" s="176">
        <f>#REF!</f>
        <v/>
      </c>
      <c r="L954" s="173" t="n"/>
      <c r="M954" s="9" t="n"/>
      <c r="N954" s="28" t="b">
        <v>0</v>
      </c>
      <c r="O954" s="172" t="b">
        <v>0</v>
      </c>
      <c r="P954" s="28" t="b">
        <v>0</v>
      </c>
      <c r="Q954" s="28" t="b">
        <v>0</v>
      </c>
      <c r="R954" s="28" t="b">
        <v>0</v>
      </c>
      <c r="S954" s="28" t="b">
        <v>0</v>
      </c>
      <c r="T954" s="28" t="b">
        <v>0</v>
      </c>
      <c r="U954" s="28" t="b">
        <v>0</v>
      </c>
      <c r="V954" s="28" t="b">
        <v>0</v>
      </c>
      <c r="W954" s="28" t="b">
        <v>0</v>
      </c>
    </row>
    <row r="955" ht="69" customHeight="1" s="222">
      <c r="A955" s="164">
        <f>#REF!</f>
        <v/>
      </c>
      <c r="B955" s="145" t="b">
        <v>0</v>
      </c>
      <c r="C955" s="176">
        <f>#REF!</f>
        <v/>
      </c>
      <c r="D955" s="174" t="n"/>
      <c r="E955" s="174" t="n"/>
      <c r="F955" s="176">
        <f>#REF!</f>
        <v/>
      </c>
      <c r="G955" s="174">
        <f>#REF!</f>
        <v/>
      </c>
      <c r="H955" s="174">
        <f>#REF!</f>
        <v/>
      </c>
      <c r="I955" s="174">
        <f>#REF!</f>
        <v/>
      </c>
      <c r="J955" s="174">
        <f>#REF!</f>
        <v/>
      </c>
      <c r="K955" s="176">
        <f>#REF!</f>
        <v/>
      </c>
      <c r="L955" s="173" t="n"/>
      <c r="M955" s="9" t="n"/>
      <c r="N955" s="28" t="b">
        <v>0</v>
      </c>
      <c r="O955" s="172" t="b">
        <v>0</v>
      </c>
      <c r="P955" s="28" t="b">
        <v>0</v>
      </c>
      <c r="Q955" s="28" t="b">
        <v>0</v>
      </c>
      <c r="R955" s="28" t="b">
        <v>0</v>
      </c>
      <c r="S955" s="28" t="b">
        <v>0</v>
      </c>
      <c r="T955" s="28" t="b">
        <v>0</v>
      </c>
      <c r="U955" s="28" t="b">
        <v>0</v>
      </c>
      <c r="V955" s="28" t="b">
        <v>0</v>
      </c>
      <c r="W955" s="28" t="b">
        <v>0</v>
      </c>
    </row>
    <row r="956" ht="69" customHeight="1" s="222">
      <c r="A956" s="164">
        <f>#REF!</f>
        <v/>
      </c>
      <c r="B956" s="145" t="b">
        <v>0</v>
      </c>
      <c r="C956" s="176">
        <f>#REF!</f>
        <v/>
      </c>
      <c r="D956" s="174" t="n"/>
      <c r="E956" s="174" t="n"/>
      <c r="F956" s="176">
        <f>#REF!</f>
        <v/>
      </c>
      <c r="G956" s="174">
        <f>#REF!</f>
        <v/>
      </c>
      <c r="H956" s="174">
        <f>#REF!</f>
        <v/>
      </c>
      <c r="I956" s="174">
        <f>#REF!</f>
        <v/>
      </c>
      <c r="J956" s="174">
        <f>#REF!</f>
        <v/>
      </c>
      <c r="K956" s="176">
        <f>#REF!</f>
        <v/>
      </c>
      <c r="L956" s="173" t="n"/>
      <c r="M956" s="9" t="n"/>
      <c r="N956" s="28" t="b">
        <v>0</v>
      </c>
      <c r="O956" s="172" t="b">
        <v>0</v>
      </c>
      <c r="P956" s="28" t="b">
        <v>0</v>
      </c>
      <c r="Q956" s="28" t="b">
        <v>0</v>
      </c>
      <c r="R956" s="28" t="b">
        <v>0</v>
      </c>
      <c r="S956" s="28" t="b">
        <v>0</v>
      </c>
      <c r="T956" s="28" t="b">
        <v>0</v>
      </c>
      <c r="U956" s="28" t="b">
        <v>0</v>
      </c>
      <c r="V956" s="28" t="b">
        <v>0</v>
      </c>
      <c r="W956" s="28" t="b">
        <v>0</v>
      </c>
    </row>
    <row r="957" ht="69" customHeight="1" s="222">
      <c r="A957" s="164">
        <f>#REF!</f>
        <v/>
      </c>
      <c r="B957" s="145" t="b">
        <v>0</v>
      </c>
      <c r="C957" s="176">
        <f>#REF!</f>
        <v/>
      </c>
      <c r="D957" s="174" t="n"/>
      <c r="E957" s="174" t="n"/>
      <c r="F957" s="176">
        <f>#REF!</f>
        <v/>
      </c>
      <c r="G957" s="174">
        <f>#REF!</f>
        <v/>
      </c>
      <c r="H957" s="174">
        <f>#REF!</f>
        <v/>
      </c>
      <c r="I957" s="174">
        <f>#REF!</f>
        <v/>
      </c>
      <c r="J957" s="174">
        <f>#REF!</f>
        <v/>
      </c>
      <c r="K957" s="176">
        <f>#REF!</f>
        <v/>
      </c>
      <c r="L957" s="173" t="n"/>
      <c r="M957" s="9" t="n"/>
      <c r="N957" s="28" t="b">
        <v>0</v>
      </c>
      <c r="O957" s="172" t="b">
        <v>0</v>
      </c>
      <c r="P957" s="28" t="b">
        <v>0</v>
      </c>
      <c r="Q957" s="28" t="b">
        <v>0</v>
      </c>
      <c r="R957" s="28" t="b">
        <v>0</v>
      </c>
      <c r="S957" s="28" t="b">
        <v>0</v>
      </c>
      <c r="T957" s="28" t="b">
        <v>0</v>
      </c>
      <c r="U957" s="28" t="b">
        <v>0</v>
      </c>
      <c r="V957" s="28" t="b">
        <v>0</v>
      </c>
      <c r="W957" s="28" t="b">
        <v>0</v>
      </c>
    </row>
    <row r="958" ht="69" customHeight="1" s="222">
      <c r="A958" s="164">
        <f>#REF!</f>
        <v/>
      </c>
      <c r="B958" s="145" t="b">
        <v>0</v>
      </c>
      <c r="C958" s="176">
        <f>#REF!</f>
        <v/>
      </c>
      <c r="D958" s="174" t="n"/>
      <c r="E958" s="174" t="n"/>
      <c r="F958" s="176">
        <f>#REF!</f>
        <v/>
      </c>
      <c r="G958" s="174">
        <f>#REF!</f>
        <v/>
      </c>
      <c r="H958" s="174">
        <f>#REF!</f>
        <v/>
      </c>
      <c r="I958" s="174">
        <f>#REF!</f>
        <v/>
      </c>
      <c r="J958" s="174">
        <f>#REF!</f>
        <v/>
      </c>
      <c r="K958" s="176">
        <f>#REF!</f>
        <v/>
      </c>
      <c r="L958" s="173" t="n"/>
      <c r="M958" s="9" t="n"/>
      <c r="N958" s="28" t="b">
        <v>0</v>
      </c>
      <c r="O958" s="172" t="b">
        <v>0</v>
      </c>
      <c r="P958" s="28" t="b">
        <v>0</v>
      </c>
      <c r="Q958" s="28" t="b">
        <v>0</v>
      </c>
      <c r="R958" s="28" t="b">
        <v>0</v>
      </c>
      <c r="S958" s="28" t="b">
        <v>0</v>
      </c>
      <c r="T958" s="28" t="b">
        <v>0</v>
      </c>
      <c r="U958" s="28" t="b">
        <v>0</v>
      </c>
      <c r="V958" s="28" t="b">
        <v>0</v>
      </c>
      <c r="W958" s="28" t="b">
        <v>0</v>
      </c>
    </row>
    <row r="959" ht="69" customHeight="1" s="222">
      <c r="A959" s="164">
        <f>#REF!</f>
        <v/>
      </c>
      <c r="B959" s="145" t="b">
        <v>0</v>
      </c>
      <c r="C959" s="176">
        <f>#REF!</f>
        <v/>
      </c>
      <c r="D959" s="174" t="n"/>
      <c r="E959" s="174" t="n"/>
      <c r="F959" s="176">
        <f>#REF!</f>
        <v/>
      </c>
      <c r="G959" s="174">
        <f>#REF!</f>
        <v/>
      </c>
      <c r="H959" s="174">
        <f>#REF!</f>
        <v/>
      </c>
      <c r="I959" s="174">
        <f>#REF!</f>
        <v/>
      </c>
      <c r="J959" s="174">
        <f>#REF!</f>
        <v/>
      </c>
      <c r="K959" s="176">
        <f>#REF!</f>
        <v/>
      </c>
      <c r="L959" s="173" t="n"/>
      <c r="M959" s="9" t="n"/>
      <c r="N959" s="28" t="b">
        <v>0</v>
      </c>
      <c r="O959" s="172" t="b">
        <v>0</v>
      </c>
      <c r="P959" s="28" t="b">
        <v>0</v>
      </c>
      <c r="Q959" s="28" t="b">
        <v>0</v>
      </c>
      <c r="R959" s="28" t="b">
        <v>0</v>
      </c>
      <c r="S959" s="28" t="b">
        <v>0</v>
      </c>
      <c r="T959" s="28" t="b">
        <v>0</v>
      </c>
      <c r="U959" s="28" t="b">
        <v>0</v>
      </c>
      <c r="V959" s="28" t="b">
        <v>0</v>
      </c>
      <c r="W959" s="28" t="b">
        <v>0</v>
      </c>
    </row>
    <row r="960" ht="69" customHeight="1" s="222">
      <c r="A960" s="164">
        <f>#REF!</f>
        <v/>
      </c>
      <c r="B960" s="145" t="b">
        <v>0</v>
      </c>
      <c r="C960" s="176">
        <f>#REF!</f>
        <v/>
      </c>
      <c r="D960" s="174" t="n"/>
      <c r="E960" s="174" t="n"/>
      <c r="F960" s="176">
        <f>#REF!</f>
        <v/>
      </c>
      <c r="G960" s="174">
        <f>#REF!</f>
        <v/>
      </c>
      <c r="H960" s="174">
        <f>#REF!</f>
        <v/>
      </c>
      <c r="I960" s="174">
        <f>#REF!</f>
        <v/>
      </c>
      <c r="J960" s="174">
        <f>#REF!</f>
        <v/>
      </c>
      <c r="K960" s="176">
        <f>#REF!</f>
        <v/>
      </c>
      <c r="L960" s="173" t="n"/>
      <c r="M960" s="9" t="n"/>
      <c r="N960" s="28" t="b">
        <v>0</v>
      </c>
      <c r="O960" s="172" t="b">
        <v>0</v>
      </c>
      <c r="P960" s="28" t="b">
        <v>0</v>
      </c>
      <c r="Q960" s="28" t="b">
        <v>0</v>
      </c>
      <c r="R960" s="28" t="b">
        <v>0</v>
      </c>
      <c r="S960" s="28" t="b">
        <v>0</v>
      </c>
      <c r="T960" s="28" t="b">
        <v>0</v>
      </c>
      <c r="U960" s="28" t="b">
        <v>0</v>
      </c>
      <c r="V960" s="28" t="b">
        <v>0</v>
      </c>
      <c r="W960" s="28" t="b">
        <v>0</v>
      </c>
    </row>
    <row r="961" ht="69" customHeight="1" s="222">
      <c r="A961" s="164">
        <f>#REF!</f>
        <v/>
      </c>
      <c r="B961" s="145" t="b">
        <v>0</v>
      </c>
      <c r="C961" s="176">
        <f>#REF!</f>
        <v/>
      </c>
      <c r="D961" s="174" t="n"/>
      <c r="E961" s="174" t="n"/>
      <c r="F961" s="176">
        <f>#REF!</f>
        <v/>
      </c>
      <c r="G961" s="174">
        <f>#REF!</f>
        <v/>
      </c>
      <c r="H961" s="174">
        <f>#REF!</f>
        <v/>
      </c>
      <c r="I961" s="174">
        <f>#REF!</f>
        <v/>
      </c>
      <c r="J961" s="174">
        <f>#REF!</f>
        <v/>
      </c>
      <c r="K961" s="176">
        <f>#REF!</f>
        <v/>
      </c>
      <c r="L961" s="173" t="n"/>
      <c r="M961" s="9" t="n"/>
      <c r="N961" s="28" t="b">
        <v>0</v>
      </c>
      <c r="O961" s="172" t="b">
        <v>0</v>
      </c>
      <c r="P961" s="28" t="b">
        <v>0</v>
      </c>
      <c r="Q961" s="28" t="b">
        <v>0</v>
      </c>
      <c r="R961" s="28" t="b">
        <v>0</v>
      </c>
      <c r="S961" s="28" t="b">
        <v>0</v>
      </c>
      <c r="T961" s="28" t="b">
        <v>0</v>
      </c>
      <c r="U961" s="28" t="b">
        <v>0</v>
      </c>
      <c r="V961" s="28" t="b">
        <v>0</v>
      </c>
      <c r="W961" s="28" t="b">
        <v>0</v>
      </c>
    </row>
    <row r="962" ht="69" customHeight="1" s="222">
      <c r="A962" s="164">
        <f>#REF!</f>
        <v/>
      </c>
      <c r="B962" s="145" t="b">
        <v>0</v>
      </c>
      <c r="C962" s="176">
        <f>#REF!</f>
        <v/>
      </c>
      <c r="D962" s="174" t="n"/>
      <c r="E962" s="174" t="n"/>
      <c r="F962" s="176">
        <f>#REF!</f>
        <v/>
      </c>
      <c r="G962" s="174">
        <f>#REF!</f>
        <v/>
      </c>
      <c r="H962" s="174">
        <f>#REF!</f>
        <v/>
      </c>
      <c r="I962" s="174">
        <f>#REF!</f>
        <v/>
      </c>
      <c r="J962" s="174">
        <f>#REF!</f>
        <v/>
      </c>
      <c r="K962" s="176">
        <f>#REF!</f>
        <v/>
      </c>
      <c r="L962" s="173" t="n"/>
      <c r="M962" s="9" t="n"/>
      <c r="N962" s="28" t="b">
        <v>0</v>
      </c>
      <c r="O962" s="172" t="b">
        <v>0</v>
      </c>
      <c r="P962" s="28" t="b">
        <v>0</v>
      </c>
      <c r="Q962" s="28" t="b">
        <v>0</v>
      </c>
      <c r="R962" s="28" t="b">
        <v>0</v>
      </c>
      <c r="S962" s="28" t="b">
        <v>0</v>
      </c>
      <c r="T962" s="28" t="b">
        <v>0</v>
      </c>
      <c r="U962" s="28" t="b">
        <v>0</v>
      </c>
      <c r="V962" s="28" t="b">
        <v>0</v>
      </c>
      <c r="W962" s="28" t="b">
        <v>0</v>
      </c>
    </row>
    <row r="963" ht="69" customHeight="1" s="222">
      <c r="A963" s="164">
        <f>#REF!</f>
        <v/>
      </c>
      <c r="B963" s="145" t="b">
        <v>0</v>
      </c>
      <c r="C963" s="176">
        <f>#REF!</f>
        <v/>
      </c>
      <c r="D963" s="174" t="n"/>
      <c r="E963" s="174" t="n"/>
      <c r="F963" s="176">
        <f>#REF!</f>
        <v/>
      </c>
      <c r="G963" s="174">
        <f>#REF!</f>
        <v/>
      </c>
      <c r="H963" s="174">
        <f>#REF!</f>
        <v/>
      </c>
      <c r="I963" s="174">
        <f>#REF!</f>
        <v/>
      </c>
      <c r="J963" s="174">
        <f>#REF!</f>
        <v/>
      </c>
      <c r="K963" s="176">
        <f>#REF!</f>
        <v/>
      </c>
      <c r="L963" s="173" t="n"/>
      <c r="M963" s="9" t="n"/>
      <c r="N963" s="28" t="b">
        <v>0</v>
      </c>
      <c r="O963" s="172" t="b">
        <v>0</v>
      </c>
      <c r="P963" s="28" t="b">
        <v>0</v>
      </c>
      <c r="Q963" s="28" t="b">
        <v>0</v>
      </c>
      <c r="R963" s="28" t="b">
        <v>0</v>
      </c>
      <c r="S963" s="28" t="b">
        <v>0</v>
      </c>
      <c r="T963" s="28" t="b">
        <v>0</v>
      </c>
      <c r="U963" s="28" t="b">
        <v>0</v>
      </c>
      <c r="V963" s="28" t="b">
        <v>0</v>
      </c>
      <c r="W963" s="28" t="b">
        <v>0</v>
      </c>
    </row>
    <row r="964" ht="69" customHeight="1" s="222">
      <c r="A964" s="164">
        <f>#REF!</f>
        <v/>
      </c>
      <c r="B964" s="145" t="b">
        <v>0</v>
      </c>
      <c r="C964" s="176">
        <f>#REF!</f>
        <v/>
      </c>
      <c r="D964" s="174" t="n"/>
      <c r="E964" s="174" t="n"/>
      <c r="F964" s="176">
        <f>#REF!</f>
        <v/>
      </c>
      <c r="G964" s="174">
        <f>#REF!</f>
        <v/>
      </c>
      <c r="H964" s="174">
        <f>#REF!</f>
        <v/>
      </c>
      <c r="I964" s="174">
        <f>#REF!</f>
        <v/>
      </c>
      <c r="J964" s="174">
        <f>#REF!</f>
        <v/>
      </c>
      <c r="K964" s="176">
        <f>#REF!</f>
        <v/>
      </c>
      <c r="L964" s="173" t="n"/>
      <c r="M964" s="9" t="n"/>
      <c r="N964" s="28" t="b">
        <v>0</v>
      </c>
      <c r="O964" s="172" t="b">
        <v>0</v>
      </c>
      <c r="P964" s="28" t="b">
        <v>0</v>
      </c>
      <c r="Q964" s="28" t="b">
        <v>0</v>
      </c>
      <c r="R964" s="28" t="b">
        <v>0</v>
      </c>
      <c r="S964" s="28" t="b">
        <v>0</v>
      </c>
      <c r="T964" s="28" t="b">
        <v>0</v>
      </c>
      <c r="U964" s="28" t="b">
        <v>0</v>
      </c>
      <c r="V964" s="28" t="b">
        <v>0</v>
      </c>
      <c r="W964" s="28" t="b">
        <v>0</v>
      </c>
    </row>
    <row r="965" ht="69" customHeight="1" s="222">
      <c r="A965" s="164">
        <f>#REF!</f>
        <v/>
      </c>
      <c r="B965" s="145" t="b">
        <v>0</v>
      </c>
      <c r="C965" s="176">
        <f>#REF!</f>
        <v/>
      </c>
      <c r="D965" s="174" t="n"/>
      <c r="E965" s="174" t="n"/>
      <c r="F965" s="176">
        <f>#REF!</f>
        <v/>
      </c>
      <c r="G965" s="174">
        <f>#REF!</f>
        <v/>
      </c>
      <c r="H965" s="174">
        <f>#REF!</f>
        <v/>
      </c>
      <c r="I965" s="174">
        <f>#REF!</f>
        <v/>
      </c>
      <c r="J965" s="174">
        <f>#REF!</f>
        <v/>
      </c>
      <c r="K965" s="176">
        <f>#REF!</f>
        <v/>
      </c>
      <c r="L965" s="173" t="n"/>
      <c r="M965" s="9" t="n"/>
      <c r="N965" s="28" t="b">
        <v>0</v>
      </c>
      <c r="O965" s="172" t="b">
        <v>0</v>
      </c>
      <c r="P965" s="28" t="b">
        <v>0</v>
      </c>
      <c r="Q965" s="28" t="b">
        <v>0</v>
      </c>
      <c r="R965" s="28" t="b">
        <v>0</v>
      </c>
      <c r="S965" s="28" t="b">
        <v>0</v>
      </c>
      <c r="T965" s="28" t="b">
        <v>0</v>
      </c>
      <c r="U965" s="28" t="b">
        <v>0</v>
      </c>
      <c r="V965" s="28" t="b">
        <v>0</v>
      </c>
      <c r="W965" s="28" t="b">
        <v>0</v>
      </c>
    </row>
    <row r="966" ht="69" customHeight="1" s="222">
      <c r="A966" s="164">
        <f>#REF!</f>
        <v/>
      </c>
      <c r="B966" s="145" t="b">
        <v>0</v>
      </c>
      <c r="C966" s="176">
        <f>#REF!</f>
        <v/>
      </c>
      <c r="D966" s="174" t="n"/>
      <c r="E966" s="174" t="n"/>
      <c r="F966" s="176">
        <f>#REF!</f>
        <v/>
      </c>
      <c r="G966" s="174">
        <f>#REF!</f>
        <v/>
      </c>
      <c r="H966" s="174">
        <f>#REF!</f>
        <v/>
      </c>
      <c r="I966" s="174">
        <f>#REF!</f>
        <v/>
      </c>
      <c r="J966" s="174">
        <f>#REF!</f>
        <v/>
      </c>
      <c r="K966" s="176">
        <f>#REF!</f>
        <v/>
      </c>
      <c r="L966" s="173" t="n"/>
      <c r="M966" s="9" t="n"/>
      <c r="N966" s="28" t="b">
        <v>0</v>
      </c>
      <c r="O966" s="172" t="b">
        <v>0</v>
      </c>
      <c r="P966" s="28" t="b">
        <v>0</v>
      </c>
      <c r="Q966" s="28" t="b">
        <v>0</v>
      </c>
      <c r="R966" s="28" t="b">
        <v>0</v>
      </c>
      <c r="S966" s="28" t="b">
        <v>0</v>
      </c>
      <c r="T966" s="28" t="b">
        <v>0</v>
      </c>
      <c r="U966" s="28" t="b">
        <v>0</v>
      </c>
      <c r="V966" s="28" t="b">
        <v>0</v>
      </c>
      <c r="W966" s="28" t="b">
        <v>0</v>
      </c>
    </row>
    <row r="967" ht="69" customHeight="1" s="222">
      <c r="A967" s="164">
        <f>#REF!</f>
        <v/>
      </c>
      <c r="B967" s="145" t="b">
        <v>0</v>
      </c>
      <c r="C967" s="176">
        <f>#REF!</f>
        <v/>
      </c>
      <c r="D967" s="174" t="n"/>
      <c r="E967" s="174" t="n"/>
      <c r="F967" s="176">
        <f>#REF!</f>
        <v/>
      </c>
      <c r="G967" s="174">
        <f>#REF!</f>
        <v/>
      </c>
      <c r="H967" s="174">
        <f>#REF!</f>
        <v/>
      </c>
      <c r="I967" s="174">
        <f>#REF!</f>
        <v/>
      </c>
      <c r="J967" s="174">
        <f>#REF!</f>
        <v/>
      </c>
      <c r="K967" s="176">
        <f>#REF!</f>
        <v/>
      </c>
      <c r="L967" s="173" t="n"/>
      <c r="M967" s="9" t="n"/>
      <c r="N967" s="28" t="b">
        <v>0</v>
      </c>
      <c r="O967" s="172" t="b">
        <v>0</v>
      </c>
      <c r="P967" s="28" t="b">
        <v>0</v>
      </c>
      <c r="Q967" s="28" t="b">
        <v>0</v>
      </c>
      <c r="R967" s="28" t="b">
        <v>0</v>
      </c>
      <c r="S967" s="28" t="b">
        <v>0</v>
      </c>
      <c r="T967" s="28" t="b">
        <v>0</v>
      </c>
      <c r="U967" s="28" t="b">
        <v>0</v>
      </c>
      <c r="V967" s="28" t="b">
        <v>0</v>
      </c>
      <c r="W967" s="28" t="b">
        <v>0</v>
      </c>
    </row>
    <row r="968" ht="69" customHeight="1" s="222">
      <c r="A968" s="164">
        <f>#REF!</f>
        <v/>
      </c>
      <c r="B968" s="145" t="b">
        <v>0</v>
      </c>
      <c r="C968" s="176">
        <f>#REF!</f>
        <v/>
      </c>
      <c r="D968" s="174" t="n"/>
      <c r="E968" s="174" t="n"/>
      <c r="F968" s="176">
        <f>#REF!</f>
        <v/>
      </c>
      <c r="G968" s="174">
        <f>#REF!</f>
        <v/>
      </c>
      <c r="H968" s="174">
        <f>#REF!</f>
        <v/>
      </c>
      <c r="I968" s="174">
        <f>#REF!</f>
        <v/>
      </c>
      <c r="J968" s="174">
        <f>#REF!</f>
        <v/>
      </c>
      <c r="K968" s="176">
        <f>#REF!</f>
        <v/>
      </c>
      <c r="L968" s="173" t="n"/>
      <c r="M968" s="9" t="n"/>
      <c r="N968" s="28" t="b">
        <v>0</v>
      </c>
      <c r="O968" s="172" t="b">
        <v>0</v>
      </c>
      <c r="P968" s="28" t="b">
        <v>0</v>
      </c>
      <c r="Q968" s="28" t="b">
        <v>0</v>
      </c>
      <c r="R968" s="28" t="b">
        <v>0</v>
      </c>
      <c r="S968" s="28" t="b">
        <v>0</v>
      </c>
      <c r="T968" s="28" t="b">
        <v>0</v>
      </c>
      <c r="U968" s="28" t="b">
        <v>0</v>
      </c>
      <c r="V968" s="28" t="b">
        <v>0</v>
      </c>
      <c r="W968" s="28" t="b">
        <v>0</v>
      </c>
    </row>
    <row r="969" ht="69" customHeight="1" s="222">
      <c r="A969" s="164">
        <f>#REF!</f>
        <v/>
      </c>
      <c r="B969" s="145" t="b">
        <v>0</v>
      </c>
      <c r="C969" s="176">
        <f>#REF!</f>
        <v/>
      </c>
      <c r="D969" s="174" t="n"/>
      <c r="E969" s="174" t="n"/>
      <c r="F969" s="176">
        <f>#REF!</f>
        <v/>
      </c>
      <c r="G969" s="174">
        <f>#REF!</f>
        <v/>
      </c>
      <c r="H969" s="174">
        <f>#REF!</f>
        <v/>
      </c>
      <c r="I969" s="174">
        <f>#REF!</f>
        <v/>
      </c>
      <c r="J969" s="174">
        <f>#REF!</f>
        <v/>
      </c>
      <c r="K969" s="176">
        <f>#REF!</f>
        <v/>
      </c>
      <c r="L969" s="173" t="n"/>
      <c r="M969" s="9" t="n"/>
      <c r="N969" s="28" t="b">
        <v>0</v>
      </c>
      <c r="O969" s="172" t="b">
        <v>0</v>
      </c>
      <c r="P969" s="28" t="b">
        <v>0</v>
      </c>
      <c r="Q969" s="28" t="b">
        <v>0</v>
      </c>
      <c r="R969" s="28" t="b">
        <v>0</v>
      </c>
      <c r="S969" s="28" t="b">
        <v>0</v>
      </c>
      <c r="T969" s="28" t="b">
        <v>0</v>
      </c>
      <c r="U969" s="28" t="b">
        <v>0</v>
      </c>
      <c r="V969" s="28" t="b">
        <v>0</v>
      </c>
      <c r="W969" s="28" t="b">
        <v>0</v>
      </c>
    </row>
    <row r="970" ht="69" customHeight="1" s="222">
      <c r="A970" s="164">
        <f>#REF!</f>
        <v/>
      </c>
      <c r="B970" s="145" t="b">
        <v>0</v>
      </c>
      <c r="C970" s="176">
        <f>#REF!</f>
        <v/>
      </c>
      <c r="D970" s="174" t="n"/>
      <c r="E970" s="174" t="n"/>
      <c r="F970" s="176">
        <f>#REF!</f>
        <v/>
      </c>
      <c r="G970" s="174">
        <f>#REF!</f>
        <v/>
      </c>
      <c r="H970" s="174">
        <f>#REF!</f>
        <v/>
      </c>
      <c r="I970" s="174">
        <f>#REF!</f>
        <v/>
      </c>
      <c r="J970" s="174">
        <f>#REF!</f>
        <v/>
      </c>
      <c r="K970" s="176">
        <f>#REF!</f>
        <v/>
      </c>
      <c r="L970" s="173" t="n"/>
      <c r="M970" s="9" t="n"/>
      <c r="N970" s="28" t="b">
        <v>0</v>
      </c>
      <c r="O970" s="172" t="b">
        <v>0</v>
      </c>
      <c r="P970" s="28" t="b">
        <v>0</v>
      </c>
      <c r="Q970" s="28" t="b">
        <v>0</v>
      </c>
      <c r="R970" s="28" t="b">
        <v>0</v>
      </c>
      <c r="S970" s="28" t="b">
        <v>0</v>
      </c>
      <c r="T970" s="28" t="b">
        <v>0</v>
      </c>
      <c r="U970" s="28" t="b">
        <v>0</v>
      </c>
      <c r="V970" s="28" t="b">
        <v>0</v>
      </c>
      <c r="W970" s="28" t="b">
        <v>0</v>
      </c>
    </row>
    <row r="971" ht="69" customHeight="1" s="222">
      <c r="A971" s="164">
        <f>#REF!</f>
        <v/>
      </c>
      <c r="B971" s="145" t="b">
        <v>0</v>
      </c>
      <c r="C971" s="176">
        <f>#REF!</f>
        <v/>
      </c>
      <c r="D971" s="174" t="n"/>
      <c r="E971" s="174" t="n"/>
      <c r="F971" s="176">
        <f>#REF!</f>
        <v/>
      </c>
      <c r="G971" s="174">
        <f>#REF!</f>
        <v/>
      </c>
      <c r="H971" s="174">
        <f>#REF!</f>
        <v/>
      </c>
      <c r="I971" s="174">
        <f>#REF!</f>
        <v/>
      </c>
      <c r="J971" s="174">
        <f>#REF!</f>
        <v/>
      </c>
      <c r="K971" s="176">
        <f>#REF!</f>
        <v/>
      </c>
      <c r="L971" s="173" t="n"/>
      <c r="M971" s="9" t="n"/>
      <c r="N971" s="28" t="b">
        <v>0</v>
      </c>
      <c r="O971" s="172" t="b">
        <v>0</v>
      </c>
      <c r="P971" s="28" t="b">
        <v>0</v>
      </c>
      <c r="Q971" s="28" t="b">
        <v>0</v>
      </c>
      <c r="R971" s="28" t="b">
        <v>0</v>
      </c>
      <c r="S971" s="28" t="b">
        <v>0</v>
      </c>
      <c r="T971" s="28" t="b">
        <v>0</v>
      </c>
      <c r="U971" s="28" t="b">
        <v>0</v>
      </c>
      <c r="V971" s="28" t="b">
        <v>0</v>
      </c>
      <c r="W971" s="28" t="b">
        <v>0</v>
      </c>
    </row>
    <row r="972" ht="69" customHeight="1" s="222">
      <c r="A972" s="164">
        <f>#REF!</f>
        <v/>
      </c>
      <c r="B972" s="145" t="b">
        <v>0</v>
      </c>
      <c r="C972" s="176">
        <f>#REF!</f>
        <v/>
      </c>
      <c r="D972" s="174" t="n"/>
      <c r="E972" s="174" t="n"/>
      <c r="F972" s="176">
        <f>#REF!</f>
        <v/>
      </c>
      <c r="G972" s="174">
        <f>#REF!</f>
        <v/>
      </c>
      <c r="H972" s="174">
        <f>#REF!</f>
        <v/>
      </c>
      <c r="I972" s="174">
        <f>#REF!</f>
        <v/>
      </c>
      <c r="J972" s="174">
        <f>#REF!</f>
        <v/>
      </c>
      <c r="K972" s="176">
        <f>#REF!</f>
        <v/>
      </c>
      <c r="L972" s="173" t="n"/>
      <c r="M972" s="9" t="n"/>
      <c r="N972" s="28" t="b">
        <v>0</v>
      </c>
      <c r="O972" s="172" t="b">
        <v>0</v>
      </c>
      <c r="P972" s="28" t="b">
        <v>0</v>
      </c>
      <c r="Q972" s="28" t="b">
        <v>0</v>
      </c>
      <c r="R972" s="28" t="b">
        <v>0</v>
      </c>
      <c r="S972" s="28" t="b">
        <v>0</v>
      </c>
      <c r="T972" s="28" t="b">
        <v>0</v>
      </c>
      <c r="U972" s="28" t="b">
        <v>0</v>
      </c>
      <c r="V972" s="28" t="b">
        <v>0</v>
      </c>
      <c r="W972" s="28" t="b">
        <v>0</v>
      </c>
    </row>
    <row r="973" ht="69" customHeight="1" s="222">
      <c r="A973" s="164">
        <f>#REF!</f>
        <v/>
      </c>
      <c r="B973" s="145" t="b">
        <v>0</v>
      </c>
      <c r="C973" s="176">
        <f>#REF!</f>
        <v/>
      </c>
      <c r="D973" s="174" t="n"/>
      <c r="E973" s="174" t="n"/>
      <c r="F973" s="176">
        <f>#REF!</f>
        <v/>
      </c>
      <c r="G973" s="174">
        <f>#REF!</f>
        <v/>
      </c>
      <c r="H973" s="174">
        <f>#REF!</f>
        <v/>
      </c>
      <c r="I973" s="174">
        <f>#REF!</f>
        <v/>
      </c>
      <c r="J973" s="174">
        <f>#REF!</f>
        <v/>
      </c>
      <c r="K973" s="176">
        <f>#REF!</f>
        <v/>
      </c>
      <c r="L973" s="173" t="n"/>
      <c r="M973" s="9" t="n"/>
      <c r="N973" s="28" t="b">
        <v>0</v>
      </c>
      <c r="O973" s="172" t="b">
        <v>0</v>
      </c>
      <c r="P973" s="28" t="b">
        <v>0</v>
      </c>
      <c r="Q973" s="28" t="b">
        <v>0</v>
      </c>
      <c r="R973" s="28" t="b">
        <v>0</v>
      </c>
      <c r="S973" s="28" t="b">
        <v>0</v>
      </c>
      <c r="T973" s="28" t="b">
        <v>0</v>
      </c>
      <c r="U973" s="28" t="b">
        <v>0</v>
      </c>
      <c r="V973" s="28" t="b">
        <v>0</v>
      </c>
      <c r="W973" s="28" t="b">
        <v>0</v>
      </c>
    </row>
    <row r="974" ht="69" customHeight="1" s="222">
      <c r="A974" s="164">
        <f>#REF!</f>
        <v/>
      </c>
      <c r="B974" s="145" t="b">
        <v>0</v>
      </c>
      <c r="C974" s="176">
        <f>#REF!</f>
        <v/>
      </c>
      <c r="D974" s="174" t="n"/>
      <c r="E974" s="174" t="n"/>
      <c r="F974" s="176">
        <f>#REF!</f>
        <v/>
      </c>
      <c r="G974" s="174">
        <f>#REF!</f>
        <v/>
      </c>
      <c r="H974" s="174">
        <f>#REF!</f>
        <v/>
      </c>
      <c r="I974" s="174">
        <f>#REF!</f>
        <v/>
      </c>
      <c r="J974" s="174">
        <f>#REF!</f>
        <v/>
      </c>
      <c r="K974" s="176">
        <f>#REF!</f>
        <v/>
      </c>
      <c r="L974" s="173" t="n"/>
      <c r="M974" s="9" t="n"/>
      <c r="N974" s="28" t="b">
        <v>0</v>
      </c>
      <c r="O974" s="172" t="b">
        <v>0</v>
      </c>
      <c r="P974" s="28" t="b">
        <v>0</v>
      </c>
      <c r="Q974" s="28" t="b">
        <v>0</v>
      </c>
      <c r="R974" s="28" t="b">
        <v>0</v>
      </c>
      <c r="S974" s="28" t="b">
        <v>0</v>
      </c>
      <c r="T974" s="28" t="b">
        <v>0</v>
      </c>
      <c r="U974" s="28" t="b">
        <v>0</v>
      </c>
      <c r="V974" s="28" t="b">
        <v>0</v>
      </c>
      <c r="W974" s="28" t="b">
        <v>0</v>
      </c>
    </row>
    <row r="975" ht="69" customHeight="1" s="222">
      <c r="A975" s="164">
        <f>#REF!</f>
        <v/>
      </c>
      <c r="B975" s="145" t="b">
        <v>0</v>
      </c>
      <c r="C975" s="176">
        <f>#REF!</f>
        <v/>
      </c>
      <c r="D975" s="174" t="n"/>
      <c r="E975" s="174" t="n"/>
      <c r="F975" s="176">
        <f>#REF!</f>
        <v/>
      </c>
      <c r="G975" s="174">
        <f>#REF!</f>
        <v/>
      </c>
      <c r="H975" s="174">
        <f>#REF!</f>
        <v/>
      </c>
      <c r="I975" s="174">
        <f>#REF!</f>
        <v/>
      </c>
      <c r="J975" s="174">
        <f>#REF!</f>
        <v/>
      </c>
      <c r="K975" s="176">
        <f>#REF!</f>
        <v/>
      </c>
      <c r="L975" s="173" t="n"/>
      <c r="M975" s="9" t="n"/>
      <c r="N975" s="28" t="b">
        <v>0</v>
      </c>
      <c r="O975" s="172" t="b">
        <v>0</v>
      </c>
      <c r="P975" s="28" t="b">
        <v>0</v>
      </c>
      <c r="Q975" s="28" t="b">
        <v>0</v>
      </c>
      <c r="R975" s="28" t="b">
        <v>0</v>
      </c>
      <c r="S975" s="28" t="b">
        <v>0</v>
      </c>
      <c r="T975" s="28" t="b">
        <v>0</v>
      </c>
      <c r="U975" s="28" t="b">
        <v>0</v>
      </c>
      <c r="V975" s="28" t="b">
        <v>0</v>
      </c>
      <c r="W975" s="28" t="b">
        <v>0</v>
      </c>
    </row>
    <row r="976" ht="69" customHeight="1" s="222">
      <c r="A976" s="164">
        <f>#REF!</f>
        <v/>
      </c>
      <c r="B976" s="145" t="b">
        <v>0</v>
      </c>
      <c r="C976" s="176">
        <f>#REF!</f>
        <v/>
      </c>
      <c r="D976" s="174" t="n"/>
      <c r="E976" s="174" t="n"/>
      <c r="F976" s="176">
        <f>#REF!</f>
        <v/>
      </c>
      <c r="G976" s="174">
        <f>#REF!</f>
        <v/>
      </c>
      <c r="H976" s="174">
        <f>#REF!</f>
        <v/>
      </c>
      <c r="I976" s="174">
        <f>#REF!</f>
        <v/>
      </c>
      <c r="J976" s="174">
        <f>#REF!</f>
        <v/>
      </c>
      <c r="K976" s="176">
        <f>#REF!</f>
        <v/>
      </c>
      <c r="L976" s="173" t="n"/>
      <c r="M976" s="9" t="n"/>
      <c r="N976" s="28" t="b">
        <v>0</v>
      </c>
      <c r="O976" s="172" t="b">
        <v>0</v>
      </c>
      <c r="P976" s="28" t="b">
        <v>0</v>
      </c>
      <c r="Q976" s="28" t="b">
        <v>0</v>
      </c>
      <c r="R976" s="28" t="b">
        <v>0</v>
      </c>
      <c r="S976" s="28" t="b">
        <v>0</v>
      </c>
      <c r="T976" s="28" t="b">
        <v>0</v>
      </c>
      <c r="U976" s="28" t="b">
        <v>0</v>
      </c>
      <c r="V976" s="28" t="b">
        <v>0</v>
      </c>
      <c r="W976" s="28" t="b">
        <v>0</v>
      </c>
    </row>
    <row r="977" ht="69" customHeight="1" s="222">
      <c r="A977" s="164">
        <f>#REF!</f>
        <v/>
      </c>
      <c r="B977" s="145" t="b">
        <v>0</v>
      </c>
      <c r="C977" s="176">
        <f>#REF!</f>
        <v/>
      </c>
      <c r="D977" s="174" t="n"/>
      <c r="E977" s="174" t="n"/>
      <c r="F977" s="176">
        <f>#REF!</f>
        <v/>
      </c>
      <c r="G977" s="174">
        <f>#REF!</f>
        <v/>
      </c>
      <c r="H977" s="174">
        <f>#REF!</f>
        <v/>
      </c>
      <c r="I977" s="174">
        <f>#REF!</f>
        <v/>
      </c>
      <c r="J977" s="174">
        <f>#REF!</f>
        <v/>
      </c>
      <c r="K977" s="176">
        <f>#REF!</f>
        <v/>
      </c>
      <c r="L977" s="173" t="n"/>
      <c r="M977" s="9" t="n"/>
      <c r="N977" s="28" t="b">
        <v>0</v>
      </c>
      <c r="O977" s="172" t="b">
        <v>0</v>
      </c>
      <c r="P977" s="28" t="b">
        <v>0</v>
      </c>
      <c r="Q977" s="28" t="b">
        <v>0</v>
      </c>
      <c r="R977" s="28" t="b">
        <v>0</v>
      </c>
      <c r="S977" s="28" t="b">
        <v>0</v>
      </c>
      <c r="T977" s="28" t="b">
        <v>0</v>
      </c>
      <c r="U977" s="28" t="b">
        <v>0</v>
      </c>
      <c r="V977" s="28" t="b">
        <v>0</v>
      </c>
      <c r="W977" s="28" t="b">
        <v>0</v>
      </c>
    </row>
    <row r="978" ht="69" customHeight="1" s="222">
      <c r="A978" s="164">
        <f>#REF!</f>
        <v/>
      </c>
      <c r="B978" s="145" t="b">
        <v>0</v>
      </c>
      <c r="C978" s="176">
        <f>#REF!</f>
        <v/>
      </c>
      <c r="D978" s="174" t="n"/>
      <c r="E978" s="174" t="n"/>
      <c r="F978" s="176">
        <f>#REF!</f>
        <v/>
      </c>
      <c r="G978" s="174">
        <f>#REF!</f>
        <v/>
      </c>
      <c r="H978" s="174">
        <f>#REF!</f>
        <v/>
      </c>
      <c r="I978" s="174">
        <f>#REF!</f>
        <v/>
      </c>
      <c r="J978" s="174">
        <f>#REF!</f>
        <v/>
      </c>
      <c r="K978" s="176">
        <f>#REF!</f>
        <v/>
      </c>
      <c r="L978" s="173" t="n"/>
      <c r="M978" s="9" t="n"/>
      <c r="N978" s="28" t="b">
        <v>0</v>
      </c>
      <c r="O978" s="172" t="b">
        <v>0</v>
      </c>
      <c r="P978" s="28" t="b">
        <v>0</v>
      </c>
      <c r="Q978" s="28" t="b">
        <v>0</v>
      </c>
      <c r="R978" s="28" t="b">
        <v>0</v>
      </c>
      <c r="S978" s="28" t="b">
        <v>0</v>
      </c>
      <c r="T978" s="28" t="b">
        <v>0</v>
      </c>
      <c r="U978" s="28" t="b">
        <v>0</v>
      </c>
      <c r="V978" s="28" t="b">
        <v>0</v>
      </c>
      <c r="W978" s="28" t="b">
        <v>0</v>
      </c>
    </row>
    <row r="979" ht="69" customHeight="1" s="222">
      <c r="A979" s="164">
        <f>#REF!</f>
        <v/>
      </c>
      <c r="B979" s="145" t="b">
        <v>0</v>
      </c>
      <c r="C979" s="176">
        <f>#REF!</f>
        <v/>
      </c>
      <c r="D979" s="174" t="n"/>
      <c r="E979" s="174" t="n"/>
      <c r="F979" s="176">
        <f>#REF!</f>
        <v/>
      </c>
      <c r="G979" s="174">
        <f>#REF!</f>
        <v/>
      </c>
      <c r="H979" s="174">
        <f>#REF!</f>
        <v/>
      </c>
      <c r="I979" s="174">
        <f>#REF!</f>
        <v/>
      </c>
      <c r="J979" s="174">
        <f>#REF!</f>
        <v/>
      </c>
      <c r="K979" s="176">
        <f>#REF!</f>
        <v/>
      </c>
      <c r="L979" s="173" t="n"/>
      <c r="M979" s="9" t="n"/>
      <c r="N979" s="28" t="b">
        <v>0</v>
      </c>
      <c r="O979" s="172" t="b">
        <v>0</v>
      </c>
      <c r="P979" s="28" t="b">
        <v>0</v>
      </c>
      <c r="Q979" s="28" t="b">
        <v>0</v>
      </c>
      <c r="R979" s="28" t="b">
        <v>0</v>
      </c>
      <c r="S979" s="28" t="b">
        <v>0</v>
      </c>
      <c r="T979" s="28" t="b">
        <v>0</v>
      </c>
      <c r="U979" s="28" t="b">
        <v>0</v>
      </c>
      <c r="V979" s="28" t="b">
        <v>0</v>
      </c>
      <c r="W979" s="28" t="b">
        <v>0</v>
      </c>
    </row>
    <row r="980" ht="69" customHeight="1" s="222">
      <c r="A980" s="164">
        <f>#REF!</f>
        <v/>
      </c>
      <c r="B980" s="145" t="b">
        <v>0</v>
      </c>
      <c r="C980" s="176">
        <f>#REF!</f>
        <v/>
      </c>
      <c r="D980" s="174" t="n"/>
      <c r="E980" s="174" t="n"/>
      <c r="F980" s="176">
        <f>#REF!</f>
        <v/>
      </c>
      <c r="G980" s="174">
        <f>#REF!</f>
        <v/>
      </c>
      <c r="H980" s="174">
        <f>#REF!</f>
        <v/>
      </c>
      <c r="I980" s="174">
        <f>#REF!</f>
        <v/>
      </c>
      <c r="J980" s="174">
        <f>#REF!</f>
        <v/>
      </c>
      <c r="K980" s="176">
        <f>#REF!</f>
        <v/>
      </c>
      <c r="L980" s="173" t="n"/>
      <c r="M980" s="9" t="n"/>
      <c r="N980" s="28" t="b">
        <v>0</v>
      </c>
      <c r="O980" s="172" t="b">
        <v>0</v>
      </c>
      <c r="P980" s="28" t="b">
        <v>0</v>
      </c>
      <c r="Q980" s="28" t="b">
        <v>0</v>
      </c>
      <c r="R980" s="28" t="b">
        <v>0</v>
      </c>
      <c r="S980" s="28" t="b">
        <v>0</v>
      </c>
      <c r="T980" s="28" t="b">
        <v>0</v>
      </c>
      <c r="U980" s="28" t="b">
        <v>0</v>
      </c>
      <c r="V980" s="28" t="b">
        <v>0</v>
      </c>
      <c r="W980" s="28" t="b">
        <v>0</v>
      </c>
    </row>
    <row r="981" ht="69" customHeight="1" s="222">
      <c r="A981" s="164">
        <f>#REF!</f>
        <v/>
      </c>
      <c r="B981" s="145" t="b">
        <v>0</v>
      </c>
      <c r="C981" s="176">
        <f>#REF!</f>
        <v/>
      </c>
      <c r="D981" s="174" t="n"/>
      <c r="E981" s="174" t="n"/>
      <c r="F981" s="176">
        <f>#REF!</f>
        <v/>
      </c>
      <c r="G981" s="174">
        <f>#REF!</f>
        <v/>
      </c>
      <c r="H981" s="174">
        <f>#REF!</f>
        <v/>
      </c>
      <c r="I981" s="174">
        <f>#REF!</f>
        <v/>
      </c>
      <c r="J981" s="174">
        <f>#REF!</f>
        <v/>
      </c>
      <c r="K981" s="176">
        <f>#REF!</f>
        <v/>
      </c>
      <c r="L981" s="173" t="n"/>
      <c r="M981" s="9" t="n"/>
      <c r="N981" s="28" t="b">
        <v>0</v>
      </c>
      <c r="O981" s="172" t="b">
        <v>0</v>
      </c>
      <c r="P981" s="28" t="b">
        <v>0</v>
      </c>
      <c r="Q981" s="28" t="b">
        <v>0</v>
      </c>
      <c r="R981" s="28" t="b">
        <v>0</v>
      </c>
      <c r="S981" s="28" t="b">
        <v>0</v>
      </c>
      <c r="T981" s="28" t="b">
        <v>0</v>
      </c>
      <c r="U981" s="28" t="b">
        <v>0</v>
      </c>
      <c r="V981" s="28" t="b">
        <v>0</v>
      </c>
      <c r="W981" s="28" t="b">
        <v>0</v>
      </c>
    </row>
    <row r="982" ht="69" customHeight="1" s="222">
      <c r="A982" s="164">
        <f>#REF!</f>
        <v/>
      </c>
      <c r="B982" s="145" t="b">
        <v>0</v>
      </c>
      <c r="C982" s="176">
        <f>#REF!</f>
        <v/>
      </c>
      <c r="D982" s="174" t="n"/>
      <c r="E982" s="174" t="n"/>
      <c r="F982" s="176">
        <f>#REF!</f>
        <v/>
      </c>
      <c r="G982" s="174">
        <f>#REF!</f>
        <v/>
      </c>
      <c r="H982" s="174">
        <f>#REF!</f>
        <v/>
      </c>
      <c r="I982" s="174">
        <f>#REF!</f>
        <v/>
      </c>
      <c r="J982" s="174">
        <f>#REF!</f>
        <v/>
      </c>
      <c r="K982" s="176">
        <f>#REF!</f>
        <v/>
      </c>
      <c r="L982" s="173" t="n"/>
      <c r="M982" s="9" t="n"/>
      <c r="N982" s="28" t="b">
        <v>0</v>
      </c>
      <c r="O982" s="172" t="b">
        <v>0</v>
      </c>
      <c r="P982" s="28" t="b">
        <v>0</v>
      </c>
      <c r="Q982" s="28" t="b">
        <v>0</v>
      </c>
      <c r="R982" s="28" t="b">
        <v>0</v>
      </c>
      <c r="S982" s="28" t="b">
        <v>0</v>
      </c>
      <c r="T982" s="28" t="b">
        <v>0</v>
      </c>
      <c r="U982" s="28" t="b">
        <v>0</v>
      </c>
      <c r="V982" s="28" t="b">
        <v>0</v>
      </c>
      <c r="W982" s="28" t="b">
        <v>0</v>
      </c>
    </row>
    <row r="983" ht="69" customHeight="1" s="222">
      <c r="A983" s="164">
        <f>#REF!</f>
        <v/>
      </c>
      <c r="B983" s="145" t="b">
        <v>0</v>
      </c>
      <c r="C983" s="176">
        <f>#REF!</f>
        <v/>
      </c>
      <c r="D983" s="174" t="n"/>
      <c r="E983" s="174" t="n"/>
      <c r="F983" s="176">
        <f>#REF!</f>
        <v/>
      </c>
      <c r="G983" s="174">
        <f>#REF!</f>
        <v/>
      </c>
      <c r="H983" s="174">
        <f>#REF!</f>
        <v/>
      </c>
      <c r="I983" s="174">
        <f>#REF!</f>
        <v/>
      </c>
      <c r="J983" s="174">
        <f>#REF!</f>
        <v/>
      </c>
      <c r="K983" s="176">
        <f>#REF!</f>
        <v/>
      </c>
      <c r="L983" s="173" t="n"/>
      <c r="M983" s="9" t="n"/>
      <c r="N983" s="28" t="b">
        <v>0</v>
      </c>
      <c r="O983" s="172" t="b">
        <v>0</v>
      </c>
      <c r="P983" s="28" t="b">
        <v>0</v>
      </c>
      <c r="Q983" s="28" t="b">
        <v>0</v>
      </c>
      <c r="R983" s="28" t="b">
        <v>0</v>
      </c>
      <c r="S983" s="28" t="b">
        <v>0</v>
      </c>
      <c r="T983" s="28" t="b">
        <v>0</v>
      </c>
      <c r="U983" s="28" t="b">
        <v>0</v>
      </c>
      <c r="V983" s="28" t="b">
        <v>0</v>
      </c>
      <c r="W983" s="28" t="b">
        <v>0</v>
      </c>
    </row>
    <row r="984" ht="69" customHeight="1" s="222">
      <c r="A984" s="164">
        <f>#REF!</f>
        <v/>
      </c>
      <c r="B984" s="145" t="b">
        <v>0</v>
      </c>
      <c r="C984" s="176">
        <f>#REF!</f>
        <v/>
      </c>
      <c r="D984" s="174" t="n"/>
      <c r="E984" s="174" t="n"/>
      <c r="F984" s="176">
        <f>#REF!</f>
        <v/>
      </c>
      <c r="G984" s="174">
        <f>#REF!</f>
        <v/>
      </c>
      <c r="H984" s="174">
        <f>#REF!</f>
        <v/>
      </c>
      <c r="I984" s="174">
        <f>#REF!</f>
        <v/>
      </c>
      <c r="J984" s="174">
        <f>#REF!</f>
        <v/>
      </c>
      <c r="K984" s="176">
        <f>#REF!</f>
        <v/>
      </c>
      <c r="L984" s="173" t="n"/>
      <c r="M984" s="9" t="n"/>
      <c r="N984" s="28" t="b">
        <v>0</v>
      </c>
      <c r="O984" s="172" t="b">
        <v>0</v>
      </c>
      <c r="P984" s="28" t="b">
        <v>0</v>
      </c>
      <c r="Q984" s="28" t="b">
        <v>0</v>
      </c>
      <c r="R984" s="28" t="b">
        <v>0</v>
      </c>
      <c r="S984" s="28" t="b">
        <v>0</v>
      </c>
      <c r="T984" s="28" t="b">
        <v>0</v>
      </c>
      <c r="U984" s="28" t="b">
        <v>0</v>
      </c>
      <c r="V984" s="28" t="b">
        <v>0</v>
      </c>
      <c r="W984" s="28" t="b">
        <v>0</v>
      </c>
    </row>
    <row r="985" ht="69" customHeight="1" s="222">
      <c r="A985" s="164">
        <f>#REF!</f>
        <v/>
      </c>
      <c r="B985" s="145" t="b">
        <v>0</v>
      </c>
      <c r="C985" s="176">
        <f>#REF!</f>
        <v/>
      </c>
      <c r="D985" s="174" t="n"/>
      <c r="E985" s="174" t="n"/>
      <c r="F985" s="176">
        <f>#REF!</f>
        <v/>
      </c>
      <c r="G985" s="174">
        <f>#REF!</f>
        <v/>
      </c>
      <c r="H985" s="174">
        <f>#REF!</f>
        <v/>
      </c>
      <c r="I985" s="174">
        <f>#REF!</f>
        <v/>
      </c>
      <c r="J985" s="174">
        <f>#REF!</f>
        <v/>
      </c>
      <c r="K985" s="176">
        <f>#REF!</f>
        <v/>
      </c>
      <c r="L985" s="173" t="n"/>
      <c r="M985" s="9" t="n"/>
      <c r="N985" s="28" t="b">
        <v>0</v>
      </c>
      <c r="O985" s="172" t="b">
        <v>0</v>
      </c>
      <c r="P985" s="28" t="b">
        <v>0</v>
      </c>
      <c r="Q985" s="28" t="b">
        <v>0</v>
      </c>
      <c r="R985" s="28" t="b">
        <v>0</v>
      </c>
      <c r="S985" s="28" t="b">
        <v>0</v>
      </c>
      <c r="T985" s="28" t="b">
        <v>0</v>
      </c>
      <c r="U985" s="28" t="b">
        <v>0</v>
      </c>
      <c r="V985" s="28" t="b">
        <v>0</v>
      </c>
      <c r="W985" s="28" t="b">
        <v>0</v>
      </c>
    </row>
    <row r="986" ht="69" customHeight="1" s="222">
      <c r="A986" s="164">
        <f>#REF!</f>
        <v/>
      </c>
      <c r="B986" s="145" t="b">
        <v>0</v>
      </c>
      <c r="C986" s="176">
        <f>#REF!</f>
        <v/>
      </c>
      <c r="D986" s="174" t="n"/>
      <c r="E986" s="174" t="n"/>
      <c r="F986" s="176">
        <f>#REF!</f>
        <v/>
      </c>
      <c r="G986" s="174">
        <f>#REF!</f>
        <v/>
      </c>
      <c r="H986" s="174">
        <f>#REF!</f>
        <v/>
      </c>
      <c r="I986" s="174">
        <f>#REF!</f>
        <v/>
      </c>
      <c r="J986" s="174">
        <f>#REF!</f>
        <v/>
      </c>
      <c r="K986" s="176">
        <f>#REF!</f>
        <v/>
      </c>
      <c r="L986" s="173" t="n"/>
      <c r="M986" s="9" t="n"/>
      <c r="N986" s="28" t="b">
        <v>0</v>
      </c>
      <c r="O986" s="172" t="b">
        <v>0</v>
      </c>
      <c r="P986" s="28" t="b">
        <v>0</v>
      </c>
      <c r="Q986" s="28" t="b">
        <v>0</v>
      </c>
      <c r="R986" s="28" t="b">
        <v>0</v>
      </c>
      <c r="S986" s="28" t="b">
        <v>0</v>
      </c>
      <c r="T986" s="28" t="b">
        <v>0</v>
      </c>
      <c r="U986" s="28" t="b">
        <v>0</v>
      </c>
      <c r="V986" s="28" t="b">
        <v>0</v>
      </c>
      <c r="W986" s="28" t="b">
        <v>0</v>
      </c>
    </row>
    <row r="987" ht="69" customHeight="1" s="222">
      <c r="A987" s="164">
        <f>#REF!</f>
        <v/>
      </c>
      <c r="B987" s="145" t="b">
        <v>0</v>
      </c>
      <c r="C987" s="176">
        <f>#REF!</f>
        <v/>
      </c>
      <c r="D987" s="174" t="n"/>
      <c r="E987" s="174" t="n"/>
      <c r="F987" s="176">
        <f>#REF!</f>
        <v/>
      </c>
      <c r="G987" s="174">
        <f>#REF!</f>
        <v/>
      </c>
      <c r="H987" s="174">
        <f>#REF!</f>
        <v/>
      </c>
      <c r="I987" s="174">
        <f>#REF!</f>
        <v/>
      </c>
      <c r="J987" s="174">
        <f>#REF!</f>
        <v/>
      </c>
      <c r="K987" s="176">
        <f>#REF!</f>
        <v/>
      </c>
      <c r="L987" s="173" t="n"/>
      <c r="M987" s="9" t="n"/>
      <c r="N987" s="28" t="b">
        <v>0</v>
      </c>
      <c r="O987" s="172" t="b">
        <v>0</v>
      </c>
      <c r="P987" s="28" t="b">
        <v>0</v>
      </c>
      <c r="Q987" s="28" t="b">
        <v>0</v>
      </c>
      <c r="R987" s="28" t="b">
        <v>0</v>
      </c>
      <c r="S987" s="28" t="b">
        <v>0</v>
      </c>
      <c r="T987" s="28" t="b">
        <v>0</v>
      </c>
      <c r="U987" s="28" t="b">
        <v>0</v>
      </c>
      <c r="V987" s="28" t="b">
        <v>0</v>
      </c>
      <c r="W987" s="28" t="b">
        <v>0</v>
      </c>
    </row>
    <row r="988" ht="69" customHeight="1" s="222">
      <c r="A988" s="164">
        <f>#REF!</f>
        <v/>
      </c>
      <c r="B988" s="145" t="b">
        <v>0</v>
      </c>
      <c r="C988" s="176">
        <f>#REF!</f>
        <v/>
      </c>
      <c r="D988" s="174" t="n"/>
      <c r="E988" s="174" t="n"/>
      <c r="F988" s="176">
        <f>#REF!</f>
        <v/>
      </c>
      <c r="G988" s="174">
        <f>#REF!</f>
        <v/>
      </c>
      <c r="H988" s="174">
        <f>#REF!</f>
        <v/>
      </c>
      <c r="I988" s="174">
        <f>#REF!</f>
        <v/>
      </c>
      <c r="J988" s="174">
        <f>#REF!</f>
        <v/>
      </c>
      <c r="K988" s="176">
        <f>#REF!</f>
        <v/>
      </c>
      <c r="L988" s="173" t="n"/>
      <c r="M988" s="9" t="n"/>
      <c r="N988" s="28" t="b">
        <v>0</v>
      </c>
      <c r="O988" s="172" t="b">
        <v>0</v>
      </c>
      <c r="P988" s="28" t="b">
        <v>0</v>
      </c>
      <c r="Q988" s="28" t="b">
        <v>0</v>
      </c>
      <c r="R988" s="28" t="b">
        <v>0</v>
      </c>
      <c r="S988" s="28" t="b">
        <v>0</v>
      </c>
      <c r="T988" s="28" t="b">
        <v>0</v>
      </c>
      <c r="U988" s="28" t="b">
        <v>0</v>
      </c>
      <c r="V988" s="28" t="b">
        <v>0</v>
      </c>
      <c r="W988" s="28" t="b">
        <v>0</v>
      </c>
    </row>
    <row r="989" ht="69" customHeight="1" s="222">
      <c r="A989" s="164">
        <f>#REF!</f>
        <v/>
      </c>
      <c r="B989" s="145" t="b">
        <v>0</v>
      </c>
      <c r="C989" s="176">
        <f>#REF!</f>
        <v/>
      </c>
      <c r="D989" s="174" t="n"/>
      <c r="E989" s="174" t="n"/>
      <c r="F989" s="176">
        <f>#REF!</f>
        <v/>
      </c>
      <c r="G989" s="174">
        <f>#REF!</f>
        <v/>
      </c>
      <c r="H989" s="174">
        <f>#REF!</f>
        <v/>
      </c>
      <c r="I989" s="174">
        <f>#REF!</f>
        <v/>
      </c>
      <c r="J989" s="174">
        <f>#REF!</f>
        <v/>
      </c>
      <c r="K989" s="176">
        <f>#REF!</f>
        <v/>
      </c>
      <c r="L989" s="173" t="n"/>
      <c r="M989" s="9" t="n"/>
      <c r="N989" s="28" t="b">
        <v>0</v>
      </c>
      <c r="O989" s="172" t="b">
        <v>0</v>
      </c>
      <c r="P989" s="28" t="b">
        <v>0</v>
      </c>
      <c r="Q989" s="28" t="b">
        <v>0</v>
      </c>
      <c r="R989" s="28" t="b">
        <v>0</v>
      </c>
      <c r="S989" s="28" t="b">
        <v>0</v>
      </c>
      <c r="T989" s="28" t="b">
        <v>0</v>
      </c>
      <c r="U989" s="28" t="b">
        <v>0</v>
      </c>
      <c r="V989" s="28" t="b">
        <v>0</v>
      </c>
      <c r="W989" s="28" t="b">
        <v>0</v>
      </c>
    </row>
    <row r="990" ht="69" customHeight="1" s="222">
      <c r="A990" s="164">
        <f>#REF!</f>
        <v/>
      </c>
      <c r="B990" s="145" t="b">
        <v>0</v>
      </c>
      <c r="C990" s="176">
        <f>#REF!</f>
        <v/>
      </c>
      <c r="D990" s="174" t="n"/>
      <c r="E990" s="174" t="n"/>
      <c r="F990" s="176">
        <f>#REF!</f>
        <v/>
      </c>
      <c r="G990" s="174">
        <f>#REF!</f>
        <v/>
      </c>
      <c r="H990" s="174">
        <f>#REF!</f>
        <v/>
      </c>
      <c r="I990" s="174">
        <f>#REF!</f>
        <v/>
      </c>
      <c r="J990" s="174">
        <f>#REF!</f>
        <v/>
      </c>
      <c r="K990" s="176">
        <f>#REF!</f>
        <v/>
      </c>
      <c r="L990" s="173" t="n"/>
      <c r="M990" s="9" t="n"/>
      <c r="N990" s="28" t="b">
        <v>0</v>
      </c>
      <c r="O990" s="172" t="b">
        <v>0</v>
      </c>
      <c r="P990" s="28" t="b">
        <v>0</v>
      </c>
      <c r="Q990" s="28" t="b">
        <v>0</v>
      </c>
      <c r="R990" s="28" t="b">
        <v>0</v>
      </c>
      <c r="S990" s="28" t="b">
        <v>0</v>
      </c>
      <c r="T990" s="28" t="b">
        <v>0</v>
      </c>
      <c r="U990" s="28" t="b">
        <v>0</v>
      </c>
      <c r="V990" s="28" t="b">
        <v>0</v>
      </c>
      <c r="W990" s="28" t="b">
        <v>0</v>
      </c>
    </row>
    <row r="991" ht="69" customHeight="1" s="222">
      <c r="A991" s="164">
        <f>#REF!</f>
        <v/>
      </c>
      <c r="B991" s="145" t="b">
        <v>0</v>
      </c>
      <c r="C991" s="176">
        <f>#REF!</f>
        <v/>
      </c>
      <c r="D991" s="174" t="n"/>
      <c r="E991" s="174" t="n"/>
      <c r="F991" s="176">
        <f>#REF!</f>
        <v/>
      </c>
      <c r="G991" s="174">
        <f>#REF!</f>
        <v/>
      </c>
      <c r="H991" s="174">
        <f>#REF!</f>
        <v/>
      </c>
      <c r="I991" s="174">
        <f>#REF!</f>
        <v/>
      </c>
      <c r="J991" s="174">
        <f>#REF!</f>
        <v/>
      </c>
      <c r="K991" s="176">
        <f>#REF!</f>
        <v/>
      </c>
      <c r="L991" s="173" t="n"/>
      <c r="M991" s="9" t="n"/>
      <c r="N991" s="28" t="b">
        <v>0</v>
      </c>
      <c r="O991" s="172" t="b">
        <v>0</v>
      </c>
      <c r="P991" s="28" t="b">
        <v>0</v>
      </c>
      <c r="Q991" s="28" t="b">
        <v>0</v>
      </c>
      <c r="R991" s="28" t="b">
        <v>0</v>
      </c>
      <c r="S991" s="28" t="b">
        <v>0</v>
      </c>
      <c r="T991" s="28" t="b">
        <v>0</v>
      </c>
      <c r="U991" s="28" t="b">
        <v>0</v>
      </c>
      <c r="V991" s="28" t="b">
        <v>0</v>
      </c>
      <c r="W991" s="28" t="b">
        <v>0</v>
      </c>
    </row>
    <row r="992" ht="69" customHeight="1" s="222">
      <c r="A992" s="164">
        <f>#REF!</f>
        <v/>
      </c>
      <c r="B992" s="145" t="b">
        <v>0</v>
      </c>
      <c r="C992" s="176">
        <f>#REF!</f>
        <v/>
      </c>
      <c r="D992" s="174" t="n"/>
      <c r="E992" s="174" t="n"/>
      <c r="F992" s="176">
        <f>#REF!</f>
        <v/>
      </c>
      <c r="G992" s="174">
        <f>#REF!</f>
        <v/>
      </c>
      <c r="H992" s="174">
        <f>#REF!</f>
        <v/>
      </c>
      <c r="I992" s="174">
        <f>#REF!</f>
        <v/>
      </c>
      <c r="J992" s="174">
        <f>#REF!</f>
        <v/>
      </c>
      <c r="K992" s="176">
        <f>#REF!</f>
        <v/>
      </c>
      <c r="L992" s="173" t="n"/>
      <c r="M992" s="9" t="n"/>
      <c r="N992" s="28" t="b">
        <v>0</v>
      </c>
      <c r="O992" s="172" t="b">
        <v>0</v>
      </c>
      <c r="P992" s="28" t="b">
        <v>0</v>
      </c>
      <c r="Q992" s="28" t="b">
        <v>0</v>
      </c>
      <c r="R992" s="28" t="b">
        <v>0</v>
      </c>
      <c r="S992" s="28" t="b">
        <v>0</v>
      </c>
      <c r="T992" s="28" t="b">
        <v>0</v>
      </c>
      <c r="U992" s="28" t="b">
        <v>0</v>
      </c>
      <c r="V992" s="28" t="b">
        <v>0</v>
      </c>
      <c r="W992" s="28" t="b">
        <v>0</v>
      </c>
    </row>
    <row r="993" ht="69" customHeight="1" s="222">
      <c r="A993" s="164">
        <f>#REF!</f>
        <v/>
      </c>
      <c r="B993" s="145" t="b">
        <v>0</v>
      </c>
      <c r="C993" s="176">
        <f>#REF!</f>
        <v/>
      </c>
      <c r="D993" s="174" t="n"/>
      <c r="E993" s="174" t="n"/>
      <c r="F993" s="176">
        <f>#REF!</f>
        <v/>
      </c>
      <c r="G993" s="174">
        <f>#REF!</f>
        <v/>
      </c>
      <c r="H993" s="174">
        <f>#REF!</f>
        <v/>
      </c>
      <c r="I993" s="174">
        <f>#REF!</f>
        <v/>
      </c>
      <c r="J993" s="174">
        <f>#REF!</f>
        <v/>
      </c>
      <c r="K993" s="176">
        <f>#REF!</f>
        <v/>
      </c>
      <c r="L993" s="173" t="n"/>
      <c r="M993" s="9" t="n"/>
      <c r="N993" s="28" t="b">
        <v>0</v>
      </c>
      <c r="O993" s="172" t="b">
        <v>0</v>
      </c>
      <c r="P993" s="28" t="b">
        <v>0</v>
      </c>
      <c r="Q993" s="28" t="b">
        <v>0</v>
      </c>
      <c r="R993" s="28" t="b">
        <v>0</v>
      </c>
      <c r="S993" s="28" t="b">
        <v>0</v>
      </c>
      <c r="T993" s="28" t="b">
        <v>0</v>
      </c>
      <c r="U993" s="28" t="b">
        <v>0</v>
      </c>
      <c r="V993" s="28" t="b">
        <v>0</v>
      </c>
      <c r="W993" s="28" t="b">
        <v>0</v>
      </c>
    </row>
    <row r="994" ht="69" customHeight="1" s="222">
      <c r="A994" s="164">
        <f>#REF!</f>
        <v/>
      </c>
      <c r="B994" s="145" t="b">
        <v>0</v>
      </c>
      <c r="C994" s="176">
        <f>#REF!</f>
        <v/>
      </c>
      <c r="D994" s="174" t="n"/>
      <c r="E994" s="174" t="n"/>
      <c r="F994" s="176">
        <f>#REF!</f>
        <v/>
      </c>
      <c r="G994" s="174">
        <f>#REF!</f>
        <v/>
      </c>
      <c r="H994" s="174">
        <f>#REF!</f>
        <v/>
      </c>
      <c r="I994" s="174">
        <f>#REF!</f>
        <v/>
      </c>
      <c r="J994" s="174">
        <f>#REF!</f>
        <v/>
      </c>
      <c r="K994" s="176">
        <f>#REF!</f>
        <v/>
      </c>
      <c r="L994" s="173" t="n"/>
      <c r="M994" s="9" t="n"/>
      <c r="N994" s="28" t="b">
        <v>0</v>
      </c>
      <c r="O994" s="172" t="b">
        <v>0</v>
      </c>
      <c r="P994" s="28" t="b">
        <v>0</v>
      </c>
      <c r="Q994" s="28" t="b">
        <v>0</v>
      </c>
      <c r="R994" s="28" t="b">
        <v>0</v>
      </c>
      <c r="S994" s="28" t="b">
        <v>0</v>
      </c>
      <c r="T994" s="28" t="b">
        <v>0</v>
      </c>
      <c r="U994" s="28" t="b">
        <v>0</v>
      </c>
      <c r="V994" s="28" t="b">
        <v>0</v>
      </c>
      <c r="W994" s="28" t="b">
        <v>0</v>
      </c>
    </row>
    <row r="995" ht="69" customHeight="1" s="222">
      <c r="A995" s="164">
        <f>#REF!</f>
        <v/>
      </c>
      <c r="B995" s="145" t="b">
        <v>0</v>
      </c>
      <c r="C995" s="176">
        <f>#REF!</f>
        <v/>
      </c>
      <c r="D995" s="174" t="n"/>
      <c r="E995" s="174" t="n"/>
      <c r="F995" s="176">
        <f>#REF!</f>
        <v/>
      </c>
      <c r="G995" s="174">
        <f>#REF!</f>
        <v/>
      </c>
      <c r="H995" s="174">
        <f>#REF!</f>
        <v/>
      </c>
      <c r="I995" s="174">
        <f>#REF!</f>
        <v/>
      </c>
      <c r="J995" s="174">
        <f>#REF!</f>
        <v/>
      </c>
      <c r="K995" s="176">
        <f>#REF!</f>
        <v/>
      </c>
      <c r="L995" s="173" t="n"/>
      <c r="M995" s="9" t="n"/>
      <c r="N995" s="28" t="b">
        <v>0</v>
      </c>
      <c r="O995" s="172" t="b">
        <v>0</v>
      </c>
      <c r="P995" s="28" t="b">
        <v>0</v>
      </c>
      <c r="Q995" s="28" t="b">
        <v>0</v>
      </c>
      <c r="R995" s="28" t="b">
        <v>0</v>
      </c>
      <c r="S995" s="28" t="b">
        <v>0</v>
      </c>
      <c r="T995" s="28" t="b">
        <v>0</v>
      </c>
      <c r="U995" s="28" t="b">
        <v>0</v>
      </c>
      <c r="V995" s="28" t="b">
        <v>0</v>
      </c>
      <c r="W995" s="28" t="b">
        <v>0</v>
      </c>
    </row>
    <row r="996" ht="69" customHeight="1" s="222">
      <c r="A996" s="164">
        <f>#REF!</f>
        <v/>
      </c>
      <c r="B996" s="145" t="b">
        <v>0</v>
      </c>
      <c r="C996" s="176">
        <f>#REF!</f>
        <v/>
      </c>
      <c r="D996" s="174" t="n"/>
      <c r="E996" s="174" t="n"/>
      <c r="F996" s="176">
        <f>#REF!</f>
        <v/>
      </c>
      <c r="G996" s="174">
        <f>#REF!</f>
        <v/>
      </c>
      <c r="H996" s="174">
        <f>#REF!</f>
        <v/>
      </c>
      <c r="I996" s="174">
        <f>#REF!</f>
        <v/>
      </c>
      <c r="J996" s="174">
        <f>#REF!</f>
        <v/>
      </c>
      <c r="K996" s="176">
        <f>#REF!</f>
        <v/>
      </c>
      <c r="L996" s="173" t="n"/>
      <c r="M996" s="9" t="n"/>
      <c r="N996" s="28" t="b">
        <v>0</v>
      </c>
      <c r="O996" s="172" t="b">
        <v>0</v>
      </c>
      <c r="P996" s="28" t="b">
        <v>0</v>
      </c>
      <c r="Q996" s="28" t="b">
        <v>0</v>
      </c>
      <c r="R996" s="28" t="b">
        <v>0</v>
      </c>
      <c r="S996" s="28" t="b">
        <v>0</v>
      </c>
      <c r="T996" s="28" t="b">
        <v>0</v>
      </c>
      <c r="U996" s="28" t="b">
        <v>0</v>
      </c>
      <c r="V996" s="28" t="b">
        <v>0</v>
      </c>
      <c r="W996" s="28" t="b">
        <v>0</v>
      </c>
    </row>
    <row r="997" ht="69" customHeight="1" s="222">
      <c r="A997" s="164">
        <f>#REF!</f>
        <v/>
      </c>
      <c r="B997" s="145" t="b">
        <v>0</v>
      </c>
      <c r="C997" s="176">
        <f>#REF!</f>
        <v/>
      </c>
      <c r="D997" s="174" t="n"/>
      <c r="E997" s="174" t="n"/>
      <c r="F997" s="176">
        <f>#REF!</f>
        <v/>
      </c>
      <c r="G997" s="174">
        <f>#REF!</f>
        <v/>
      </c>
      <c r="H997" s="174">
        <f>#REF!</f>
        <v/>
      </c>
      <c r="I997" s="174">
        <f>#REF!</f>
        <v/>
      </c>
      <c r="J997" s="174">
        <f>#REF!</f>
        <v/>
      </c>
      <c r="K997" s="176">
        <f>#REF!</f>
        <v/>
      </c>
      <c r="L997" s="173" t="n"/>
      <c r="M997" s="9" t="n"/>
      <c r="N997" s="28" t="b">
        <v>0</v>
      </c>
      <c r="O997" s="172" t="b">
        <v>0</v>
      </c>
      <c r="P997" s="28" t="b">
        <v>0</v>
      </c>
      <c r="Q997" s="28" t="b">
        <v>0</v>
      </c>
      <c r="R997" s="28" t="b">
        <v>0</v>
      </c>
      <c r="S997" s="28" t="b">
        <v>0</v>
      </c>
      <c r="T997" s="28" t="b">
        <v>0</v>
      </c>
      <c r="U997" s="28" t="b">
        <v>0</v>
      </c>
      <c r="V997" s="28" t="b">
        <v>0</v>
      </c>
      <c r="W997" s="28" t="b">
        <v>0</v>
      </c>
    </row>
    <row r="998" ht="69" customHeight="1" s="222">
      <c r="A998" s="164">
        <f>#REF!</f>
        <v/>
      </c>
      <c r="B998" s="145" t="b">
        <v>0</v>
      </c>
      <c r="C998" s="176">
        <f>#REF!</f>
        <v/>
      </c>
      <c r="D998" s="174" t="n"/>
      <c r="E998" s="174" t="n"/>
      <c r="F998" s="176">
        <f>#REF!</f>
        <v/>
      </c>
      <c r="G998" s="174">
        <f>#REF!</f>
        <v/>
      </c>
      <c r="H998" s="174">
        <f>#REF!</f>
        <v/>
      </c>
      <c r="I998" s="174">
        <f>#REF!</f>
        <v/>
      </c>
      <c r="J998" s="174">
        <f>#REF!</f>
        <v/>
      </c>
      <c r="K998" s="176">
        <f>#REF!</f>
        <v/>
      </c>
      <c r="L998" s="173" t="n"/>
      <c r="M998" s="9" t="n"/>
      <c r="N998" s="28" t="b">
        <v>0</v>
      </c>
      <c r="O998" s="172" t="b">
        <v>0</v>
      </c>
      <c r="P998" s="28" t="b">
        <v>0</v>
      </c>
      <c r="Q998" s="28" t="b">
        <v>0</v>
      </c>
      <c r="R998" s="28" t="b">
        <v>0</v>
      </c>
      <c r="S998" s="28" t="b">
        <v>0</v>
      </c>
      <c r="T998" s="28" t="b">
        <v>0</v>
      </c>
      <c r="U998" s="28" t="b">
        <v>0</v>
      </c>
      <c r="V998" s="28" t="b">
        <v>0</v>
      </c>
      <c r="W998" s="28" t="b">
        <v>0</v>
      </c>
    </row>
    <row r="999" ht="69" customHeight="1" s="222">
      <c r="A999" s="164">
        <f>#REF!</f>
        <v/>
      </c>
      <c r="B999" s="145" t="b">
        <v>0</v>
      </c>
      <c r="C999" s="176">
        <f>#REF!</f>
        <v/>
      </c>
      <c r="D999" s="174" t="n"/>
      <c r="E999" s="174" t="n"/>
      <c r="F999" s="176">
        <f>#REF!</f>
        <v/>
      </c>
      <c r="G999" s="174">
        <f>#REF!</f>
        <v/>
      </c>
      <c r="H999" s="174">
        <f>#REF!</f>
        <v/>
      </c>
      <c r="I999" s="174">
        <f>#REF!</f>
        <v/>
      </c>
      <c r="J999" s="174">
        <f>#REF!</f>
        <v/>
      </c>
      <c r="K999" s="176">
        <f>#REF!</f>
        <v/>
      </c>
      <c r="L999" s="173" t="n"/>
      <c r="M999" s="9" t="n"/>
      <c r="N999" s="28" t="b">
        <v>0</v>
      </c>
      <c r="O999" s="172" t="b">
        <v>0</v>
      </c>
      <c r="P999" s="28" t="b">
        <v>0</v>
      </c>
      <c r="Q999" s="28" t="b">
        <v>0</v>
      </c>
      <c r="R999" s="28" t="b">
        <v>0</v>
      </c>
      <c r="S999" s="28" t="b">
        <v>0</v>
      </c>
      <c r="T999" s="28" t="b">
        <v>0</v>
      </c>
      <c r="U999" s="28" t="b">
        <v>0</v>
      </c>
      <c r="V999" s="28" t="b">
        <v>0</v>
      </c>
      <c r="W999" s="28" t="b">
        <v>0</v>
      </c>
    </row>
    <row r="1000" ht="69" customHeight="1" s="222">
      <c r="A1000" s="164">
        <f>#REF!</f>
        <v/>
      </c>
      <c r="B1000" s="145" t="b">
        <v>0</v>
      </c>
      <c r="C1000" s="176">
        <f>#REF!</f>
        <v/>
      </c>
      <c r="D1000" s="174" t="n"/>
      <c r="E1000" s="174" t="n"/>
      <c r="F1000" s="176">
        <f>#REF!</f>
        <v/>
      </c>
      <c r="G1000" s="174">
        <f>#REF!</f>
        <v/>
      </c>
      <c r="H1000" s="174">
        <f>#REF!</f>
        <v/>
      </c>
      <c r="I1000" s="174">
        <f>#REF!</f>
        <v/>
      </c>
      <c r="J1000" s="174">
        <f>#REF!</f>
        <v/>
      </c>
      <c r="K1000" s="176">
        <f>#REF!</f>
        <v/>
      </c>
      <c r="L1000" s="173" t="n"/>
      <c r="M1000" s="9" t="n"/>
      <c r="N1000" s="28" t="b">
        <v>0</v>
      </c>
      <c r="O1000" s="172" t="b">
        <v>0</v>
      </c>
      <c r="P1000" s="28" t="b">
        <v>0</v>
      </c>
      <c r="Q1000" s="28" t="b">
        <v>0</v>
      </c>
      <c r="R1000" s="28" t="b">
        <v>0</v>
      </c>
      <c r="S1000" s="28" t="b">
        <v>0</v>
      </c>
      <c r="T1000" s="28" t="b">
        <v>0</v>
      </c>
      <c r="U1000" s="28" t="b">
        <v>0</v>
      </c>
      <c r="V1000" s="28" t="b">
        <v>0</v>
      </c>
      <c r="W1000" s="28" t="b">
        <v>0</v>
      </c>
    </row>
    <row r="1001" ht="69" customHeight="1" s="222">
      <c r="A1001" s="164" t="n"/>
      <c r="B1001" s="145" t="b">
        <v>0</v>
      </c>
      <c r="C1001" s="176">
        <f>#REF!</f>
        <v/>
      </c>
      <c r="D1001" s="174" t="n"/>
      <c r="E1001" s="174" t="n"/>
      <c r="F1001" s="176">
        <f>#REF!</f>
        <v/>
      </c>
      <c r="G1001" s="174">
        <f>#REF!</f>
        <v/>
      </c>
      <c r="H1001" s="174">
        <f>#REF!</f>
        <v/>
      </c>
      <c r="I1001" s="174">
        <f>#REF!</f>
        <v/>
      </c>
      <c r="J1001" s="174">
        <f>#REF!</f>
        <v/>
      </c>
      <c r="K1001" s="176">
        <f>#REF!</f>
        <v/>
      </c>
      <c r="L1001" s="177" t="n"/>
      <c r="M1001" s="178" t="n"/>
      <c r="N1001" s="145" t="b">
        <v>0</v>
      </c>
      <c r="O1001" s="179" t="b">
        <v>0</v>
      </c>
      <c r="P1001" s="145" t="b">
        <v>0</v>
      </c>
      <c r="Q1001" s="145" t="b">
        <v>0</v>
      </c>
      <c r="R1001" s="145" t="b">
        <v>0</v>
      </c>
      <c r="S1001" s="145" t="b">
        <v>0</v>
      </c>
      <c r="T1001" s="145" t="b">
        <v>0</v>
      </c>
      <c r="U1001" s="145" t="b">
        <v>0</v>
      </c>
      <c r="V1001" s="145" t="b">
        <v>0</v>
      </c>
      <c r="W1001" s="145" t="b">
        <v>0</v>
      </c>
    </row>
    <row r="1002" ht="69" customHeight="1" s="222">
      <c r="A1002" s="164" t="n"/>
      <c r="B1002" s="145" t="b">
        <v>0</v>
      </c>
      <c r="C1002" s="176">
        <f>#REF!</f>
        <v/>
      </c>
      <c r="D1002" s="174" t="n"/>
      <c r="E1002" s="174" t="n"/>
      <c r="F1002" s="176">
        <f>#REF!</f>
        <v/>
      </c>
      <c r="G1002" s="174">
        <f>#REF!</f>
        <v/>
      </c>
      <c r="H1002" s="174">
        <f>#REF!</f>
        <v/>
      </c>
      <c r="I1002" s="174">
        <f>#REF!</f>
        <v/>
      </c>
      <c r="J1002" s="174">
        <f>#REF!</f>
        <v/>
      </c>
      <c r="K1002" s="176">
        <f>#REF!</f>
        <v/>
      </c>
      <c r="L1002" s="177" t="n"/>
      <c r="M1002" s="178" t="n"/>
      <c r="N1002" s="145" t="b">
        <v>0</v>
      </c>
      <c r="O1002" s="179" t="b">
        <v>0</v>
      </c>
      <c r="P1002" s="145" t="b">
        <v>0</v>
      </c>
      <c r="Q1002" s="145" t="b">
        <v>0</v>
      </c>
      <c r="R1002" s="145" t="b">
        <v>0</v>
      </c>
      <c r="S1002" s="145" t="b">
        <v>0</v>
      </c>
      <c r="T1002" s="145" t="b">
        <v>0</v>
      </c>
      <c r="U1002" s="145" t="b">
        <v>0</v>
      </c>
      <c r="V1002" s="145" t="b">
        <v>0</v>
      </c>
      <c r="W1002" s="145" t="b">
        <v>0</v>
      </c>
    </row>
    <row r="1003" ht="69" customHeight="1" s="222">
      <c r="A1003" s="164" t="n"/>
      <c r="B1003" s="145" t="b">
        <v>0</v>
      </c>
      <c r="C1003" s="176">
        <f>#REF!</f>
        <v/>
      </c>
      <c r="D1003" s="174" t="n"/>
      <c r="E1003" s="174" t="n"/>
      <c r="F1003" s="176">
        <f>#REF!</f>
        <v/>
      </c>
      <c r="G1003" s="174">
        <f>#REF!</f>
        <v/>
      </c>
      <c r="H1003" s="174">
        <f>#REF!</f>
        <v/>
      </c>
      <c r="I1003" s="174">
        <f>#REF!</f>
        <v/>
      </c>
      <c r="J1003" s="174">
        <f>#REF!</f>
        <v/>
      </c>
      <c r="K1003" s="176">
        <f>#REF!</f>
        <v/>
      </c>
      <c r="L1003" s="177" t="n"/>
      <c r="M1003" s="178" t="n"/>
      <c r="N1003" s="145" t="b">
        <v>0</v>
      </c>
      <c r="O1003" s="179" t="b">
        <v>0</v>
      </c>
      <c r="P1003" s="145" t="b">
        <v>0</v>
      </c>
      <c r="Q1003" s="145" t="b">
        <v>0</v>
      </c>
      <c r="R1003" s="145" t="b">
        <v>0</v>
      </c>
      <c r="S1003" s="145" t="b">
        <v>0</v>
      </c>
      <c r="T1003" s="145" t="b">
        <v>0</v>
      </c>
      <c r="U1003" s="145" t="b">
        <v>0</v>
      </c>
      <c r="V1003" s="145" t="b">
        <v>0</v>
      </c>
      <c r="W1003" s="145" t="b">
        <v>0</v>
      </c>
    </row>
    <row r="1004" ht="69" customHeight="1" s="222">
      <c r="A1004" s="164" t="n"/>
      <c r="B1004" s="145" t="b">
        <v>0</v>
      </c>
      <c r="C1004" s="176">
        <f>#REF!</f>
        <v/>
      </c>
      <c r="D1004" s="174" t="n"/>
      <c r="E1004" s="174" t="n"/>
      <c r="F1004" s="176">
        <f>#REF!</f>
        <v/>
      </c>
      <c r="G1004" s="174">
        <f>#REF!</f>
        <v/>
      </c>
      <c r="H1004" s="174">
        <f>#REF!</f>
        <v/>
      </c>
      <c r="I1004" s="174">
        <f>#REF!</f>
        <v/>
      </c>
      <c r="J1004" s="174">
        <f>#REF!</f>
        <v/>
      </c>
      <c r="K1004" s="176">
        <f>#REF!</f>
        <v/>
      </c>
      <c r="L1004" s="177" t="n"/>
      <c r="M1004" s="178" t="n"/>
      <c r="N1004" s="145" t="b">
        <v>0</v>
      </c>
      <c r="O1004" s="179" t="b">
        <v>0</v>
      </c>
      <c r="P1004" s="145" t="b">
        <v>0</v>
      </c>
      <c r="Q1004" s="145" t="b">
        <v>0</v>
      </c>
      <c r="R1004" s="145" t="b">
        <v>0</v>
      </c>
      <c r="S1004" s="145" t="b">
        <v>0</v>
      </c>
      <c r="T1004" s="145" t="b">
        <v>0</v>
      </c>
      <c r="U1004" s="145" t="b">
        <v>0</v>
      </c>
      <c r="V1004" s="145" t="b">
        <v>0</v>
      </c>
      <c r="W1004" s="145" t="b">
        <v>0</v>
      </c>
    </row>
    <row r="1005" ht="69" customHeight="1" s="222">
      <c r="A1005" s="164" t="n"/>
      <c r="B1005" s="145" t="b">
        <v>0</v>
      </c>
      <c r="C1005" s="176">
        <f>#REF!</f>
        <v/>
      </c>
      <c r="D1005" s="174" t="n"/>
      <c r="E1005" s="174" t="n"/>
      <c r="F1005" s="176">
        <f>#REF!</f>
        <v/>
      </c>
      <c r="G1005" s="174">
        <f>#REF!</f>
        <v/>
      </c>
      <c r="H1005" s="174">
        <f>#REF!</f>
        <v/>
      </c>
      <c r="I1005" s="174">
        <f>#REF!</f>
        <v/>
      </c>
      <c r="J1005" s="174">
        <f>#REF!</f>
        <v/>
      </c>
      <c r="K1005" s="176">
        <f>#REF!</f>
        <v/>
      </c>
      <c r="L1005" s="177" t="n"/>
      <c r="M1005" s="178" t="n"/>
      <c r="N1005" s="145" t="b">
        <v>0</v>
      </c>
      <c r="O1005" s="179" t="b">
        <v>0</v>
      </c>
      <c r="P1005" s="145" t="b">
        <v>0</v>
      </c>
      <c r="Q1005" s="145" t="b">
        <v>0</v>
      </c>
      <c r="R1005" s="145" t="b">
        <v>0</v>
      </c>
      <c r="S1005" s="145" t="b">
        <v>0</v>
      </c>
      <c r="T1005" s="145" t="b">
        <v>0</v>
      </c>
      <c r="U1005" s="145" t="b">
        <v>0</v>
      </c>
      <c r="V1005" s="145" t="b">
        <v>0</v>
      </c>
      <c r="W1005" s="145" t="b">
        <v>0</v>
      </c>
    </row>
    <row r="1006" ht="69" customHeight="1" s="222">
      <c r="A1006" s="164" t="n"/>
      <c r="B1006" s="145" t="b">
        <v>0</v>
      </c>
      <c r="C1006" s="176">
        <f>#REF!</f>
        <v/>
      </c>
      <c r="D1006" s="174" t="n"/>
      <c r="E1006" s="174" t="n"/>
      <c r="F1006" s="176">
        <f>#REF!</f>
        <v/>
      </c>
      <c r="G1006" s="174">
        <f>#REF!</f>
        <v/>
      </c>
      <c r="H1006" s="174">
        <f>#REF!</f>
        <v/>
      </c>
      <c r="I1006" s="174">
        <f>#REF!</f>
        <v/>
      </c>
      <c r="J1006" s="174">
        <f>#REF!</f>
        <v/>
      </c>
      <c r="K1006" s="176">
        <f>#REF!</f>
        <v/>
      </c>
      <c r="L1006" s="177" t="n"/>
      <c r="M1006" s="178" t="n"/>
      <c r="N1006" s="145" t="b">
        <v>0</v>
      </c>
      <c r="O1006" s="179" t="b">
        <v>0</v>
      </c>
      <c r="P1006" s="145" t="b">
        <v>0</v>
      </c>
      <c r="Q1006" s="145" t="b">
        <v>0</v>
      </c>
      <c r="R1006" s="145" t="b">
        <v>0</v>
      </c>
      <c r="S1006" s="145" t="b">
        <v>0</v>
      </c>
      <c r="T1006" s="145" t="b">
        <v>0</v>
      </c>
      <c r="U1006" s="145" t="b">
        <v>0</v>
      </c>
      <c r="V1006" s="145" t="b">
        <v>0</v>
      </c>
      <c r="W1006" s="145" t="b">
        <v>0</v>
      </c>
    </row>
    <row r="1007" ht="69" customHeight="1" s="222">
      <c r="A1007" s="164" t="n"/>
      <c r="B1007" s="145" t="b">
        <v>0</v>
      </c>
      <c r="C1007" s="176">
        <f>#REF!</f>
        <v/>
      </c>
      <c r="D1007" s="174" t="n"/>
      <c r="E1007" s="174" t="n"/>
      <c r="F1007" s="176">
        <f>#REF!</f>
        <v/>
      </c>
      <c r="G1007" s="174">
        <f>#REF!</f>
        <v/>
      </c>
      <c r="H1007" s="174">
        <f>#REF!</f>
        <v/>
      </c>
      <c r="I1007" s="174">
        <f>#REF!</f>
        <v/>
      </c>
      <c r="J1007" s="174">
        <f>#REF!</f>
        <v/>
      </c>
      <c r="K1007" s="176">
        <f>#REF!</f>
        <v/>
      </c>
      <c r="L1007" s="177" t="n"/>
      <c r="M1007" s="178" t="n"/>
      <c r="N1007" s="145" t="b">
        <v>0</v>
      </c>
      <c r="O1007" s="179" t="b">
        <v>0</v>
      </c>
      <c r="P1007" s="145" t="b">
        <v>0</v>
      </c>
      <c r="Q1007" s="145" t="b">
        <v>0</v>
      </c>
      <c r="R1007" s="145" t="b">
        <v>0</v>
      </c>
      <c r="S1007" s="145" t="b">
        <v>0</v>
      </c>
      <c r="T1007" s="145" t="b">
        <v>0</v>
      </c>
      <c r="U1007" s="145" t="b">
        <v>0</v>
      </c>
      <c r="V1007" s="145" t="b">
        <v>0</v>
      </c>
      <c r="W1007" s="145" t="b">
        <v>0</v>
      </c>
    </row>
    <row r="1008" ht="69" customHeight="1" s="222">
      <c r="A1008" s="164" t="n"/>
      <c r="B1008" s="145" t="b">
        <v>0</v>
      </c>
      <c r="C1008" s="176">
        <f>#REF!</f>
        <v/>
      </c>
      <c r="D1008" s="174" t="n"/>
      <c r="E1008" s="174" t="n"/>
      <c r="F1008" s="176">
        <f>#REF!</f>
        <v/>
      </c>
      <c r="G1008" s="174">
        <f>#REF!</f>
        <v/>
      </c>
      <c r="H1008" s="174">
        <f>#REF!</f>
        <v/>
      </c>
      <c r="I1008" s="174">
        <f>#REF!</f>
        <v/>
      </c>
      <c r="J1008" s="174">
        <f>#REF!</f>
        <v/>
      </c>
      <c r="K1008" s="176">
        <f>#REF!</f>
        <v/>
      </c>
      <c r="L1008" s="177" t="n"/>
      <c r="M1008" s="178" t="n"/>
      <c r="N1008" s="145" t="b">
        <v>0</v>
      </c>
      <c r="O1008" s="179" t="b">
        <v>0</v>
      </c>
      <c r="P1008" s="145" t="b">
        <v>0</v>
      </c>
      <c r="Q1008" s="145" t="b">
        <v>0</v>
      </c>
      <c r="R1008" s="145" t="b">
        <v>0</v>
      </c>
      <c r="S1008" s="145" t="b">
        <v>0</v>
      </c>
      <c r="T1008" s="145" t="b">
        <v>0</v>
      </c>
      <c r="U1008" s="145" t="b">
        <v>0</v>
      </c>
      <c r="V1008" s="145" t="b">
        <v>0</v>
      </c>
      <c r="W1008" s="145" t="b">
        <v>0</v>
      </c>
    </row>
    <row r="1009" ht="69" customHeight="1" s="222">
      <c r="A1009" s="164" t="n"/>
      <c r="B1009" s="145" t="b">
        <v>0</v>
      </c>
      <c r="C1009" s="176">
        <f>#REF!</f>
        <v/>
      </c>
      <c r="D1009" s="174" t="n"/>
      <c r="E1009" s="174" t="n"/>
      <c r="F1009" s="176">
        <f>#REF!</f>
        <v/>
      </c>
      <c r="G1009" s="174">
        <f>#REF!</f>
        <v/>
      </c>
      <c r="H1009" s="174">
        <f>#REF!</f>
        <v/>
      </c>
      <c r="I1009" s="174">
        <f>#REF!</f>
        <v/>
      </c>
      <c r="J1009" s="174">
        <f>#REF!</f>
        <v/>
      </c>
      <c r="K1009" s="176">
        <f>#REF!</f>
        <v/>
      </c>
      <c r="L1009" s="177" t="n"/>
      <c r="M1009" s="178" t="n"/>
      <c r="N1009" s="145" t="b">
        <v>0</v>
      </c>
      <c r="O1009" s="179" t="b">
        <v>0</v>
      </c>
      <c r="P1009" s="145" t="b">
        <v>0</v>
      </c>
      <c r="Q1009" s="145" t="b">
        <v>0</v>
      </c>
      <c r="R1009" s="145" t="b">
        <v>0</v>
      </c>
      <c r="S1009" s="145" t="b">
        <v>0</v>
      </c>
      <c r="T1009" s="145" t="b">
        <v>0</v>
      </c>
      <c r="U1009" s="145" t="b">
        <v>0</v>
      </c>
      <c r="V1009" s="145" t="b">
        <v>0</v>
      </c>
      <c r="W1009" s="145" t="b">
        <v>0</v>
      </c>
    </row>
    <row r="1010" ht="69" customHeight="1" s="222">
      <c r="A1010" s="164" t="n"/>
      <c r="B1010" s="145" t="b">
        <v>0</v>
      </c>
      <c r="C1010" s="176">
        <f>#REF!</f>
        <v/>
      </c>
      <c r="D1010" s="174" t="n"/>
      <c r="E1010" s="174" t="n"/>
      <c r="F1010" s="176">
        <f>#REF!</f>
        <v/>
      </c>
      <c r="G1010" s="174">
        <f>#REF!</f>
        <v/>
      </c>
      <c r="H1010" s="174">
        <f>#REF!</f>
        <v/>
      </c>
      <c r="I1010" s="174">
        <f>#REF!</f>
        <v/>
      </c>
      <c r="J1010" s="174">
        <f>#REF!</f>
        <v/>
      </c>
      <c r="K1010" s="176">
        <f>#REF!</f>
        <v/>
      </c>
      <c r="L1010" s="177" t="n"/>
      <c r="M1010" s="178" t="n"/>
      <c r="N1010" s="145" t="b">
        <v>0</v>
      </c>
      <c r="O1010" s="179" t="b">
        <v>0</v>
      </c>
      <c r="P1010" s="145" t="b">
        <v>0</v>
      </c>
      <c r="Q1010" s="145" t="b">
        <v>0</v>
      </c>
      <c r="R1010" s="145" t="b">
        <v>0</v>
      </c>
      <c r="S1010" s="145" t="b">
        <v>0</v>
      </c>
      <c r="T1010" s="145" t="b">
        <v>0</v>
      </c>
      <c r="U1010" s="145" t="b">
        <v>0</v>
      </c>
      <c r="V1010" s="145" t="b">
        <v>0</v>
      </c>
      <c r="W1010" s="145" t="b">
        <v>0</v>
      </c>
    </row>
    <row r="1011" ht="69" customHeight="1" s="222">
      <c r="A1011" s="164" t="n"/>
      <c r="B1011" s="145" t="b">
        <v>0</v>
      </c>
      <c r="C1011" s="176">
        <f>#REF!</f>
        <v/>
      </c>
      <c r="D1011" s="174" t="n"/>
      <c r="E1011" s="174" t="n"/>
      <c r="F1011" s="176">
        <f>#REF!</f>
        <v/>
      </c>
      <c r="G1011" s="174">
        <f>#REF!</f>
        <v/>
      </c>
      <c r="H1011" s="174">
        <f>#REF!</f>
        <v/>
      </c>
      <c r="I1011" s="174">
        <f>#REF!</f>
        <v/>
      </c>
      <c r="J1011" s="174">
        <f>#REF!</f>
        <v/>
      </c>
      <c r="K1011" s="176">
        <f>#REF!</f>
        <v/>
      </c>
      <c r="L1011" s="177" t="n"/>
      <c r="M1011" s="178" t="n"/>
      <c r="N1011" s="145" t="b">
        <v>0</v>
      </c>
      <c r="O1011" s="179" t="b">
        <v>0</v>
      </c>
      <c r="P1011" s="145" t="b">
        <v>0</v>
      </c>
      <c r="Q1011" s="145" t="b">
        <v>0</v>
      </c>
      <c r="R1011" s="145" t="b">
        <v>0</v>
      </c>
      <c r="S1011" s="145" t="b">
        <v>0</v>
      </c>
      <c r="T1011" s="145" t="b">
        <v>0</v>
      </c>
      <c r="U1011" s="145" t="b">
        <v>0</v>
      </c>
      <c r="V1011" s="145" t="b">
        <v>0</v>
      </c>
      <c r="W1011" s="145" t="b">
        <v>0</v>
      </c>
    </row>
    <row r="1012" ht="69" customHeight="1" s="222">
      <c r="A1012" s="164" t="n"/>
      <c r="B1012" s="145" t="b">
        <v>0</v>
      </c>
      <c r="C1012" s="176">
        <f>#REF!</f>
        <v/>
      </c>
      <c r="D1012" s="174" t="n"/>
      <c r="E1012" s="174" t="n"/>
      <c r="F1012" s="176">
        <f>#REF!</f>
        <v/>
      </c>
      <c r="G1012" s="174">
        <f>#REF!</f>
        <v/>
      </c>
      <c r="H1012" s="174">
        <f>#REF!</f>
        <v/>
      </c>
      <c r="I1012" s="174">
        <f>#REF!</f>
        <v/>
      </c>
      <c r="J1012" s="174">
        <f>#REF!</f>
        <v/>
      </c>
      <c r="K1012" s="176">
        <f>#REF!</f>
        <v/>
      </c>
      <c r="L1012" s="177" t="n"/>
      <c r="M1012" s="178" t="n"/>
      <c r="N1012" s="145" t="b">
        <v>0</v>
      </c>
      <c r="O1012" s="179" t="b">
        <v>0</v>
      </c>
      <c r="P1012" s="145" t="b">
        <v>0</v>
      </c>
      <c r="Q1012" s="145" t="b">
        <v>0</v>
      </c>
      <c r="R1012" s="145" t="b">
        <v>0</v>
      </c>
      <c r="S1012" s="145" t="b">
        <v>0</v>
      </c>
      <c r="T1012" s="145" t="b">
        <v>0</v>
      </c>
      <c r="U1012" s="145" t="b">
        <v>0</v>
      </c>
      <c r="V1012" s="145" t="b">
        <v>0</v>
      </c>
      <c r="W1012" s="145" t="b">
        <v>0</v>
      </c>
    </row>
    <row r="1013" ht="69" customHeight="1" s="222">
      <c r="A1013" s="164" t="n"/>
      <c r="B1013" s="145" t="b">
        <v>0</v>
      </c>
      <c r="C1013" s="176">
        <f>#REF!</f>
        <v/>
      </c>
      <c r="D1013" s="174" t="n"/>
      <c r="E1013" s="174" t="n"/>
      <c r="F1013" s="176">
        <f>#REF!</f>
        <v/>
      </c>
      <c r="G1013" s="174">
        <f>#REF!</f>
        <v/>
      </c>
      <c r="H1013" s="174">
        <f>#REF!</f>
        <v/>
      </c>
      <c r="I1013" s="174">
        <f>#REF!</f>
        <v/>
      </c>
      <c r="J1013" s="174">
        <f>#REF!</f>
        <v/>
      </c>
      <c r="K1013" s="176">
        <f>#REF!</f>
        <v/>
      </c>
      <c r="L1013" s="177" t="n"/>
      <c r="M1013" s="178" t="n"/>
      <c r="N1013" s="145" t="b">
        <v>0</v>
      </c>
      <c r="O1013" s="179" t="b">
        <v>0</v>
      </c>
      <c r="P1013" s="145" t="b">
        <v>0</v>
      </c>
      <c r="Q1013" s="145" t="b">
        <v>0</v>
      </c>
      <c r="R1013" s="145" t="b">
        <v>0</v>
      </c>
      <c r="S1013" s="145" t="b">
        <v>0</v>
      </c>
      <c r="T1013" s="145" t="b">
        <v>0</v>
      </c>
      <c r="U1013" s="145" t="b">
        <v>0</v>
      </c>
      <c r="V1013" s="145" t="b">
        <v>0</v>
      </c>
      <c r="W1013" s="145" t="b">
        <v>0</v>
      </c>
    </row>
    <row r="1014" ht="69" customHeight="1" s="222">
      <c r="A1014" s="164" t="n"/>
      <c r="B1014" s="145" t="b">
        <v>0</v>
      </c>
      <c r="C1014" s="176">
        <f>#REF!</f>
        <v/>
      </c>
      <c r="D1014" s="174" t="n"/>
      <c r="E1014" s="174" t="n"/>
      <c r="F1014" s="176">
        <f>#REF!</f>
        <v/>
      </c>
      <c r="G1014" s="174">
        <f>#REF!</f>
        <v/>
      </c>
      <c r="H1014" s="174">
        <f>#REF!</f>
        <v/>
      </c>
      <c r="I1014" s="174">
        <f>#REF!</f>
        <v/>
      </c>
      <c r="J1014" s="174">
        <f>#REF!</f>
        <v/>
      </c>
      <c r="K1014" s="176">
        <f>#REF!</f>
        <v/>
      </c>
      <c r="L1014" s="177" t="n"/>
      <c r="M1014" s="178" t="n"/>
      <c r="N1014" s="145" t="b">
        <v>0</v>
      </c>
      <c r="O1014" s="179" t="b">
        <v>0</v>
      </c>
      <c r="P1014" s="145" t="b">
        <v>0</v>
      </c>
      <c r="Q1014" s="145" t="b">
        <v>0</v>
      </c>
      <c r="R1014" s="145" t="b">
        <v>0</v>
      </c>
      <c r="S1014" s="145" t="b">
        <v>0</v>
      </c>
      <c r="T1014" s="145" t="b">
        <v>0</v>
      </c>
      <c r="U1014" s="145" t="b">
        <v>0</v>
      </c>
      <c r="V1014" s="145" t="b">
        <v>0</v>
      </c>
      <c r="W1014" s="145" t="b">
        <v>0</v>
      </c>
    </row>
    <row r="1015" ht="69" customHeight="1" s="222">
      <c r="A1015" s="164" t="n"/>
      <c r="B1015" s="145" t="b">
        <v>0</v>
      </c>
      <c r="C1015" s="176">
        <f>#REF!</f>
        <v/>
      </c>
      <c r="D1015" s="174" t="n"/>
      <c r="E1015" s="174" t="n"/>
      <c r="F1015" s="176">
        <f>#REF!</f>
        <v/>
      </c>
      <c r="G1015" s="174">
        <f>#REF!</f>
        <v/>
      </c>
      <c r="H1015" s="174">
        <f>#REF!</f>
        <v/>
      </c>
      <c r="I1015" s="174">
        <f>#REF!</f>
        <v/>
      </c>
      <c r="J1015" s="174">
        <f>#REF!</f>
        <v/>
      </c>
      <c r="K1015" s="176">
        <f>#REF!</f>
        <v/>
      </c>
      <c r="L1015" s="177" t="n"/>
      <c r="M1015" s="178" t="n"/>
      <c r="N1015" s="145" t="b">
        <v>0</v>
      </c>
      <c r="O1015" s="179" t="b">
        <v>0</v>
      </c>
      <c r="P1015" s="145" t="b">
        <v>0</v>
      </c>
      <c r="Q1015" s="145" t="b">
        <v>0</v>
      </c>
      <c r="R1015" s="145" t="b">
        <v>0</v>
      </c>
      <c r="S1015" s="145" t="b">
        <v>0</v>
      </c>
      <c r="T1015" s="145" t="b">
        <v>0</v>
      </c>
      <c r="U1015" s="145" t="b">
        <v>0</v>
      </c>
      <c r="V1015" s="145" t="b">
        <v>0</v>
      </c>
      <c r="W1015" s="145" t="b">
        <v>0</v>
      </c>
    </row>
    <row r="1016" ht="69" customHeight="1" s="222">
      <c r="A1016" s="164" t="n"/>
      <c r="B1016" s="145" t="b">
        <v>0</v>
      </c>
      <c r="C1016" s="176">
        <f>#REF!</f>
        <v/>
      </c>
      <c r="D1016" s="174" t="n"/>
      <c r="E1016" s="174" t="n"/>
      <c r="F1016" s="176">
        <f>#REF!</f>
        <v/>
      </c>
      <c r="G1016" s="174">
        <f>#REF!</f>
        <v/>
      </c>
      <c r="H1016" s="174">
        <f>#REF!</f>
        <v/>
      </c>
      <c r="I1016" s="174">
        <f>#REF!</f>
        <v/>
      </c>
      <c r="J1016" s="174">
        <f>#REF!</f>
        <v/>
      </c>
      <c r="K1016" s="176">
        <f>#REF!</f>
        <v/>
      </c>
      <c r="L1016" s="177" t="n"/>
      <c r="M1016" s="178" t="n"/>
      <c r="N1016" s="145" t="b">
        <v>0</v>
      </c>
      <c r="O1016" s="179" t="b">
        <v>0</v>
      </c>
      <c r="P1016" s="145" t="b">
        <v>0</v>
      </c>
      <c r="Q1016" s="145" t="b">
        <v>0</v>
      </c>
      <c r="R1016" s="145" t="b">
        <v>0</v>
      </c>
      <c r="S1016" s="145" t="b">
        <v>0</v>
      </c>
      <c r="T1016" s="145" t="b">
        <v>0</v>
      </c>
      <c r="U1016" s="145" t="b">
        <v>0</v>
      </c>
      <c r="V1016" s="145" t="b">
        <v>0</v>
      </c>
      <c r="W1016" s="145" t="b">
        <v>0</v>
      </c>
    </row>
    <row r="1017" ht="69" customHeight="1" s="222">
      <c r="A1017" s="164" t="n"/>
      <c r="B1017" s="145" t="b">
        <v>0</v>
      </c>
      <c r="C1017" s="176">
        <f>#REF!</f>
        <v/>
      </c>
      <c r="D1017" s="174" t="n"/>
      <c r="E1017" s="174" t="n"/>
      <c r="F1017" s="176">
        <f>#REF!</f>
        <v/>
      </c>
      <c r="G1017" s="174">
        <f>#REF!</f>
        <v/>
      </c>
      <c r="H1017" s="174">
        <f>#REF!</f>
        <v/>
      </c>
      <c r="I1017" s="174">
        <f>#REF!</f>
        <v/>
      </c>
      <c r="J1017" s="174">
        <f>#REF!</f>
        <v/>
      </c>
      <c r="K1017" s="176">
        <f>#REF!</f>
        <v/>
      </c>
      <c r="L1017" s="177" t="n"/>
      <c r="M1017" s="178" t="n"/>
      <c r="N1017" s="145" t="b">
        <v>0</v>
      </c>
      <c r="O1017" s="179" t="b">
        <v>0</v>
      </c>
      <c r="P1017" s="145" t="b">
        <v>0</v>
      </c>
      <c r="Q1017" s="145" t="b">
        <v>0</v>
      </c>
      <c r="R1017" s="145" t="b">
        <v>0</v>
      </c>
      <c r="S1017" s="145" t="b">
        <v>0</v>
      </c>
      <c r="T1017" s="145" t="b">
        <v>0</v>
      </c>
      <c r="U1017" s="145" t="b">
        <v>0</v>
      </c>
      <c r="V1017" s="145" t="b">
        <v>0</v>
      </c>
      <c r="W1017" s="145" t="b">
        <v>0</v>
      </c>
    </row>
    <row r="1018" ht="69" customHeight="1" s="222">
      <c r="A1018" s="164" t="n"/>
      <c r="B1018" s="145" t="b">
        <v>0</v>
      </c>
      <c r="C1018" s="176">
        <f>#REF!</f>
        <v/>
      </c>
      <c r="D1018" s="174" t="n"/>
      <c r="E1018" s="174" t="n"/>
      <c r="F1018" s="176">
        <f>#REF!</f>
        <v/>
      </c>
      <c r="G1018" s="174">
        <f>#REF!</f>
        <v/>
      </c>
      <c r="H1018" s="174">
        <f>#REF!</f>
        <v/>
      </c>
      <c r="I1018" s="174">
        <f>#REF!</f>
        <v/>
      </c>
      <c r="J1018" s="174">
        <f>#REF!</f>
        <v/>
      </c>
      <c r="K1018" s="176">
        <f>#REF!</f>
        <v/>
      </c>
      <c r="L1018" s="177" t="n"/>
      <c r="M1018" s="178" t="n"/>
      <c r="N1018" s="145" t="b">
        <v>0</v>
      </c>
      <c r="O1018" s="179" t="b">
        <v>0</v>
      </c>
      <c r="P1018" s="145" t="b">
        <v>0</v>
      </c>
      <c r="Q1018" s="145" t="b">
        <v>0</v>
      </c>
      <c r="R1018" s="145" t="b">
        <v>0</v>
      </c>
      <c r="S1018" s="145" t="b">
        <v>0</v>
      </c>
      <c r="T1018" s="145" t="b">
        <v>0</v>
      </c>
      <c r="U1018" s="145" t="b">
        <v>0</v>
      </c>
      <c r="V1018" s="145" t="b">
        <v>0</v>
      </c>
      <c r="W1018" s="145" t="b">
        <v>0</v>
      </c>
    </row>
    <row r="1019" ht="69" customHeight="1" s="222">
      <c r="A1019" s="164" t="n"/>
      <c r="B1019" s="145" t="b">
        <v>0</v>
      </c>
      <c r="C1019" s="176">
        <f>#REF!</f>
        <v/>
      </c>
      <c r="D1019" s="174" t="n"/>
      <c r="E1019" s="174" t="n"/>
      <c r="F1019" s="176">
        <f>#REF!</f>
        <v/>
      </c>
      <c r="G1019" s="174">
        <f>#REF!</f>
        <v/>
      </c>
      <c r="H1019" s="174">
        <f>#REF!</f>
        <v/>
      </c>
      <c r="I1019" s="174">
        <f>#REF!</f>
        <v/>
      </c>
      <c r="J1019" s="174">
        <f>#REF!</f>
        <v/>
      </c>
      <c r="K1019" s="176">
        <f>#REF!</f>
        <v/>
      </c>
      <c r="L1019" s="177" t="n"/>
      <c r="M1019" s="178" t="n"/>
      <c r="N1019" s="145" t="b">
        <v>0</v>
      </c>
      <c r="O1019" s="179" t="b">
        <v>0</v>
      </c>
      <c r="P1019" s="145" t="b">
        <v>0</v>
      </c>
      <c r="Q1019" s="145" t="b">
        <v>0</v>
      </c>
      <c r="R1019" s="145" t="b">
        <v>0</v>
      </c>
      <c r="S1019" s="145" t="b">
        <v>0</v>
      </c>
      <c r="T1019" s="145" t="b">
        <v>0</v>
      </c>
      <c r="U1019" s="145" t="b">
        <v>0</v>
      </c>
      <c r="V1019" s="145" t="b">
        <v>0</v>
      </c>
      <c r="W1019" s="145" t="b">
        <v>0</v>
      </c>
    </row>
    <row r="1020" ht="69" customHeight="1" s="222">
      <c r="A1020" s="164" t="n"/>
      <c r="B1020" s="145" t="b">
        <v>0</v>
      </c>
      <c r="C1020" s="176">
        <f>#REF!</f>
        <v/>
      </c>
      <c r="D1020" s="174" t="n"/>
      <c r="E1020" s="174" t="n"/>
      <c r="F1020" s="176">
        <f>#REF!</f>
        <v/>
      </c>
      <c r="G1020" s="174">
        <f>#REF!</f>
        <v/>
      </c>
      <c r="H1020" s="174">
        <f>#REF!</f>
        <v/>
      </c>
      <c r="I1020" s="174">
        <f>#REF!</f>
        <v/>
      </c>
      <c r="J1020" s="174">
        <f>#REF!</f>
        <v/>
      </c>
      <c r="K1020" s="176">
        <f>#REF!</f>
        <v/>
      </c>
      <c r="L1020" s="177" t="n"/>
      <c r="M1020" s="178" t="n"/>
      <c r="N1020" s="145" t="b">
        <v>0</v>
      </c>
      <c r="O1020" s="179" t="b">
        <v>0</v>
      </c>
      <c r="P1020" s="145" t="b">
        <v>0</v>
      </c>
      <c r="Q1020" s="145" t="b">
        <v>0</v>
      </c>
      <c r="R1020" s="145" t="b">
        <v>0</v>
      </c>
      <c r="S1020" s="145" t="b">
        <v>0</v>
      </c>
      <c r="T1020" s="145" t="b">
        <v>0</v>
      </c>
      <c r="U1020" s="145" t="b">
        <v>0</v>
      </c>
      <c r="V1020" s="145" t="b">
        <v>0</v>
      </c>
      <c r="W1020" s="145" t="b">
        <v>0</v>
      </c>
    </row>
    <row r="1021" ht="69" customHeight="1" s="222">
      <c r="A1021" s="164" t="n"/>
      <c r="B1021" s="145" t="b">
        <v>0</v>
      </c>
      <c r="C1021" s="176">
        <f>#REF!</f>
        <v/>
      </c>
      <c r="D1021" s="174" t="n"/>
      <c r="E1021" s="174" t="n"/>
      <c r="F1021" s="176">
        <f>#REF!</f>
        <v/>
      </c>
      <c r="G1021" s="174">
        <f>#REF!</f>
        <v/>
      </c>
      <c r="H1021" s="174">
        <f>#REF!</f>
        <v/>
      </c>
      <c r="I1021" s="174">
        <f>#REF!</f>
        <v/>
      </c>
      <c r="J1021" s="174">
        <f>#REF!</f>
        <v/>
      </c>
      <c r="K1021" s="176">
        <f>#REF!</f>
        <v/>
      </c>
      <c r="L1021" s="177" t="n"/>
      <c r="M1021" s="178" t="n"/>
      <c r="N1021" s="145" t="b">
        <v>0</v>
      </c>
      <c r="O1021" s="179" t="b">
        <v>0</v>
      </c>
      <c r="P1021" s="145" t="b">
        <v>0</v>
      </c>
      <c r="Q1021" s="145" t="b">
        <v>0</v>
      </c>
      <c r="R1021" s="145" t="b">
        <v>0</v>
      </c>
      <c r="S1021" s="145" t="b">
        <v>0</v>
      </c>
      <c r="T1021" s="145" t="b">
        <v>0</v>
      </c>
      <c r="U1021" s="145" t="b">
        <v>0</v>
      </c>
      <c r="V1021" s="145" t="b">
        <v>0</v>
      </c>
      <c r="W1021" s="145" t="b">
        <v>0</v>
      </c>
    </row>
    <row r="1022" ht="69" customHeight="1" s="222">
      <c r="A1022" s="164" t="n"/>
      <c r="B1022" s="145" t="b">
        <v>0</v>
      </c>
      <c r="C1022" s="176">
        <f>#REF!</f>
        <v/>
      </c>
      <c r="D1022" s="174" t="n"/>
      <c r="E1022" s="174" t="n"/>
      <c r="F1022" s="176">
        <f>#REF!</f>
        <v/>
      </c>
      <c r="G1022" s="174">
        <f>#REF!</f>
        <v/>
      </c>
      <c r="H1022" s="174">
        <f>#REF!</f>
        <v/>
      </c>
      <c r="I1022" s="174">
        <f>#REF!</f>
        <v/>
      </c>
      <c r="J1022" s="174">
        <f>#REF!</f>
        <v/>
      </c>
      <c r="K1022" s="176">
        <f>#REF!</f>
        <v/>
      </c>
      <c r="L1022" s="177" t="n"/>
      <c r="M1022" s="178" t="n"/>
      <c r="N1022" s="145" t="b">
        <v>0</v>
      </c>
      <c r="O1022" s="179" t="b">
        <v>0</v>
      </c>
      <c r="P1022" s="145" t="b">
        <v>0</v>
      </c>
      <c r="Q1022" s="145" t="b">
        <v>0</v>
      </c>
      <c r="R1022" s="145" t="b">
        <v>0</v>
      </c>
      <c r="S1022" s="145" t="b">
        <v>0</v>
      </c>
      <c r="T1022" s="145" t="b">
        <v>0</v>
      </c>
      <c r="U1022" s="145" t="b">
        <v>0</v>
      </c>
      <c r="V1022" s="145" t="b">
        <v>0</v>
      </c>
      <c r="W1022" s="145" t="b">
        <v>0</v>
      </c>
    </row>
    <row r="1023" ht="69" customHeight="1" s="222">
      <c r="A1023" s="164" t="n"/>
      <c r="B1023" s="145" t="b">
        <v>0</v>
      </c>
      <c r="C1023" s="176">
        <f>#REF!</f>
        <v/>
      </c>
      <c r="D1023" s="174" t="n"/>
      <c r="E1023" s="174" t="n"/>
      <c r="F1023" s="176">
        <f>#REF!</f>
        <v/>
      </c>
      <c r="G1023" s="174">
        <f>#REF!</f>
        <v/>
      </c>
      <c r="H1023" s="174">
        <f>#REF!</f>
        <v/>
      </c>
      <c r="I1023" s="174">
        <f>#REF!</f>
        <v/>
      </c>
      <c r="J1023" s="174">
        <f>#REF!</f>
        <v/>
      </c>
      <c r="K1023" s="176">
        <f>#REF!</f>
        <v/>
      </c>
      <c r="L1023" s="177" t="n"/>
      <c r="M1023" s="178" t="n"/>
      <c r="N1023" s="145" t="b">
        <v>0</v>
      </c>
      <c r="O1023" s="179" t="b">
        <v>0</v>
      </c>
      <c r="P1023" s="145" t="b">
        <v>0</v>
      </c>
      <c r="Q1023" s="145" t="b">
        <v>0</v>
      </c>
      <c r="R1023" s="145" t="b">
        <v>0</v>
      </c>
      <c r="S1023" s="145" t="b">
        <v>0</v>
      </c>
      <c r="T1023" s="145" t="b">
        <v>0</v>
      </c>
      <c r="U1023" s="145" t="b">
        <v>0</v>
      </c>
      <c r="V1023" s="145" t="b">
        <v>0</v>
      </c>
      <c r="W1023" s="145" t="b">
        <v>0</v>
      </c>
    </row>
    <row r="1024" ht="69" customHeight="1" s="222">
      <c r="A1024" s="164" t="n"/>
      <c r="B1024" s="145" t="b">
        <v>0</v>
      </c>
      <c r="C1024" s="176">
        <f>#REF!</f>
        <v/>
      </c>
      <c r="D1024" s="174" t="n"/>
      <c r="E1024" s="174" t="n"/>
      <c r="F1024" s="176">
        <f>#REF!</f>
        <v/>
      </c>
      <c r="G1024" s="174">
        <f>#REF!</f>
        <v/>
      </c>
      <c r="H1024" s="174">
        <f>#REF!</f>
        <v/>
      </c>
      <c r="I1024" s="174">
        <f>#REF!</f>
        <v/>
      </c>
      <c r="J1024" s="174">
        <f>#REF!</f>
        <v/>
      </c>
      <c r="K1024" s="176">
        <f>#REF!</f>
        <v/>
      </c>
      <c r="L1024" s="177" t="n"/>
      <c r="M1024" s="178" t="n"/>
      <c r="N1024" s="145" t="b">
        <v>0</v>
      </c>
      <c r="O1024" s="179" t="b">
        <v>0</v>
      </c>
      <c r="P1024" s="145" t="b">
        <v>0</v>
      </c>
      <c r="Q1024" s="145" t="b">
        <v>0</v>
      </c>
      <c r="R1024" s="145" t="b">
        <v>0</v>
      </c>
      <c r="S1024" s="145" t="b">
        <v>0</v>
      </c>
      <c r="T1024" s="145" t="b">
        <v>0</v>
      </c>
      <c r="U1024" s="145" t="b">
        <v>0</v>
      </c>
      <c r="V1024" s="145" t="b">
        <v>0</v>
      </c>
      <c r="W1024" s="145" t="b">
        <v>0</v>
      </c>
    </row>
    <row r="1025" ht="69" customHeight="1" s="222">
      <c r="A1025" s="164" t="n"/>
      <c r="B1025" s="145" t="b">
        <v>0</v>
      </c>
      <c r="C1025" s="176">
        <f>#REF!</f>
        <v/>
      </c>
      <c r="D1025" s="174" t="n"/>
      <c r="E1025" s="174" t="n"/>
      <c r="F1025" s="176">
        <f>#REF!</f>
        <v/>
      </c>
      <c r="G1025" s="174">
        <f>#REF!</f>
        <v/>
      </c>
      <c r="H1025" s="174">
        <f>#REF!</f>
        <v/>
      </c>
      <c r="I1025" s="174">
        <f>#REF!</f>
        <v/>
      </c>
      <c r="J1025" s="174">
        <f>#REF!</f>
        <v/>
      </c>
      <c r="K1025" s="176">
        <f>#REF!</f>
        <v/>
      </c>
      <c r="L1025" s="177" t="n"/>
      <c r="M1025" s="178" t="n"/>
      <c r="N1025" s="145" t="b">
        <v>0</v>
      </c>
      <c r="O1025" s="179" t="b">
        <v>0</v>
      </c>
      <c r="P1025" s="145" t="b">
        <v>0</v>
      </c>
      <c r="Q1025" s="145" t="b">
        <v>0</v>
      </c>
      <c r="R1025" s="145" t="b">
        <v>0</v>
      </c>
      <c r="S1025" s="145" t="b">
        <v>0</v>
      </c>
      <c r="T1025" s="145" t="b">
        <v>0</v>
      </c>
      <c r="U1025" s="145" t="b">
        <v>0</v>
      </c>
      <c r="V1025" s="145" t="b">
        <v>0</v>
      </c>
      <c r="W1025" s="145" t="b">
        <v>0</v>
      </c>
    </row>
    <row r="1026" ht="69" customHeight="1" s="222">
      <c r="A1026" s="164" t="n"/>
      <c r="B1026" s="145" t="b">
        <v>0</v>
      </c>
      <c r="C1026" s="176">
        <f>#REF!</f>
        <v/>
      </c>
      <c r="D1026" s="174" t="n"/>
      <c r="E1026" s="174" t="n"/>
      <c r="F1026" s="176">
        <f>#REF!</f>
        <v/>
      </c>
      <c r="G1026" s="174">
        <f>#REF!</f>
        <v/>
      </c>
      <c r="H1026" s="174">
        <f>#REF!</f>
        <v/>
      </c>
      <c r="I1026" s="174">
        <f>#REF!</f>
        <v/>
      </c>
      <c r="J1026" s="174">
        <f>#REF!</f>
        <v/>
      </c>
      <c r="K1026" s="176">
        <f>#REF!</f>
        <v/>
      </c>
      <c r="L1026" s="177" t="n"/>
      <c r="M1026" s="178" t="n"/>
      <c r="N1026" s="145" t="b">
        <v>0</v>
      </c>
      <c r="O1026" s="179" t="b">
        <v>0</v>
      </c>
      <c r="P1026" s="145" t="b">
        <v>0</v>
      </c>
      <c r="Q1026" s="145" t="b">
        <v>0</v>
      </c>
      <c r="R1026" s="145" t="b">
        <v>0</v>
      </c>
      <c r="S1026" s="145" t="b">
        <v>0</v>
      </c>
      <c r="T1026" s="145" t="b">
        <v>0</v>
      </c>
      <c r="U1026" s="145" t="b">
        <v>0</v>
      </c>
      <c r="V1026" s="145" t="b">
        <v>0</v>
      </c>
      <c r="W1026" s="145" t="b">
        <v>0</v>
      </c>
    </row>
    <row r="1027" ht="69" customHeight="1" s="222">
      <c r="A1027" s="164" t="n"/>
      <c r="B1027" s="145" t="b">
        <v>0</v>
      </c>
      <c r="C1027" s="176">
        <f>#REF!</f>
        <v/>
      </c>
      <c r="D1027" s="174" t="n"/>
      <c r="E1027" s="174" t="n"/>
      <c r="F1027" s="176">
        <f>#REF!</f>
        <v/>
      </c>
      <c r="G1027" s="174">
        <f>#REF!</f>
        <v/>
      </c>
      <c r="H1027" s="174">
        <f>#REF!</f>
        <v/>
      </c>
      <c r="I1027" s="174">
        <f>#REF!</f>
        <v/>
      </c>
      <c r="J1027" s="174">
        <f>#REF!</f>
        <v/>
      </c>
      <c r="K1027" s="176">
        <f>#REF!</f>
        <v/>
      </c>
      <c r="L1027" s="177" t="n"/>
      <c r="M1027" s="178" t="n"/>
      <c r="N1027" s="145" t="b">
        <v>0</v>
      </c>
      <c r="O1027" s="179" t="b">
        <v>0</v>
      </c>
      <c r="P1027" s="145" t="b">
        <v>0</v>
      </c>
      <c r="Q1027" s="145" t="b">
        <v>0</v>
      </c>
      <c r="R1027" s="145" t="b">
        <v>0</v>
      </c>
      <c r="S1027" s="145" t="b">
        <v>0</v>
      </c>
      <c r="T1027" s="145" t="b">
        <v>0</v>
      </c>
      <c r="U1027" s="145" t="b">
        <v>0</v>
      </c>
      <c r="V1027" s="145" t="b">
        <v>0</v>
      </c>
      <c r="W1027" s="145" t="b">
        <v>0</v>
      </c>
    </row>
    <row r="1028" ht="69" customHeight="1" s="222">
      <c r="A1028" s="164" t="n"/>
      <c r="B1028" s="145" t="b">
        <v>0</v>
      </c>
      <c r="C1028" s="176">
        <f>#REF!</f>
        <v/>
      </c>
      <c r="D1028" s="174" t="n"/>
      <c r="E1028" s="174" t="n"/>
      <c r="F1028" s="176">
        <f>#REF!</f>
        <v/>
      </c>
      <c r="G1028" s="174">
        <f>#REF!</f>
        <v/>
      </c>
      <c r="H1028" s="174">
        <f>#REF!</f>
        <v/>
      </c>
      <c r="I1028" s="174">
        <f>#REF!</f>
        <v/>
      </c>
      <c r="J1028" s="174">
        <f>#REF!</f>
        <v/>
      </c>
      <c r="K1028" s="176">
        <f>#REF!</f>
        <v/>
      </c>
      <c r="L1028" s="177" t="n"/>
      <c r="M1028" s="178" t="n"/>
      <c r="N1028" s="145" t="b">
        <v>0</v>
      </c>
      <c r="O1028" s="179" t="b">
        <v>0</v>
      </c>
      <c r="P1028" s="145" t="b">
        <v>0</v>
      </c>
      <c r="Q1028" s="145" t="b">
        <v>0</v>
      </c>
      <c r="R1028" s="145" t="b">
        <v>0</v>
      </c>
      <c r="S1028" s="145" t="b">
        <v>0</v>
      </c>
      <c r="T1028" s="145" t="b">
        <v>0</v>
      </c>
      <c r="U1028" s="145" t="b">
        <v>0</v>
      </c>
      <c r="V1028" s="145" t="b">
        <v>0</v>
      </c>
      <c r="W1028" s="145" t="b">
        <v>0</v>
      </c>
    </row>
    <row r="1029" ht="69" customHeight="1" s="222">
      <c r="A1029" s="164" t="n"/>
      <c r="B1029" s="145" t="b">
        <v>0</v>
      </c>
      <c r="C1029" s="176">
        <f>#REF!</f>
        <v/>
      </c>
      <c r="D1029" s="174" t="n"/>
      <c r="E1029" s="174" t="n"/>
      <c r="F1029" s="176">
        <f>#REF!</f>
        <v/>
      </c>
      <c r="G1029" s="174">
        <f>#REF!</f>
        <v/>
      </c>
      <c r="H1029" s="174">
        <f>#REF!</f>
        <v/>
      </c>
      <c r="I1029" s="174">
        <f>#REF!</f>
        <v/>
      </c>
      <c r="J1029" s="174">
        <f>#REF!</f>
        <v/>
      </c>
      <c r="K1029" s="176">
        <f>#REF!</f>
        <v/>
      </c>
      <c r="L1029" s="177" t="n"/>
      <c r="M1029" s="178" t="n"/>
      <c r="N1029" s="145" t="b">
        <v>0</v>
      </c>
      <c r="O1029" s="179" t="b">
        <v>0</v>
      </c>
      <c r="P1029" s="145" t="b">
        <v>0</v>
      </c>
      <c r="Q1029" s="145" t="b">
        <v>0</v>
      </c>
      <c r="R1029" s="145" t="b">
        <v>0</v>
      </c>
      <c r="S1029" s="145" t="b">
        <v>0</v>
      </c>
      <c r="T1029" s="145" t="b">
        <v>0</v>
      </c>
      <c r="U1029" s="145" t="b">
        <v>0</v>
      </c>
      <c r="V1029" s="145" t="b">
        <v>0</v>
      </c>
      <c r="W1029" s="145" t="b">
        <v>0</v>
      </c>
    </row>
    <row r="1030" ht="69" customHeight="1" s="222">
      <c r="A1030" s="164" t="n"/>
      <c r="B1030" s="145" t="b">
        <v>0</v>
      </c>
      <c r="C1030" s="176">
        <f>#REF!</f>
        <v/>
      </c>
      <c r="D1030" s="174" t="n"/>
      <c r="E1030" s="174" t="n"/>
      <c r="F1030" s="176">
        <f>#REF!</f>
        <v/>
      </c>
      <c r="G1030" s="174">
        <f>#REF!</f>
        <v/>
      </c>
      <c r="H1030" s="174">
        <f>#REF!</f>
        <v/>
      </c>
      <c r="I1030" s="174">
        <f>#REF!</f>
        <v/>
      </c>
      <c r="J1030" s="174">
        <f>#REF!</f>
        <v/>
      </c>
      <c r="K1030" s="176">
        <f>#REF!</f>
        <v/>
      </c>
      <c r="L1030" s="177" t="n"/>
      <c r="M1030" s="178" t="n"/>
      <c r="N1030" s="145" t="b">
        <v>0</v>
      </c>
      <c r="O1030" s="179" t="b">
        <v>0</v>
      </c>
      <c r="P1030" s="145" t="b">
        <v>0</v>
      </c>
      <c r="Q1030" s="145" t="b">
        <v>0</v>
      </c>
      <c r="R1030" s="145" t="b">
        <v>0</v>
      </c>
      <c r="S1030" s="145" t="b">
        <v>0</v>
      </c>
      <c r="T1030" s="145" t="b">
        <v>0</v>
      </c>
      <c r="U1030" s="145" t="b">
        <v>0</v>
      </c>
      <c r="V1030" s="145" t="b">
        <v>0</v>
      </c>
      <c r="W1030" s="145" t="b">
        <v>0</v>
      </c>
    </row>
    <row r="1031" ht="69" customHeight="1" s="222">
      <c r="A1031" s="164" t="n"/>
      <c r="B1031" s="145" t="b">
        <v>0</v>
      </c>
      <c r="C1031" s="176">
        <f>#REF!</f>
        <v/>
      </c>
      <c r="D1031" s="174" t="n"/>
      <c r="E1031" s="174" t="n"/>
      <c r="F1031" s="176">
        <f>#REF!</f>
        <v/>
      </c>
      <c r="G1031" s="174">
        <f>#REF!</f>
        <v/>
      </c>
      <c r="H1031" s="174">
        <f>#REF!</f>
        <v/>
      </c>
      <c r="I1031" s="174">
        <f>#REF!</f>
        <v/>
      </c>
      <c r="J1031" s="174">
        <f>#REF!</f>
        <v/>
      </c>
      <c r="K1031" s="176">
        <f>#REF!</f>
        <v/>
      </c>
      <c r="L1031" s="177" t="n"/>
      <c r="M1031" s="178" t="n"/>
      <c r="N1031" s="145" t="b">
        <v>0</v>
      </c>
      <c r="O1031" s="179" t="b">
        <v>0</v>
      </c>
      <c r="P1031" s="145" t="b">
        <v>0</v>
      </c>
      <c r="Q1031" s="145" t="b">
        <v>0</v>
      </c>
      <c r="R1031" s="145" t="b">
        <v>0</v>
      </c>
      <c r="S1031" s="145" t="b">
        <v>0</v>
      </c>
      <c r="T1031" s="145" t="b">
        <v>0</v>
      </c>
      <c r="U1031" s="145" t="b">
        <v>0</v>
      </c>
      <c r="V1031" s="145" t="b">
        <v>0</v>
      </c>
      <c r="W1031" s="145" t="b">
        <v>0</v>
      </c>
    </row>
    <row r="1032" ht="69" customHeight="1" s="222">
      <c r="A1032" s="164" t="n"/>
      <c r="B1032" s="145" t="b">
        <v>0</v>
      </c>
      <c r="C1032" s="176">
        <f>#REF!</f>
        <v/>
      </c>
      <c r="D1032" s="174" t="n"/>
      <c r="E1032" s="174" t="n"/>
      <c r="F1032" s="176">
        <f>#REF!</f>
        <v/>
      </c>
      <c r="G1032" s="174">
        <f>#REF!</f>
        <v/>
      </c>
      <c r="H1032" s="174">
        <f>#REF!</f>
        <v/>
      </c>
      <c r="I1032" s="174">
        <f>#REF!</f>
        <v/>
      </c>
      <c r="J1032" s="174">
        <f>#REF!</f>
        <v/>
      </c>
      <c r="K1032" s="176">
        <f>#REF!</f>
        <v/>
      </c>
      <c r="L1032" s="177" t="n"/>
      <c r="M1032" s="178" t="n"/>
      <c r="N1032" s="145" t="b">
        <v>0</v>
      </c>
      <c r="O1032" s="179" t="b">
        <v>0</v>
      </c>
      <c r="P1032" s="145" t="b">
        <v>0</v>
      </c>
      <c r="Q1032" s="145" t="b">
        <v>0</v>
      </c>
      <c r="R1032" s="145" t="b">
        <v>0</v>
      </c>
      <c r="S1032" s="145" t="b">
        <v>0</v>
      </c>
      <c r="T1032" s="145" t="b">
        <v>0</v>
      </c>
      <c r="U1032" s="145" t="b">
        <v>0</v>
      </c>
      <c r="V1032" s="145" t="b">
        <v>0</v>
      </c>
      <c r="W1032" s="145" t="b">
        <v>0</v>
      </c>
    </row>
    <row r="1033" ht="69" customHeight="1" s="222">
      <c r="A1033" s="164" t="n"/>
      <c r="B1033" s="145" t="b">
        <v>0</v>
      </c>
      <c r="C1033" s="176">
        <f>#REF!</f>
        <v/>
      </c>
      <c r="D1033" s="174" t="n"/>
      <c r="E1033" s="174" t="n"/>
      <c r="F1033" s="176">
        <f>#REF!</f>
        <v/>
      </c>
      <c r="G1033" s="174">
        <f>#REF!</f>
        <v/>
      </c>
      <c r="H1033" s="174">
        <f>#REF!</f>
        <v/>
      </c>
      <c r="I1033" s="174">
        <f>#REF!</f>
        <v/>
      </c>
      <c r="J1033" s="174">
        <f>#REF!</f>
        <v/>
      </c>
      <c r="K1033" s="176">
        <f>#REF!</f>
        <v/>
      </c>
      <c r="L1033" s="177" t="n"/>
      <c r="M1033" s="178" t="n"/>
      <c r="N1033" s="145" t="b">
        <v>0</v>
      </c>
      <c r="O1033" s="179" t="b">
        <v>0</v>
      </c>
      <c r="P1033" s="145" t="b">
        <v>0</v>
      </c>
      <c r="Q1033" s="145" t="b">
        <v>0</v>
      </c>
      <c r="R1033" s="145" t="b">
        <v>0</v>
      </c>
      <c r="S1033" s="145" t="b">
        <v>0</v>
      </c>
      <c r="T1033" s="145" t="b">
        <v>0</v>
      </c>
      <c r="U1033" s="145" t="b">
        <v>0</v>
      </c>
      <c r="V1033" s="145" t="b">
        <v>0</v>
      </c>
      <c r="W1033" s="145" t="b">
        <v>0</v>
      </c>
    </row>
    <row r="1034" ht="69" customHeight="1" s="222">
      <c r="A1034" s="164" t="n"/>
      <c r="B1034" s="145" t="b">
        <v>0</v>
      </c>
      <c r="C1034" s="176">
        <f>#REF!</f>
        <v/>
      </c>
      <c r="D1034" s="174" t="n"/>
      <c r="E1034" s="174" t="n"/>
      <c r="F1034" s="176">
        <f>#REF!</f>
        <v/>
      </c>
      <c r="G1034" s="174">
        <f>#REF!</f>
        <v/>
      </c>
      <c r="H1034" s="174">
        <f>#REF!</f>
        <v/>
      </c>
      <c r="I1034" s="174">
        <f>#REF!</f>
        <v/>
      </c>
      <c r="J1034" s="174">
        <f>#REF!</f>
        <v/>
      </c>
      <c r="K1034" s="176">
        <f>#REF!</f>
        <v/>
      </c>
      <c r="L1034" s="177" t="n"/>
      <c r="M1034" s="178" t="n"/>
      <c r="N1034" s="145" t="b">
        <v>0</v>
      </c>
      <c r="O1034" s="179" t="b">
        <v>0</v>
      </c>
      <c r="P1034" s="145" t="b">
        <v>0</v>
      </c>
      <c r="Q1034" s="145" t="b">
        <v>0</v>
      </c>
      <c r="R1034" s="145" t="b">
        <v>0</v>
      </c>
      <c r="S1034" s="145" t="b">
        <v>0</v>
      </c>
      <c r="T1034" s="145" t="b">
        <v>0</v>
      </c>
      <c r="U1034" s="145" t="b">
        <v>0</v>
      </c>
      <c r="V1034" s="145" t="b">
        <v>0</v>
      </c>
      <c r="W1034" s="145" t="b">
        <v>0</v>
      </c>
    </row>
    <row r="1035" ht="69" customHeight="1" s="222">
      <c r="A1035" s="164" t="n"/>
      <c r="B1035" s="145" t="b">
        <v>0</v>
      </c>
      <c r="C1035" s="176">
        <f>#REF!</f>
        <v/>
      </c>
      <c r="D1035" s="174" t="n"/>
      <c r="E1035" s="174" t="n"/>
      <c r="F1035" s="176">
        <f>#REF!</f>
        <v/>
      </c>
      <c r="G1035" s="174">
        <f>#REF!</f>
        <v/>
      </c>
      <c r="H1035" s="174">
        <f>#REF!</f>
        <v/>
      </c>
      <c r="I1035" s="174">
        <f>#REF!</f>
        <v/>
      </c>
      <c r="J1035" s="174">
        <f>#REF!</f>
        <v/>
      </c>
      <c r="K1035" s="176">
        <f>#REF!</f>
        <v/>
      </c>
      <c r="L1035" s="177" t="n"/>
      <c r="M1035" s="178" t="n"/>
      <c r="N1035" s="145" t="b">
        <v>0</v>
      </c>
      <c r="O1035" s="179" t="b">
        <v>0</v>
      </c>
      <c r="P1035" s="145" t="b">
        <v>0</v>
      </c>
      <c r="Q1035" s="145" t="b">
        <v>0</v>
      </c>
      <c r="R1035" s="145" t="b">
        <v>0</v>
      </c>
      <c r="S1035" s="145" t="b">
        <v>0</v>
      </c>
      <c r="T1035" s="145" t="b">
        <v>0</v>
      </c>
      <c r="U1035" s="145" t="b">
        <v>0</v>
      </c>
      <c r="V1035" s="145" t="b">
        <v>0</v>
      </c>
      <c r="W1035" s="145" t="b">
        <v>0</v>
      </c>
    </row>
    <row r="1036" ht="69" customHeight="1" s="222">
      <c r="A1036" s="164" t="n"/>
      <c r="B1036" s="145" t="b">
        <v>0</v>
      </c>
      <c r="C1036" s="176">
        <f>#REF!</f>
        <v/>
      </c>
      <c r="D1036" s="174" t="n"/>
      <c r="E1036" s="174" t="n"/>
      <c r="F1036" s="176">
        <f>#REF!</f>
        <v/>
      </c>
      <c r="G1036" s="174">
        <f>#REF!</f>
        <v/>
      </c>
      <c r="H1036" s="174">
        <f>#REF!</f>
        <v/>
      </c>
      <c r="I1036" s="174">
        <f>#REF!</f>
        <v/>
      </c>
      <c r="J1036" s="174">
        <f>#REF!</f>
        <v/>
      </c>
      <c r="K1036" s="176">
        <f>#REF!</f>
        <v/>
      </c>
      <c r="L1036" s="177" t="n"/>
      <c r="M1036" s="178" t="n"/>
      <c r="N1036" s="145" t="b">
        <v>0</v>
      </c>
      <c r="O1036" s="179" t="b">
        <v>0</v>
      </c>
      <c r="P1036" s="145" t="b">
        <v>0</v>
      </c>
      <c r="Q1036" s="145" t="b">
        <v>0</v>
      </c>
      <c r="R1036" s="145" t="b">
        <v>0</v>
      </c>
      <c r="S1036" s="145" t="b">
        <v>0</v>
      </c>
      <c r="T1036" s="145" t="b">
        <v>0</v>
      </c>
      <c r="U1036" s="145" t="b">
        <v>0</v>
      </c>
      <c r="V1036" s="145" t="b">
        <v>0</v>
      </c>
      <c r="W1036" s="145" t="b">
        <v>0</v>
      </c>
    </row>
    <row r="1037" ht="69" customHeight="1" s="222">
      <c r="A1037" s="164" t="n"/>
      <c r="B1037" s="145" t="b">
        <v>0</v>
      </c>
      <c r="C1037" s="176">
        <f>#REF!</f>
        <v/>
      </c>
      <c r="D1037" s="174" t="n"/>
      <c r="E1037" s="174" t="n"/>
      <c r="F1037" s="176">
        <f>#REF!</f>
        <v/>
      </c>
      <c r="G1037" s="174">
        <f>#REF!</f>
        <v/>
      </c>
      <c r="H1037" s="174">
        <f>#REF!</f>
        <v/>
      </c>
      <c r="I1037" s="174">
        <f>#REF!</f>
        <v/>
      </c>
      <c r="J1037" s="174">
        <f>#REF!</f>
        <v/>
      </c>
      <c r="K1037" s="176">
        <f>#REF!</f>
        <v/>
      </c>
      <c r="L1037" s="177" t="n"/>
      <c r="M1037" s="178" t="n"/>
      <c r="N1037" s="145" t="b">
        <v>0</v>
      </c>
      <c r="O1037" s="179" t="b">
        <v>0</v>
      </c>
      <c r="P1037" s="145" t="b">
        <v>0</v>
      </c>
      <c r="Q1037" s="145" t="b">
        <v>0</v>
      </c>
      <c r="R1037" s="145" t="b">
        <v>0</v>
      </c>
      <c r="S1037" s="145" t="b">
        <v>0</v>
      </c>
      <c r="T1037" s="145" t="b">
        <v>0</v>
      </c>
      <c r="U1037" s="145" t="b">
        <v>0</v>
      </c>
      <c r="V1037" s="145" t="b">
        <v>0</v>
      </c>
      <c r="W1037" s="145" t="b">
        <v>0</v>
      </c>
    </row>
    <row r="1038" ht="69" customHeight="1" s="222">
      <c r="A1038" s="164" t="n"/>
      <c r="B1038" s="145" t="b">
        <v>0</v>
      </c>
      <c r="C1038" s="176">
        <f>#REF!</f>
        <v/>
      </c>
      <c r="D1038" s="174" t="n"/>
      <c r="E1038" s="174" t="n"/>
      <c r="F1038" s="176">
        <f>#REF!</f>
        <v/>
      </c>
      <c r="G1038" s="174">
        <f>#REF!</f>
        <v/>
      </c>
      <c r="H1038" s="174">
        <f>#REF!</f>
        <v/>
      </c>
      <c r="I1038" s="174">
        <f>#REF!</f>
        <v/>
      </c>
      <c r="J1038" s="174">
        <f>#REF!</f>
        <v/>
      </c>
      <c r="K1038" s="176">
        <f>#REF!</f>
        <v/>
      </c>
      <c r="L1038" s="177" t="n"/>
      <c r="M1038" s="178" t="n"/>
      <c r="N1038" s="145" t="b">
        <v>0</v>
      </c>
      <c r="O1038" s="179" t="b">
        <v>0</v>
      </c>
      <c r="P1038" s="145" t="b">
        <v>0</v>
      </c>
      <c r="Q1038" s="145" t="b">
        <v>0</v>
      </c>
      <c r="R1038" s="145" t="b">
        <v>0</v>
      </c>
      <c r="S1038" s="145" t="b">
        <v>0</v>
      </c>
      <c r="T1038" s="145" t="b">
        <v>0</v>
      </c>
      <c r="U1038" s="145" t="b">
        <v>0</v>
      </c>
      <c r="V1038" s="145" t="b">
        <v>0</v>
      </c>
      <c r="W1038" s="145" t="b">
        <v>0</v>
      </c>
    </row>
    <row r="1039" ht="69" customHeight="1" s="222">
      <c r="A1039" s="164" t="n"/>
      <c r="B1039" s="145" t="b">
        <v>0</v>
      </c>
      <c r="C1039" s="176">
        <f>#REF!</f>
        <v/>
      </c>
      <c r="D1039" s="174" t="n"/>
      <c r="E1039" s="174" t="n"/>
      <c r="F1039" s="176">
        <f>#REF!</f>
        <v/>
      </c>
      <c r="G1039" s="174">
        <f>#REF!</f>
        <v/>
      </c>
      <c r="H1039" s="174">
        <f>#REF!</f>
        <v/>
      </c>
      <c r="I1039" s="174">
        <f>#REF!</f>
        <v/>
      </c>
      <c r="J1039" s="174">
        <f>#REF!</f>
        <v/>
      </c>
      <c r="K1039" s="176">
        <f>#REF!</f>
        <v/>
      </c>
      <c r="L1039" s="177" t="n"/>
      <c r="M1039" s="178" t="n"/>
      <c r="N1039" s="145" t="b">
        <v>0</v>
      </c>
      <c r="O1039" s="179" t="b">
        <v>0</v>
      </c>
      <c r="P1039" s="145" t="b">
        <v>0</v>
      </c>
      <c r="Q1039" s="145" t="b">
        <v>0</v>
      </c>
      <c r="R1039" s="145" t="b">
        <v>0</v>
      </c>
      <c r="S1039" s="145" t="b">
        <v>0</v>
      </c>
      <c r="T1039" s="145" t="b">
        <v>0</v>
      </c>
      <c r="U1039" s="145" t="b">
        <v>0</v>
      </c>
      <c r="V1039" s="145" t="b">
        <v>0</v>
      </c>
      <c r="W1039" s="145" t="b">
        <v>0</v>
      </c>
    </row>
    <row r="1040" ht="69" customHeight="1" s="222">
      <c r="A1040" s="164" t="n"/>
      <c r="B1040" s="145" t="b">
        <v>0</v>
      </c>
      <c r="C1040" s="176">
        <f>#REF!</f>
        <v/>
      </c>
      <c r="D1040" s="174" t="n"/>
      <c r="E1040" s="174" t="n"/>
      <c r="F1040" s="176">
        <f>#REF!</f>
        <v/>
      </c>
      <c r="G1040" s="174">
        <f>#REF!</f>
        <v/>
      </c>
      <c r="H1040" s="174">
        <f>#REF!</f>
        <v/>
      </c>
      <c r="I1040" s="174">
        <f>#REF!</f>
        <v/>
      </c>
      <c r="J1040" s="174">
        <f>#REF!</f>
        <v/>
      </c>
      <c r="K1040" s="176">
        <f>#REF!</f>
        <v/>
      </c>
      <c r="L1040" s="177" t="n"/>
      <c r="M1040" s="178" t="n"/>
      <c r="N1040" s="145" t="b">
        <v>0</v>
      </c>
      <c r="O1040" s="179" t="b">
        <v>0</v>
      </c>
      <c r="P1040" s="145" t="b">
        <v>0</v>
      </c>
      <c r="Q1040" s="145" t="b">
        <v>0</v>
      </c>
      <c r="R1040" s="145" t="b">
        <v>0</v>
      </c>
      <c r="S1040" s="145" t="b">
        <v>0</v>
      </c>
      <c r="T1040" s="145" t="b">
        <v>0</v>
      </c>
      <c r="U1040" s="145" t="b">
        <v>0</v>
      </c>
      <c r="V1040" s="145" t="b">
        <v>0</v>
      </c>
      <c r="W1040" s="145" t="b">
        <v>0</v>
      </c>
    </row>
    <row r="1041" ht="69" customHeight="1" s="222">
      <c r="A1041" s="164" t="n"/>
      <c r="B1041" s="145" t="b">
        <v>0</v>
      </c>
      <c r="C1041" s="176">
        <f>#REF!</f>
        <v/>
      </c>
      <c r="D1041" s="174" t="n"/>
      <c r="E1041" s="174" t="n"/>
      <c r="F1041" s="176">
        <f>#REF!</f>
        <v/>
      </c>
      <c r="G1041" s="174">
        <f>#REF!</f>
        <v/>
      </c>
      <c r="H1041" s="174">
        <f>#REF!</f>
        <v/>
      </c>
      <c r="I1041" s="174">
        <f>#REF!</f>
        <v/>
      </c>
      <c r="J1041" s="174">
        <f>#REF!</f>
        <v/>
      </c>
      <c r="K1041" s="176">
        <f>#REF!</f>
        <v/>
      </c>
      <c r="L1041" s="177" t="n"/>
      <c r="M1041" s="178" t="n"/>
      <c r="N1041" s="145" t="b">
        <v>0</v>
      </c>
      <c r="O1041" s="179" t="b">
        <v>0</v>
      </c>
      <c r="P1041" s="145" t="b">
        <v>0</v>
      </c>
      <c r="Q1041" s="145" t="b">
        <v>0</v>
      </c>
      <c r="R1041" s="145" t="b">
        <v>0</v>
      </c>
      <c r="S1041" s="145" t="b">
        <v>0</v>
      </c>
      <c r="T1041" s="145" t="b">
        <v>0</v>
      </c>
      <c r="U1041" s="145" t="b">
        <v>0</v>
      </c>
      <c r="V1041" s="145" t="b">
        <v>0</v>
      </c>
      <c r="W1041" s="145" t="b">
        <v>0</v>
      </c>
    </row>
    <row r="1042" ht="69" customHeight="1" s="222">
      <c r="A1042" s="164" t="n"/>
      <c r="B1042" s="145" t="b">
        <v>0</v>
      </c>
      <c r="C1042" s="176">
        <f>#REF!</f>
        <v/>
      </c>
      <c r="D1042" s="174" t="n"/>
      <c r="E1042" s="174" t="n"/>
      <c r="F1042" s="176">
        <f>#REF!</f>
        <v/>
      </c>
      <c r="G1042" s="174">
        <f>#REF!</f>
        <v/>
      </c>
      <c r="H1042" s="174">
        <f>#REF!</f>
        <v/>
      </c>
      <c r="I1042" s="174">
        <f>#REF!</f>
        <v/>
      </c>
      <c r="J1042" s="174">
        <f>#REF!</f>
        <v/>
      </c>
      <c r="K1042" s="176">
        <f>#REF!</f>
        <v/>
      </c>
      <c r="L1042" s="177" t="n"/>
      <c r="M1042" s="178" t="n"/>
      <c r="N1042" s="145" t="b">
        <v>0</v>
      </c>
      <c r="O1042" s="179" t="b">
        <v>0</v>
      </c>
      <c r="P1042" s="145" t="b">
        <v>0</v>
      </c>
      <c r="Q1042" s="145" t="b">
        <v>0</v>
      </c>
      <c r="R1042" s="145" t="b">
        <v>0</v>
      </c>
      <c r="S1042" s="145" t="b">
        <v>0</v>
      </c>
      <c r="T1042" s="145" t="b">
        <v>0</v>
      </c>
      <c r="U1042" s="145" t="b">
        <v>0</v>
      </c>
      <c r="V1042" s="145" t="b">
        <v>0</v>
      </c>
      <c r="W1042" s="145" t="b">
        <v>0</v>
      </c>
    </row>
    <row r="1043" ht="69" customHeight="1" s="222">
      <c r="A1043" s="164" t="n"/>
      <c r="B1043" s="145" t="b">
        <v>0</v>
      </c>
      <c r="C1043" s="176">
        <f>#REF!</f>
        <v/>
      </c>
      <c r="D1043" s="174" t="n"/>
      <c r="E1043" s="174" t="n"/>
      <c r="F1043" s="176">
        <f>#REF!</f>
        <v/>
      </c>
      <c r="G1043" s="174">
        <f>#REF!</f>
        <v/>
      </c>
      <c r="H1043" s="174">
        <f>#REF!</f>
        <v/>
      </c>
      <c r="I1043" s="174">
        <f>#REF!</f>
        <v/>
      </c>
      <c r="J1043" s="174">
        <f>#REF!</f>
        <v/>
      </c>
      <c r="K1043" s="176">
        <f>#REF!</f>
        <v/>
      </c>
      <c r="L1043" s="177" t="n"/>
      <c r="M1043" s="178" t="n"/>
      <c r="N1043" s="145" t="b">
        <v>0</v>
      </c>
      <c r="O1043" s="179" t="b">
        <v>0</v>
      </c>
      <c r="P1043" s="145" t="b">
        <v>0</v>
      </c>
      <c r="Q1043" s="145" t="b">
        <v>0</v>
      </c>
      <c r="R1043" s="145" t="b">
        <v>0</v>
      </c>
      <c r="S1043" s="145" t="b">
        <v>0</v>
      </c>
      <c r="T1043" s="145" t="b">
        <v>0</v>
      </c>
      <c r="U1043" s="145" t="b">
        <v>0</v>
      </c>
      <c r="V1043" s="145" t="b">
        <v>0</v>
      </c>
      <c r="W1043" s="145" t="b">
        <v>0</v>
      </c>
    </row>
    <row r="1044" ht="69" customHeight="1" s="222">
      <c r="A1044" s="164" t="n"/>
      <c r="B1044" s="145" t="b">
        <v>0</v>
      </c>
      <c r="C1044" s="176">
        <f>#REF!</f>
        <v/>
      </c>
      <c r="D1044" s="174" t="n"/>
      <c r="E1044" s="174" t="n"/>
      <c r="F1044" s="176">
        <f>#REF!</f>
        <v/>
      </c>
      <c r="G1044" s="174">
        <f>#REF!</f>
        <v/>
      </c>
      <c r="H1044" s="174">
        <f>#REF!</f>
        <v/>
      </c>
      <c r="I1044" s="174">
        <f>#REF!</f>
        <v/>
      </c>
      <c r="J1044" s="174">
        <f>#REF!</f>
        <v/>
      </c>
      <c r="K1044" s="176">
        <f>#REF!</f>
        <v/>
      </c>
      <c r="L1044" s="177" t="n"/>
      <c r="M1044" s="178" t="n"/>
      <c r="N1044" s="145" t="b">
        <v>0</v>
      </c>
      <c r="O1044" s="179" t="b">
        <v>0</v>
      </c>
      <c r="P1044" s="145" t="b">
        <v>0</v>
      </c>
      <c r="Q1044" s="145" t="b">
        <v>0</v>
      </c>
      <c r="R1044" s="145" t="b">
        <v>0</v>
      </c>
      <c r="S1044" s="145" t="b">
        <v>0</v>
      </c>
      <c r="T1044" s="145" t="b">
        <v>0</v>
      </c>
      <c r="U1044" s="145" t="b">
        <v>0</v>
      </c>
      <c r="V1044" s="145" t="b">
        <v>0</v>
      </c>
      <c r="W1044" s="145" t="b">
        <v>0</v>
      </c>
    </row>
    <row r="1045" ht="69" customHeight="1" s="222">
      <c r="A1045" s="164" t="n"/>
      <c r="B1045" s="145" t="b">
        <v>0</v>
      </c>
      <c r="C1045" s="176">
        <f>#REF!</f>
        <v/>
      </c>
      <c r="D1045" s="174" t="n"/>
      <c r="E1045" s="174" t="n"/>
      <c r="F1045" s="176">
        <f>#REF!</f>
        <v/>
      </c>
      <c r="G1045" s="174">
        <f>#REF!</f>
        <v/>
      </c>
      <c r="H1045" s="174">
        <f>#REF!</f>
        <v/>
      </c>
      <c r="I1045" s="174">
        <f>#REF!</f>
        <v/>
      </c>
      <c r="J1045" s="174">
        <f>#REF!</f>
        <v/>
      </c>
      <c r="K1045" s="176">
        <f>#REF!</f>
        <v/>
      </c>
      <c r="L1045" s="177" t="n"/>
      <c r="M1045" s="178" t="n"/>
      <c r="N1045" s="145" t="b">
        <v>0</v>
      </c>
      <c r="O1045" s="179" t="b">
        <v>0</v>
      </c>
      <c r="P1045" s="145" t="b">
        <v>0</v>
      </c>
      <c r="Q1045" s="145" t="b">
        <v>0</v>
      </c>
      <c r="R1045" s="145" t="b">
        <v>0</v>
      </c>
      <c r="S1045" s="145" t="b">
        <v>0</v>
      </c>
      <c r="T1045" s="145" t="b">
        <v>0</v>
      </c>
      <c r="U1045" s="145" t="b">
        <v>0</v>
      </c>
      <c r="V1045" s="145" t="b">
        <v>0</v>
      </c>
      <c r="W1045" s="145" t="b">
        <v>0</v>
      </c>
    </row>
    <row r="1046" ht="69" customHeight="1" s="222">
      <c r="A1046" s="164" t="n"/>
      <c r="B1046" s="145" t="b">
        <v>0</v>
      </c>
      <c r="C1046" s="176">
        <f>#REF!</f>
        <v/>
      </c>
      <c r="D1046" s="174" t="n"/>
      <c r="E1046" s="174" t="n"/>
      <c r="F1046" s="176">
        <f>#REF!</f>
        <v/>
      </c>
      <c r="G1046" s="174">
        <f>#REF!</f>
        <v/>
      </c>
      <c r="H1046" s="174">
        <f>#REF!</f>
        <v/>
      </c>
      <c r="I1046" s="174">
        <f>#REF!</f>
        <v/>
      </c>
      <c r="J1046" s="174">
        <f>#REF!</f>
        <v/>
      </c>
      <c r="K1046" s="176">
        <f>#REF!</f>
        <v/>
      </c>
      <c r="L1046" s="177" t="n"/>
      <c r="M1046" s="178" t="n"/>
      <c r="N1046" s="145" t="b">
        <v>0</v>
      </c>
      <c r="O1046" s="179" t="b">
        <v>0</v>
      </c>
      <c r="P1046" s="145" t="b">
        <v>0</v>
      </c>
      <c r="Q1046" s="145" t="b">
        <v>0</v>
      </c>
      <c r="R1046" s="145" t="b">
        <v>0</v>
      </c>
      <c r="S1046" s="145" t="b">
        <v>0</v>
      </c>
      <c r="T1046" s="145" t="b">
        <v>0</v>
      </c>
      <c r="U1046" s="145" t="b">
        <v>0</v>
      </c>
      <c r="V1046" s="145" t="b">
        <v>0</v>
      </c>
      <c r="W1046" s="145" t="b">
        <v>0</v>
      </c>
    </row>
    <row r="1047" ht="69" customHeight="1" s="222">
      <c r="A1047" s="164" t="n"/>
      <c r="B1047" s="145" t="b">
        <v>0</v>
      </c>
      <c r="C1047" s="176">
        <f>#REF!</f>
        <v/>
      </c>
      <c r="D1047" s="174" t="n"/>
      <c r="E1047" s="174" t="n"/>
      <c r="F1047" s="176">
        <f>#REF!</f>
        <v/>
      </c>
      <c r="G1047" s="174">
        <f>#REF!</f>
        <v/>
      </c>
      <c r="H1047" s="174">
        <f>#REF!</f>
        <v/>
      </c>
      <c r="I1047" s="174">
        <f>#REF!</f>
        <v/>
      </c>
      <c r="J1047" s="174">
        <f>#REF!</f>
        <v/>
      </c>
      <c r="K1047" s="176">
        <f>#REF!</f>
        <v/>
      </c>
      <c r="L1047" s="177" t="n"/>
      <c r="M1047" s="178" t="n"/>
      <c r="N1047" s="145" t="b">
        <v>0</v>
      </c>
      <c r="O1047" s="179" t="b">
        <v>0</v>
      </c>
      <c r="P1047" s="145" t="b">
        <v>0</v>
      </c>
      <c r="Q1047" s="145" t="b">
        <v>0</v>
      </c>
      <c r="R1047" s="145" t="b">
        <v>0</v>
      </c>
      <c r="S1047" s="145" t="b">
        <v>0</v>
      </c>
      <c r="T1047" s="145" t="b">
        <v>0</v>
      </c>
      <c r="U1047" s="145" t="b">
        <v>0</v>
      </c>
      <c r="V1047" s="145" t="b">
        <v>0</v>
      </c>
      <c r="W1047" s="145" t="b">
        <v>0</v>
      </c>
    </row>
    <row r="1048" ht="69" customHeight="1" s="222">
      <c r="A1048" s="164" t="n"/>
      <c r="B1048" s="145" t="b">
        <v>0</v>
      </c>
      <c r="C1048" s="176">
        <f>#REF!</f>
        <v/>
      </c>
      <c r="D1048" s="174" t="n"/>
      <c r="E1048" s="174" t="n"/>
      <c r="F1048" s="176">
        <f>#REF!</f>
        <v/>
      </c>
      <c r="G1048" s="174">
        <f>#REF!</f>
        <v/>
      </c>
      <c r="H1048" s="174">
        <f>#REF!</f>
        <v/>
      </c>
      <c r="I1048" s="174">
        <f>#REF!</f>
        <v/>
      </c>
      <c r="J1048" s="174">
        <f>#REF!</f>
        <v/>
      </c>
      <c r="K1048" s="176">
        <f>#REF!</f>
        <v/>
      </c>
      <c r="L1048" s="177" t="n"/>
      <c r="M1048" s="178" t="n"/>
      <c r="N1048" s="145" t="b">
        <v>0</v>
      </c>
      <c r="O1048" s="179" t="b">
        <v>0</v>
      </c>
      <c r="P1048" s="145" t="b">
        <v>0</v>
      </c>
      <c r="Q1048" s="145" t="b">
        <v>0</v>
      </c>
      <c r="R1048" s="145" t="b">
        <v>0</v>
      </c>
      <c r="S1048" s="145" t="b">
        <v>0</v>
      </c>
      <c r="T1048" s="145" t="b">
        <v>0</v>
      </c>
      <c r="U1048" s="145" t="b">
        <v>0</v>
      </c>
      <c r="V1048" s="145" t="b">
        <v>0</v>
      </c>
      <c r="W1048" s="145" t="b">
        <v>0</v>
      </c>
    </row>
    <row r="1049" ht="69" customHeight="1" s="222">
      <c r="A1049" s="164" t="n"/>
      <c r="B1049" s="145" t="b">
        <v>0</v>
      </c>
      <c r="C1049" s="176">
        <f>#REF!</f>
        <v/>
      </c>
      <c r="D1049" s="174" t="n"/>
      <c r="E1049" s="174" t="n"/>
      <c r="F1049" s="176">
        <f>#REF!</f>
        <v/>
      </c>
      <c r="G1049" s="174">
        <f>#REF!</f>
        <v/>
      </c>
      <c r="H1049" s="174">
        <f>#REF!</f>
        <v/>
      </c>
      <c r="I1049" s="174">
        <f>#REF!</f>
        <v/>
      </c>
      <c r="J1049" s="174">
        <f>#REF!</f>
        <v/>
      </c>
      <c r="K1049" s="176">
        <f>#REF!</f>
        <v/>
      </c>
      <c r="L1049" s="177" t="n"/>
      <c r="M1049" s="178" t="n"/>
      <c r="N1049" s="145" t="b">
        <v>0</v>
      </c>
      <c r="O1049" s="179" t="b">
        <v>0</v>
      </c>
      <c r="P1049" s="145" t="b">
        <v>0</v>
      </c>
      <c r="Q1049" s="145" t="b">
        <v>0</v>
      </c>
      <c r="R1049" s="145" t="b">
        <v>0</v>
      </c>
      <c r="S1049" s="145" t="b">
        <v>0</v>
      </c>
      <c r="T1049" s="145" t="b">
        <v>0</v>
      </c>
      <c r="U1049" s="145" t="b">
        <v>0</v>
      </c>
      <c r="V1049" s="145" t="b">
        <v>0</v>
      </c>
      <c r="W1049" s="145" t="b">
        <v>0</v>
      </c>
    </row>
    <row r="1050" ht="69" customHeight="1" s="222">
      <c r="A1050" s="164" t="n"/>
      <c r="B1050" s="145" t="b">
        <v>0</v>
      </c>
      <c r="C1050" s="176">
        <f>#REF!</f>
        <v/>
      </c>
      <c r="D1050" s="174" t="n"/>
      <c r="E1050" s="174" t="n"/>
      <c r="F1050" s="176">
        <f>#REF!</f>
        <v/>
      </c>
      <c r="G1050" s="174">
        <f>#REF!</f>
        <v/>
      </c>
      <c r="H1050" s="174">
        <f>#REF!</f>
        <v/>
      </c>
      <c r="I1050" s="174">
        <f>#REF!</f>
        <v/>
      </c>
      <c r="J1050" s="174">
        <f>#REF!</f>
        <v/>
      </c>
      <c r="K1050" s="176">
        <f>#REF!</f>
        <v/>
      </c>
      <c r="L1050" s="177" t="n"/>
      <c r="M1050" s="178" t="n"/>
      <c r="N1050" s="145" t="b">
        <v>0</v>
      </c>
      <c r="O1050" s="179" t="b">
        <v>0</v>
      </c>
      <c r="P1050" s="145" t="b">
        <v>0</v>
      </c>
      <c r="Q1050" s="145" t="b">
        <v>0</v>
      </c>
      <c r="R1050" s="145" t="b">
        <v>0</v>
      </c>
      <c r="S1050" s="145" t="b">
        <v>0</v>
      </c>
      <c r="T1050" s="145" t="b">
        <v>0</v>
      </c>
      <c r="U1050" s="145" t="b">
        <v>0</v>
      </c>
      <c r="V1050" s="145" t="b">
        <v>0</v>
      </c>
      <c r="W1050" s="145" t="b">
        <v>0</v>
      </c>
    </row>
    <row r="1051" ht="69" customHeight="1" s="222">
      <c r="A1051" s="164" t="n"/>
      <c r="B1051" s="145" t="b">
        <v>0</v>
      </c>
      <c r="C1051" s="176">
        <f>#REF!</f>
        <v/>
      </c>
      <c r="D1051" s="174" t="n"/>
      <c r="E1051" s="174" t="n"/>
      <c r="F1051" s="176">
        <f>#REF!</f>
        <v/>
      </c>
      <c r="G1051" s="174">
        <f>#REF!</f>
        <v/>
      </c>
      <c r="H1051" s="174">
        <f>#REF!</f>
        <v/>
      </c>
      <c r="I1051" s="174">
        <f>#REF!</f>
        <v/>
      </c>
      <c r="J1051" s="174">
        <f>#REF!</f>
        <v/>
      </c>
      <c r="K1051" s="176">
        <f>#REF!</f>
        <v/>
      </c>
      <c r="L1051" s="177" t="n"/>
      <c r="M1051" s="178" t="n"/>
      <c r="N1051" s="145" t="b">
        <v>0</v>
      </c>
      <c r="O1051" s="179" t="b">
        <v>0</v>
      </c>
      <c r="P1051" s="145" t="b">
        <v>0</v>
      </c>
      <c r="Q1051" s="145" t="b">
        <v>0</v>
      </c>
      <c r="R1051" s="145" t="b">
        <v>0</v>
      </c>
      <c r="S1051" s="145" t="b">
        <v>0</v>
      </c>
      <c r="T1051" s="145" t="b">
        <v>0</v>
      </c>
      <c r="U1051" s="145" t="b">
        <v>0</v>
      </c>
      <c r="V1051" s="145" t="b">
        <v>0</v>
      </c>
      <c r="W1051" s="145" t="b">
        <v>0</v>
      </c>
    </row>
    <row r="1052" ht="69" customHeight="1" s="222">
      <c r="A1052" s="164" t="n"/>
      <c r="B1052" s="145" t="b">
        <v>0</v>
      </c>
      <c r="C1052" s="176">
        <f>#REF!</f>
        <v/>
      </c>
      <c r="D1052" s="174" t="n"/>
      <c r="E1052" s="174" t="n"/>
      <c r="F1052" s="176">
        <f>#REF!</f>
        <v/>
      </c>
      <c r="G1052" s="174">
        <f>#REF!</f>
        <v/>
      </c>
      <c r="H1052" s="174">
        <f>#REF!</f>
        <v/>
      </c>
      <c r="I1052" s="174">
        <f>#REF!</f>
        <v/>
      </c>
      <c r="J1052" s="174">
        <f>#REF!</f>
        <v/>
      </c>
      <c r="K1052" s="176">
        <f>#REF!</f>
        <v/>
      </c>
      <c r="L1052" s="177" t="n"/>
      <c r="M1052" s="178" t="n"/>
      <c r="N1052" s="145" t="b">
        <v>0</v>
      </c>
      <c r="O1052" s="179" t="b">
        <v>0</v>
      </c>
      <c r="P1052" s="145" t="b">
        <v>0</v>
      </c>
      <c r="Q1052" s="145" t="b">
        <v>0</v>
      </c>
      <c r="R1052" s="145" t="b">
        <v>0</v>
      </c>
      <c r="S1052" s="145" t="b">
        <v>0</v>
      </c>
      <c r="T1052" s="145" t="b">
        <v>0</v>
      </c>
      <c r="U1052" s="145" t="b">
        <v>0</v>
      </c>
      <c r="V1052" s="145" t="b">
        <v>0</v>
      </c>
      <c r="W1052" s="145" t="b">
        <v>0</v>
      </c>
    </row>
    <row r="1053" ht="69" customHeight="1" s="222">
      <c r="A1053" s="164" t="n"/>
      <c r="B1053" s="145" t="b">
        <v>0</v>
      </c>
      <c r="C1053" s="176">
        <f>#REF!</f>
        <v/>
      </c>
      <c r="D1053" s="174" t="n"/>
      <c r="E1053" s="174" t="n"/>
      <c r="F1053" s="176">
        <f>#REF!</f>
        <v/>
      </c>
      <c r="G1053" s="174">
        <f>#REF!</f>
        <v/>
      </c>
      <c r="H1053" s="174">
        <f>#REF!</f>
        <v/>
      </c>
      <c r="I1053" s="174">
        <f>#REF!</f>
        <v/>
      </c>
      <c r="J1053" s="174">
        <f>#REF!</f>
        <v/>
      </c>
      <c r="K1053" s="176">
        <f>#REF!</f>
        <v/>
      </c>
      <c r="L1053" s="177" t="n"/>
      <c r="M1053" s="178" t="n"/>
      <c r="N1053" s="145" t="b">
        <v>0</v>
      </c>
      <c r="O1053" s="179" t="b">
        <v>0</v>
      </c>
      <c r="P1053" s="145" t="b">
        <v>0</v>
      </c>
      <c r="Q1053" s="145" t="b">
        <v>0</v>
      </c>
      <c r="R1053" s="145" t="b">
        <v>0</v>
      </c>
      <c r="S1053" s="145" t="b">
        <v>0</v>
      </c>
      <c r="T1053" s="145" t="b">
        <v>0</v>
      </c>
      <c r="U1053" s="145" t="b">
        <v>0</v>
      </c>
      <c r="V1053" s="145" t="b">
        <v>0</v>
      </c>
      <c r="W1053" s="145" t="b">
        <v>0</v>
      </c>
    </row>
    <row r="1054" ht="69" customHeight="1" s="222">
      <c r="A1054" s="164" t="n"/>
      <c r="B1054" s="145" t="b">
        <v>0</v>
      </c>
      <c r="C1054" s="176">
        <f>#REF!</f>
        <v/>
      </c>
      <c r="D1054" s="174" t="n"/>
      <c r="E1054" s="174" t="n"/>
      <c r="F1054" s="176">
        <f>#REF!</f>
        <v/>
      </c>
      <c r="G1054" s="174">
        <f>#REF!</f>
        <v/>
      </c>
      <c r="H1054" s="174">
        <f>#REF!</f>
        <v/>
      </c>
      <c r="I1054" s="174">
        <f>#REF!</f>
        <v/>
      </c>
      <c r="J1054" s="174">
        <f>#REF!</f>
        <v/>
      </c>
      <c r="K1054" s="176">
        <f>#REF!</f>
        <v/>
      </c>
      <c r="L1054" s="177" t="n"/>
      <c r="M1054" s="178" t="n"/>
      <c r="N1054" s="145" t="b">
        <v>0</v>
      </c>
      <c r="O1054" s="179" t="b">
        <v>0</v>
      </c>
      <c r="P1054" s="145" t="b">
        <v>0</v>
      </c>
      <c r="Q1054" s="145" t="b">
        <v>0</v>
      </c>
      <c r="R1054" s="145" t="b">
        <v>0</v>
      </c>
      <c r="S1054" s="145" t="b">
        <v>0</v>
      </c>
      <c r="T1054" s="145" t="b">
        <v>0</v>
      </c>
      <c r="U1054" s="145" t="b">
        <v>0</v>
      </c>
      <c r="V1054" s="145" t="b">
        <v>0</v>
      </c>
      <c r="W1054" s="145" t="b">
        <v>0</v>
      </c>
    </row>
    <row r="1055" ht="69" customHeight="1" s="222">
      <c r="A1055" s="164" t="n"/>
      <c r="B1055" s="145" t="b">
        <v>0</v>
      </c>
      <c r="C1055" s="176">
        <f>#REF!</f>
        <v/>
      </c>
      <c r="D1055" s="174" t="n"/>
      <c r="E1055" s="174" t="n"/>
      <c r="F1055" s="176">
        <f>#REF!</f>
        <v/>
      </c>
      <c r="G1055" s="174">
        <f>#REF!</f>
        <v/>
      </c>
      <c r="H1055" s="174">
        <f>#REF!</f>
        <v/>
      </c>
      <c r="I1055" s="174">
        <f>#REF!</f>
        <v/>
      </c>
      <c r="J1055" s="174">
        <f>#REF!</f>
        <v/>
      </c>
      <c r="K1055" s="176">
        <f>#REF!</f>
        <v/>
      </c>
      <c r="L1055" s="177" t="n"/>
      <c r="M1055" s="178" t="n"/>
      <c r="N1055" s="145" t="b">
        <v>0</v>
      </c>
      <c r="O1055" s="179" t="b">
        <v>0</v>
      </c>
      <c r="P1055" s="145" t="b">
        <v>0</v>
      </c>
      <c r="Q1055" s="145" t="b">
        <v>0</v>
      </c>
      <c r="R1055" s="145" t="b">
        <v>0</v>
      </c>
      <c r="S1055" s="145" t="b">
        <v>0</v>
      </c>
      <c r="T1055" s="145" t="b">
        <v>0</v>
      </c>
      <c r="U1055" s="145" t="b">
        <v>0</v>
      </c>
      <c r="V1055" s="145" t="b">
        <v>0</v>
      </c>
      <c r="W1055" s="145" t="b">
        <v>0</v>
      </c>
    </row>
    <row r="1056" ht="69" customHeight="1" s="222">
      <c r="A1056" s="164" t="n"/>
      <c r="B1056" s="145" t="b">
        <v>0</v>
      </c>
      <c r="C1056" s="176">
        <f>#REF!</f>
        <v/>
      </c>
      <c r="D1056" s="174" t="n"/>
      <c r="E1056" s="174" t="n"/>
      <c r="F1056" s="176">
        <f>#REF!</f>
        <v/>
      </c>
      <c r="G1056" s="174">
        <f>#REF!</f>
        <v/>
      </c>
      <c r="H1056" s="174">
        <f>#REF!</f>
        <v/>
      </c>
      <c r="I1056" s="174">
        <f>#REF!</f>
        <v/>
      </c>
      <c r="J1056" s="174">
        <f>#REF!</f>
        <v/>
      </c>
      <c r="K1056" s="176">
        <f>#REF!</f>
        <v/>
      </c>
      <c r="L1056" s="177" t="n"/>
      <c r="M1056" s="178" t="n"/>
      <c r="N1056" s="145" t="b">
        <v>0</v>
      </c>
      <c r="O1056" s="179" t="b">
        <v>0</v>
      </c>
      <c r="P1056" s="145" t="b">
        <v>0</v>
      </c>
      <c r="Q1056" s="145" t="b">
        <v>0</v>
      </c>
      <c r="R1056" s="145" t="b">
        <v>0</v>
      </c>
      <c r="S1056" s="145" t="b">
        <v>0</v>
      </c>
      <c r="T1056" s="145" t="b">
        <v>0</v>
      </c>
      <c r="U1056" s="145" t="b">
        <v>0</v>
      </c>
      <c r="V1056" s="145" t="b">
        <v>0</v>
      </c>
      <c r="W1056" s="145" t="b">
        <v>0</v>
      </c>
    </row>
    <row r="1057" ht="69" customHeight="1" s="222">
      <c r="A1057" s="164" t="n"/>
      <c r="B1057" s="145" t="b">
        <v>0</v>
      </c>
      <c r="C1057" s="176">
        <f>#REF!</f>
        <v/>
      </c>
      <c r="D1057" s="174" t="n"/>
      <c r="E1057" s="174" t="n"/>
      <c r="F1057" s="176">
        <f>#REF!</f>
        <v/>
      </c>
      <c r="G1057" s="174">
        <f>#REF!</f>
        <v/>
      </c>
      <c r="H1057" s="174">
        <f>#REF!</f>
        <v/>
      </c>
      <c r="I1057" s="174">
        <f>#REF!</f>
        <v/>
      </c>
      <c r="J1057" s="174">
        <f>#REF!</f>
        <v/>
      </c>
      <c r="K1057" s="176">
        <f>#REF!</f>
        <v/>
      </c>
      <c r="L1057" s="177" t="n"/>
      <c r="M1057" s="178" t="n"/>
      <c r="N1057" s="145" t="b">
        <v>0</v>
      </c>
      <c r="O1057" s="179" t="b">
        <v>0</v>
      </c>
      <c r="P1057" s="145" t="b">
        <v>0</v>
      </c>
      <c r="Q1057" s="145" t="b">
        <v>0</v>
      </c>
      <c r="R1057" s="145" t="b">
        <v>0</v>
      </c>
      <c r="S1057" s="145" t="b">
        <v>0</v>
      </c>
      <c r="T1057" s="145" t="b">
        <v>0</v>
      </c>
      <c r="U1057" s="145" t="b">
        <v>0</v>
      </c>
      <c r="V1057" s="145" t="b">
        <v>0</v>
      </c>
      <c r="W1057" s="145" t="b">
        <v>0</v>
      </c>
    </row>
    <row r="1058" ht="69" customHeight="1" s="222">
      <c r="A1058" s="164" t="n"/>
      <c r="B1058" s="145" t="b">
        <v>0</v>
      </c>
      <c r="C1058" s="176">
        <f>#REF!</f>
        <v/>
      </c>
      <c r="D1058" s="174" t="n"/>
      <c r="E1058" s="174" t="n"/>
      <c r="F1058" s="176">
        <f>#REF!</f>
        <v/>
      </c>
      <c r="G1058" s="174">
        <f>#REF!</f>
        <v/>
      </c>
      <c r="H1058" s="174">
        <f>#REF!</f>
        <v/>
      </c>
      <c r="I1058" s="174">
        <f>#REF!</f>
        <v/>
      </c>
      <c r="J1058" s="174">
        <f>#REF!</f>
        <v/>
      </c>
      <c r="K1058" s="176">
        <f>#REF!</f>
        <v/>
      </c>
      <c r="L1058" s="177" t="n"/>
      <c r="M1058" s="178" t="n"/>
      <c r="N1058" s="145" t="b">
        <v>0</v>
      </c>
      <c r="O1058" s="179" t="b">
        <v>0</v>
      </c>
      <c r="P1058" s="145" t="b">
        <v>0</v>
      </c>
      <c r="Q1058" s="145" t="b">
        <v>0</v>
      </c>
      <c r="R1058" s="145" t="b">
        <v>0</v>
      </c>
      <c r="S1058" s="145" t="b">
        <v>0</v>
      </c>
      <c r="T1058" s="145" t="b">
        <v>0</v>
      </c>
      <c r="U1058" s="145" t="b">
        <v>0</v>
      </c>
      <c r="V1058" s="145" t="b">
        <v>0</v>
      </c>
      <c r="W1058" s="145" t="b">
        <v>0</v>
      </c>
    </row>
    <row r="1059" ht="69" customHeight="1" s="222">
      <c r="A1059" s="164" t="n"/>
      <c r="B1059" s="145" t="b">
        <v>0</v>
      </c>
      <c r="C1059" s="176">
        <f>#REF!</f>
        <v/>
      </c>
      <c r="D1059" s="174" t="n"/>
      <c r="E1059" s="174" t="n"/>
      <c r="F1059" s="176">
        <f>#REF!</f>
        <v/>
      </c>
      <c r="G1059" s="174">
        <f>#REF!</f>
        <v/>
      </c>
      <c r="H1059" s="174">
        <f>#REF!</f>
        <v/>
      </c>
      <c r="I1059" s="174">
        <f>#REF!</f>
        <v/>
      </c>
      <c r="J1059" s="174">
        <f>#REF!</f>
        <v/>
      </c>
      <c r="K1059" s="176">
        <f>#REF!</f>
        <v/>
      </c>
      <c r="L1059" s="177" t="n"/>
      <c r="M1059" s="178" t="n"/>
      <c r="N1059" s="145" t="b">
        <v>0</v>
      </c>
      <c r="O1059" s="179" t="b">
        <v>0</v>
      </c>
      <c r="P1059" s="145" t="b">
        <v>0</v>
      </c>
      <c r="Q1059" s="145" t="b">
        <v>0</v>
      </c>
      <c r="R1059" s="145" t="b">
        <v>0</v>
      </c>
      <c r="S1059" s="145" t="b">
        <v>0</v>
      </c>
      <c r="T1059" s="145" t="b">
        <v>0</v>
      </c>
      <c r="U1059" s="145" t="b">
        <v>0</v>
      </c>
      <c r="V1059" s="145" t="b">
        <v>0</v>
      </c>
      <c r="W1059" s="145" t="b">
        <v>0</v>
      </c>
    </row>
  </sheetData>
  <conditionalFormatting sqref="N2:W1059">
    <cfRule type="containsText" priority="1" operator="containsText" dxfId="2" text="T">
      <formula>NOT(ISERROR(SEARCH(("T"),(N2))))</formula>
    </cfRule>
  </conditionalFormatting>
  <conditionalFormatting sqref="B2:B1059">
    <cfRule type="containsText" priority="2" operator="containsText" dxfId="3" text="T">
      <formula>NOT(ISERROR(SEARCH(("T"),(B2))))</formula>
    </cfRule>
  </conditionalFormatting>
  <dataValidations count="1">
    <dataValidation sqref="D2:D125" showDropDown="0" showInputMessage="0" showErrorMessage="1" allowBlank="1" type="list">
      <formula1>"Phone call ,Email,In Person"</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A1000"/>
  <sheetViews>
    <sheetView workbookViewId="0">
      <pane ySplit="1" topLeftCell="A2" activePane="bottomLeft" state="frozen"/>
      <selection pane="bottomLeft" activeCell="B3" sqref="B3"/>
    </sheetView>
  </sheetViews>
  <sheetFormatPr baseColWidth="8" defaultColWidth="12.63" defaultRowHeight="15" customHeight="1"/>
  <cols>
    <col width="10.13" customWidth="1" style="222" min="1" max="1"/>
    <col width="56.25" customWidth="1" style="222" min="2" max="2"/>
    <col width="17.13" customWidth="1" style="222" min="3" max="3"/>
    <col width="29.63" customWidth="1" style="222" min="5" max="5"/>
    <col width="20" customWidth="1" style="222" min="9" max="9"/>
    <col width="25.38" customWidth="1" style="222" min="10" max="10"/>
    <col width="21.63" customWidth="1" style="222" min="11" max="11"/>
    <col width="29.38" customWidth="1" style="222" min="13" max="13"/>
    <col width="18" customWidth="1" style="222" min="14" max="14"/>
    <col width="32.88" customWidth="1" style="222" min="15" max="15"/>
  </cols>
  <sheetData>
    <row r="1" ht="45.75" customHeight="1" s="222">
      <c r="A1" s="8" t="inlineStr">
        <is>
          <t xml:space="preserve">Loaction ID </t>
        </is>
      </c>
      <c r="B1" s="173" t="inlineStr">
        <is>
          <t>Location Name</t>
        </is>
      </c>
      <c r="C1" s="173" t="inlineStr">
        <is>
          <t>Location Type</t>
        </is>
      </c>
      <c r="D1" s="173" t="inlineStr">
        <is>
          <t>Location Area</t>
        </is>
      </c>
      <c r="E1" s="173" t="inlineStr">
        <is>
          <t>Address</t>
        </is>
      </c>
      <c r="F1" s="173" t="inlineStr">
        <is>
          <t># Spaces</t>
        </is>
      </c>
      <c r="G1" s="181" t="inlineStr">
        <is>
          <t>Hourly Rate</t>
        </is>
      </c>
      <c r="H1" s="181" t="inlineStr">
        <is>
          <t>Unreserved Monthly Rate</t>
        </is>
      </c>
      <c r="I1" s="181" t="inlineStr">
        <is>
          <t>Operator</t>
        </is>
      </c>
      <c r="J1" s="181" t="inlineStr">
        <is>
          <t>Point of Contact</t>
        </is>
      </c>
      <c r="K1" s="181" t="inlineStr">
        <is>
          <t>POC Number</t>
        </is>
      </c>
      <c r="L1" s="181" t="inlineStr">
        <is>
          <t>URL</t>
        </is>
      </c>
      <c r="M1" s="181" t="inlineStr">
        <is>
          <t>Notes</t>
        </is>
      </c>
      <c r="N1" s="181" t="inlineStr">
        <is>
          <t>PARCs Equipment Notes</t>
        </is>
      </c>
      <c r="O1" s="182" t="inlineStr">
        <is>
          <t>Account Associated</t>
        </is>
      </c>
      <c r="P1" s="183" t="n"/>
      <c r="Q1" s="183" t="n"/>
      <c r="R1" s="183" t="n"/>
      <c r="S1" s="183" t="n"/>
      <c r="T1" s="183" t="n"/>
      <c r="U1" s="183" t="n"/>
      <c r="V1" s="183" t="n"/>
      <c r="W1" s="183" t="n"/>
      <c r="X1" s="183" t="n"/>
      <c r="Y1" s="183" t="n"/>
      <c r="Z1" s="183" t="n"/>
      <c r="AA1" s="183" t="n"/>
    </row>
    <row r="2" ht="45.75" customHeight="1" s="222">
      <c r="A2" s="197" t="n">
        <v>1</v>
      </c>
      <c r="B2" s="8" t="inlineStr">
        <is>
          <t xml:space="preserve"> Novus Place Structure</t>
        </is>
      </c>
      <c r="C2" s="197" t="inlineStr">
        <is>
          <t>Garage</t>
        </is>
      </c>
      <c r="D2" s="197" t="inlineStr">
        <is>
          <t>Tempe</t>
        </is>
      </c>
      <c r="E2" s="8" t="inlineStr">
        <is>
          <t>747 S Packard Dr, Tempe, AZ 85281</t>
        </is>
      </c>
      <c r="F2" s="197" t="n">
        <v>1801</v>
      </c>
      <c r="G2" s="195" t="n">
        <v>4</v>
      </c>
      <c r="H2" s="197" t="n"/>
      <c r="I2" s="8" t="inlineStr">
        <is>
          <t>ASU</t>
        </is>
      </c>
      <c r="J2" s="8" t="n"/>
      <c r="K2" s="197" t="n"/>
      <c r="L2" s="173" t="n"/>
      <c r="M2" s="173" t="n"/>
      <c r="N2" s="173" t="n"/>
      <c r="O2" s="105" t="inlineStr">
        <is>
          <t>North Italia &amp; Blanco in Tempe</t>
        </is>
      </c>
      <c r="P2" s="183" t="n"/>
      <c r="Q2" s="183" t="n"/>
      <c r="R2" s="183" t="n"/>
      <c r="S2" s="183" t="n"/>
      <c r="T2" s="183" t="n"/>
      <c r="U2" s="183" t="n"/>
      <c r="V2" s="183" t="n"/>
      <c r="W2" s="183" t="n"/>
      <c r="X2" s="183" t="n"/>
      <c r="Y2" s="183" t="n"/>
      <c r="Z2" s="183" t="n"/>
      <c r="AA2" s="183" t="n"/>
    </row>
    <row r="3" ht="45.75" customHeight="1" s="222">
      <c r="A3" s="197" t="n">
        <v>2</v>
      </c>
      <c r="B3" s="8" t="inlineStr">
        <is>
          <t>Chase Centerpoint Facility</t>
        </is>
      </c>
      <c r="C3" s="197" t="inlineStr">
        <is>
          <t>Garage</t>
        </is>
      </c>
      <c r="D3" s="197" t="inlineStr">
        <is>
          <t>Tempe</t>
        </is>
      </c>
      <c r="E3" s="8" t="inlineStr">
        <is>
          <t>725 Ash Ave,
Tempe, AZ 85281</t>
        </is>
      </c>
      <c r="F3" s="197" t="n">
        <v>750</v>
      </c>
      <c r="G3" s="195" t="n">
        <v>6</v>
      </c>
      <c r="H3" s="195" t="inlineStr">
        <is>
          <t>NA</t>
        </is>
      </c>
      <c r="I3" s="8" t="inlineStr">
        <is>
          <t>SP+</t>
        </is>
      </c>
      <c r="J3" s="189" t="inlineStr">
        <is>
          <t>Monthly Parking Specialists</t>
        </is>
      </c>
      <c r="K3" s="189" t="inlineStr">
        <is>
          <t>(602)-802-5487</t>
        </is>
      </c>
      <c r="L3" s="190" t="inlineStr">
        <is>
          <t>https://parking.com/national/parking-near/33.42302890000001/-111.9418086/725-s-ash-ave?lot_id=20719&amp;showListOnly=1&amp;view=daily&amp;facility&amp;valet&amp;general=&amp;displayFullCity=0&amp;start=2026-02-24T11%3A00&amp;stop=2026-02-24T13%3A00&amp;sw=33.42082970431528,-111.94714598144415&amp;ne=33.42560564999984,-111.93767239855623</t>
        </is>
      </c>
      <c r="M3" s="195" t="n"/>
      <c r="N3" s="195" t="n"/>
      <c r="O3" s="200" t="inlineStr">
        <is>
          <t xml:space="preserve">Flithy Animal or Other Mill Ave </t>
        </is>
      </c>
      <c r="P3" s="183" t="n"/>
      <c r="Q3" s="183" t="n"/>
      <c r="R3" s="183" t="n"/>
      <c r="S3" s="183" t="n"/>
      <c r="T3" s="183" t="n"/>
      <c r="U3" s="183" t="n"/>
      <c r="V3" s="183" t="n"/>
      <c r="W3" s="183" t="n"/>
      <c r="X3" s="183" t="n"/>
      <c r="Y3" s="183" t="n"/>
      <c r="Z3" s="183" t="n"/>
      <c r="AA3" s="183" t="n"/>
    </row>
    <row r="4" ht="45.75" customHeight="1" s="222">
      <c r="A4" s="197" t="n">
        <v>3</v>
      </c>
      <c r="B4" s="197" t="inlineStr">
        <is>
          <t>Hayden Ferry Lakeside</t>
        </is>
      </c>
      <c r="C4" s="197" t="inlineStr">
        <is>
          <t>Garage</t>
        </is>
      </c>
      <c r="D4" s="197" t="inlineStr">
        <is>
          <t>Tempe</t>
        </is>
      </c>
      <c r="E4" s="8" t="inlineStr">
        <is>
          <t>68 E Rio Salado Pkwy,
Tempe, AZ 85281</t>
        </is>
      </c>
      <c r="F4" s="197" t="n">
        <v>2704</v>
      </c>
      <c r="G4" s="195" t="n">
        <v>3</v>
      </c>
      <c r="H4" s="195" t="n"/>
      <c r="I4" s="8" t="n"/>
      <c r="J4" s="195" t="n"/>
      <c r="K4" s="197" t="n"/>
      <c r="L4" s="173" t="n"/>
      <c r="M4" s="173" t="n"/>
      <c r="N4" s="173" t="n"/>
      <c r="O4" s="105" t="inlineStr">
        <is>
          <t>Roman (Pre Open)</t>
        </is>
      </c>
      <c r="P4" s="183" t="n"/>
      <c r="Q4" s="183" t="n"/>
      <c r="R4" s="183" t="n"/>
      <c r="S4" s="183" t="n"/>
      <c r="T4" s="183" t="n"/>
      <c r="U4" s="183" t="n"/>
      <c r="V4" s="183" t="n"/>
      <c r="W4" s="183" t="n"/>
      <c r="X4" s="183" t="n"/>
      <c r="Y4" s="183" t="n"/>
      <c r="Z4" s="183" t="n"/>
      <c r="AA4" s="183" t="n"/>
    </row>
    <row r="5" ht="45.75" customHeight="1" s="222">
      <c r="A5" s="197" t="n">
        <v>4</v>
      </c>
      <c r="B5" s="197" t="inlineStr">
        <is>
          <t>CityScape West</t>
        </is>
      </c>
      <c r="C5" s="197" t="inlineStr">
        <is>
          <t>Garage</t>
        </is>
      </c>
      <c r="D5" s="197" t="inlineStr">
        <is>
          <t>Downtown</t>
        </is>
      </c>
      <c r="E5" s="8" t="inlineStr">
        <is>
          <t>1 E Washington St Phoenix, AZ 85004</t>
        </is>
      </c>
      <c r="F5" s="197" t="n"/>
      <c r="G5" s="195" t="n">
        <v>5</v>
      </c>
      <c r="H5" s="195" t="n"/>
      <c r="I5" s="8" t="inlineStr">
        <is>
          <t>Ace</t>
        </is>
      </c>
      <c r="J5" s="195" t="n"/>
      <c r="K5" s="193" t="n"/>
      <c r="L5" s="89" t="inlineStr">
        <is>
          <t>https://www.reddevelopment.com/cityscape/directory/</t>
        </is>
      </c>
      <c r="M5" s="8" t="inlineStr">
        <is>
          <t>Garage has valet</t>
        </is>
      </c>
      <c r="N5" s="8" t="n"/>
      <c r="O5" s="105" t="inlineStr">
        <is>
          <t>Rosso Italian, Arrogant Butcher</t>
        </is>
      </c>
      <c r="P5" s="183" t="n"/>
      <c r="Q5" s="183" t="n"/>
      <c r="R5" s="183" t="n"/>
      <c r="S5" s="183" t="n"/>
      <c r="T5" s="183" t="n"/>
      <c r="U5" s="183" t="n"/>
      <c r="V5" s="183" t="n"/>
      <c r="W5" s="183" t="n"/>
      <c r="X5" s="183" t="n"/>
      <c r="Y5" s="183" t="n"/>
      <c r="Z5" s="183" t="n"/>
      <c r="AA5" s="183" t="n"/>
    </row>
    <row r="6" ht="45.75" customHeight="1" s="222">
      <c r="A6" s="197" t="n">
        <v>5</v>
      </c>
      <c r="B6" s="197" t="inlineStr">
        <is>
          <t>City of Phoenix Plaza Garage</t>
        </is>
      </c>
      <c r="C6" s="197" t="inlineStr">
        <is>
          <t>Garage</t>
        </is>
      </c>
      <c r="D6" s="197" t="inlineStr">
        <is>
          <t>Downtown</t>
        </is>
      </c>
      <c r="E6" s="8" t="inlineStr">
        <is>
          <t>100 W Washington St
Phoenix, AZ 85003</t>
        </is>
      </c>
      <c r="F6" s="197" t="n">
        <v>1405</v>
      </c>
      <c r="G6" s="195" t="n">
        <v>4</v>
      </c>
      <c r="H6" s="195" t="n"/>
      <c r="I6" s="8" t="inlineStr">
        <is>
          <t>Ace</t>
        </is>
      </c>
      <c r="J6" s="197" t="n"/>
      <c r="K6" s="193" t="n"/>
      <c r="L6" s="197" t="n"/>
      <c r="M6" s="8" t="n"/>
      <c r="N6" s="197" t="n"/>
      <c r="O6" s="202" t="n"/>
      <c r="P6" s="183" t="n"/>
      <c r="Q6" s="183" t="n"/>
      <c r="R6" s="183" t="n"/>
      <c r="S6" s="183" t="n"/>
      <c r="T6" s="183" t="n"/>
      <c r="U6" s="183" t="n"/>
      <c r="V6" s="183" t="n"/>
      <c r="W6" s="183" t="n"/>
      <c r="X6" s="183" t="n"/>
      <c r="Y6" s="183" t="n"/>
      <c r="Z6" s="183" t="n"/>
      <c r="AA6" s="183" t="n"/>
    </row>
    <row r="7" ht="45.75" customHeight="1" s="222">
      <c r="A7" s="197" t="n">
        <v>6</v>
      </c>
      <c r="B7" s="197" t="inlineStr">
        <is>
          <t>Chase Tower Garage</t>
        </is>
      </c>
      <c r="C7" s="197" t="inlineStr">
        <is>
          <t>Garage</t>
        </is>
      </c>
      <c r="D7" s="197" t="inlineStr">
        <is>
          <t>Downtown</t>
        </is>
      </c>
      <c r="E7" s="8" t="inlineStr">
        <is>
          <t>201 N 1st St
Phoenix, AZ 85004</t>
        </is>
      </c>
      <c r="F7" s="197" t="n">
        <v>1950</v>
      </c>
      <c r="G7" s="195" t="n">
        <v>5</v>
      </c>
      <c r="H7" s="195" t="n"/>
      <c r="I7" s="8" t="inlineStr">
        <is>
          <t>Ace</t>
        </is>
      </c>
      <c r="J7" s="197" t="n"/>
      <c r="K7" s="193" t="n"/>
      <c r="L7" s="197" t="n"/>
      <c r="M7" s="8" t="n"/>
      <c r="N7" s="197" t="n"/>
      <c r="O7" s="202" t="n"/>
      <c r="P7" s="183" t="n"/>
      <c r="Q7" s="183" t="n"/>
      <c r="R7" s="183" t="n"/>
      <c r="S7" s="183" t="n"/>
      <c r="T7" s="183" t="n"/>
      <c r="U7" s="183" t="n"/>
      <c r="V7" s="183" t="n"/>
      <c r="W7" s="183" t="n"/>
      <c r="X7" s="183" t="n"/>
      <c r="Y7" s="183" t="n"/>
      <c r="Z7" s="183" t="n"/>
      <c r="AA7" s="183" t="n"/>
    </row>
    <row r="8" ht="45.75" customHeight="1" s="222">
      <c r="A8" s="197" t="n">
        <v>7</v>
      </c>
      <c r="B8" s="197" t="inlineStr">
        <is>
          <t>21 W Van Buren St</t>
        </is>
      </c>
      <c r="C8" s="197" t="inlineStr">
        <is>
          <t>Garage</t>
        </is>
      </c>
      <c r="D8" s="197" t="inlineStr">
        <is>
          <t>Downtown</t>
        </is>
      </c>
      <c r="E8" s="8" t="inlineStr">
        <is>
          <t>21 W Van Buren St
Phoenix, AZ 85004</t>
        </is>
      </c>
      <c r="F8" s="197" t="n">
        <v>461</v>
      </c>
      <c r="G8" s="195" t="n">
        <v>4</v>
      </c>
      <c r="H8" s="195" t="n"/>
      <c r="I8" s="8" t="inlineStr">
        <is>
          <t>LAZ</t>
        </is>
      </c>
      <c r="J8" s="197" t="n"/>
      <c r="K8" s="197" t="n"/>
      <c r="L8" s="197" t="n"/>
      <c r="M8" s="8" t="n"/>
      <c r="N8" s="197" t="n"/>
      <c r="O8" s="202" t="n"/>
      <c r="P8" s="183" t="n"/>
      <c r="Q8" s="183" t="n"/>
      <c r="R8" s="183" t="n"/>
      <c r="S8" s="183" t="n"/>
      <c r="T8" s="183" t="n"/>
      <c r="U8" s="183" t="n"/>
      <c r="V8" s="183" t="n"/>
      <c r="W8" s="183" t="n"/>
      <c r="X8" s="183" t="n"/>
      <c r="Y8" s="183" t="n"/>
      <c r="Z8" s="183" t="n"/>
      <c r="AA8" s="183" t="n"/>
    </row>
    <row r="9" ht="45.75" customHeight="1" s="222">
      <c r="A9" s="197" t="n">
        <v>8</v>
      </c>
      <c r="B9" s="197" t="inlineStr">
        <is>
          <t>Ten-0-One</t>
        </is>
      </c>
      <c r="C9" s="197" t="inlineStr">
        <is>
          <t>Garage</t>
        </is>
      </c>
      <c r="D9" s="197" t="inlineStr">
        <is>
          <t>Downtown</t>
        </is>
      </c>
      <c r="E9" s="8" t="inlineStr">
        <is>
          <t>1001 N Central Ave
Phoenix, AZ 85004</t>
        </is>
      </c>
      <c r="F9" s="197" t="n">
        <v>350</v>
      </c>
      <c r="G9" s="195" t="n"/>
      <c r="H9" s="195" t="n"/>
      <c r="I9" s="8" t="inlineStr">
        <is>
          <t>Ace ( I think)</t>
        </is>
      </c>
      <c r="J9" s="197" t="n"/>
      <c r="K9" s="197" t="n"/>
      <c r="L9" s="197" t="n"/>
      <c r="M9" s="197" t="n"/>
      <c r="N9" s="197" t="n"/>
      <c r="O9" s="202" t="inlineStr">
        <is>
          <t>Palma, Churchill, Monorchid, Cambria</t>
        </is>
      </c>
      <c r="P9" s="183" t="n"/>
      <c r="Q9" s="183" t="n"/>
      <c r="R9" s="183" t="n"/>
      <c r="S9" s="183" t="n"/>
      <c r="T9" s="183" t="n"/>
      <c r="U9" s="183" t="n"/>
      <c r="V9" s="183" t="n"/>
      <c r="W9" s="183" t="n"/>
      <c r="X9" s="183" t="n"/>
      <c r="Y9" s="183" t="n"/>
      <c r="Z9" s="183" t="n"/>
      <c r="AA9" s="183" t="n"/>
    </row>
    <row r="10" ht="45.75" customHeight="1" s="222">
      <c r="A10" s="197" t="n">
        <v>9</v>
      </c>
      <c r="B10" s="197" t="inlineStr">
        <is>
          <t>Collier Center</t>
        </is>
      </c>
      <c r="C10" s="197" t="inlineStr">
        <is>
          <t>Garage</t>
        </is>
      </c>
      <c r="D10" s="197" t="inlineStr">
        <is>
          <t>Downtown</t>
        </is>
      </c>
      <c r="E10" s="8" t="inlineStr">
        <is>
          <t>201 E Washington St
Phoenix, AZ 85004</t>
        </is>
      </c>
      <c r="F10" s="197" t="n">
        <v>1476</v>
      </c>
      <c r="G10" s="195" t="n">
        <v>5</v>
      </c>
      <c r="H10" s="195" t="n"/>
      <c r="I10" s="8" t="inlineStr">
        <is>
          <t>Ace</t>
        </is>
      </c>
      <c r="J10" s="197" t="n"/>
      <c r="K10" s="197" t="n"/>
      <c r="L10" s="197" t="n"/>
      <c r="M10" s="197" t="n"/>
      <c r="N10" s="197" t="n"/>
      <c r="O10" s="202" t="inlineStr">
        <is>
          <t>Potentially Pre Open STK</t>
        </is>
      </c>
      <c r="P10" s="183" t="n"/>
      <c r="Q10" s="183" t="n"/>
      <c r="R10" s="183" t="n"/>
      <c r="S10" s="183" t="n"/>
      <c r="T10" s="183" t="n"/>
      <c r="U10" s="183" t="n"/>
      <c r="V10" s="183" t="n"/>
      <c r="W10" s="183" t="n"/>
      <c r="X10" s="183" t="n"/>
      <c r="Y10" s="183" t="n"/>
      <c r="Z10" s="183" t="n"/>
      <c r="AA10" s="183" t="n"/>
    </row>
    <row r="11" ht="45.75" customHeight="1" s="222">
      <c r="A11" s="197" t="n">
        <v>10</v>
      </c>
      <c r="B11" s="197" t="inlineStr">
        <is>
          <t>Galleria Garage</t>
        </is>
      </c>
      <c r="C11" s="197" t="inlineStr">
        <is>
          <t>Garage</t>
        </is>
      </c>
      <c r="D11" s="197" t="inlineStr">
        <is>
          <t>Scottsdale</t>
        </is>
      </c>
      <c r="E11" s="8" t="inlineStr">
        <is>
          <t>4301-4343 N Scottsdale Rd
Scottsdale, AZ 85251</t>
        </is>
      </c>
      <c r="F11" s="197" t="n">
        <v>700</v>
      </c>
      <c r="G11" s="195" t="inlineStr">
        <is>
          <t>Free</t>
        </is>
      </c>
      <c r="H11" s="195" t="n"/>
      <c r="I11" s="8" t="inlineStr">
        <is>
          <t>City of Scottsdale</t>
        </is>
      </c>
      <c r="J11" s="197" t="n"/>
      <c r="K11" s="197" t="inlineStr">
        <is>
          <t>1 480-312-3111</t>
        </is>
      </c>
      <c r="L11" s="197" t="n"/>
      <c r="M11" s="197" t="n"/>
      <c r="N11" s="197" t="n"/>
      <c r="O11" s="202" t="n"/>
      <c r="P11" s="183" t="n"/>
      <c r="Q11" s="183" t="n"/>
      <c r="R11" s="183" t="n"/>
      <c r="S11" s="183" t="n"/>
      <c r="T11" s="183" t="n"/>
      <c r="U11" s="183" t="n"/>
      <c r="V11" s="183" t="n"/>
      <c r="W11" s="183" t="n"/>
      <c r="X11" s="183" t="n"/>
      <c r="Y11" s="183" t="n"/>
      <c r="Z11" s="183" t="n"/>
      <c r="AA11" s="183" t="n"/>
    </row>
    <row r="12" ht="45.75" customHeight="1" s="222">
      <c r="A12" s="197" t="n">
        <v>11</v>
      </c>
      <c r="B12" s="197" t="inlineStr">
        <is>
          <t>Scottsdale Waterfront</t>
        </is>
      </c>
      <c r="C12" s="197" t="inlineStr">
        <is>
          <t>Garage</t>
        </is>
      </c>
      <c r="D12" s="197" t="inlineStr">
        <is>
          <t>Scottsdale</t>
        </is>
      </c>
      <c r="E12" s="8" t="inlineStr">
        <is>
          <t>7135 E Camelback Rd
Scottsdale, AZ 85251</t>
        </is>
      </c>
      <c r="F12" s="197" t="n">
        <v>300</v>
      </c>
      <c r="G12" s="195" t="inlineStr">
        <is>
          <t>Free</t>
        </is>
      </c>
      <c r="H12" s="195" t="n"/>
      <c r="I12" s="8" t="inlineStr">
        <is>
          <t>City of Scottsdale</t>
        </is>
      </c>
      <c r="J12" s="197" t="n"/>
      <c r="K12" s="197" t="n"/>
      <c r="L12" s="197" t="n"/>
      <c r="M12" s="197" t="inlineStr">
        <is>
          <t>Has Valet</t>
        </is>
      </c>
      <c r="N12" s="197" t="n"/>
      <c r="O12" s="202" t="inlineStr">
        <is>
          <t>Maple &amp; Ash, Culinary Dropout</t>
        </is>
      </c>
      <c r="P12" s="183" t="n"/>
      <c r="Q12" s="183" t="n"/>
      <c r="R12" s="183" t="n"/>
      <c r="S12" s="183" t="n"/>
      <c r="T12" s="183" t="n"/>
      <c r="U12" s="183" t="n"/>
      <c r="V12" s="183" t="n"/>
      <c r="W12" s="183" t="n"/>
      <c r="X12" s="183" t="n"/>
      <c r="Y12" s="183" t="n"/>
      <c r="Z12" s="183" t="n"/>
      <c r="AA12" s="183" t="n"/>
    </row>
    <row r="13" ht="45.75" customHeight="1" s="222">
      <c r="A13" s="197" t="n">
        <v>12</v>
      </c>
      <c r="B13" s="197" t="inlineStr">
        <is>
          <t>5th Avenue Garage</t>
        </is>
      </c>
      <c r="C13" s="197" t="inlineStr">
        <is>
          <t>Garage</t>
        </is>
      </c>
      <c r="D13" s="197" t="inlineStr">
        <is>
          <t>Scottsdale</t>
        </is>
      </c>
      <c r="E13" s="8" t="inlineStr">
        <is>
          <t>7143 E 5th Ave
Scottsdale, AZ 85251</t>
        </is>
      </c>
      <c r="F13" s="197" t="n">
        <v>409</v>
      </c>
      <c r="G13" s="195" t="inlineStr">
        <is>
          <t>Free</t>
        </is>
      </c>
      <c r="H13" s="195" t="n"/>
      <c r="I13" s="8" t="inlineStr">
        <is>
          <t>City of Scottsdale</t>
        </is>
      </c>
      <c r="J13" s="197" t="n"/>
      <c r="K13" s="195" t="n"/>
      <c r="L13" s="197" t="n"/>
      <c r="M13" s="197" t="n"/>
      <c r="N13" s="197" t="n"/>
      <c r="O13" s="202" t="n"/>
      <c r="P13" s="198" t="n"/>
      <c r="Q13" s="199" t="n"/>
      <c r="R13" s="198" t="n"/>
      <c r="S13" s="200" t="n"/>
      <c r="T13" s="200" t="n"/>
      <c r="U13" s="200" t="n"/>
      <c r="V13" s="183" t="n"/>
      <c r="W13" s="183" t="n"/>
      <c r="X13" s="183" t="n"/>
      <c r="Y13" s="183" t="n"/>
      <c r="Z13" s="183" t="n"/>
      <c r="AA13" s="183" t="n"/>
    </row>
    <row r="14" ht="45.75" customHeight="1" s="222">
      <c r="A14" s="197" t="n">
        <v>13</v>
      </c>
      <c r="B14" s="197" t="inlineStr">
        <is>
          <t>Scottsdale Mall - Pepperwood Lot</t>
        </is>
      </c>
      <c r="C14" s="197" t="inlineStr">
        <is>
          <t>Not Covered</t>
        </is>
      </c>
      <c r="D14" s="197" t="inlineStr">
        <is>
          <t>Scottsdale</t>
        </is>
      </c>
      <c r="E14" s="8" t="inlineStr">
        <is>
          <t>7319 E 1st Ave
Scottsdale, AZ 85251</t>
        </is>
      </c>
      <c r="F14" s="197" t="n">
        <v>123</v>
      </c>
      <c r="G14" s="195" t="inlineStr">
        <is>
          <t>Free</t>
        </is>
      </c>
      <c r="H14" s="195" t="n"/>
      <c r="I14" s="8" t="inlineStr">
        <is>
          <t>City of Scottsdale</t>
        </is>
      </c>
      <c r="J14" s="197" t="n"/>
      <c r="K14" s="197" t="n"/>
      <c r="L14" s="197" t="n"/>
      <c r="M14" s="197" t="n"/>
      <c r="N14" s="197" t="n"/>
      <c r="O14" s="202" t="inlineStr">
        <is>
          <t>Hulas</t>
        </is>
      </c>
      <c r="P14" s="183" t="n"/>
      <c r="Q14" s="183" t="n"/>
      <c r="R14" s="183" t="n"/>
      <c r="S14" s="183" t="n"/>
      <c r="T14" s="183" t="n"/>
      <c r="U14" s="183" t="n"/>
      <c r="V14" s="183" t="n"/>
      <c r="W14" s="183" t="n"/>
      <c r="X14" s="183" t="n"/>
      <c r="Y14" s="183" t="n"/>
      <c r="Z14" s="183" t="n"/>
      <c r="AA14" s="183" t="n"/>
    </row>
    <row r="15" ht="45.75" customHeight="1" s="222">
      <c r="A15" s="197" t="n">
        <v>14</v>
      </c>
      <c r="B15" s="197" t="inlineStr">
        <is>
          <t>Parking Corral</t>
        </is>
      </c>
      <c r="C15" s="197" t="inlineStr">
        <is>
          <t>Partially Covered</t>
        </is>
      </c>
      <c r="D15" s="197" t="inlineStr">
        <is>
          <t>Scottsdale</t>
        </is>
      </c>
      <c r="E15" s="8" t="inlineStr">
        <is>
          <t>3806 N Brown Ave
Scottsdale, AZ 85251</t>
        </is>
      </c>
      <c r="F15" s="197" t="n">
        <v>224</v>
      </c>
      <c r="G15" s="195" t="inlineStr">
        <is>
          <t>Free</t>
        </is>
      </c>
      <c r="H15" s="195" t="n"/>
      <c r="I15" s="8" t="inlineStr">
        <is>
          <t>City of Scottsdale</t>
        </is>
      </c>
      <c r="J15" s="197" t="n"/>
      <c r="K15" s="197" t="n"/>
      <c r="L15" s="197" t="n"/>
      <c r="M15" s="197" t="n"/>
      <c r="N15" s="197" t="n"/>
      <c r="O15" s="202" t="inlineStr">
        <is>
          <t>STK, Mission, Uchi</t>
        </is>
      </c>
      <c r="P15" s="183" t="n"/>
      <c r="Q15" s="183" t="n"/>
      <c r="R15" s="183" t="n"/>
      <c r="S15" s="183" t="n"/>
      <c r="T15" s="183" t="n"/>
      <c r="U15" s="183" t="n"/>
      <c r="V15" s="183" t="n"/>
      <c r="W15" s="183" t="n"/>
      <c r="X15" s="183" t="n"/>
      <c r="Y15" s="183" t="n"/>
      <c r="Z15" s="183" t="n"/>
      <c r="AA15" s="183" t="n"/>
    </row>
    <row r="16" ht="45.75" customHeight="1" s="222">
      <c r="A16" s="197" t="n">
        <v>15</v>
      </c>
      <c r="B16" s="197" t="inlineStr">
        <is>
          <t>Center for the Arts Parking Garage</t>
        </is>
      </c>
      <c r="C16" s="197" t="inlineStr">
        <is>
          <t>Garage</t>
        </is>
      </c>
      <c r="D16" s="197" t="inlineStr">
        <is>
          <t>Scottsdale</t>
        </is>
      </c>
      <c r="E16" s="8" t="inlineStr">
        <is>
          <t>3888 N Wells Fargo Ave
Scottsdale, AZ 85251</t>
        </is>
      </c>
      <c r="F16" s="197" t="n">
        <v>368</v>
      </c>
      <c r="G16" s="195" t="inlineStr">
        <is>
          <t>Free</t>
        </is>
      </c>
      <c r="H16" s="195" t="n"/>
      <c r="I16" s="8" t="inlineStr">
        <is>
          <t>City of Scottsdale</t>
        </is>
      </c>
      <c r="J16" s="197" t="n"/>
      <c r="K16" s="201" t="inlineStr">
        <is>
          <t>1 480-312-3111</t>
        </is>
      </c>
      <c r="L16" s="197" t="n"/>
      <c r="M16" s="197" t="n"/>
      <c r="N16" s="197" t="n"/>
      <c r="O16" s="202" t="n"/>
      <c r="P16" s="183" t="n"/>
      <c r="Q16" s="183" t="n"/>
      <c r="R16" s="183" t="n"/>
      <c r="S16" s="183" t="n"/>
      <c r="T16" s="183" t="n"/>
      <c r="U16" s="183" t="n"/>
      <c r="V16" s="183" t="n"/>
      <c r="W16" s="183" t="n"/>
      <c r="X16" s="183" t="n"/>
      <c r="Y16" s="183" t="n"/>
      <c r="Z16" s="183" t="n"/>
      <c r="AA16" s="183" t="n"/>
    </row>
    <row r="17" ht="45.75" customHeight="1" s="222">
      <c r="A17" s="197" t="n">
        <v>16</v>
      </c>
      <c r="B17" s="197" t="n"/>
      <c r="C17" s="197" t="n"/>
      <c r="D17" s="197" t="n"/>
      <c r="E17" s="8" t="n"/>
      <c r="F17" s="197" t="n"/>
      <c r="G17" s="195" t="n"/>
      <c r="H17" s="195" t="n"/>
      <c r="I17" s="8" t="n"/>
      <c r="J17" s="197" t="n"/>
      <c r="K17" s="197" t="n"/>
      <c r="L17" s="197" t="n"/>
      <c r="M17" s="197" t="n"/>
      <c r="N17" s="197" t="n"/>
      <c r="O17" s="202" t="n"/>
      <c r="P17" s="183" t="n"/>
      <c r="Q17" s="183" t="n"/>
      <c r="R17" s="183" t="n"/>
      <c r="S17" s="183" t="n"/>
      <c r="T17" s="183" t="n"/>
      <c r="U17" s="183" t="n"/>
      <c r="V17" s="183" t="n"/>
      <c r="W17" s="183" t="n"/>
      <c r="X17" s="183" t="n"/>
      <c r="Y17" s="183" t="n"/>
      <c r="Z17" s="183" t="n"/>
      <c r="AA17" s="183" t="n"/>
    </row>
    <row r="18" ht="45.75" customHeight="1" s="222">
      <c r="A18" s="197" t="n">
        <v>17</v>
      </c>
      <c r="B18" s="197" t="n"/>
      <c r="C18" s="197" t="n"/>
      <c r="D18" s="197" t="n"/>
      <c r="E18" s="8" t="n"/>
      <c r="F18" s="197" t="n"/>
      <c r="G18" s="195" t="n"/>
      <c r="H18" s="197" t="n"/>
      <c r="I18" s="8" t="n"/>
      <c r="J18" s="197" t="n"/>
      <c r="K18" s="8" t="n"/>
      <c r="L18" s="197" t="n"/>
      <c r="M18" s="197" t="n"/>
      <c r="N18" s="197" t="n"/>
      <c r="O18" s="202" t="n"/>
      <c r="P18" s="183" t="n"/>
      <c r="Q18" s="183" t="n"/>
      <c r="R18" s="183" t="n"/>
      <c r="S18" s="183" t="n"/>
      <c r="T18" s="183" t="n"/>
      <c r="U18" s="183" t="n"/>
      <c r="V18" s="183" t="n"/>
      <c r="W18" s="183" t="n"/>
      <c r="X18" s="183" t="n"/>
      <c r="Y18" s="183" t="n"/>
      <c r="Z18" s="183" t="n"/>
      <c r="AA18" s="183" t="n"/>
    </row>
    <row r="19" ht="45.75" customHeight="1" s="222">
      <c r="A19" s="197" t="n">
        <v>18</v>
      </c>
      <c r="B19" s="197" t="n"/>
      <c r="C19" s="197" t="n"/>
      <c r="D19" s="197" t="n"/>
      <c r="E19" s="8" t="n"/>
      <c r="F19" s="197" t="n"/>
      <c r="G19" s="195" t="n"/>
      <c r="H19" s="197" t="n"/>
      <c r="I19" s="8" t="n"/>
      <c r="J19" s="197" t="n"/>
      <c r="K19" s="197" t="n"/>
      <c r="L19" s="197" t="n"/>
      <c r="M19" s="197" t="n"/>
      <c r="N19" s="197" t="n"/>
      <c r="O19" s="202" t="n"/>
      <c r="P19" s="183" t="n"/>
      <c r="Q19" s="183" t="n"/>
      <c r="R19" s="183" t="n"/>
      <c r="S19" s="183" t="n"/>
      <c r="T19" s="183" t="n"/>
      <c r="U19" s="183" t="n"/>
      <c r="V19" s="183" t="n"/>
      <c r="W19" s="183" t="n"/>
      <c r="X19" s="183" t="n"/>
      <c r="Y19" s="183" t="n"/>
      <c r="Z19" s="183" t="n"/>
      <c r="AA19" s="183" t="n"/>
    </row>
    <row r="20" ht="45.75" customHeight="1" s="222">
      <c r="A20" s="197" t="n">
        <v>19</v>
      </c>
      <c r="B20" s="197" t="n"/>
      <c r="C20" s="197" t="n"/>
      <c r="D20" s="197" t="n"/>
      <c r="E20" s="8" t="n"/>
      <c r="F20" s="197" t="n"/>
      <c r="G20" s="195" t="n"/>
      <c r="H20" s="197" t="n"/>
      <c r="I20" s="8" t="n"/>
      <c r="J20" s="197" t="n"/>
      <c r="K20" s="197" t="n"/>
      <c r="L20" s="197" t="n"/>
      <c r="M20" s="197" t="n"/>
      <c r="N20" s="197" t="n"/>
      <c r="O20" s="202" t="n"/>
      <c r="P20" s="183" t="n"/>
      <c r="Q20" s="183" t="n"/>
      <c r="R20" s="183" t="n"/>
      <c r="S20" s="183" t="n"/>
      <c r="T20" s="183" t="n"/>
      <c r="U20" s="183" t="n"/>
      <c r="V20" s="183" t="n"/>
      <c r="W20" s="183" t="n"/>
      <c r="X20" s="183" t="n"/>
      <c r="Y20" s="183" t="n"/>
      <c r="Z20" s="183" t="n"/>
      <c r="AA20" s="183" t="n"/>
    </row>
    <row r="21" ht="45.75" customHeight="1" s="222">
      <c r="A21" s="197" t="n">
        <v>20</v>
      </c>
      <c r="B21" s="197" t="n"/>
      <c r="C21" s="197" t="n"/>
      <c r="D21" s="197" t="n"/>
      <c r="E21" s="8" t="n"/>
      <c r="F21" s="197" t="n"/>
      <c r="G21" s="195" t="n"/>
      <c r="H21" s="197" t="n"/>
      <c r="I21" s="8" t="n"/>
      <c r="J21" s="197" t="n"/>
      <c r="K21" s="197" t="n"/>
      <c r="L21" s="197" t="n"/>
      <c r="M21" s="197" t="n"/>
      <c r="N21" s="197" t="n"/>
      <c r="O21" s="202" t="n"/>
      <c r="P21" s="183" t="n"/>
      <c r="Q21" s="183" t="n"/>
      <c r="R21" s="183" t="n"/>
      <c r="S21" s="183" t="n"/>
      <c r="T21" s="183" t="n"/>
      <c r="U21" s="183" t="n"/>
      <c r="V21" s="183" t="n"/>
      <c r="W21" s="183" t="n"/>
      <c r="X21" s="183" t="n"/>
      <c r="Y21" s="183" t="n"/>
      <c r="Z21" s="183" t="n"/>
      <c r="AA21" s="183" t="n"/>
    </row>
    <row r="22" ht="45.75" customHeight="1" s="222">
      <c r="A22" s="197" t="n">
        <v>21</v>
      </c>
      <c r="B22" s="197" t="n"/>
      <c r="C22" s="197" t="n"/>
      <c r="D22" s="197" t="n"/>
      <c r="E22" s="197" t="n"/>
      <c r="F22" s="197" t="n"/>
      <c r="G22" s="195" t="n"/>
      <c r="H22" s="197" t="n"/>
      <c r="I22" s="8" t="n"/>
      <c r="J22" s="197" t="n"/>
      <c r="K22" s="197" t="n"/>
      <c r="L22" s="197" t="n"/>
      <c r="M22" s="197" t="n"/>
      <c r="N22" s="197" t="n"/>
      <c r="O22" s="202" t="n"/>
      <c r="P22" s="183" t="n"/>
      <c r="Q22" s="183" t="n"/>
      <c r="R22" s="183" t="n"/>
      <c r="S22" s="183" t="n"/>
      <c r="T22" s="183" t="n"/>
      <c r="U22" s="183" t="n"/>
      <c r="V22" s="183" t="n"/>
      <c r="W22" s="183" t="n"/>
      <c r="X22" s="183" t="n"/>
      <c r="Y22" s="183" t="n"/>
      <c r="Z22" s="183" t="n"/>
      <c r="AA22" s="183" t="n"/>
    </row>
    <row r="23" ht="45.75" customHeight="1" s="222">
      <c r="A23" s="197" t="n">
        <v>22</v>
      </c>
      <c r="B23" s="203" t="n"/>
      <c r="C23" s="197" t="n"/>
      <c r="D23" s="197" t="n"/>
      <c r="E23" s="197" t="n"/>
      <c r="F23" s="197" t="n"/>
      <c r="G23" s="195" t="n"/>
      <c r="H23" s="197" t="n"/>
      <c r="I23" s="8" t="n"/>
      <c r="J23" s="197" t="n"/>
      <c r="K23" s="197" t="n"/>
      <c r="L23" s="197" t="n"/>
      <c r="M23" s="197" t="n"/>
      <c r="N23" s="197" t="n"/>
      <c r="O23" s="202" t="n"/>
      <c r="P23" s="183" t="n"/>
      <c r="Q23" s="183" t="n"/>
      <c r="R23" s="183" t="n"/>
      <c r="S23" s="183" t="n"/>
      <c r="T23" s="183" t="n"/>
      <c r="U23" s="183" t="n"/>
      <c r="V23" s="183" t="n"/>
      <c r="W23" s="183" t="n"/>
      <c r="X23" s="183" t="n"/>
      <c r="Y23" s="183" t="n"/>
      <c r="Z23" s="183" t="n"/>
      <c r="AA23" s="183" t="n"/>
    </row>
    <row r="24" ht="45.75" customHeight="1" s="222">
      <c r="A24" s="205" t="n">
        <v>23</v>
      </c>
      <c r="B24" s="197" t="n"/>
      <c r="C24" s="205" t="n"/>
      <c r="D24" s="205" t="n"/>
      <c r="E24" s="197" t="n"/>
      <c r="F24" s="205" t="n"/>
      <c r="G24" s="206" t="n"/>
      <c r="H24" s="205" t="n"/>
      <c r="I24" s="28" t="n"/>
      <c r="J24" s="205" t="n"/>
      <c r="K24" s="205" t="n"/>
      <c r="L24" s="205" t="n"/>
      <c r="M24" s="205" t="n"/>
      <c r="N24" s="205" t="n"/>
      <c r="O24" s="183" t="n"/>
      <c r="P24" s="183" t="n"/>
      <c r="Q24" s="183" t="n"/>
      <c r="R24" s="183" t="n"/>
      <c r="S24" s="183" t="n"/>
      <c r="T24" s="183" t="n"/>
      <c r="U24" s="183" t="n"/>
      <c r="V24" s="183" t="n"/>
      <c r="W24" s="183" t="n"/>
      <c r="X24" s="183" t="n"/>
      <c r="Y24" s="183" t="n"/>
      <c r="Z24" s="183" t="n"/>
      <c r="AA24" s="183" t="n"/>
    </row>
    <row r="25" ht="45.75" customHeight="1" s="222">
      <c r="A25" s="205" t="n">
        <v>24</v>
      </c>
      <c r="B25" s="205" t="n"/>
      <c r="C25" s="205" t="n"/>
      <c r="D25" s="205" t="n"/>
      <c r="E25" s="205" t="n"/>
      <c r="F25" s="205" t="n"/>
      <c r="G25" s="206" t="n"/>
      <c r="H25" s="205" t="n"/>
      <c r="I25" s="28" t="n"/>
      <c r="J25" s="205" t="n"/>
      <c r="K25" s="205" t="n"/>
      <c r="L25" s="205" t="n"/>
      <c r="M25" s="205" t="n"/>
      <c r="N25" s="205" t="n"/>
      <c r="O25" s="183" t="n"/>
      <c r="P25" s="183" t="n"/>
      <c r="Q25" s="183" t="n"/>
      <c r="R25" s="183" t="n"/>
      <c r="S25" s="183" t="n"/>
      <c r="T25" s="183" t="n"/>
      <c r="U25" s="183" t="n"/>
      <c r="V25" s="183" t="n"/>
      <c r="W25" s="183" t="n"/>
      <c r="X25" s="183" t="n"/>
      <c r="Y25" s="183" t="n"/>
      <c r="Z25" s="183" t="n"/>
      <c r="AA25" s="183" t="n"/>
    </row>
    <row r="26" ht="45.75" customHeight="1" s="222">
      <c r="A26" s="205" t="n">
        <v>25</v>
      </c>
      <c r="B26" s="205" t="n"/>
      <c r="C26" s="205" t="n"/>
      <c r="D26" s="205" t="n"/>
      <c r="E26" s="205" t="n"/>
      <c r="F26" s="205" t="n"/>
      <c r="G26" s="206" t="n"/>
      <c r="H26" s="205" t="n"/>
      <c r="I26" s="28" t="n"/>
      <c r="J26" s="205" t="n"/>
      <c r="K26" s="205" t="n"/>
      <c r="L26" s="205" t="n"/>
      <c r="M26" s="205" t="n"/>
      <c r="N26" s="205" t="n"/>
      <c r="O26" s="183" t="n"/>
      <c r="P26" s="183" t="n"/>
      <c r="Q26" s="183" t="n"/>
      <c r="R26" s="183" t="n"/>
      <c r="S26" s="183" t="n"/>
      <c r="T26" s="183" t="n"/>
      <c r="U26" s="183" t="n"/>
      <c r="V26" s="183" t="n"/>
      <c r="W26" s="183" t="n"/>
      <c r="X26" s="183" t="n"/>
      <c r="Y26" s="183" t="n"/>
      <c r="Z26" s="183" t="n"/>
      <c r="AA26" s="183" t="n"/>
    </row>
    <row r="27" ht="45.75" customHeight="1" s="222">
      <c r="A27" s="205" t="n">
        <v>26</v>
      </c>
      <c r="B27" s="205" t="n"/>
      <c r="C27" s="205" t="n"/>
      <c r="D27" s="205" t="n"/>
      <c r="E27" s="205" t="n"/>
      <c r="F27" s="205" t="n"/>
      <c r="G27" s="206" t="n"/>
      <c r="H27" s="205" t="n"/>
      <c r="I27" s="28" t="n"/>
      <c r="J27" s="205" t="n"/>
      <c r="K27" s="205" t="n"/>
      <c r="L27" s="205" t="n"/>
      <c r="M27" s="205" t="n"/>
      <c r="N27" s="205" t="n"/>
      <c r="O27" s="183" t="n"/>
      <c r="P27" s="183" t="n"/>
      <c r="Q27" s="183" t="n"/>
      <c r="R27" s="183" t="n"/>
      <c r="S27" s="183" t="n"/>
      <c r="T27" s="183" t="n"/>
      <c r="U27" s="183" t="n"/>
      <c r="V27" s="183" t="n"/>
      <c r="W27" s="183" t="n"/>
      <c r="X27" s="183" t="n"/>
      <c r="Y27" s="183" t="n"/>
      <c r="Z27" s="183" t="n"/>
      <c r="AA27" s="183" t="n"/>
    </row>
    <row r="28" ht="45.75" customHeight="1" s="222">
      <c r="A28" s="205" t="n">
        <v>27</v>
      </c>
      <c r="B28" s="205" t="n"/>
      <c r="C28" s="205" t="n"/>
      <c r="D28" s="205" t="n"/>
      <c r="E28" s="205" t="n"/>
      <c r="F28" s="205" t="n"/>
      <c r="G28" s="206" t="n"/>
      <c r="H28" s="205" t="n"/>
      <c r="I28" s="28" t="n"/>
      <c r="J28" s="205" t="n"/>
      <c r="K28" s="205" t="n"/>
      <c r="L28" s="205" t="n"/>
      <c r="M28" s="205" t="n"/>
      <c r="N28" s="205" t="n"/>
      <c r="O28" s="183" t="n"/>
      <c r="P28" s="183" t="n"/>
      <c r="Q28" s="183" t="n"/>
      <c r="R28" s="183" t="n"/>
      <c r="S28" s="183" t="n"/>
      <c r="T28" s="183" t="n"/>
      <c r="U28" s="183" t="n"/>
      <c r="V28" s="183" t="n"/>
      <c r="W28" s="183" t="n"/>
      <c r="X28" s="183" t="n"/>
      <c r="Y28" s="183" t="n"/>
      <c r="Z28" s="183" t="n"/>
      <c r="AA28" s="183" t="n"/>
    </row>
    <row r="29" ht="45.75" customHeight="1" s="222">
      <c r="A29" s="205" t="n">
        <v>28</v>
      </c>
      <c r="B29" s="205" t="n"/>
      <c r="C29" s="205" t="n"/>
      <c r="D29" s="205" t="n"/>
      <c r="E29" s="205" t="n"/>
      <c r="F29" s="205" t="n"/>
      <c r="G29" s="206" t="n"/>
      <c r="H29" s="205" t="n"/>
      <c r="I29" s="28" t="n"/>
      <c r="J29" s="205" t="n"/>
      <c r="K29" s="205" t="n"/>
      <c r="L29" s="205" t="n"/>
      <c r="M29" s="205" t="n"/>
      <c r="N29" s="205" t="n"/>
      <c r="O29" s="183" t="n"/>
      <c r="P29" s="183" t="n"/>
      <c r="Q29" s="183" t="n"/>
      <c r="R29" s="183" t="n"/>
      <c r="S29" s="183" t="n"/>
      <c r="T29" s="183" t="n"/>
      <c r="U29" s="183" t="n"/>
      <c r="V29" s="183" t="n"/>
      <c r="W29" s="183" t="n"/>
      <c r="X29" s="183" t="n"/>
      <c r="Y29" s="183" t="n"/>
      <c r="Z29" s="183" t="n"/>
      <c r="AA29" s="183" t="n"/>
    </row>
    <row r="30" ht="45.75" customHeight="1" s="222">
      <c r="A30" s="205" t="n">
        <v>29</v>
      </c>
      <c r="B30" s="205" t="n"/>
      <c r="C30" s="205" t="n"/>
      <c r="D30" s="205" t="n"/>
      <c r="E30" s="205" t="n"/>
      <c r="F30" s="205" t="n"/>
      <c r="G30" s="206" t="n"/>
      <c r="H30" s="205" t="n"/>
      <c r="I30" s="28" t="n"/>
      <c r="J30" s="205" t="n"/>
      <c r="K30" s="205" t="n"/>
      <c r="L30" s="205" t="n"/>
      <c r="M30" s="205" t="n"/>
      <c r="N30" s="205" t="n"/>
      <c r="O30" s="183" t="n"/>
      <c r="P30" s="183" t="n"/>
      <c r="Q30" s="183" t="n"/>
      <c r="R30" s="183" t="n"/>
      <c r="S30" s="183" t="n"/>
      <c r="T30" s="183" t="n"/>
      <c r="U30" s="183" t="n"/>
      <c r="V30" s="183" t="n"/>
      <c r="W30" s="183" t="n"/>
      <c r="X30" s="183" t="n"/>
      <c r="Y30" s="183" t="n"/>
      <c r="Z30" s="183" t="n"/>
      <c r="AA30" s="183" t="n"/>
    </row>
    <row r="31" ht="45.75" customHeight="1" s="222">
      <c r="A31" s="205" t="n">
        <v>30</v>
      </c>
      <c r="B31" s="205" t="n"/>
      <c r="C31" s="205" t="n"/>
      <c r="D31" s="205" t="n"/>
      <c r="E31" s="205" t="n"/>
      <c r="F31" s="205" t="n"/>
      <c r="G31" s="206" t="n"/>
      <c r="H31" s="205" t="n"/>
      <c r="I31" s="28" t="n"/>
      <c r="J31" s="205" t="n"/>
      <c r="K31" s="205" t="n"/>
      <c r="L31" s="205" t="n"/>
      <c r="M31" s="205" t="n"/>
      <c r="N31" s="205" t="n"/>
      <c r="O31" s="183" t="n"/>
      <c r="P31" s="183" t="n"/>
      <c r="Q31" s="183" t="n"/>
      <c r="R31" s="183" t="n"/>
      <c r="S31" s="183" t="n"/>
      <c r="T31" s="183" t="n"/>
      <c r="U31" s="183" t="n"/>
      <c r="V31" s="183" t="n"/>
      <c r="W31" s="183" t="n"/>
      <c r="X31" s="183" t="n"/>
      <c r="Y31" s="183" t="n"/>
      <c r="Z31" s="183" t="n"/>
      <c r="AA31" s="183" t="n"/>
    </row>
    <row r="32" ht="45.75" customHeight="1" s="222">
      <c r="A32" s="205" t="n">
        <v>31</v>
      </c>
      <c r="B32" s="205" t="n"/>
      <c r="C32" s="205" t="n"/>
      <c r="D32" s="205" t="n"/>
      <c r="E32" s="205" t="n"/>
      <c r="F32" s="205" t="n"/>
      <c r="G32" s="206" t="n"/>
      <c r="H32" s="205" t="n"/>
      <c r="I32" s="28" t="n"/>
      <c r="J32" s="205" t="n"/>
      <c r="K32" s="205" t="n"/>
      <c r="L32" s="205" t="n"/>
      <c r="M32" s="205" t="n"/>
      <c r="N32" s="205" t="n"/>
      <c r="O32" s="183" t="n"/>
      <c r="P32" s="183" t="n"/>
      <c r="Q32" s="183" t="n"/>
      <c r="R32" s="183" t="n"/>
      <c r="S32" s="183" t="n"/>
      <c r="T32" s="183" t="n"/>
      <c r="U32" s="183" t="n"/>
      <c r="V32" s="183" t="n"/>
      <c r="W32" s="183" t="n"/>
      <c r="X32" s="183" t="n"/>
      <c r="Y32" s="183" t="n"/>
      <c r="Z32" s="183" t="n"/>
      <c r="AA32" s="183" t="n"/>
    </row>
    <row r="33" ht="45.75" customHeight="1" s="222">
      <c r="A33" s="205" t="n"/>
      <c r="B33" s="205" t="n"/>
      <c r="C33" s="205" t="n"/>
      <c r="D33" s="205" t="n"/>
      <c r="E33" s="205" t="n"/>
      <c r="F33" s="205" t="n"/>
      <c r="G33" s="206" t="n"/>
      <c r="H33" s="205" t="n"/>
      <c r="I33" s="28" t="n"/>
      <c r="J33" s="205" t="n"/>
      <c r="K33" s="205" t="n"/>
      <c r="L33" s="205" t="n"/>
      <c r="M33" s="205" t="n"/>
      <c r="N33" s="205" t="n"/>
      <c r="O33" s="183" t="n"/>
      <c r="P33" s="183" t="n"/>
      <c r="Q33" s="183" t="n"/>
      <c r="R33" s="183" t="n"/>
      <c r="S33" s="183" t="n"/>
      <c r="T33" s="183" t="n"/>
      <c r="U33" s="183" t="n"/>
      <c r="V33" s="183" t="n"/>
      <c r="W33" s="183" t="n"/>
      <c r="X33" s="183" t="n"/>
      <c r="Y33" s="183" t="n"/>
      <c r="Z33" s="183" t="n"/>
      <c r="AA33" s="183" t="n"/>
    </row>
    <row r="34" ht="45.75" customHeight="1" s="222">
      <c r="A34" s="205" t="n"/>
      <c r="B34" s="205" t="n"/>
      <c r="C34" s="205" t="n"/>
      <c r="D34" s="205" t="n"/>
      <c r="E34" s="205" t="n"/>
      <c r="F34" s="205" t="n"/>
      <c r="G34" s="206" t="n"/>
      <c r="H34" s="205" t="n"/>
      <c r="I34" s="28" t="n"/>
      <c r="J34" s="205" t="n"/>
      <c r="K34" s="205" t="n"/>
      <c r="L34" s="205" t="n"/>
      <c r="M34" s="205" t="n"/>
      <c r="N34" s="205" t="n"/>
      <c r="O34" s="183" t="n"/>
      <c r="P34" s="183" t="n"/>
      <c r="Q34" s="183" t="n"/>
      <c r="R34" s="183" t="n"/>
      <c r="S34" s="183" t="n"/>
      <c r="T34" s="183" t="n"/>
      <c r="U34" s="183" t="n"/>
      <c r="V34" s="183" t="n"/>
      <c r="W34" s="183" t="n"/>
      <c r="X34" s="183" t="n"/>
      <c r="Y34" s="183" t="n"/>
      <c r="Z34" s="183" t="n"/>
      <c r="AA34" s="183" t="n"/>
    </row>
    <row r="35" ht="45.75" customHeight="1" s="222">
      <c r="A35" s="205" t="n"/>
      <c r="B35" s="205" t="n"/>
      <c r="C35" s="205" t="n"/>
      <c r="D35" s="205" t="n"/>
      <c r="E35" s="205" t="n"/>
      <c r="F35" s="205" t="n"/>
      <c r="G35" s="206" t="n"/>
      <c r="H35" s="205" t="n"/>
      <c r="I35" s="28" t="n"/>
      <c r="J35" s="205" t="n"/>
      <c r="K35" s="205" t="n"/>
      <c r="L35" s="205" t="n"/>
      <c r="M35" s="205" t="n"/>
      <c r="N35" s="205" t="n"/>
      <c r="O35" s="183" t="n"/>
      <c r="P35" s="183" t="n"/>
      <c r="Q35" s="183" t="n"/>
      <c r="R35" s="183" t="n"/>
      <c r="S35" s="183" t="n"/>
      <c r="T35" s="183" t="n"/>
      <c r="U35" s="183" t="n"/>
      <c r="V35" s="183" t="n"/>
      <c r="W35" s="183" t="n"/>
      <c r="X35" s="183" t="n"/>
      <c r="Y35" s="183" t="n"/>
      <c r="Z35" s="183" t="n"/>
      <c r="AA35" s="183" t="n"/>
    </row>
    <row r="36" ht="45.75" customHeight="1" s="222">
      <c r="A36" s="205" t="n"/>
      <c r="B36" s="205" t="n"/>
      <c r="C36" s="205" t="n"/>
      <c r="D36" s="205" t="n"/>
      <c r="E36" s="205" t="n"/>
      <c r="F36" s="205" t="n"/>
      <c r="G36" s="206" t="n"/>
      <c r="H36" s="205" t="n"/>
      <c r="I36" s="28" t="n"/>
      <c r="J36" s="205" t="n"/>
      <c r="K36" s="205" t="n"/>
      <c r="L36" s="205" t="n"/>
      <c r="M36" s="205" t="n"/>
      <c r="N36" s="205" t="n"/>
      <c r="O36" s="183" t="n"/>
      <c r="P36" s="183" t="n"/>
      <c r="Q36" s="183" t="n"/>
      <c r="R36" s="183" t="n"/>
      <c r="S36" s="183" t="n"/>
      <c r="T36" s="183" t="n"/>
      <c r="U36" s="183" t="n"/>
      <c r="V36" s="183" t="n"/>
      <c r="W36" s="183" t="n"/>
      <c r="X36" s="183" t="n"/>
      <c r="Y36" s="183" t="n"/>
      <c r="Z36" s="183" t="n"/>
      <c r="AA36" s="183" t="n"/>
    </row>
    <row r="37" ht="45.75" customHeight="1" s="222">
      <c r="A37" s="205" t="n"/>
      <c r="B37" s="205" t="n"/>
      <c r="C37" s="205" t="n"/>
      <c r="D37" s="205" t="n"/>
      <c r="E37" s="205" t="n"/>
      <c r="F37" s="205" t="n"/>
      <c r="G37" s="206" t="n"/>
      <c r="H37" s="205" t="n"/>
      <c r="I37" s="28" t="n"/>
      <c r="J37" s="205" t="n"/>
      <c r="K37" s="205" t="n"/>
      <c r="L37" s="205" t="n"/>
      <c r="M37" s="205" t="n"/>
      <c r="N37" s="205" t="n"/>
      <c r="O37" s="183" t="n"/>
      <c r="P37" s="183" t="n"/>
      <c r="Q37" s="183" t="n"/>
      <c r="R37" s="183" t="n"/>
      <c r="S37" s="183" t="n"/>
      <c r="T37" s="183" t="n"/>
      <c r="U37" s="183" t="n"/>
      <c r="V37" s="183" t="n"/>
      <c r="W37" s="183" t="n"/>
      <c r="X37" s="183" t="n"/>
      <c r="Y37" s="183" t="n"/>
      <c r="Z37" s="183" t="n"/>
      <c r="AA37" s="183" t="n"/>
    </row>
    <row r="38" ht="45.75" customHeight="1" s="222">
      <c r="A38" s="205" t="n"/>
      <c r="B38" s="205" t="n"/>
      <c r="C38" s="205" t="n"/>
      <c r="D38" s="205" t="n"/>
      <c r="E38" s="205" t="n"/>
      <c r="F38" s="205" t="n"/>
      <c r="G38" s="206" t="n"/>
      <c r="H38" s="205" t="n"/>
      <c r="I38" s="28" t="n"/>
      <c r="J38" s="205" t="n"/>
      <c r="K38" s="205" t="n"/>
      <c r="L38" s="205" t="n"/>
      <c r="M38" s="205" t="n"/>
      <c r="N38" s="205" t="n"/>
      <c r="O38" s="183" t="n"/>
      <c r="P38" s="183" t="n"/>
      <c r="Q38" s="183" t="n"/>
      <c r="R38" s="183" t="n"/>
      <c r="S38" s="183" t="n"/>
      <c r="T38" s="183" t="n"/>
      <c r="U38" s="183" t="n"/>
      <c r="V38" s="183" t="n"/>
      <c r="W38" s="183" t="n"/>
      <c r="X38" s="183" t="n"/>
      <c r="Y38" s="183" t="n"/>
      <c r="Z38" s="183" t="n"/>
      <c r="AA38" s="183" t="n"/>
    </row>
    <row r="39" ht="45.75" customHeight="1" s="222">
      <c r="A39" s="205" t="n"/>
      <c r="B39" s="205" t="n"/>
      <c r="C39" s="205" t="n"/>
      <c r="D39" s="205" t="n"/>
      <c r="E39" s="205" t="n"/>
      <c r="F39" s="205" t="n"/>
      <c r="G39" s="206" t="n"/>
      <c r="H39" s="205" t="n"/>
      <c r="I39" s="28" t="n"/>
      <c r="J39" s="205" t="n"/>
      <c r="K39" s="205" t="n"/>
      <c r="L39" s="205" t="n"/>
      <c r="M39" s="205" t="n"/>
      <c r="N39" s="205" t="n"/>
      <c r="O39" s="183" t="n"/>
      <c r="P39" s="183" t="n"/>
      <c r="Q39" s="183" t="n"/>
      <c r="R39" s="183" t="n"/>
      <c r="S39" s="183" t="n"/>
      <c r="T39" s="183" t="n"/>
      <c r="U39" s="183" t="n"/>
      <c r="V39" s="183" t="n"/>
      <c r="W39" s="183" t="n"/>
      <c r="X39" s="183" t="n"/>
      <c r="Y39" s="183" t="n"/>
      <c r="Z39" s="183" t="n"/>
      <c r="AA39" s="183" t="n"/>
    </row>
    <row r="40" ht="45.75" customHeight="1" s="222">
      <c r="A40" s="205" t="n"/>
      <c r="B40" s="205" t="n"/>
      <c r="C40" s="205" t="n"/>
      <c r="D40" s="205" t="n"/>
      <c r="E40" s="205" t="n"/>
      <c r="F40" s="205" t="n"/>
      <c r="G40" s="206" t="n"/>
      <c r="H40" s="205" t="n"/>
      <c r="I40" s="28" t="n"/>
      <c r="J40" s="205" t="n"/>
      <c r="K40" s="205" t="n"/>
      <c r="L40" s="205" t="n"/>
      <c r="M40" s="205" t="n"/>
      <c r="N40" s="205" t="n"/>
      <c r="O40" s="183" t="n"/>
      <c r="P40" s="183" t="n"/>
      <c r="Q40" s="183" t="n"/>
      <c r="R40" s="183" t="n"/>
      <c r="S40" s="183" t="n"/>
      <c r="T40" s="183" t="n"/>
      <c r="U40" s="183" t="n"/>
      <c r="V40" s="183" t="n"/>
      <c r="W40" s="183" t="n"/>
      <c r="X40" s="183" t="n"/>
      <c r="Y40" s="183" t="n"/>
      <c r="Z40" s="183" t="n"/>
      <c r="AA40" s="183" t="n"/>
    </row>
    <row r="41" ht="45.75" customHeight="1" s="222">
      <c r="A41" s="205" t="n"/>
      <c r="B41" s="205" t="n"/>
      <c r="C41" s="205" t="n"/>
      <c r="D41" s="205" t="n"/>
      <c r="E41" s="205" t="n"/>
      <c r="F41" s="205" t="n"/>
      <c r="G41" s="206" t="n"/>
      <c r="H41" s="205" t="n"/>
      <c r="I41" s="28" t="n"/>
      <c r="J41" s="205" t="n"/>
      <c r="K41" s="205" t="n"/>
      <c r="L41" s="205" t="n"/>
      <c r="M41" s="205" t="n"/>
      <c r="N41" s="205" t="n"/>
      <c r="O41" s="183" t="n"/>
      <c r="P41" s="183" t="n"/>
      <c r="Q41" s="183" t="n"/>
      <c r="R41" s="183" t="n"/>
      <c r="S41" s="183" t="n"/>
      <c r="T41" s="183" t="n"/>
      <c r="U41" s="183" t="n"/>
      <c r="V41" s="183" t="n"/>
      <c r="W41" s="183" t="n"/>
      <c r="X41" s="183" t="n"/>
      <c r="Y41" s="183" t="n"/>
      <c r="Z41" s="183" t="n"/>
      <c r="AA41" s="183" t="n"/>
    </row>
    <row r="42" ht="45.75" customHeight="1" s="222">
      <c r="A42" s="205" t="n"/>
      <c r="B42" s="205" t="n"/>
      <c r="C42" s="205" t="n"/>
      <c r="D42" s="205" t="n"/>
      <c r="E42" s="205" t="n"/>
      <c r="F42" s="205" t="n"/>
      <c r="G42" s="206" t="n"/>
      <c r="H42" s="205" t="n"/>
      <c r="I42" s="28" t="n"/>
      <c r="J42" s="205" t="n"/>
      <c r="K42" s="205" t="n"/>
      <c r="L42" s="205" t="n"/>
      <c r="M42" s="205" t="n"/>
      <c r="N42" s="205" t="n"/>
      <c r="O42" s="183" t="n"/>
      <c r="P42" s="183" t="n"/>
      <c r="Q42" s="183" t="n"/>
      <c r="R42" s="183" t="n"/>
      <c r="S42" s="183" t="n"/>
      <c r="T42" s="183" t="n"/>
      <c r="U42" s="183" t="n"/>
      <c r="V42" s="183" t="n"/>
      <c r="W42" s="183" t="n"/>
      <c r="X42" s="183" t="n"/>
      <c r="Y42" s="183" t="n"/>
      <c r="Z42" s="183" t="n"/>
      <c r="AA42" s="183" t="n"/>
    </row>
    <row r="43" ht="45.75" customHeight="1" s="222">
      <c r="A43" s="205" t="n"/>
      <c r="B43" s="205" t="n"/>
      <c r="C43" s="205" t="n"/>
      <c r="D43" s="205" t="n"/>
      <c r="E43" s="205" t="n"/>
      <c r="F43" s="205" t="n"/>
      <c r="G43" s="206" t="n"/>
      <c r="H43" s="205" t="n"/>
      <c r="I43" s="28" t="n"/>
      <c r="J43" s="205" t="n"/>
      <c r="K43" s="205" t="n"/>
      <c r="L43" s="205" t="n"/>
      <c r="M43" s="205" t="n"/>
      <c r="N43" s="205" t="n"/>
      <c r="O43" s="183" t="n"/>
      <c r="P43" s="183" t="n"/>
      <c r="Q43" s="183" t="n"/>
      <c r="R43" s="183" t="n"/>
      <c r="S43" s="183" t="n"/>
      <c r="T43" s="183" t="n"/>
      <c r="U43" s="183" t="n"/>
      <c r="V43" s="183" t="n"/>
      <c r="W43" s="183" t="n"/>
      <c r="X43" s="183" t="n"/>
      <c r="Y43" s="183" t="n"/>
      <c r="Z43" s="183" t="n"/>
      <c r="AA43" s="183" t="n"/>
    </row>
    <row r="44" ht="45.75" customHeight="1" s="222">
      <c r="A44" s="205" t="n"/>
      <c r="B44" s="205" t="n"/>
      <c r="C44" s="205" t="n"/>
      <c r="D44" s="205" t="n"/>
      <c r="E44" s="205" t="n"/>
      <c r="F44" s="205" t="n"/>
      <c r="G44" s="206" t="n"/>
      <c r="H44" s="205" t="n"/>
      <c r="I44" s="28" t="n"/>
      <c r="J44" s="205" t="n"/>
      <c r="K44" s="205" t="n"/>
      <c r="L44" s="205" t="n"/>
      <c r="M44" s="205" t="n"/>
      <c r="N44" s="205" t="n"/>
      <c r="O44" s="183" t="n"/>
      <c r="P44" s="183" t="n"/>
      <c r="Q44" s="183" t="n"/>
      <c r="R44" s="183" t="n"/>
      <c r="S44" s="183" t="n"/>
      <c r="T44" s="183" t="n"/>
      <c r="U44" s="183" t="n"/>
      <c r="V44" s="183" t="n"/>
      <c r="W44" s="183" t="n"/>
      <c r="X44" s="183" t="n"/>
      <c r="Y44" s="183" t="n"/>
      <c r="Z44" s="183" t="n"/>
      <c r="AA44" s="183" t="n"/>
    </row>
    <row r="45" ht="45.75" customHeight="1" s="222">
      <c r="A45" s="205" t="n"/>
      <c r="B45" s="205" t="n"/>
      <c r="C45" s="205" t="n"/>
      <c r="D45" s="205" t="n"/>
      <c r="E45" s="205" t="n"/>
      <c r="F45" s="205" t="n"/>
      <c r="G45" s="206" t="n"/>
      <c r="H45" s="205" t="n"/>
      <c r="I45" s="28" t="n"/>
      <c r="J45" s="205" t="n"/>
      <c r="K45" s="205" t="n"/>
      <c r="L45" s="205" t="n"/>
      <c r="M45" s="205" t="n"/>
      <c r="N45" s="205" t="n"/>
      <c r="O45" s="183" t="n"/>
      <c r="P45" s="183" t="n"/>
      <c r="Q45" s="183" t="n"/>
      <c r="R45" s="183" t="n"/>
      <c r="S45" s="183" t="n"/>
      <c r="T45" s="183" t="n"/>
      <c r="U45" s="183" t="n"/>
      <c r="V45" s="183" t="n"/>
      <c r="W45" s="183" t="n"/>
      <c r="X45" s="183" t="n"/>
      <c r="Y45" s="183" t="n"/>
      <c r="Z45" s="183" t="n"/>
      <c r="AA45" s="183" t="n"/>
    </row>
    <row r="46" ht="45.75" customHeight="1" s="222">
      <c r="A46" s="205" t="n"/>
      <c r="B46" s="205" t="n"/>
      <c r="C46" s="205" t="n"/>
      <c r="D46" s="205" t="n"/>
      <c r="E46" s="205" t="n"/>
      <c r="F46" s="205" t="n"/>
      <c r="G46" s="206" t="n"/>
      <c r="H46" s="205" t="n"/>
      <c r="I46" s="28" t="n"/>
      <c r="J46" s="205" t="n"/>
      <c r="K46" s="205" t="n"/>
      <c r="L46" s="205" t="n"/>
      <c r="M46" s="205" t="n"/>
      <c r="N46" s="205" t="n"/>
      <c r="O46" s="183" t="n"/>
      <c r="P46" s="183" t="n"/>
      <c r="Q46" s="183" t="n"/>
      <c r="R46" s="183" t="n"/>
      <c r="S46" s="183" t="n"/>
      <c r="T46" s="183" t="n"/>
      <c r="U46" s="183" t="n"/>
      <c r="V46" s="183" t="n"/>
      <c r="W46" s="183" t="n"/>
      <c r="X46" s="183" t="n"/>
      <c r="Y46" s="183" t="n"/>
      <c r="Z46" s="183" t="n"/>
      <c r="AA46" s="183" t="n"/>
    </row>
    <row r="47" ht="45.75" customHeight="1" s="222">
      <c r="A47" s="205" t="n"/>
      <c r="B47" s="205" t="n"/>
      <c r="C47" s="205" t="n"/>
      <c r="D47" s="205" t="n"/>
      <c r="E47" s="205" t="n"/>
      <c r="F47" s="205" t="n"/>
      <c r="G47" s="206" t="n"/>
      <c r="H47" s="205" t="n"/>
      <c r="I47" s="28" t="n"/>
      <c r="J47" s="205" t="n"/>
      <c r="K47" s="205" t="n"/>
      <c r="L47" s="205" t="n"/>
      <c r="M47" s="205" t="n"/>
      <c r="N47" s="205" t="n"/>
      <c r="O47" s="183" t="n"/>
      <c r="P47" s="183" t="n"/>
      <c r="Q47" s="183" t="n"/>
      <c r="R47" s="183" t="n"/>
      <c r="S47" s="183" t="n"/>
      <c r="T47" s="183" t="n"/>
      <c r="U47" s="183" t="n"/>
      <c r="V47" s="183" t="n"/>
      <c r="W47" s="183" t="n"/>
      <c r="X47" s="183" t="n"/>
      <c r="Y47" s="183" t="n"/>
      <c r="Z47" s="183" t="n"/>
      <c r="AA47" s="183" t="n"/>
    </row>
    <row r="48" ht="45.75" customHeight="1" s="222">
      <c r="A48" s="205" t="n"/>
      <c r="B48" s="205" t="n"/>
      <c r="C48" s="205" t="n"/>
      <c r="D48" s="205" t="n"/>
      <c r="E48" s="205" t="n"/>
      <c r="F48" s="205" t="n"/>
      <c r="G48" s="206" t="n"/>
      <c r="H48" s="205" t="n"/>
      <c r="I48" s="28" t="n"/>
      <c r="J48" s="205" t="n"/>
      <c r="K48" s="205" t="n"/>
      <c r="L48" s="205" t="n"/>
      <c r="M48" s="205" t="n"/>
      <c r="N48" s="205" t="n"/>
      <c r="O48" s="183" t="n"/>
      <c r="P48" s="183" t="n"/>
      <c r="Q48" s="183" t="n"/>
      <c r="R48" s="183" t="n"/>
      <c r="S48" s="183" t="n"/>
      <c r="T48" s="183" t="n"/>
      <c r="U48" s="183" t="n"/>
      <c r="V48" s="183" t="n"/>
      <c r="W48" s="183" t="n"/>
      <c r="X48" s="183" t="n"/>
      <c r="Y48" s="183" t="n"/>
      <c r="Z48" s="183" t="n"/>
      <c r="AA48" s="183" t="n"/>
    </row>
    <row r="49" ht="45.75" customHeight="1" s="222">
      <c r="A49" s="205" t="n"/>
      <c r="B49" s="205" t="n"/>
      <c r="C49" s="205" t="n"/>
      <c r="D49" s="205" t="n"/>
      <c r="E49" s="205" t="n"/>
      <c r="F49" s="205" t="n"/>
      <c r="G49" s="206" t="n"/>
      <c r="H49" s="205" t="n"/>
      <c r="I49" s="28" t="n"/>
      <c r="J49" s="205" t="n"/>
      <c r="K49" s="205" t="n"/>
      <c r="L49" s="205" t="n"/>
      <c r="M49" s="205" t="n"/>
      <c r="N49" s="205" t="n"/>
      <c r="O49" s="183" t="n"/>
      <c r="P49" s="183" t="n"/>
      <c r="Q49" s="183" t="n"/>
      <c r="R49" s="183" t="n"/>
      <c r="S49" s="183" t="n"/>
      <c r="T49" s="183" t="n"/>
      <c r="U49" s="183" t="n"/>
      <c r="V49" s="183" t="n"/>
      <c r="W49" s="183" t="n"/>
      <c r="X49" s="183" t="n"/>
      <c r="Y49" s="183" t="n"/>
      <c r="Z49" s="183" t="n"/>
      <c r="AA49" s="183" t="n"/>
    </row>
    <row r="50" ht="45.75" customHeight="1" s="222">
      <c r="A50" s="205" t="n"/>
      <c r="B50" s="205" t="n"/>
      <c r="C50" s="205" t="n"/>
      <c r="D50" s="205" t="n"/>
      <c r="E50" s="205" t="n"/>
      <c r="F50" s="205" t="n"/>
      <c r="G50" s="206" t="n"/>
      <c r="H50" s="205" t="n"/>
      <c r="I50" s="28" t="n"/>
      <c r="J50" s="205" t="n"/>
      <c r="K50" s="205" t="n"/>
      <c r="L50" s="205" t="n"/>
      <c r="M50" s="205" t="n"/>
      <c r="N50" s="205" t="n"/>
      <c r="O50" s="183" t="n"/>
      <c r="P50" s="183" t="n"/>
      <c r="Q50" s="183" t="n"/>
      <c r="R50" s="183" t="n"/>
      <c r="S50" s="183" t="n"/>
      <c r="T50" s="183" t="n"/>
      <c r="U50" s="183" t="n"/>
      <c r="V50" s="183" t="n"/>
      <c r="W50" s="183" t="n"/>
      <c r="X50" s="183" t="n"/>
      <c r="Y50" s="183" t="n"/>
      <c r="Z50" s="183" t="n"/>
      <c r="AA50" s="183" t="n"/>
    </row>
    <row r="51" ht="45.75" customHeight="1" s="222">
      <c r="A51" s="205" t="n"/>
      <c r="B51" s="205" t="n"/>
      <c r="C51" s="205" t="n"/>
      <c r="D51" s="205" t="n"/>
      <c r="E51" s="205" t="n"/>
      <c r="F51" s="205" t="n"/>
      <c r="G51" s="206" t="n"/>
      <c r="H51" s="205" t="n"/>
      <c r="I51" s="28" t="n"/>
      <c r="J51" s="205" t="n"/>
      <c r="K51" s="205" t="n"/>
      <c r="L51" s="205" t="n"/>
      <c r="M51" s="205" t="n"/>
      <c r="N51" s="205" t="n"/>
      <c r="O51" s="183" t="n"/>
      <c r="P51" s="183" t="n"/>
      <c r="Q51" s="183" t="n"/>
      <c r="R51" s="183" t="n"/>
      <c r="S51" s="183" t="n"/>
      <c r="T51" s="183" t="n"/>
      <c r="U51" s="183" t="n"/>
      <c r="V51" s="183" t="n"/>
      <c r="W51" s="183" t="n"/>
      <c r="X51" s="183" t="n"/>
      <c r="Y51" s="183" t="n"/>
      <c r="Z51" s="183" t="n"/>
      <c r="AA51" s="183" t="n"/>
    </row>
    <row r="52" ht="45.75" customHeight="1" s="222">
      <c r="A52" s="205" t="n"/>
      <c r="B52" s="205" t="n"/>
      <c r="C52" s="205" t="n"/>
      <c r="D52" s="205" t="n"/>
      <c r="E52" s="205" t="n"/>
      <c r="F52" s="205" t="n"/>
      <c r="G52" s="206" t="n"/>
      <c r="H52" s="205" t="n"/>
      <c r="I52" s="28" t="n"/>
      <c r="J52" s="205" t="n"/>
      <c r="K52" s="205" t="n"/>
      <c r="L52" s="205" t="n"/>
      <c r="M52" s="205" t="n"/>
      <c r="N52" s="205" t="n"/>
      <c r="O52" s="183" t="n"/>
      <c r="P52" s="183" t="n"/>
      <c r="Q52" s="183" t="n"/>
      <c r="R52" s="183" t="n"/>
      <c r="S52" s="183" t="n"/>
      <c r="T52" s="183" t="n"/>
      <c r="U52" s="183" t="n"/>
      <c r="V52" s="183" t="n"/>
      <c r="W52" s="183" t="n"/>
      <c r="X52" s="183" t="n"/>
      <c r="Y52" s="183" t="n"/>
      <c r="Z52" s="183" t="n"/>
      <c r="AA52" s="183" t="n"/>
    </row>
    <row r="53" ht="45.75" customHeight="1" s="222">
      <c r="A53" s="205" t="n"/>
      <c r="B53" s="205" t="n"/>
      <c r="C53" s="205" t="n"/>
      <c r="D53" s="205" t="n"/>
      <c r="E53" s="205" t="n"/>
      <c r="F53" s="205" t="n"/>
      <c r="G53" s="206" t="n"/>
      <c r="H53" s="205" t="n"/>
      <c r="I53" s="28" t="n"/>
      <c r="J53" s="205" t="n"/>
      <c r="K53" s="205" t="n"/>
      <c r="L53" s="205" t="n"/>
      <c r="M53" s="205" t="n"/>
      <c r="N53" s="205" t="n"/>
      <c r="O53" s="183" t="n"/>
      <c r="P53" s="183" t="n"/>
      <c r="Q53" s="183" t="n"/>
      <c r="R53" s="183" t="n"/>
      <c r="S53" s="183" t="n"/>
      <c r="T53" s="183" t="n"/>
      <c r="U53" s="183" t="n"/>
      <c r="V53" s="183" t="n"/>
      <c r="W53" s="183" t="n"/>
      <c r="X53" s="183" t="n"/>
      <c r="Y53" s="183" t="n"/>
      <c r="Z53" s="183" t="n"/>
      <c r="AA53" s="183" t="n"/>
    </row>
    <row r="54" ht="45.75" customHeight="1" s="222">
      <c r="A54" s="205" t="n"/>
      <c r="B54" s="205" t="n"/>
      <c r="C54" s="205" t="n"/>
      <c r="D54" s="205" t="n"/>
      <c r="E54" s="205" t="n"/>
      <c r="F54" s="205" t="n"/>
      <c r="G54" s="206" t="n"/>
      <c r="H54" s="205" t="n"/>
      <c r="I54" s="28" t="n"/>
      <c r="J54" s="205" t="n"/>
      <c r="K54" s="205" t="n"/>
      <c r="L54" s="205" t="n"/>
      <c r="M54" s="205" t="n"/>
      <c r="N54" s="205" t="n"/>
      <c r="O54" s="183" t="n"/>
      <c r="P54" s="183" t="n"/>
      <c r="Q54" s="183" t="n"/>
      <c r="R54" s="183" t="n"/>
      <c r="S54" s="183" t="n"/>
      <c r="T54" s="183" t="n"/>
      <c r="U54" s="183" t="n"/>
      <c r="V54" s="183" t="n"/>
      <c r="W54" s="183" t="n"/>
      <c r="X54" s="183" t="n"/>
      <c r="Y54" s="183" t="n"/>
      <c r="Z54" s="183" t="n"/>
      <c r="AA54" s="183" t="n"/>
    </row>
    <row r="55" ht="45.75" customHeight="1" s="222">
      <c r="A55" s="205" t="n"/>
      <c r="B55" s="205" t="n"/>
      <c r="C55" s="205" t="n"/>
      <c r="D55" s="205" t="n"/>
      <c r="E55" s="205" t="n"/>
      <c r="F55" s="205" t="n"/>
      <c r="G55" s="206" t="n"/>
      <c r="H55" s="205" t="n"/>
      <c r="I55" s="28" t="n"/>
      <c r="J55" s="205" t="n"/>
      <c r="K55" s="205" t="n"/>
      <c r="L55" s="205" t="n"/>
      <c r="M55" s="205" t="n"/>
      <c r="N55" s="205" t="n"/>
      <c r="O55" s="183" t="n"/>
      <c r="P55" s="183" t="n"/>
      <c r="Q55" s="183" t="n"/>
      <c r="R55" s="183" t="n"/>
      <c r="S55" s="183" t="n"/>
      <c r="T55" s="183" t="n"/>
      <c r="U55" s="183" t="n"/>
      <c r="V55" s="183" t="n"/>
      <c r="W55" s="183" t="n"/>
      <c r="X55" s="183" t="n"/>
      <c r="Y55" s="183" t="n"/>
      <c r="Z55" s="183" t="n"/>
      <c r="AA55" s="183" t="n"/>
    </row>
    <row r="56" ht="45.75" customHeight="1" s="222">
      <c r="A56" s="205" t="n"/>
      <c r="B56" s="205" t="n"/>
      <c r="C56" s="205" t="n"/>
      <c r="D56" s="205" t="n"/>
      <c r="E56" s="205" t="n"/>
      <c r="F56" s="205" t="n"/>
      <c r="G56" s="206" t="n"/>
      <c r="H56" s="205" t="n"/>
      <c r="I56" s="28" t="n"/>
      <c r="J56" s="205" t="n"/>
      <c r="K56" s="205" t="n"/>
      <c r="L56" s="205" t="n"/>
      <c r="M56" s="205" t="n"/>
      <c r="N56" s="205" t="n"/>
      <c r="O56" s="183" t="n"/>
      <c r="P56" s="183" t="n"/>
      <c r="Q56" s="183" t="n"/>
      <c r="R56" s="183" t="n"/>
      <c r="S56" s="183" t="n"/>
      <c r="T56" s="183" t="n"/>
      <c r="U56" s="183" t="n"/>
      <c r="V56" s="183" t="n"/>
      <c r="W56" s="183" t="n"/>
      <c r="X56" s="183" t="n"/>
      <c r="Y56" s="183" t="n"/>
      <c r="Z56" s="183" t="n"/>
      <c r="AA56" s="183" t="n"/>
    </row>
    <row r="57" ht="45.75" customHeight="1" s="222">
      <c r="A57" s="205" t="n"/>
      <c r="B57" s="205" t="n"/>
      <c r="C57" s="205" t="n"/>
      <c r="D57" s="205" t="n"/>
      <c r="E57" s="205" t="n"/>
      <c r="F57" s="205" t="n"/>
      <c r="G57" s="206" t="n"/>
      <c r="H57" s="205" t="n"/>
      <c r="I57" s="28" t="n"/>
      <c r="J57" s="205" t="n"/>
      <c r="K57" s="205" t="n"/>
      <c r="L57" s="205" t="n"/>
      <c r="M57" s="205" t="n"/>
      <c r="N57" s="205" t="n"/>
      <c r="O57" s="183" t="n"/>
      <c r="P57" s="183" t="n"/>
      <c r="Q57" s="183" t="n"/>
      <c r="R57" s="183" t="n"/>
      <c r="S57" s="183" t="n"/>
      <c r="T57" s="183" t="n"/>
      <c r="U57" s="183" t="n"/>
      <c r="V57" s="183" t="n"/>
      <c r="W57" s="183" t="n"/>
      <c r="X57" s="183" t="n"/>
      <c r="Y57" s="183" t="n"/>
      <c r="Z57" s="183" t="n"/>
      <c r="AA57" s="183" t="n"/>
    </row>
    <row r="58" ht="45.75" customHeight="1" s="222">
      <c r="A58" s="205" t="n"/>
      <c r="B58" s="205" t="n"/>
      <c r="C58" s="205" t="n"/>
      <c r="D58" s="205" t="n"/>
      <c r="E58" s="205" t="n"/>
      <c r="F58" s="205" t="n"/>
      <c r="G58" s="206" t="n"/>
      <c r="H58" s="205" t="n"/>
      <c r="I58" s="28" t="n"/>
      <c r="J58" s="205" t="n"/>
      <c r="K58" s="205" t="n"/>
      <c r="L58" s="205" t="n"/>
      <c r="M58" s="205" t="n"/>
      <c r="N58" s="205" t="n"/>
      <c r="O58" s="183" t="n"/>
      <c r="P58" s="183" t="n"/>
      <c r="Q58" s="183" t="n"/>
      <c r="R58" s="183" t="n"/>
      <c r="S58" s="183" t="n"/>
      <c r="T58" s="183" t="n"/>
      <c r="U58" s="183" t="n"/>
      <c r="V58" s="183" t="n"/>
      <c r="W58" s="183" t="n"/>
      <c r="X58" s="183" t="n"/>
      <c r="Y58" s="183" t="n"/>
      <c r="Z58" s="183" t="n"/>
      <c r="AA58" s="183" t="n"/>
    </row>
    <row r="59" ht="45.75" customHeight="1" s="222">
      <c r="A59" s="205" t="n"/>
      <c r="B59" s="205" t="n"/>
      <c r="C59" s="205" t="n"/>
      <c r="D59" s="205" t="n"/>
      <c r="E59" s="205" t="n"/>
      <c r="F59" s="205" t="n"/>
      <c r="G59" s="206" t="n"/>
      <c r="H59" s="205" t="n"/>
      <c r="I59" s="28" t="n"/>
      <c r="J59" s="205" t="n"/>
      <c r="K59" s="205" t="n"/>
      <c r="L59" s="205" t="n"/>
      <c r="M59" s="205" t="n"/>
      <c r="N59" s="205" t="n"/>
      <c r="O59" s="183" t="n"/>
      <c r="P59" s="183" t="n"/>
      <c r="Q59" s="183" t="n"/>
      <c r="R59" s="183" t="n"/>
      <c r="S59" s="183" t="n"/>
      <c r="T59" s="183" t="n"/>
      <c r="U59" s="183" t="n"/>
      <c r="V59" s="183" t="n"/>
      <c r="W59" s="183" t="n"/>
      <c r="X59" s="183" t="n"/>
      <c r="Y59" s="183" t="n"/>
      <c r="Z59" s="183" t="n"/>
      <c r="AA59" s="183" t="n"/>
    </row>
    <row r="60" ht="45.75" customHeight="1" s="222">
      <c r="A60" s="205" t="n"/>
      <c r="B60" s="205" t="n"/>
      <c r="C60" s="205" t="n"/>
      <c r="D60" s="205" t="n"/>
      <c r="E60" s="205" t="n"/>
      <c r="F60" s="205" t="n"/>
      <c r="G60" s="206" t="n"/>
      <c r="H60" s="205" t="n"/>
      <c r="I60" s="28" t="n"/>
      <c r="J60" s="205" t="n"/>
      <c r="K60" s="205" t="n"/>
      <c r="L60" s="205" t="n"/>
      <c r="M60" s="205" t="n"/>
      <c r="N60" s="205" t="n"/>
      <c r="O60" s="183" t="n"/>
      <c r="P60" s="183" t="n"/>
      <c r="Q60" s="183" t="n"/>
      <c r="R60" s="183" t="n"/>
      <c r="S60" s="183" t="n"/>
      <c r="T60" s="183" t="n"/>
      <c r="U60" s="183" t="n"/>
      <c r="V60" s="183" t="n"/>
      <c r="W60" s="183" t="n"/>
      <c r="X60" s="183" t="n"/>
      <c r="Y60" s="183" t="n"/>
      <c r="Z60" s="183" t="n"/>
      <c r="AA60" s="183" t="n"/>
    </row>
    <row r="61" ht="45.75" customHeight="1" s="222">
      <c r="A61" s="205" t="n"/>
      <c r="B61" s="205" t="n"/>
      <c r="C61" s="205" t="n"/>
      <c r="D61" s="205" t="n"/>
      <c r="E61" s="205" t="n"/>
      <c r="F61" s="205" t="n"/>
      <c r="G61" s="206" t="n"/>
      <c r="H61" s="205" t="n"/>
      <c r="I61" s="28" t="n"/>
      <c r="J61" s="205" t="n"/>
      <c r="K61" s="205" t="n"/>
      <c r="L61" s="205" t="n"/>
      <c r="M61" s="205" t="n"/>
      <c r="N61" s="205" t="n"/>
      <c r="O61" s="183" t="n"/>
      <c r="P61" s="183" t="n"/>
      <c r="Q61" s="183" t="n"/>
      <c r="R61" s="183" t="n"/>
      <c r="S61" s="183" t="n"/>
      <c r="T61" s="183" t="n"/>
      <c r="U61" s="183" t="n"/>
      <c r="V61" s="183" t="n"/>
      <c r="W61" s="183" t="n"/>
      <c r="X61" s="183" t="n"/>
      <c r="Y61" s="183" t="n"/>
      <c r="Z61" s="183" t="n"/>
      <c r="AA61" s="183" t="n"/>
    </row>
    <row r="62" ht="45.75" customHeight="1" s="222">
      <c r="A62" s="205" t="n"/>
      <c r="B62" s="205" t="n"/>
      <c r="C62" s="205" t="n"/>
      <c r="D62" s="205" t="n"/>
      <c r="E62" s="205" t="n"/>
      <c r="F62" s="205" t="n"/>
      <c r="G62" s="206" t="n"/>
      <c r="H62" s="205" t="n"/>
      <c r="I62" s="28" t="n"/>
      <c r="J62" s="205" t="n"/>
      <c r="K62" s="205" t="n"/>
      <c r="L62" s="205" t="n"/>
      <c r="M62" s="205" t="n"/>
      <c r="N62" s="205" t="n"/>
      <c r="O62" s="183" t="n"/>
      <c r="P62" s="183" t="n"/>
      <c r="Q62" s="183" t="n"/>
      <c r="R62" s="183" t="n"/>
      <c r="S62" s="183" t="n"/>
      <c r="T62" s="183" t="n"/>
      <c r="U62" s="183" t="n"/>
      <c r="V62" s="183" t="n"/>
      <c r="W62" s="183" t="n"/>
      <c r="X62" s="183" t="n"/>
      <c r="Y62" s="183" t="n"/>
      <c r="Z62" s="183" t="n"/>
      <c r="AA62" s="183" t="n"/>
    </row>
    <row r="63" ht="45.75" customHeight="1" s="222">
      <c r="A63" s="205" t="n"/>
      <c r="B63" s="205" t="n"/>
      <c r="C63" s="205" t="n"/>
      <c r="D63" s="205" t="n"/>
      <c r="E63" s="205" t="n"/>
      <c r="F63" s="205" t="n"/>
      <c r="G63" s="206" t="n"/>
      <c r="H63" s="205" t="n"/>
      <c r="I63" s="28" t="n"/>
      <c r="J63" s="205" t="n"/>
      <c r="K63" s="205" t="n"/>
      <c r="L63" s="205" t="n"/>
      <c r="M63" s="205" t="n"/>
      <c r="N63" s="205" t="n"/>
      <c r="O63" s="183" t="n"/>
      <c r="P63" s="183" t="n"/>
      <c r="Q63" s="183" t="n"/>
      <c r="R63" s="183" t="n"/>
      <c r="S63" s="183" t="n"/>
      <c r="T63" s="183" t="n"/>
      <c r="U63" s="183" t="n"/>
      <c r="V63" s="183" t="n"/>
      <c r="W63" s="183" t="n"/>
      <c r="X63" s="183" t="n"/>
      <c r="Y63" s="183" t="n"/>
      <c r="Z63" s="183" t="n"/>
      <c r="AA63" s="183" t="n"/>
    </row>
    <row r="64" ht="45.75" customHeight="1" s="222">
      <c r="A64" s="205" t="n"/>
      <c r="B64" s="205" t="n"/>
      <c r="C64" s="205" t="n"/>
      <c r="D64" s="205" t="n"/>
      <c r="E64" s="205" t="n"/>
      <c r="F64" s="205" t="n"/>
      <c r="G64" s="206" t="n"/>
      <c r="H64" s="205" t="n"/>
      <c r="I64" s="28" t="n"/>
      <c r="J64" s="205" t="n"/>
      <c r="K64" s="205" t="n"/>
      <c r="L64" s="205" t="n"/>
      <c r="M64" s="205" t="n"/>
      <c r="N64" s="205" t="n"/>
      <c r="O64" s="183" t="n"/>
      <c r="P64" s="183" t="n"/>
      <c r="Q64" s="183" t="n"/>
      <c r="R64" s="183" t="n"/>
      <c r="S64" s="183" t="n"/>
      <c r="T64" s="183" t="n"/>
      <c r="U64" s="183" t="n"/>
      <c r="V64" s="183" t="n"/>
      <c r="W64" s="183" t="n"/>
      <c r="X64" s="183" t="n"/>
      <c r="Y64" s="183" t="n"/>
      <c r="Z64" s="183" t="n"/>
      <c r="AA64" s="183" t="n"/>
    </row>
    <row r="65" ht="45.75" customHeight="1" s="222">
      <c r="A65" s="205" t="n"/>
      <c r="B65" s="205" t="n"/>
      <c r="C65" s="205" t="n"/>
      <c r="D65" s="205" t="n"/>
      <c r="E65" s="205" t="n"/>
      <c r="F65" s="205" t="n"/>
      <c r="G65" s="206" t="n"/>
      <c r="H65" s="205" t="n"/>
      <c r="I65" s="28" t="n"/>
      <c r="J65" s="205" t="n"/>
      <c r="K65" s="205" t="n"/>
      <c r="L65" s="205" t="n"/>
      <c r="M65" s="205" t="n"/>
      <c r="N65" s="205" t="n"/>
      <c r="O65" s="183" t="n"/>
      <c r="P65" s="183" t="n"/>
      <c r="Q65" s="183" t="n"/>
      <c r="R65" s="183" t="n"/>
      <c r="S65" s="183" t="n"/>
      <c r="T65" s="183" t="n"/>
      <c r="U65" s="183" t="n"/>
      <c r="V65" s="183" t="n"/>
      <c r="W65" s="183" t="n"/>
      <c r="X65" s="183" t="n"/>
      <c r="Y65" s="183" t="n"/>
      <c r="Z65" s="183" t="n"/>
      <c r="AA65" s="183" t="n"/>
    </row>
    <row r="66" ht="45.75" customHeight="1" s="222">
      <c r="A66" s="205" t="n"/>
      <c r="B66" s="205" t="n"/>
      <c r="C66" s="205" t="n"/>
      <c r="D66" s="205" t="n"/>
      <c r="E66" s="205" t="n"/>
      <c r="F66" s="205" t="n"/>
      <c r="G66" s="206" t="n"/>
      <c r="H66" s="205" t="n"/>
      <c r="I66" s="28" t="n"/>
      <c r="J66" s="205" t="n"/>
      <c r="K66" s="205" t="n"/>
      <c r="L66" s="205" t="n"/>
      <c r="M66" s="205" t="n"/>
      <c r="N66" s="205" t="n"/>
      <c r="O66" s="183" t="n"/>
      <c r="P66" s="183" t="n"/>
      <c r="Q66" s="183" t="n"/>
      <c r="R66" s="183" t="n"/>
      <c r="S66" s="183" t="n"/>
      <c r="T66" s="183" t="n"/>
      <c r="U66" s="183" t="n"/>
      <c r="V66" s="183" t="n"/>
      <c r="W66" s="183" t="n"/>
      <c r="X66" s="183" t="n"/>
      <c r="Y66" s="183" t="n"/>
      <c r="Z66" s="183" t="n"/>
      <c r="AA66" s="183" t="n"/>
    </row>
    <row r="67" ht="45.75" customHeight="1" s="222">
      <c r="A67" s="205" t="n"/>
      <c r="B67" s="205" t="n"/>
      <c r="C67" s="205" t="n"/>
      <c r="D67" s="205" t="n"/>
      <c r="E67" s="205" t="n"/>
      <c r="F67" s="205" t="n"/>
      <c r="G67" s="206" t="n"/>
      <c r="H67" s="205" t="n"/>
      <c r="I67" s="28" t="n"/>
      <c r="J67" s="205" t="n"/>
      <c r="K67" s="205" t="n"/>
      <c r="L67" s="205" t="n"/>
      <c r="M67" s="205" t="n"/>
      <c r="N67" s="205" t="n"/>
      <c r="O67" s="183" t="n"/>
      <c r="P67" s="183" t="n"/>
      <c r="Q67" s="183" t="n"/>
      <c r="R67" s="183" t="n"/>
      <c r="S67" s="183" t="n"/>
      <c r="T67" s="183" t="n"/>
      <c r="U67" s="183" t="n"/>
      <c r="V67" s="183" t="n"/>
      <c r="W67" s="183" t="n"/>
      <c r="X67" s="183" t="n"/>
      <c r="Y67" s="183" t="n"/>
      <c r="Z67" s="183" t="n"/>
      <c r="AA67" s="183" t="n"/>
    </row>
    <row r="68" ht="45.75" customHeight="1" s="222">
      <c r="A68" s="205" t="n"/>
      <c r="B68" s="205" t="n"/>
      <c r="C68" s="205" t="n"/>
      <c r="D68" s="205" t="n"/>
      <c r="E68" s="205" t="n"/>
      <c r="F68" s="205" t="n"/>
      <c r="G68" s="206" t="n"/>
      <c r="H68" s="205" t="n"/>
      <c r="I68" s="28" t="n"/>
      <c r="J68" s="205" t="n"/>
      <c r="K68" s="205" t="n"/>
      <c r="L68" s="205" t="n"/>
      <c r="M68" s="205" t="n"/>
      <c r="N68" s="205" t="n"/>
      <c r="O68" s="183" t="n"/>
      <c r="P68" s="183" t="n"/>
      <c r="Q68" s="183" t="n"/>
      <c r="R68" s="183" t="n"/>
      <c r="S68" s="183" t="n"/>
      <c r="T68" s="183" t="n"/>
      <c r="U68" s="183" t="n"/>
      <c r="V68" s="183" t="n"/>
      <c r="W68" s="183" t="n"/>
      <c r="X68" s="183" t="n"/>
      <c r="Y68" s="183" t="n"/>
      <c r="Z68" s="183" t="n"/>
      <c r="AA68" s="183" t="n"/>
    </row>
    <row r="69" ht="45.75" customHeight="1" s="222">
      <c r="A69" s="205" t="n"/>
      <c r="B69" s="205" t="n"/>
      <c r="C69" s="205" t="n"/>
      <c r="D69" s="205" t="n"/>
      <c r="E69" s="205" t="n"/>
      <c r="F69" s="205" t="n"/>
      <c r="G69" s="206" t="n"/>
      <c r="H69" s="205" t="n"/>
      <c r="I69" s="28" t="n"/>
      <c r="J69" s="205" t="n"/>
      <c r="K69" s="205" t="n"/>
      <c r="L69" s="205" t="n"/>
      <c r="M69" s="205" t="n"/>
      <c r="N69" s="205" t="n"/>
      <c r="O69" s="183" t="n"/>
      <c r="P69" s="183" t="n"/>
      <c r="Q69" s="183" t="n"/>
      <c r="R69" s="183" t="n"/>
      <c r="S69" s="183" t="n"/>
      <c r="T69" s="183" t="n"/>
      <c r="U69" s="183" t="n"/>
      <c r="V69" s="183" t="n"/>
      <c r="W69" s="183" t="n"/>
      <c r="X69" s="183" t="n"/>
      <c r="Y69" s="183" t="n"/>
      <c r="Z69" s="183" t="n"/>
      <c r="AA69" s="183" t="n"/>
    </row>
    <row r="70" ht="45.75" customHeight="1" s="222">
      <c r="A70" s="205" t="n"/>
      <c r="B70" s="205" t="n"/>
      <c r="C70" s="205" t="n"/>
      <c r="D70" s="205" t="n"/>
      <c r="E70" s="205" t="n"/>
      <c r="F70" s="205" t="n"/>
      <c r="G70" s="206" t="n"/>
      <c r="H70" s="205" t="n"/>
      <c r="I70" s="28" t="n"/>
      <c r="J70" s="205" t="n"/>
      <c r="K70" s="205" t="n"/>
      <c r="L70" s="205" t="n"/>
      <c r="M70" s="205" t="n"/>
      <c r="N70" s="205" t="n"/>
      <c r="O70" s="183" t="n"/>
      <c r="P70" s="183" t="n"/>
      <c r="Q70" s="183" t="n"/>
      <c r="R70" s="183" t="n"/>
      <c r="S70" s="183" t="n"/>
      <c r="T70" s="183" t="n"/>
      <c r="U70" s="183" t="n"/>
      <c r="V70" s="183" t="n"/>
      <c r="W70" s="183" t="n"/>
      <c r="X70" s="183" t="n"/>
      <c r="Y70" s="183" t="n"/>
      <c r="Z70" s="183" t="n"/>
      <c r="AA70" s="183" t="n"/>
    </row>
    <row r="71" ht="45.75" customHeight="1" s="222">
      <c r="A71" s="205" t="n"/>
      <c r="B71" s="205" t="n"/>
      <c r="C71" s="205" t="n"/>
      <c r="D71" s="205" t="n"/>
      <c r="E71" s="205" t="n"/>
      <c r="F71" s="205" t="n"/>
      <c r="G71" s="206" t="n"/>
      <c r="H71" s="205" t="n"/>
      <c r="I71" s="28" t="n"/>
      <c r="J71" s="205" t="n"/>
      <c r="K71" s="205" t="n"/>
      <c r="L71" s="205" t="n"/>
      <c r="M71" s="205" t="n"/>
      <c r="N71" s="205" t="n"/>
      <c r="O71" s="183" t="n"/>
      <c r="P71" s="183" t="n"/>
      <c r="Q71" s="183" t="n"/>
      <c r="R71" s="183" t="n"/>
      <c r="S71" s="183" t="n"/>
      <c r="T71" s="183" t="n"/>
      <c r="U71" s="183" t="n"/>
      <c r="V71" s="183" t="n"/>
      <c r="W71" s="183" t="n"/>
      <c r="X71" s="183" t="n"/>
      <c r="Y71" s="183" t="n"/>
      <c r="Z71" s="183" t="n"/>
      <c r="AA71" s="183" t="n"/>
    </row>
    <row r="72" ht="45.75" customHeight="1" s="222">
      <c r="A72" s="205" t="n"/>
      <c r="B72" s="205" t="n"/>
      <c r="C72" s="205" t="n"/>
      <c r="D72" s="205" t="n"/>
      <c r="E72" s="205" t="n"/>
      <c r="F72" s="205" t="n"/>
      <c r="G72" s="206" t="n"/>
      <c r="H72" s="205" t="n"/>
      <c r="I72" s="28" t="n"/>
      <c r="J72" s="205" t="n"/>
      <c r="K72" s="205" t="n"/>
      <c r="L72" s="205" t="n"/>
      <c r="M72" s="205" t="n"/>
      <c r="N72" s="205" t="n"/>
      <c r="O72" s="183" t="n"/>
      <c r="P72" s="183" t="n"/>
      <c r="Q72" s="183" t="n"/>
      <c r="R72" s="183" t="n"/>
      <c r="S72" s="183" t="n"/>
      <c r="T72" s="183" t="n"/>
      <c r="U72" s="183" t="n"/>
      <c r="V72" s="183" t="n"/>
      <c r="W72" s="183" t="n"/>
      <c r="X72" s="183" t="n"/>
      <c r="Y72" s="183" t="n"/>
      <c r="Z72" s="183" t="n"/>
      <c r="AA72" s="183" t="n"/>
    </row>
    <row r="73" ht="45.75" customHeight="1" s="222">
      <c r="A73" s="205" t="n"/>
      <c r="B73" s="205" t="n"/>
      <c r="C73" s="205" t="n"/>
      <c r="D73" s="205" t="n"/>
      <c r="E73" s="205" t="n"/>
      <c r="F73" s="205" t="n"/>
      <c r="G73" s="206" t="n"/>
      <c r="H73" s="205" t="n"/>
      <c r="I73" s="28" t="n"/>
      <c r="J73" s="205" t="n"/>
      <c r="K73" s="205" t="n"/>
      <c r="L73" s="205" t="n"/>
      <c r="M73" s="205" t="n"/>
      <c r="N73" s="205" t="n"/>
      <c r="O73" s="183" t="n"/>
      <c r="P73" s="183" t="n"/>
      <c r="Q73" s="183" t="n"/>
      <c r="R73" s="183" t="n"/>
      <c r="S73" s="183" t="n"/>
      <c r="T73" s="183" t="n"/>
      <c r="U73" s="183" t="n"/>
      <c r="V73" s="183" t="n"/>
      <c r="W73" s="183" t="n"/>
      <c r="X73" s="183" t="n"/>
      <c r="Y73" s="183" t="n"/>
      <c r="Z73" s="183" t="n"/>
      <c r="AA73" s="183" t="n"/>
    </row>
    <row r="74" ht="45.75" customHeight="1" s="222">
      <c r="A74" s="205" t="n"/>
      <c r="B74" s="205" t="n"/>
      <c r="C74" s="205" t="n"/>
      <c r="D74" s="205" t="n"/>
      <c r="E74" s="205" t="n"/>
      <c r="F74" s="205" t="n"/>
      <c r="G74" s="206" t="n"/>
      <c r="H74" s="205" t="n"/>
      <c r="I74" s="28" t="n"/>
      <c r="J74" s="205" t="n"/>
      <c r="K74" s="205" t="n"/>
      <c r="L74" s="205" t="n"/>
      <c r="M74" s="205" t="n"/>
      <c r="N74" s="205" t="n"/>
      <c r="O74" s="183" t="n"/>
      <c r="P74" s="183" t="n"/>
      <c r="Q74" s="183" t="n"/>
      <c r="R74" s="183" t="n"/>
      <c r="S74" s="183" t="n"/>
      <c r="T74" s="183" t="n"/>
      <c r="U74" s="183" t="n"/>
      <c r="V74" s="183" t="n"/>
      <c r="W74" s="183" t="n"/>
      <c r="X74" s="183" t="n"/>
      <c r="Y74" s="183" t="n"/>
      <c r="Z74" s="183" t="n"/>
      <c r="AA74" s="183" t="n"/>
    </row>
    <row r="75" ht="45.75" customHeight="1" s="222">
      <c r="A75" s="205" t="n"/>
      <c r="B75" s="205" t="n"/>
      <c r="C75" s="205" t="n"/>
      <c r="D75" s="205" t="n"/>
      <c r="E75" s="205" t="n"/>
      <c r="F75" s="205" t="n"/>
      <c r="G75" s="206" t="n"/>
      <c r="H75" s="205" t="n"/>
      <c r="I75" s="28" t="n"/>
      <c r="J75" s="205" t="n"/>
      <c r="K75" s="205" t="n"/>
      <c r="L75" s="205" t="n"/>
      <c r="M75" s="205" t="n"/>
      <c r="N75" s="205" t="n"/>
      <c r="O75" s="183" t="n"/>
      <c r="P75" s="183" t="n"/>
      <c r="Q75" s="183" t="n"/>
      <c r="R75" s="183" t="n"/>
      <c r="S75" s="183" t="n"/>
      <c r="T75" s="183" t="n"/>
      <c r="U75" s="183" t="n"/>
      <c r="V75" s="183" t="n"/>
      <c r="W75" s="183" t="n"/>
      <c r="X75" s="183" t="n"/>
      <c r="Y75" s="183" t="n"/>
      <c r="Z75" s="183" t="n"/>
      <c r="AA75" s="183" t="n"/>
    </row>
    <row r="76" ht="45.75" customHeight="1" s="222">
      <c r="A76" s="205" t="n"/>
      <c r="B76" s="205" t="n"/>
      <c r="C76" s="205" t="n"/>
      <c r="D76" s="205" t="n"/>
      <c r="E76" s="205" t="n"/>
      <c r="F76" s="205" t="n"/>
      <c r="G76" s="206" t="n"/>
      <c r="H76" s="205" t="n"/>
      <c r="I76" s="28" t="n"/>
      <c r="J76" s="205" t="n"/>
      <c r="K76" s="205" t="n"/>
      <c r="L76" s="205" t="n"/>
      <c r="M76" s="205" t="n"/>
      <c r="N76" s="205" t="n"/>
      <c r="O76" s="183" t="n"/>
      <c r="P76" s="183" t="n"/>
      <c r="Q76" s="183" t="n"/>
      <c r="R76" s="183" t="n"/>
      <c r="S76" s="183" t="n"/>
      <c r="T76" s="183" t="n"/>
      <c r="U76" s="183" t="n"/>
      <c r="V76" s="183" t="n"/>
      <c r="W76" s="183" t="n"/>
      <c r="X76" s="183" t="n"/>
      <c r="Y76" s="183" t="n"/>
      <c r="Z76" s="183" t="n"/>
      <c r="AA76" s="183" t="n"/>
    </row>
    <row r="77" ht="45.75" customHeight="1" s="222">
      <c r="A77" s="205" t="n"/>
      <c r="B77" s="205" t="n"/>
      <c r="C77" s="205" t="n"/>
      <c r="D77" s="205" t="n"/>
      <c r="E77" s="205" t="n"/>
      <c r="F77" s="205" t="n"/>
      <c r="G77" s="206" t="n"/>
      <c r="H77" s="205" t="n"/>
      <c r="I77" s="28" t="n"/>
      <c r="J77" s="205" t="n"/>
      <c r="K77" s="205" t="n"/>
      <c r="L77" s="205" t="n"/>
      <c r="M77" s="205" t="n"/>
      <c r="N77" s="205" t="n"/>
      <c r="O77" s="183" t="n"/>
      <c r="P77" s="183" t="n"/>
      <c r="Q77" s="183" t="n"/>
      <c r="R77" s="183" t="n"/>
      <c r="S77" s="183" t="n"/>
      <c r="T77" s="183" t="n"/>
      <c r="U77" s="183" t="n"/>
      <c r="V77" s="183" t="n"/>
      <c r="W77" s="183" t="n"/>
      <c r="X77" s="183" t="n"/>
      <c r="Y77" s="183" t="n"/>
      <c r="Z77" s="183" t="n"/>
      <c r="AA77" s="183" t="n"/>
    </row>
    <row r="78" ht="45.75" customHeight="1" s="222">
      <c r="A78" s="205" t="n"/>
      <c r="B78" s="205" t="n"/>
      <c r="C78" s="205" t="n"/>
      <c r="D78" s="205" t="n"/>
      <c r="E78" s="205" t="n"/>
      <c r="F78" s="205" t="n"/>
      <c r="G78" s="206" t="n"/>
      <c r="H78" s="205" t="n"/>
      <c r="I78" s="28" t="n"/>
      <c r="J78" s="205" t="n"/>
      <c r="K78" s="205" t="n"/>
      <c r="L78" s="205" t="n"/>
      <c r="M78" s="205" t="n"/>
      <c r="N78" s="205" t="n"/>
      <c r="O78" s="183" t="n"/>
      <c r="P78" s="183" t="n"/>
      <c r="Q78" s="183" t="n"/>
      <c r="R78" s="183" t="n"/>
      <c r="S78" s="183" t="n"/>
      <c r="T78" s="183" t="n"/>
      <c r="U78" s="183" t="n"/>
      <c r="V78" s="183" t="n"/>
      <c r="W78" s="183" t="n"/>
      <c r="X78" s="183" t="n"/>
      <c r="Y78" s="183" t="n"/>
      <c r="Z78" s="183" t="n"/>
      <c r="AA78" s="183" t="n"/>
    </row>
    <row r="79" ht="45.75" customHeight="1" s="222">
      <c r="A79" s="205" t="n"/>
      <c r="B79" s="205" t="n"/>
      <c r="C79" s="205" t="n"/>
      <c r="D79" s="205" t="n"/>
      <c r="E79" s="205" t="n"/>
      <c r="F79" s="205" t="n"/>
      <c r="G79" s="206" t="n"/>
      <c r="H79" s="205" t="n"/>
      <c r="I79" s="28" t="n"/>
      <c r="J79" s="205" t="n"/>
      <c r="K79" s="205" t="n"/>
      <c r="L79" s="205" t="n"/>
      <c r="M79" s="205" t="n"/>
      <c r="N79" s="205" t="n"/>
      <c r="O79" s="183" t="n"/>
      <c r="P79" s="183" t="n"/>
      <c r="Q79" s="183" t="n"/>
      <c r="R79" s="183" t="n"/>
      <c r="S79" s="183" t="n"/>
      <c r="T79" s="183" t="n"/>
      <c r="U79" s="183" t="n"/>
      <c r="V79" s="183" t="n"/>
      <c r="W79" s="183" t="n"/>
      <c r="X79" s="183" t="n"/>
      <c r="Y79" s="183" t="n"/>
      <c r="Z79" s="183" t="n"/>
      <c r="AA79" s="183" t="n"/>
    </row>
    <row r="80" ht="45.75" customHeight="1" s="222">
      <c r="A80" s="205" t="n"/>
      <c r="B80" s="205" t="n"/>
      <c r="C80" s="205" t="n"/>
      <c r="D80" s="205" t="n"/>
      <c r="E80" s="205" t="n"/>
      <c r="F80" s="205" t="n"/>
      <c r="G80" s="206" t="n"/>
      <c r="H80" s="205" t="n"/>
      <c r="I80" s="28" t="n"/>
      <c r="J80" s="205" t="n"/>
      <c r="K80" s="205" t="n"/>
      <c r="L80" s="205" t="n"/>
      <c r="M80" s="205" t="n"/>
      <c r="N80" s="205" t="n"/>
      <c r="O80" s="183" t="n"/>
      <c r="P80" s="183" t="n"/>
      <c r="Q80" s="183" t="n"/>
      <c r="R80" s="183" t="n"/>
      <c r="S80" s="183" t="n"/>
      <c r="T80" s="183" t="n"/>
      <c r="U80" s="183" t="n"/>
      <c r="V80" s="183" t="n"/>
      <c r="W80" s="183" t="n"/>
      <c r="X80" s="183" t="n"/>
      <c r="Y80" s="183" t="n"/>
      <c r="Z80" s="183" t="n"/>
      <c r="AA80" s="183" t="n"/>
    </row>
    <row r="81" ht="45.75" customHeight="1" s="222">
      <c r="A81" s="205" t="n"/>
      <c r="B81" s="205" t="n"/>
      <c r="C81" s="205" t="n"/>
      <c r="D81" s="205" t="n"/>
      <c r="E81" s="205" t="n"/>
      <c r="F81" s="205" t="n"/>
      <c r="G81" s="206" t="n"/>
      <c r="H81" s="205" t="n"/>
      <c r="I81" s="28" t="n"/>
      <c r="J81" s="205" t="n"/>
      <c r="K81" s="205" t="n"/>
      <c r="L81" s="205" t="n"/>
      <c r="M81" s="205" t="n"/>
      <c r="N81" s="205" t="n"/>
      <c r="O81" s="183" t="n"/>
      <c r="P81" s="183" t="n"/>
      <c r="Q81" s="183" t="n"/>
      <c r="R81" s="183" t="n"/>
      <c r="S81" s="183" t="n"/>
      <c r="T81" s="183" t="n"/>
      <c r="U81" s="183" t="n"/>
      <c r="V81" s="183" t="n"/>
      <c r="W81" s="183" t="n"/>
      <c r="X81" s="183" t="n"/>
      <c r="Y81" s="183" t="n"/>
      <c r="Z81" s="183" t="n"/>
      <c r="AA81" s="183" t="n"/>
    </row>
    <row r="82" ht="45.75" customHeight="1" s="222">
      <c r="A82" s="205" t="n"/>
      <c r="B82" s="205" t="n"/>
      <c r="C82" s="205" t="n"/>
      <c r="D82" s="205" t="n"/>
      <c r="E82" s="205" t="n"/>
      <c r="F82" s="205" t="n"/>
      <c r="G82" s="206" t="n"/>
      <c r="H82" s="205" t="n"/>
      <c r="I82" s="28" t="n"/>
      <c r="J82" s="205" t="n"/>
      <c r="K82" s="205" t="n"/>
      <c r="L82" s="205" t="n"/>
      <c r="M82" s="205" t="n"/>
      <c r="N82" s="205" t="n"/>
      <c r="O82" s="183" t="n"/>
      <c r="P82" s="183" t="n"/>
      <c r="Q82" s="183" t="n"/>
      <c r="R82" s="183" t="n"/>
      <c r="S82" s="183" t="n"/>
      <c r="T82" s="183" t="n"/>
      <c r="U82" s="183" t="n"/>
      <c r="V82" s="183" t="n"/>
      <c r="W82" s="183" t="n"/>
      <c r="X82" s="183" t="n"/>
      <c r="Y82" s="183" t="n"/>
      <c r="Z82" s="183" t="n"/>
      <c r="AA82" s="183" t="n"/>
    </row>
    <row r="83" ht="45.75" customHeight="1" s="222">
      <c r="A83" s="205" t="n"/>
      <c r="B83" s="205" t="n"/>
      <c r="C83" s="205" t="n"/>
      <c r="D83" s="205" t="n"/>
      <c r="E83" s="205" t="n"/>
      <c r="F83" s="205" t="n"/>
      <c r="G83" s="206" t="n"/>
      <c r="H83" s="205" t="n"/>
      <c r="I83" s="28" t="n"/>
      <c r="J83" s="205" t="n"/>
      <c r="K83" s="205" t="n"/>
      <c r="L83" s="205" t="n"/>
      <c r="M83" s="205" t="n"/>
      <c r="N83" s="205" t="n"/>
      <c r="O83" s="183" t="n"/>
      <c r="P83" s="183" t="n"/>
      <c r="Q83" s="183" t="n"/>
      <c r="R83" s="183" t="n"/>
      <c r="S83" s="183" t="n"/>
      <c r="T83" s="183" t="n"/>
      <c r="U83" s="183" t="n"/>
      <c r="V83" s="183" t="n"/>
      <c r="W83" s="183" t="n"/>
      <c r="X83" s="183" t="n"/>
      <c r="Y83" s="183" t="n"/>
      <c r="Z83" s="183" t="n"/>
      <c r="AA83" s="183" t="n"/>
    </row>
    <row r="84" ht="45.75" customHeight="1" s="222">
      <c r="A84" s="205" t="n"/>
      <c r="B84" s="205" t="n"/>
      <c r="C84" s="205" t="n"/>
      <c r="D84" s="205" t="n"/>
      <c r="E84" s="205" t="n"/>
      <c r="F84" s="205" t="n"/>
      <c r="G84" s="206" t="n"/>
      <c r="H84" s="205" t="n"/>
      <c r="I84" s="28" t="n"/>
      <c r="J84" s="205" t="n"/>
      <c r="K84" s="205" t="n"/>
      <c r="L84" s="205" t="n"/>
      <c r="M84" s="205" t="n"/>
      <c r="N84" s="205" t="n"/>
      <c r="O84" s="183" t="n"/>
      <c r="P84" s="183" t="n"/>
      <c r="Q84" s="183" t="n"/>
      <c r="R84" s="183" t="n"/>
      <c r="S84" s="183" t="n"/>
      <c r="T84" s="183" t="n"/>
      <c r="U84" s="183" t="n"/>
      <c r="V84" s="183" t="n"/>
      <c r="W84" s="183" t="n"/>
      <c r="X84" s="183" t="n"/>
      <c r="Y84" s="183" t="n"/>
      <c r="Z84" s="183" t="n"/>
      <c r="AA84" s="183" t="n"/>
    </row>
    <row r="85" ht="45.75" customHeight="1" s="222">
      <c r="A85" s="205" t="n"/>
      <c r="B85" s="205" t="n"/>
      <c r="C85" s="205" t="n"/>
      <c r="D85" s="205" t="n"/>
      <c r="E85" s="205" t="n"/>
      <c r="F85" s="205" t="n"/>
      <c r="G85" s="206" t="n"/>
      <c r="H85" s="205" t="n"/>
      <c r="I85" s="28" t="n"/>
      <c r="J85" s="205" t="n"/>
      <c r="K85" s="205" t="n"/>
      <c r="L85" s="205" t="n"/>
      <c r="M85" s="205" t="n"/>
      <c r="N85" s="205" t="n"/>
      <c r="O85" s="183" t="n"/>
      <c r="P85" s="183" t="n"/>
      <c r="Q85" s="183" t="n"/>
      <c r="R85" s="183" t="n"/>
      <c r="S85" s="183" t="n"/>
      <c r="T85" s="183" t="n"/>
      <c r="U85" s="183" t="n"/>
      <c r="V85" s="183" t="n"/>
      <c r="W85" s="183" t="n"/>
      <c r="X85" s="183" t="n"/>
      <c r="Y85" s="183" t="n"/>
      <c r="Z85" s="183" t="n"/>
      <c r="AA85" s="183" t="n"/>
    </row>
    <row r="86" ht="45.75" customHeight="1" s="222">
      <c r="A86" s="205" t="n"/>
      <c r="B86" s="205" t="n"/>
      <c r="C86" s="205" t="n"/>
      <c r="D86" s="205" t="n"/>
      <c r="E86" s="205" t="n"/>
      <c r="F86" s="205" t="n"/>
      <c r="G86" s="206" t="n"/>
      <c r="H86" s="205" t="n"/>
      <c r="I86" s="28" t="n"/>
      <c r="J86" s="205" t="n"/>
      <c r="K86" s="205" t="n"/>
      <c r="L86" s="205" t="n"/>
      <c r="M86" s="205" t="n"/>
      <c r="N86" s="205" t="n"/>
      <c r="O86" s="183" t="n"/>
      <c r="P86" s="183" t="n"/>
      <c r="Q86" s="183" t="n"/>
      <c r="R86" s="183" t="n"/>
      <c r="S86" s="183" t="n"/>
      <c r="T86" s="183" t="n"/>
      <c r="U86" s="183" t="n"/>
      <c r="V86" s="183" t="n"/>
      <c r="W86" s="183" t="n"/>
      <c r="X86" s="183" t="n"/>
      <c r="Y86" s="183" t="n"/>
      <c r="Z86" s="183" t="n"/>
      <c r="AA86" s="183" t="n"/>
    </row>
    <row r="87" ht="45.75" customHeight="1" s="222">
      <c r="A87" s="205" t="n"/>
      <c r="B87" s="205" t="n"/>
      <c r="C87" s="205" t="n"/>
      <c r="D87" s="205" t="n"/>
      <c r="E87" s="205" t="n"/>
      <c r="F87" s="205" t="n"/>
      <c r="G87" s="206" t="n"/>
      <c r="H87" s="205" t="n"/>
      <c r="I87" s="28" t="n"/>
      <c r="J87" s="205" t="n"/>
      <c r="K87" s="205" t="n"/>
      <c r="L87" s="205" t="n"/>
      <c r="M87" s="205" t="n"/>
      <c r="N87" s="205" t="n"/>
      <c r="O87" s="183" t="n"/>
      <c r="P87" s="183" t="n"/>
      <c r="Q87" s="183" t="n"/>
      <c r="R87" s="183" t="n"/>
      <c r="S87" s="183" t="n"/>
      <c r="T87" s="183" t="n"/>
      <c r="U87" s="183" t="n"/>
      <c r="V87" s="183" t="n"/>
      <c r="W87" s="183" t="n"/>
      <c r="X87" s="183" t="n"/>
      <c r="Y87" s="183" t="n"/>
      <c r="Z87" s="183" t="n"/>
      <c r="AA87" s="183" t="n"/>
    </row>
    <row r="88" ht="45.75" customHeight="1" s="222">
      <c r="A88" s="205" t="n"/>
      <c r="B88" s="205" t="n"/>
      <c r="C88" s="205" t="n"/>
      <c r="D88" s="205" t="n"/>
      <c r="E88" s="205" t="n"/>
      <c r="F88" s="205" t="n"/>
      <c r="G88" s="206" t="n"/>
      <c r="H88" s="205" t="n"/>
      <c r="I88" s="28" t="n"/>
      <c r="J88" s="205" t="n"/>
      <c r="K88" s="205" t="n"/>
      <c r="L88" s="205" t="n"/>
      <c r="M88" s="205" t="n"/>
      <c r="N88" s="205" t="n"/>
      <c r="O88" s="183" t="n"/>
      <c r="P88" s="183" t="n"/>
      <c r="Q88" s="183" t="n"/>
      <c r="R88" s="183" t="n"/>
      <c r="S88" s="183" t="n"/>
      <c r="T88" s="183" t="n"/>
      <c r="U88" s="183" t="n"/>
      <c r="V88" s="183" t="n"/>
      <c r="W88" s="183" t="n"/>
      <c r="X88" s="183" t="n"/>
      <c r="Y88" s="183" t="n"/>
      <c r="Z88" s="183" t="n"/>
      <c r="AA88" s="183" t="n"/>
    </row>
    <row r="89" ht="45.75" customHeight="1" s="222">
      <c r="A89" s="205" t="n"/>
      <c r="B89" s="205" t="n"/>
      <c r="C89" s="205" t="n"/>
      <c r="D89" s="205" t="n"/>
      <c r="E89" s="205" t="n"/>
      <c r="F89" s="205" t="n"/>
      <c r="G89" s="206" t="n"/>
      <c r="H89" s="205" t="n"/>
      <c r="I89" s="28" t="n"/>
      <c r="J89" s="205" t="n"/>
      <c r="K89" s="205" t="n"/>
      <c r="L89" s="205" t="n"/>
      <c r="M89" s="205" t="n"/>
      <c r="N89" s="205" t="n"/>
      <c r="O89" s="183" t="n"/>
      <c r="P89" s="183" t="n"/>
      <c r="Q89" s="183" t="n"/>
      <c r="R89" s="183" t="n"/>
      <c r="S89" s="183" t="n"/>
      <c r="T89" s="183" t="n"/>
      <c r="U89" s="183" t="n"/>
      <c r="V89" s="183" t="n"/>
      <c r="W89" s="183" t="n"/>
      <c r="X89" s="183" t="n"/>
      <c r="Y89" s="183" t="n"/>
      <c r="Z89" s="183" t="n"/>
      <c r="AA89" s="183" t="n"/>
    </row>
    <row r="90" ht="45.75" customHeight="1" s="222">
      <c r="A90" s="205" t="n"/>
      <c r="B90" s="205" t="n"/>
      <c r="C90" s="205" t="n"/>
      <c r="D90" s="205" t="n"/>
      <c r="E90" s="205" t="n"/>
      <c r="F90" s="205" t="n"/>
      <c r="G90" s="206" t="n"/>
      <c r="H90" s="205" t="n"/>
      <c r="I90" s="28" t="n"/>
      <c r="J90" s="205" t="n"/>
      <c r="K90" s="205" t="n"/>
      <c r="L90" s="205" t="n"/>
      <c r="M90" s="205" t="n"/>
      <c r="N90" s="205" t="n"/>
      <c r="O90" s="183" t="n"/>
      <c r="P90" s="183" t="n"/>
      <c r="Q90" s="183" t="n"/>
      <c r="R90" s="183" t="n"/>
      <c r="S90" s="183" t="n"/>
      <c r="T90" s="183" t="n"/>
      <c r="U90" s="183" t="n"/>
      <c r="V90" s="183" t="n"/>
      <c r="W90" s="183" t="n"/>
      <c r="X90" s="183" t="n"/>
      <c r="Y90" s="183" t="n"/>
      <c r="Z90" s="183" t="n"/>
      <c r="AA90" s="183" t="n"/>
    </row>
    <row r="91" ht="45.75" customHeight="1" s="222">
      <c r="A91" s="205" t="n"/>
      <c r="B91" s="205" t="n"/>
      <c r="C91" s="205" t="n"/>
      <c r="D91" s="205" t="n"/>
      <c r="E91" s="205" t="n"/>
      <c r="F91" s="205" t="n"/>
      <c r="G91" s="206" t="n"/>
      <c r="H91" s="205" t="n"/>
      <c r="I91" s="28" t="n"/>
      <c r="J91" s="205" t="n"/>
      <c r="K91" s="205" t="n"/>
      <c r="L91" s="205" t="n"/>
      <c r="M91" s="205" t="n"/>
      <c r="N91" s="205" t="n"/>
      <c r="O91" s="183" t="n"/>
      <c r="P91" s="183" t="n"/>
      <c r="Q91" s="183" t="n"/>
      <c r="R91" s="183" t="n"/>
      <c r="S91" s="183" t="n"/>
      <c r="T91" s="183" t="n"/>
      <c r="U91" s="183" t="n"/>
      <c r="V91" s="183" t="n"/>
      <c r="W91" s="183" t="n"/>
      <c r="X91" s="183" t="n"/>
      <c r="Y91" s="183" t="n"/>
      <c r="Z91" s="183" t="n"/>
      <c r="AA91" s="183" t="n"/>
    </row>
    <row r="92" ht="45.75" customHeight="1" s="222">
      <c r="A92" s="205" t="n"/>
      <c r="B92" s="205" t="n"/>
      <c r="C92" s="205" t="n"/>
      <c r="D92" s="205" t="n"/>
      <c r="E92" s="205" t="n"/>
      <c r="F92" s="205" t="n"/>
      <c r="G92" s="206" t="n"/>
      <c r="H92" s="205" t="n"/>
      <c r="I92" s="28" t="n"/>
      <c r="J92" s="205" t="n"/>
      <c r="K92" s="205" t="n"/>
      <c r="L92" s="205" t="n"/>
      <c r="M92" s="205" t="n"/>
      <c r="N92" s="205" t="n"/>
      <c r="O92" s="183" t="n"/>
      <c r="P92" s="183" t="n"/>
      <c r="Q92" s="183" t="n"/>
      <c r="R92" s="183" t="n"/>
      <c r="S92" s="183" t="n"/>
      <c r="T92" s="183" t="n"/>
      <c r="U92" s="183" t="n"/>
      <c r="V92" s="183" t="n"/>
      <c r="W92" s="183" t="n"/>
      <c r="X92" s="183" t="n"/>
      <c r="Y92" s="183" t="n"/>
      <c r="Z92" s="183" t="n"/>
      <c r="AA92" s="183" t="n"/>
    </row>
    <row r="93" ht="45.75" customHeight="1" s="222">
      <c r="A93" s="205" t="n"/>
      <c r="B93" s="205" t="n"/>
      <c r="C93" s="205" t="n"/>
      <c r="D93" s="205" t="n"/>
      <c r="E93" s="205" t="n"/>
      <c r="F93" s="205" t="n"/>
      <c r="G93" s="206" t="n"/>
      <c r="H93" s="205" t="n"/>
      <c r="I93" s="28" t="n"/>
      <c r="J93" s="205" t="n"/>
      <c r="K93" s="205" t="n"/>
      <c r="L93" s="205" t="n"/>
      <c r="M93" s="205" t="n"/>
      <c r="N93" s="205" t="n"/>
      <c r="O93" s="183" t="n"/>
      <c r="P93" s="183" t="n"/>
      <c r="Q93" s="183" t="n"/>
      <c r="R93" s="183" t="n"/>
      <c r="S93" s="183" t="n"/>
      <c r="T93" s="183" t="n"/>
      <c r="U93" s="183" t="n"/>
      <c r="V93" s="183" t="n"/>
      <c r="W93" s="183" t="n"/>
      <c r="X93" s="183" t="n"/>
      <c r="Y93" s="183" t="n"/>
      <c r="Z93" s="183" t="n"/>
      <c r="AA93" s="183" t="n"/>
    </row>
    <row r="94" ht="45.75" customHeight="1" s="222">
      <c r="A94" s="205" t="n"/>
      <c r="B94" s="205" t="n"/>
      <c r="C94" s="205" t="n"/>
      <c r="D94" s="205" t="n"/>
      <c r="E94" s="205" t="n"/>
      <c r="F94" s="205" t="n"/>
      <c r="G94" s="206" t="n"/>
      <c r="H94" s="205" t="n"/>
      <c r="I94" s="28" t="n"/>
      <c r="J94" s="205" t="n"/>
      <c r="K94" s="205" t="n"/>
      <c r="L94" s="205" t="n"/>
      <c r="M94" s="205" t="n"/>
      <c r="N94" s="205" t="n"/>
      <c r="O94" s="183" t="n"/>
      <c r="P94" s="183" t="n"/>
      <c r="Q94" s="183" t="n"/>
      <c r="R94" s="183" t="n"/>
      <c r="S94" s="183" t="n"/>
      <c r="T94" s="183" t="n"/>
      <c r="U94" s="183" t="n"/>
      <c r="V94" s="183" t="n"/>
      <c r="W94" s="183" t="n"/>
      <c r="X94" s="183" t="n"/>
      <c r="Y94" s="183" t="n"/>
      <c r="Z94" s="183" t="n"/>
      <c r="AA94" s="183" t="n"/>
    </row>
    <row r="95" ht="45.75" customHeight="1" s="222">
      <c r="A95" s="205" t="n"/>
      <c r="B95" s="205" t="n"/>
      <c r="C95" s="205" t="n"/>
      <c r="D95" s="205" t="n"/>
      <c r="E95" s="205" t="n"/>
      <c r="F95" s="205" t="n"/>
      <c r="G95" s="206" t="n"/>
      <c r="H95" s="205" t="n"/>
      <c r="I95" s="28" t="n"/>
      <c r="J95" s="205" t="n"/>
      <c r="K95" s="205" t="n"/>
      <c r="L95" s="205" t="n"/>
      <c r="M95" s="205" t="n"/>
      <c r="N95" s="205" t="n"/>
      <c r="O95" s="183" t="n"/>
      <c r="P95" s="183" t="n"/>
      <c r="Q95" s="183" t="n"/>
      <c r="R95" s="183" t="n"/>
      <c r="S95" s="183" t="n"/>
      <c r="T95" s="183" t="n"/>
      <c r="U95" s="183" t="n"/>
      <c r="V95" s="183" t="n"/>
      <c r="W95" s="183" t="n"/>
      <c r="X95" s="183" t="n"/>
      <c r="Y95" s="183" t="n"/>
      <c r="Z95" s="183" t="n"/>
      <c r="AA95" s="183" t="n"/>
    </row>
    <row r="96" ht="45.75" customHeight="1" s="222">
      <c r="A96" s="205" t="n"/>
      <c r="B96" s="205" t="n"/>
      <c r="C96" s="205" t="n"/>
      <c r="D96" s="205" t="n"/>
      <c r="E96" s="205" t="n"/>
      <c r="F96" s="205" t="n"/>
      <c r="G96" s="206" t="n"/>
      <c r="H96" s="205" t="n"/>
      <c r="I96" s="28" t="n"/>
      <c r="J96" s="205" t="n"/>
      <c r="K96" s="205" t="n"/>
      <c r="L96" s="205" t="n"/>
      <c r="M96" s="205" t="n"/>
      <c r="N96" s="205" t="n"/>
      <c r="O96" s="183" t="n"/>
      <c r="P96" s="183" t="n"/>
      <c r="Q96" s="183" t="n"/>
      <c r="R96" s="183" t="n"/>
      <c r="S96" s="183" t="n"/>
      <c r="T96" s="183" t="n"/>
      <c r="U96" s="183" t="n"/>
      <c r="V96" s="183" t="n"/>
      <c r="W96" s="183" t="n"/>
      <c r="X96" s="183" t="n"/>
      <c r="Y96" s="183" t="n"/>
      <c r="Z96" s="183" t="n"/>
      <c r="AA96" s="183" t="n"/>
    </row>
    <row r="97" ht="45.75" customHeight="1" s="222">
      <c r="A97" s="205" t="n"/>
      <c r="B97" s="205" t="n"/>
      <c r="C97" s="205" t="n"/>
      <c r="D97" s="205" t="n"/>
      <c r="E97" s="205" t="n"/>
      <c r="F97" s="205" t="n"/>
      <c r="G97" s="206" t="n"/>
      <c r="H97" s="205" t="n"/>
      <c r="I97" s="28" t="n"/>
      <c r="J97" s="205" t="n"/>
      <c r="K97" s="205" t="n"/>
      <c r="L97" s="205" t="n"/>
      <c r="M97" s="205" t="n"/>
      <c r="N97" s="205" t="n"/>
      <c r="O97" s="183" t="n"/>
      <c r="P97" s="183" t="n"/>
      <c r="Q97" s="183" t="n"/>
      <c r="R97" s="183" t="n"/>
      <c r="S97" s="183" t="n"/>
      <c r="T97" s="183" t="n"/>
      <c r="U97" s="183" t="n"/>
      <c r="V97" s="183" t="n"/>
      <c r="W97" s="183" t="n"/>
      <c r="X97" s="183" t="n"/>
      <c r="Y97" s="183" t="n"/>
      <c r="Z97" s="183" t="n"/>
      <c r="AA97" s="183" t="n"/>
    </row>
    <row r="98" ht="45.75" customHeight="1" s="222">
      <c r="A98" s="205" t="n"/>
      <c r="B98" s="205" t="n"/>
      <c r="C98" s="205" t="n"/>
      <c r="D98" s="205" t="n"/>
      <c r="E98" s="205" t="n"/>
      <c r="F98" s="205" t="n"/>
      <c r="G98" s="206" t="n"/>
      <c r="H98" s="205" t="n"/>
      <c r="I98" s="28" t="n"/>
      <c r="J98" s="205" t="n"/>
      <c r="K98" s="205" t="n"/>
      <c r="L98" s="205" t="n"/>
      <c r="M98" s="205" t="n"/>
      <c r="N98" s="205" t="n"/>
      <c r="O98" s="183" t="n"/>
      <c r="P98" s="183" t="n"/>
      <c r="Q98" s="183" t="n"/>
      <c r="R98" s="183" t="n"/>
      <c r="S98" s="183" t="n"/>
      <c r="T98" s="183" t="n"/>
      <c r="U98" s="183" t="n"/>
      <c r="V98" s="183" t="n"/>
      <c r="W98" s="183" t="n"/>
      <c r="X98" s="183" t="n"/>
      <c r="Y98" s="183" t="n"/>
      <c r="Z98" s="183" t="n"/>
      <c r="AA98" s="183" t="n"/>
    </row>
    <row r="99" ht="45.75" customHeight="1" s="222">
      <c r="A99" s="205" t="n"/>
      <c r="B99" s="205" t="n"/>
      <c r="C99" s="205" t="n"/>
      <c r="D99" s="205" t="n"/>
      <c r="E99" s="205" t="n"/>
      <c r="F99" s="205" t="n"/>
      <c r="G99" s="206" t="n"/>
      <c r="H99" s="205" t="n"/>
      <c r="I99" s="28" t="n"/>
      <c r="J99" s="205" t="n"/>
      <c r="K99" s="205" t="n"/>
      <c r="L99" s="205" t="n"/>
      <c r="M99" s="205" t="n"/>
      <c r="N99" s="205" t="n"/>
      <c r="O99" s="183" t="n"/>
      <c r="P99" s="183" t="n"/>
      <c r="Q99" s="183" t="n"/>
      <c r="R99" s="183" t="n"/>
      <c r="S99" s="183" t="n"/>
      <c r="T99" s="183" t="n"/>
      <c r="U99" s="183" t="n"/>
      <c r="V99" s="183" t="n"/>
      <c r="W99" s="183" t="n"/>
      <c r="X99" s="183" t="n"/>
      <c r="Y99" s="183" t="n"/>
      <c r="Z99" s="183" t="n"/>
      <c r="AA99" s="183" t="n"/>
    </row>
    <row r="100" ht="45.75" customHeight="1" s="222">
      <c r="A100" s="205" t="n"/>
      <c r="B100" s="205" t="n"/>
      <c r="C100" s="205" t="n"/>
      <c r="D100" s="205" t="n"/>
      <c r="E100" s="205" t="n"/>
      <c r="F100" s="205" t="n"/>
      <c r="G100" s="206" t="n"/>
      <c r="H100" s="205" t="n"/>
      <c r="I100" s="28" t="n"/>
      <c r="J100" s="205" t="n"/>
      <c r="K100" s="205" t="n"/>
      <c r="L100" s="205" t="n"/>
      <c r="M100" s="205" t="n"/>
      <c r="N100" s="205" t="n"/>
      <c r="O100" s="183" t="n"/>
      <c r="P100" s="183" t="n"/>
      <c r="Q100" s="183" t="n"/>
      <c r="R100" s="183" t="n"/>
      <c r="S100" s="183" t="n"/>
      <c r="T100" s="183" t="n"/>
      <c r="U100" s="183" t="n"/>
      <c r="V100" s="183" t="n"/>
      <c r="W100" s="183" t="n"/>
      <c r="X100" s="183" t="n"/>
      <c r="Y100" s="183" t="n"/>
      <c r="Z100" s="183" t="n"/>
      <c r="AA100" s="183" t="n"/>
    </row>
    <row r="101" ht="45.75" customHeight="1" s="222">
      <c r="A101" s="205" t="n"/>
      <c r="B101" s="205" t="n"/>
      <c r="C101" s="205" t="n"/>
      <c r="D101" s="205" t="n"/>
      <c r="E101" s="205" t="n"/>
      <c r="F101" s="205" t="n"/>
      <c r="G101" s="206" t="n"/>
      <c r="H101" s="205" t="n"/>
      <c r="I101" s="28" t="n"/>
      <c r="J101" s="205" t="n"/>
      <c r="K101" s="205" t="n"/>
      <c r="L101" s="205" t="n"/>
      <c r="M101" s="205" t="n"/>
      <c r="N101" s="205" t="n"/>
      <c r="O101" s="183" t="n"/>
      <c r="P101" s="183" t="n"/>
      <c r="Q101" s="183" t="n"/>
      <c r="R101" s="183" t="n"/>
      <c r="S101" s="183" t="n"/>
      <c r="T101" s="183" t="n"/>
      <c r="U101" s="183" t="n"/>
      <c r="V101" s="183" t="n"/>
      <c r="W101" s="183" t="n"/>
      <c r="X101" s="183" t="n"/>
      <c r="Y101" s="183" t="n"/>
      <c r="Z101" s="183" t="n"/>
      <c r="AA101" s="183" t="n"/>
    </row>
    <row r="102" ht="45.75" customHeight="1" s="222">
      <c r="A102" s="205" t="n"/>
      <c r="B102" s="205" t="n"/>
      <c r="C102" s="205" t="n"/>
      <c r="D102" s="205" t="n"/>
      <c r="E102" s="205" t="n"/>
      <c r="F102" s="205" t="n"/>
      <c r="G102" s="206" t="n"/>
      <c r="H102" s="205" t="n"/>
      <c r="I102" s="28" t="n"/>
      <c r="J102" s="205" t="n"/>
      <c r="K102" s="205" t="n"/>
      <c r="L102" s="205" t="n"/>
      <c r="M102" s="205" t="n"/>
      <c r="N102" s="205" t="n"/>
      <c r="O102" s="183" t="n"/>
      <c r="P102" s="183" t="n"/>
      <c r="Q102" s="183" t="n"/>
      <c r="R102" s="183" t="n"/>
      <c r="S102" s="183" t="n"/>
      <c r="T102" s="183" t="n"/>
      <c r="U102" s="183" t="n"/>
      <c r="V102" s="183" t="n"/>
      <c r="W102" s="183" t="n"/>
      <c r="X102" s="183" t="n"/>
      <c r="Y102" s="183" t="n"/>
      <c r="Z102" s="183" t="n"/>
      <c r="AA102" s="183" t="n"/>
    </row>
    <row r="103" ht="45.75" customHeight="1" s="222">
      <c r="A103" s="205" t="n"/>
      <c r="B103" s="205" t="n"/>
      <c r="C103" s="205" t="n"/>
      <c r="D103" s="205" t="n"/>
      <c r="E103" s="205" t="n"/>
      <c r="F103" s="205" t="n"/>
      <c r="G103" s="206" t="n"/>
      <c r="H103" s="205" t="n"/>
      <c r="I103" s="28" t="n"/>
      <c r="J103" s="205" t="n"/>
      <c r="K103" s="205" t="n"/>
      <c r="L103" s="205" t="n"/>
      <c r="M103" s="205" t="n"/>
      <c r="N103" s="205" t="n"/>
      <c r="O103" s="183" t="n"/>
      <c r="P103" s="183" t="n"/>
      <c r="Q103" s="183" t="n"/>
      <c r="R103" s="183" t="n"/>
      <c r="S103" s="183" t="n"/>
      <c r="T103" s="183" t="n"/>
      <c r="U103" s="183" t="n"/>
      <c r="V103" s="183" t="n"/>
      <c r="W103" s="183" t="n"/>
      <c r="X103" s="183" t="n"/>
      <c r="Y103" s="183" t="n"/>
      <c r="Z103" s="183" t="n"/>
      <c r="AA103" s="183" t="n"/>
    </row>
    <row r="104" ht="45.75" customHeight="1" s="222">
      <c r="A104" s="205" t="n"/>
      <c r="B104" s="205" t="n"/>
      <c r="C104" s="205" t="n"/>
      <c r="D104" s="205" t="n"/>
      <c r="E104" s="205" t="n"/>
      <c r="F104" s="205" t="n"/>
      <c r="G104" s="206" t="n"/>
      <c r="H104" s="205" t="n"/>
      <c r="I104" s="28" t="n"/>
      <c r="J104" s="205" t="n"/>
      <c r="K104" s="205" t="n"/>
      <c r="L104" s="205" t="n"/>
      <c r="M104" s="205" t="n"/>
      <c r="N104" s="205" t="n"/>
      <c r="O104" s="183" t="n"/>
      <c r="P104" s="183" t="n"/>
      <c r="Q104" s="183" t="n"/>
      <c r="R104" s="183" t="n"/>
      <c r="S104" s="183" t="n"/>
      <c r="T104" s="183" t="n"/>
      <c r="U104" s="183" t="n"/>
      <c r="V104" s="183" t="n"/>
      <c r="W104" s="183" t="n"/>
      <c r="X104" s="183" t="n"/>
      <c r="Y104" s="183" t="n"/>
      <c r="Z104" s="183" t="n"/>
      <c r="AA104" s="183" t="n"/>
    </row>
    <row r="105" ht="45.75" customHeight="1" s="222">
      <c r="A105" s="205" t="n"/>
      <c r="B105" s="205" t="n"/>
      <c r="C105" s="205" t="n"/>
      <c r="D105" s="205" t="n"/>
      <c r="E105" s="205" t="n"/>
      <c r="F105" s="205" t="n"/>
      <c r="G105" s="206" t="n"/>
      <c r="H105" s="205" t="n"/>
      <c r="I105" s="28" t="n"/>
      <c r="J105" s="205" t="n"/>
      <c r="K105" s="205" t="n"/>
      <c r="L105" s="205" t="n"/>
      <c r="M105" s="205" t="n"/>
      <c r="N105" s="205" t="n"/>
      <c r="O105" s="183" t="n"/>
      <c r="P105" s="183" t="n"/>
      <c r="Q105" s="183" t="n"/>
      <c r="R105" s="183" t="n"/>
      <c r="S105" s="183" t="n"/>
      <c r="T105" s="183" t="n"/>
      <c r="U105" s="183" t="n"/>
      <c r="V105" s="183" t="n"/>
      <c r="W105" s="183" t="n"/>
      <c r="X105" s="183" t="n"/>
      <c r="Y105" s="183" t="n"/>
      <c r="Z105" s="183" t="n"/>
      <c r="AA105" s="183" t="n"/>
    </row>
    <row r="106" ht="45.75" customHeight="1" s="222">
      <c r="A106" s="205" t="n"/>
      <c r="B106" s="205" t="n"/>
      <c r="C106" s="205" t="n"/>
      <c r="D106" s="205" t="n"/>
      <c r="E106" s="205" t="n"/>
      <c r="F106" s="205" t="n"/>
      <c r="G106" s="206" t="n"/>
      <c r="H106" s="205" t="n"/>
      <c r="I106" s="28" t="n"/>
      <c r="J106" s="205" t="n"/>
      <c r="K106" s="205" t="n"/>
      <c r="L106" s="205" t="n"/>
      <c r="M106" s="205" t="n"/>
      <c r="N106" s="205" t="n"/>
      <c r="O106" s="183" t="n"/>
      <c r="P106" s="183" t="n"/>
      <c r="Q106" s="183" t="n"/>
      <c r="R106" s="183" t="n"/>
      <c r="S106" s="183" t="n"/>
      <c r="T106" s="183" t="n"/>
      <c r="U106" s="183" t="n"/>
      <c r="V106" s="183" t="n"/>
      <c r="W106" s="183" t="n"/>
      <c r="X106" s="183" t="n"/>
      <c r="Y106" s="183" t="n"/>
      <c r="Z106" s="183" t="n"/>
      <c r="AA106" s="183" t="n"/>
    </row>
    <row r="107" ht="45.75" customHeight="1" s="222">
      <c r="A107" s="205" t="n"/>
      <c r="B107" s="205" t="n"/>
      <c r="C107" s="205" t="n"/>
      <c r="D107" s="205" t="n"/>
      <c r="E107" s="205" t="n"/>
      <c r="F107" s="205" t="n"/>
      <c r="G107" s="206" t="n"/>
      <c r="H107" s="205" t="n"/>
      <c r="I107" s="28" t="n"/>
      <c r="J107" s="205" t="n"/>
      <c r="K107" s="205" t="n"/>
      <c r="L107" s="205" t="n"/>
      <c r="M107" s="205" t="n"/>
      <c r="N107" s="205" t="n"/>
      <c r="O107" s="183" t="n"/>
      <c r="P107" s="183" t="n"/>
      <c r="Q107" s="183" t="n"/>
      <c r="R107" s="183" t="n"/>
      <c r="S107" s="183" t="n"/>
      <c r="T107" s="183" t="n"/>
      <c r="U107" s="183" t="n"/>
      <c r="V107" s="183" t="n"/>
      <c r="W107" s="183" t="n"/>
      <c r="X107" s="183" t="n"/>
      <c r="Y107" s="183" t="n"/>
      <c r="Z107" s="183" t="n"/>
      <c r="AA107" s="183" t="n"/>
    </row>
    <row r="108" ht="45.75" customHeight="1" s="222">
      <c r="A108" s="205" t="n"/>
      <c r="B108" s="205" t="n"/>
      <c r="C108" s="205" t="n"/>
      <c r="D108" s="205" t="n"/>
      <c r="E108" s="205" t="n"/>
      <c r="F108" s="205" t="n"/>
      <c r="G108" s="206" t="n"/>
      <c r="H108" s="205" t="n"/>
      <c r="I108" s="28" t="n"/>
      <c r="J108" s="205" t="n"/>
      <c r="K108" s="205" t="n"/>
      <c r="L108" s="205" t="n"/>
      <c r="M108" s="205" t="n"/>
      <c r="N108" s="205" t="n"/>
      <c r="O108" s="183" t="n"/>
      <c r="P108" s="183" t="n"/>
      <c r="Q108" s="183" t="n"/>
      <c r="R108" s="183" t="n"/>
      <c r="S108" s="183" t="n"/>
      <c r="T108" s="183" t="n"/>
      <c r="U108" s="183" t="n"/>
      <c r="V108" s="183" t="n"/>
      <c r="W108" s="183" t="n"/>
      <c r="X108" s="183" t="n"/>
      <c r="Y108" s="183" t="n"/>
      <c r="Z108" s="183" t="n"/>
      <c r="AA108" s="183" t="n"/>
    </row>
    <row r="109" ht="45.75" customHeight="1" s="222">
      <c r="A109" s="205" t="n"/>
      <c r="B109" s="205" t="n"/>
      <c r="C109" s="205" t="n"/>
      <c r="D109" s="205" t="n"/>
      <c r="E109" s="205" t="n"/>
      <c r="F109" s="205" t="n"/>
      <c r="G109" s="206" t="n"/>
      <c r="H109" s="205" t="n"/>
      <c r="I109" s="28" t="n"/>
      <c r="J109" s="205" t="n"/>
      <c r="K109" s="205" t="n"/>
      <c r="L109" s="205" t="n"/>
      <c r="M109" s="205" t="n"/>
      <c r="N109" s="205" t="n"/>
      <c r="O109" s="183" t="n"/>
      <c r="P109" s="183" t="n"/>
      <c r="Q109" s="183" t="n"/>
      <c r="R109" s="183" t="n"/>
      <c r="S109" s="183" t="n"/>
      <c r="T109" s="183" t="n"/>
      <c r="U109" s="183" t="n"/>
      <c r="V109" s="183" t="n"/>
      <c r="W109" s="183" t="n"/>
      <c r="X109" s="183" t="n"/>
      <c r="Y109" s="183" t="n"/>
      <c r="Z109" s="183" t="n"/>
      <c r="AA109" s="183" t="n"/>
    </row>
    <row r="110" ht="45.75" customHeight="1" s="222">
      <c r="A110" s="205" t="n"/>
      <c r="B110" s="205" t="n"/>
      <c r="C110" s="205" t="n"/>
      <c r="D110" s="205" t="n"/>
      <c r="E110" s="205" t="n"/>
      <c r="F110" s="205" t="n"/>
      <c r="G110" s="206" t="n"/>
      <c r="H110" s="205" t="n"/>
      <c r="I110" s="28" t="n"/>
      <c r="J110" s="205" t="n"/>
      <c r="K110" s="205" t="n"/>
      <c r="L110" s="205" t="n"/>
      <c r="M110" s="205" t="n"/>
      <c r="N110" s="205" t="n"/>
      <c r="O110" s="183" t="n"/>
      <c r="P110" s="183" t="n"/>
      <c r="Q110" s="183" t="n"/>
      <c r="R110" s="183" t="n"/>
      <c r="S110" s="183" t="n"/>
      <c r="T110" s="183" t="n"/>
      <c r="U110" s="183" t="n"/>
      <c r="V110" s="183" t="n"/>
      <c r="W110" s="183" t="n"/>
      <c r="X110" s="183" t="n"/>
      <c r="Y110" s="183" t="n"/>
      <c r="Z110" s="183" t="n"/>
      <c r="AA110" s="183" t="n"/>
    </row>
    <row r="111" ht="45.75" customHeight="1" s="222">
      <c r="A111" s="205" t="n"/>
      <c r="B111" s="205" t="n"/>
      <c r="C111" s="205" t="n"/>
      <c r="D111" s="205" t="n"/>
      <c r="E111" s="205" t="n"/>
      <c r="F111" s="205" t="n"/>
      <c r="G111" s="206" t="n"/>
      <c r="H111" s="205" t="n"/>
      <c r="I111" s="28" t="n"/>
      <c r="J111" s="205" t="n"/>
      <c r="K111" s="205" t="n"/>
      <c r="L111" s="205" t="n"/>
      <c r="M111" s="205" t="n"/>
      <c r="N111" s="205" t="n"/>
      <c r="O111" s="183" t="n"/>
      <c r="P111" s="183" t="n"/>
      <c r="Q111" s="183" t="n"/>
      <c r="R111" s="183" t="n"/>
      <c r="S111" s="183" t="n"/>
      <c r="T111" s="183" t="n"/>
      <c r="U111" s="183" t="n"/>
      <c r="V111" s="183" t="n"/>
      <c r="W111" s="183" t="n"/>
      <c r="X111" s="183" t="n"/>
      <c r="Y111" s="183" t="n"/>
      <c r="Z111" s="183" t="n"/>
      <c r="AA111" s="183" t="n"/>
    </row>
    <row r="112" ht="45.75" customHeight="1" s="222">
      <c r="A112" s="205" t="n"/>
      <c r="B112" s="205" t="n"/>
      <c r="C112" s="205" t="n"/>
      <c r="D112" s="205" t="n"/>
      <c r="E112" s="205" t="n"/>
      <c r="F112" s="205" t="n"/>
      <c r="G112" s="206" t="n"/>
      <c r="H112" s="205" t="n"/>
      <c r="I112" s="28" t="n"/>
      <c r="J112" s="205" t="n"/>
      <c r="K112" s="205" t="n"/>
      <c r="L112" s="205" t="n"/>
      <c r="M112" s="205" t="n"/>
      <c r="N112" s="205" t="n"/>
      <c r="O112" s="183" t="n"/>
      <c r="P112" s="183" t="n"/>
      <c r="Q112" s="183" t="n"/>
      <c r="R112" s="183" t="n"/>
      <c r="S112" s="183" t="n"/>
      <c r="T112" s="183" t="n"/>
      <c r="U112" s="183" t="n"/>
      <c r="V112" s="183" t="n"/>
      <c r="W112" s="183" t="n"/>
      <c r="X112" s="183" t="n"/>
      <c r="Y112" s="183" t="n"/>
      <c r="Z112" s="183" t="n"/>
      <c r="AA112" s="183" t="n"/>
    </row>
    <row r="113" ht="45.75" customHeight="1" s="222">
      <c r="A113" s="205" t="n"/>
      <c r="B113" s="205" t="n"/>
      <c r="C113" s="205" t="n"/>
      <c r="D113" s="205" t="n"/>
      <c r="E113" s="205" t="n"/>
      <c r="F113" s="205" t="n"/>
      <c r="G113" s="206" t="n"/>
      <c r="H113" s="205" t="n"/>
      <c r="I113" s="28" t="n"/>
      <c r="J113" s="205" t="n"/>
      <c r="K113" s="205" t="n"/>
      <c r="L113" s="205" t="n"/>
      <c r="M113" s="205" t="n"/>
      <c r="N113" s="205" t="n"/>
      <c r="O113" s="183" t="n"/>
      <c r="P113" s="183" t="n"/>
      <c r="Q113" s="183" t="n"/>
      <c r="R113" s="183" t="n"/>
      <c r="S113" s="183" t="n"/>
      <c r="T113" s="183" t="n"/>
      <c r="U113" s="183" t="n"/>
      <c r="V113" s="183" t="n"/>
      <c r="W113" s="183" t="n"/>
      <c r="X113" s="183" t="n"/>
      <c r="Y113" s="183" t="n"/>
      <c r="Z113" s="183" t="n"/>
      <c r="AA113" s="183" t="n"/>
    </row>
    <row r="114" ht="45.75" customHeight="1" s="222">
      <c r="A114" s="205" t="n"/>
      <c r="B114" s="205" t="n"/>
      <c r="C114" s="205" t="n"/>
      <c r="D114" s="205" t="n"/>
      <c r="E114" s="205" t="n"/>
      <c r="F114" s="205" t="n"/>
      <c r="G114" s="206" t="n"/>
      <c r="H114" s="205" t="n"/>
      <c r="I114" s="28" t="n"/>
      <c r="J114" s="205" t="n"/>
      <c r="K114" s="205" t="n"/>
      <c r="L114" s="205" t="n"/>
      <c r="M114" s="205" t="n"/>
      <c r="N114" s="205" t="n"/>
      <c r="O114" s="183" t="n"/>
      <c r="P114" s="183" t="n"/>
      <c r="Q114" s="183" t="n"/>
      <c r="R114" s="183" t="n"/>
      <c r="S114" s="183" t="n"/>
      <c r="T114" s="183" t="n"/>
      <c r="U114" s="183" t="n"/>
      <c r="V114" s="183" t="n"/>
      <c r="W114" s="183" t="n"/>
      <c r="X114" s="183" t="n"/>
      <c r="Y114" s="183" t="n"/>
      <c r="Z114" s="183" t="n"/>
      <c r="AA114" s="183" t="n"/>
    </row>
    <row r="115" ht="45.75" customHeight="1" s="222">
      <c r="A115" s="205" t="n"/>
      <c r="B115" s="205" t="n"/>
      <c r="C115" s="205" t="n"/>
      <c r="D115" s="205" t="n"/>
      <c r="E115" s="205" t="n"/>
      <c r="F115" s="205" t="n"/>
      <c r="G115" s="206" t="n"/>
      <c r="H115" s="205" t="n"/>
      <c r="I115" s="28" t="n"/>
      <c r="J115" s="205" t="n"/>
      <c r="K115" s="205" t="n"/>
      <c r="L115" s="205" t="n"/>
      <c r="M115" s="205" t="n"/>
      <c r="N115" s="205" t="n"/>
      <c r="O115" s="183" t="n"/>
      <c r="P115" s="183" t="n"/>
      <c r="Q115" s="183" t="n"/>
      <c r="R115" s="183" t="n"/>
      <c r="S115" s="183" t="n"/>
      <c r="T115" s="183" t="n"/>
      <c r="U115" s="183" t="n"/>
      <c r="V115" s="183" t="n"/>
      <c r="W115" s="183" t="n"/>
      <c r="X115" s="183" t="n"/>
      <c r="Y115" s="183" t="n"/>
      <c r="Z115" s="183" t="n"/>
      <c r="AA115" s="183" t="n"/>
    </row>
    <row r="116" ht="45.75" customHeight="1" s="222">
      <c r="A116" s="205" t="n"/>
      <c r="B116" s="205" t="n"/>
      <c r="C116" s="205" t="n"/>
      <c r="D116" s="205" t="n"/>
      <c r="E116" s="205" t="n"/>
      <c r="F116" s="205" t="n"/>
      <c r="G116" s="206" t="n"/>
      <c r="H116" s="205" t="n"/>
      <c r="I116" s="28" t="n"/>
      <c r="J116" s="205" t="n"/>
      <c r="K116" s="205" t="n"/>
      <c r="L116" s="205" t="n"/>
      <c r="M116" s="205" t="n"/>
      <c r="N116" s="205" t="n"/>
      <c r="O116" s="183" t="n"/>
      <c r="P116" s="183" t="n"/>
      <c r="Q116" s="183" t="n"/>
      <c r="R116" s="183" t="n"/>
      <c r="S116" s="183" t="n"/>
      <c r="T116" s="183" t="n"/>
      <c r="U116" s="183" t="n"/>
      <c r="V116" s="183" t="n"/>
      <c r="W116" s="183" t="n"/>
      <c r="X116" s="183" t="n"/>
      <c r="Y116" s="183" t="n"/>
      <c r="Z116" s="183" t="n"/>
      <c r="AA116" s="183" t="n"/>
    </row>
    <row r="117" ht="45.75" customHeight="1" s="222">
      <c r="A117" s="205" t="n"/>
      <c r="B117" s="205" t="n"/>
      <c r="C117" s="205" t="n"/>
      <c r="D117" s="205" t="n"/>
      <c r="E117" s="205" t="n"/>
      <c r="F117" s="205" t="n"/>
      <c r="G117" s="206" t="n"/>
      <c r="H117" s="205" t="n"/>
      <c r="I117" s="28" t="n"/>
      <c r="J117" s="205" t="n"/>
      <c r="K117" s="205" t="n"/>
      <c r="L117" s="205" t="n"/>
      <c r="M117" s="205" t="n"/>
      <c r="N117" s="205" t="n"/>
      <c r="O117" s="183" t="n"/>
      <c r="P117" s="183" t="n"/>
      <c r="Q117" s="183" t="n"/>
      <c r="R117" s="183" t="n"/>
      <c r="S117" s="183" t="n"/>
      <c r="T117" s="183" t="n"/>
      <c r="U117" s="183" t="n"/>
      <c r="V117" s="183" t="n"/>
      <c r="W117" s="183" t="n"/>
      <c r="X117" s="183" t="n"/>
      <c r="Y117" s="183" t="n"/>
      <c r="Z117" s="183" t="n"/>
      <c r="AA117" s="183" t="n"/>
    </row>
    <row r="118" ht="45.75" customHeight="1" s="222">
      <c r="A118" s="205" t="n"/>
      <c r="B118" s="205" t="n"/>
      <c r="C118" s="205" t="n"/>
      <c r="D118" s="205" t="n"/>
      <c r="E118" s="205" t="n"/>
      <c r="F118" s="205" t="n"/>
      <c r="G118" s="206" t="n"/>
      <c r="H118" s="205" t="n"/>
      <c r="I118" s="28" t="n"/>
      <c r="J118" s="205" t="n"/>
      <c r="K118" s="205" t="n"/>
      <c r="L118" s="205" t="n"/>
      <c r="M118" s="205" t="n"/>
      <c r="N118" s="205" t="n"/>
      <c r="O118" s="183" t="n"/>
      <c r="P118" s="183" t="n"/>
      <c r="Q118" s="183" t="n"/>
      <c r="R118" s="183" t="n"/>
      <c r="S118" s="183" t="n"/>
      <c r="T118" s="183" t="n"/>
      <c r="U118" s="183" t="n"/>
      <c r="V118" s="183" t="n"/>
      <c r="W118" s="183" t="n"/>
      <c r="X118" s="183" t="n"/>
      <c r="Y118" s="183" t="n"/>
      <c r="Z118" s="183" t="n"/>
      <c r="AA118" s="183" t="n"/>
    </row>
    <row r="119" ht="45.75" customHeight="1" s="222">
      <c r="A119" s="205" t="n"/>
      <c r="B119" s="205" t="n"/>
      <c r="C119" s="205" t="n"/>
      <c r="D119" s="205" t="n"/>
      <c r="E119" s="205" t="n"/>
      <c r="F119" s="205" t="n"/>
      <c r="G119" s="206" t="n"/>
      <c r="H119" s="205" t="n"/>
      <c r="I119" s="28" t="n"/>
      <c r="J119" s="205" t="n"/>
      <c r="K119" s="205" t="n"/>
      <c r="L119" s="205" t="n"/>
      <c r="M119" s="205" t="n"/>
      <c r="N119" s="205" t="n"/>
      <c r="O119" s="183" t="n"/>
      <c r="P119" s="183" t="n"/>
      <c r="Q119" s="183" t="n"/>
      <c r="R119" s="183" t="n"/>
      <c r="S119" s="183" t="n"/>
      <c r="T119" s="183" t="n"/>
      <c r="U119" s="183" t="n"/>
      <c r="V119" s="183" t="n"/>
      <c r="W119" s="183" t="n"/>
      <c r="X119" s="183" t="n"/>
      <c r="Y119" s="183" t="n"/>
      <c r="Z119" s="183" t="n"/>
      <c r="AA119" s="183" t="n"/>
    </row>
    <row r="120" ht="45.75" customHeight="1" s="222">
      <c r="A120" s="205" t="n"/>
      <c r="B120" s="205" t="n"/>
      <c r="C120" s="205" t="n"/>
      <c r="D120" s="205" t="n"/>
      <c r="E120" s="205" t="n"/>
      <c r="F120" s="205" t="n"/>
      <c r="G120" s="206" t="n"/>
      <c r="H120" s="205" t="n"/>
      <c r="I120" s="28" t="n"/>
      <c r="J120" s="205" t="n"/>
      <c r="K120" s="205" t="n"/>
      <c r="L120" s="205" t="n"/>
      <c r="M120" s="205" t="n"/>
      <c r="N120" s="205" t="n"/>
      <c r="O120" s="183" t="n"/>
      <c r="P120" s="183" t="n"/>
      <c r="Q120" s="183" t="n"/>
      <c r="R120" s="183" t="n"/>
      <c r="S120" s="183" t="n"/>
      <c r="T120" s="183" t="n"/>
      <c r="U120" s="183" t="n"/>
      <c r="V120" s="183" t="n"/>
      <c r="W120" s="183" t="n"/>
      <c r="X120" s="183" t="n"/>
      <c r="Y120" s="183" t="n"/>
      <c r="Z120" s="183" t="n"/>
      <c r="AA120" s="183" t="n"/>
    </row>
    <row r="121" ht="45.75" customHeight="1" s="222">
      <c r="A121" s="205" t="n"/>
      <c r="B121" s="205" t="n"/>
      <c r="C121" s="205" t="n"/>
      <c r="D121" s="205" t="n"/>
      <c r="E121" s="205" t="n"/>
      <c r="F121" s="205" t="n"/>
      <c r="G121" s="206" t="n"/>
      <c r="H121" s="205" t="n"/>
      <c r="I121" s="28" t="n"/>
      <c r="J121" s="205" t="n"/>
      <c r="K121" s="205" t="n"/>
      <c r="L121" s="205" t="n"/>
      <c r="M121" s="205" t="n"/>
      <c r="N121" s="205" t="n"/>
      <c r="O121" s="183" t="n"/>
      <c r="P121" s="183" t="n"/>
      <c r="Q121" s="183" t="n"/>
      <c r="R121" s="183" t="n"/>
      <c r="S121" s="183" t="n"/>
      <c r="T121" s="183" t="n"/>
      <c r="U121" s="183" t="n"/>
      <c r="V121" s="183" t="n"/>
      <c r="W121" s="183" t="n"/>
      <c r="X121" s="183" t="n"/>
      <c r="Y121" s="183" t="n"/>
      <c r="Z121" s="183" t="n"/>
      <c r="AA121" s="183" t="n"/>
    </row>
    <row r="122" ht="45.75" customHeight="1" s="222">
      <c r="A122" s="205" t="n"/>
      <c r="B122" s="205" t="n"/>
      <c r="C122" s="205" t="n"/>
      <c r="D122" s="205" t="n"/>
      <c r="E122" s="205" t="n"/>
      <c r="F122" s="205" t="n"/>
      <c r="G122" s="206" t="n"/>
      <c r="H122" s="205" t="n"/>
      <c r="I122" s="28" t="n"/>
      <c r="J122" s="205" t="n"/>
      <c r="K122" s="205" t="n"/>
      <c r="L122" s="205" t="n"/>
      <c r="M122" s="205" t="n"/>
      <c r="N122" s="205" t="n"/>
      <c r="O122" s="183" t="n"/>
      <c r="P122" s="183" t="n"/>
      <c r="Q122" s="183" t="n"/>
      <c r="R122" s="183" t="n"/>
      <c r="S122" s="183" t="n"/>
      <c r="T122" s="183" t="n"/>
      <c r="U122" s="183" t="n"/>
      <c r="V122" s="183" t="n"/>
      <c r="W122" s="183" t="n"/>
      <c r="X122" s="183" t="n"/>
      <c r="Y122" s="183" t="n"/>
      <c r="Z122" s="183" t="n"/>
      <c r="AA122" s="183" t="n"/>
    </row>
    <row r="123" ht="45.75" customHeight="1" s="222">
      <c r="A123" s="205" t="n"/>
      <c r="B123" s="205" t="n"/>
      <c r="C123" s="205" t="n"/>
      <c r="D123" s="205" t="n"/>
      <c r="E123" s="205" t="n"/>
      <c r="F123" s="205" t="n"/>
      <c r="G123" s="206" t="n"/>
      <c r="H123" s="205" t="n"/>
      <c r="I123" s="28" t="n"/>
      <c r="J123" s="205" t="n"/>
      <c r="K123" s="205" t="n"/>
      <c r="L123" s="205" t="n"/>
      <c r="M123" s="205" t="n"/>
      <c r="N123" s="205" t="n"/>
      <c r="O123" s="183" t="n"/>
      <c r="P123" s="183" t="n"/>
      <c r="Q123" s="183" t="n"/>
      <c r="R123" s="183" t="n"/>
      <c r="S123" s="183" t="n"/>
      <c r="T123" s="183" t="n"/>
      <c r="U123" s="183" t="n"/>
      <c r="V123" s="183" t="n"/>
      <c r="W123" s="183" t="n"/>
      <c r="X123" s="183" t="n"/>
      <c r="Y123" s="183" t="n"/>
      <c r="Z123" s="183" t="n"/>
      <c r="AA123" s="183" t="n"/>
    </row>
    <row r="124" ht="45.75" customHeight="1" s="222">
      <c r="A124" s="205" t="n"/>
      <c r="B124" s="205" t="n"/>
      <c r="C124" s="205" t="n"/>
      <c r="D124" s="205" t="n"/>
      <c r="E124" s="205" t="n"/>
      <c r="F124" s="205" t="n"/>
      <c r="G124" s="206" t="n"/>
      <c r="H124" s="205" t="n"/>
      <c r="I124" s="28" t="n"/>
      <c r="J124" s="205" t="n"/>
      <c r="K124" s="205" t="n"/>
      <c r="L124" s="205" t="n"/>
      <c r="M124" s="205" t="n"/>
      <c r="N124" s="205" t="n"/>
      <c r="O124" s="183" t="n"/>
      <c r="P124" s="183" t="n"/>
      <c r="Q124" s="183" t="n"/>
      <c r="R124" s="183" t="n"/>
      <c r="S124" s="183" t="n"/>
      <c r="T124" s="183" t="n"/>
      <c r="U124" s="183" t="n"/>
      <c r="V124" s="183" t="n"/>
      <c r="W124" s="183" t="n"/>
      <c r="X124" s="183" t="n"/>
      <c r="Y124" s="183" t="n"/>
      <c r="Z124" s="183" t="n"/>
      <c r="AA124" s="183" t="n"/>
    </row>
    <row r="125" ht="45.75" customHeight="1" s="222">
      <c r="A125" s="205" t="n"/>
      <c r="B125" s="205" t="n"/>
      <c r="C125" s="205" t="n"/>
      <c r="D125" s="205" t="n"/>
      <c r="E125" s="205" t="n"/>
      <c r="F125" s="205" t="n"/>
      <c r="G125" s="206" t="n"/>
      <c r="H125" s="205" t="n"/>
      <c r="I125" s="28" t="n"/>
      <c r="J125" s="205" t="n"/>
      <c r="K125" s="205" t="n"/>
      <c r="L125" s="205" t="n"/>
      <c r="M125" s="205" t="n"/>
      <c r="N125" s="205" t="n"/>
      <c r="O125" s="183" t="n"/>
      <c r="P125" s="183" t="n"/>
      <c r="Q125" s="183" t="n"/>
      <c r="R125" s="183" t="n"/>
      <c r="S125" s="183" t="n"/>
      <c r="T125" s="183" t="n"/>
      <c r="U125" s="183" t="n"/>
      <c r="V125" s="183" t="n"/>
      <c r="W125" s="183" t="n"/>
      <c r="X125" s="183" t="n"/>
      <c r="Y125" s="183" t="n"/>
      <c r="Z125" s="183" t="n"/>
      <c r="AA125" s="183" t="n"/>
    </row>
    <row r="126" ht="45.75" customHeight="1" s="222">
      <c r="A126" s="205" t="n"/>
      <c r="B126" s="205" t="n"/>
      <c r="C126" s="205" t="n"/>
      <c r="D126" s="205" t="n"/>
      <c r="E126" s="205" t="n"/>
      <c r="F126" s="205" t="n"/>
      <c r="G126" s="206" t="n"/>
      <c r="H126" s="205" t="n"/>
      <c r="I126" s="28" t="n"/>
      <c r="J126" s="205" t="n"/>
      <c r="K126" s="205" t="n"/>
      <c r="L126" s="205" t="n"/>
      <c r="M126" s="205" t="n"/>
      <c r="N126" s="205" t="n"/>
      <c r="O126" s="183" t="n"/>
      <c r="P126" s="183" t="n"/>
      <c r="Q126" s="183" t="n"/>
      <c r="R126" s="183" t="n"/>
      <c r="S126" s="183" t="n"/>
      <c r="T126" s="183" t="n"/>
      <c r="U126" s="183" t="n"/>
      <c r="V126" s="183" t="n"/>
      <c r="W126" s="183" t="n"/>
      <c r="X126" s="183" t="n"/>
      <c r="Y126" s="183" t="n"/>
      <c r="Z126" s="183" t="n"/>
      <c r="AA126" s="183" t="n"/>
    </row>
    <row r="127" ht="45.75" customHeight="1" s="222">
      <c r="A127" s="205" t="n"/>
      <c r="B127" s="205" t="n"/>
      <c r="C127" s="205" t="n"/>
      <c r="D127" s="205" t="n"/>
      <c r="E127" s="205" t="n"/>
      <c r="F127" s="205" t="n"/>
      <c r="G127" s="206" t="n"/>
      <c r="H127" s="205" t="n"/>
      <c r="I127" s="28" t="n"/>
      <c r="J127" s="205" t="n"/>
      <c r="K127" s="205" t="n"/>
      <c r="L127" s="205" t="n"/>
      <c r="M127" s="205" t="n"/>
      <c r="N127" s="205" t="n"/>
      <c r="O127" s="183" t="n"/>
      <c r="P127" s="183" t="n"/>
      <c r="Q127" s="183" t="n"/>
      <c r="R127" s="183" t="n"/>
      <c r="S127" s="183" t="n"/>
      <c r="T127" s="183" t="n"/>
      <c r="U127" s="183" t="n"/>
      <c r="V127" s="183" t="n"/>
      <c r="W127" s="183" t="n"/>
      <c r="X127" s="183" t="n"/>
      <c r="Y127" s="183" t="n"/>
      <c r="Z127" s="183" t="n"/>
      <c r="AA127" s="183" t="n"/>
    </row>
    <row r="128" ht="45.75" customHeight="1" s="222">
      <c r="A128" s="205" t="n"/>
      <c r="B128" s="205" t="n"/>
      <c r="C128" s="205" t="n"/>
      <c r="D128" s="205" t="n"/>
      <c r="E128" s="205" t="n"/>
      <c r="F128" s="205" t="n"/>
      <c r="G128" s="206" t="n"/>
      <c r="H128" s="205" t="n"/>
      <c r="I128" s="28" t="n"/>
      <c r="J128" s="205" t="n"/>
      <c r="K128" s="205" t="n"/>
      <c r="L128" s="205" t="n"/>
      <c r="M128" s="205" t="n"/>
      <c r="N128" s="205" t="n"/>
      <c r="O128" s="183" t="n"/>
      <c r="P128" s="183" t="n"/>
      <c r="Q128" s="183" t="n"/>
      <c r="R128" s="183" t="n"/>
      <c r="S128" s="183" t="n"/>
      <c r="T128" s="183" t="n"/>
      <c r="U128" s="183" t="n"/>
      <c r="V128" s="183" t="n"/>
      <c r="W128" s="183" t="n"/>
      <c r="X128" s="183" t="n"/>
      <c r="Y128" s="183" t="n"/>
      <c r="Z128" s="183" t="n"/>
      <c r="AA128" s="183" t="n"/>
    </row>
    <row r="129" ht="45.75" customHeight="1" s="222">
      <c r="A129" s="205" t="n"/>
      <c r="B129" s="205" t="n"/>
      <c r="C129" s="205" t="n"/>
      <c r="D129" s="205" t="n"/>
      <c r="E129" s="205" t="n"/>
      <c r="F129" s="205" t="n"/>
      <c r="G129" s="206" t="n"/>
      <c r="H129" s="205" t="n"/>
      <c r="I129" s="28" t="n"/>
      <c r="J129" s="205" t="n"/>
      <c r="K129" s="205" t="n"/>
      <c r="L129" s="205" t="n"/>
      <c r="M129" s="205" t="n"/>
      <c r="N129" s="205" t="n"/>
      <c r="O129" s="183" t="n"/>
      <c r="P129" s="183" t="n"/>
      <c r="Q129" s="183" t="n"/>
      <c r="R129" s="183" t="n"/>
      <c r="S129" s="183" t="n"/>
      <c r="T129" s="183" t="n"/>
      <c r="U129" s="183" t="n"/>
      <c r="V129" s="183" t="n"/>
      <c r="W129" s="183" t="n"/>
      <c r="X129" s="183" t="n"/>
      <c r="Y129" s="183" t="n"/>
      <c r="Z129" s="183" t="n"/>
      <c r="AA129" s="183" t="n"/>
    </row>
    <row r="130" ht="45.75" customHeight="1" s="222">
      <c r="A130" s="205" t="n"/>
      <c r="B130" s="205" t="n"/>
      <c r="C130" s="205" t="n"/>
      <c r="D130" s="205" t="n"/>
      <c r="E130" s="205" t="n"/>
      <c r="F130" s="205" t="n"/>
      <c r="G130" s="206" t="n"/>
      <c r="H130" s="205" t="n"/>
      <c r="I130" s="28" t="n"/>
      <c r="J130" s="205" t="n"/>
      <c r="K130" s="205" t="n"/>
      <c r="L130" s="205" t="n"/>
      <c r="M130" s="205" t="n"/>
      <c r="N130" s="205" t="n"/>
      <c r="O130" s="183" t="n"/>
      <c r="P130" s="183" t="n"/>
      <c r="Q130" s="183" t="n"/>
      <c r="R130" s="183" t="n"/>
      <c r="S130" s="183" t="n"/>
      <c r="T130" s="183" t="n"/>
      <c r="U130" s="183" t="n"/>
      <c r="V130" s="183" t="n"/>
      <c r="W130" s="183" t="n"/>
      <c r="X130" s="183" t="n"/>
      <c r="Y130" s="183" t="n"/>
      <c r="Z130" s="183" t="n"/>
      <c r="AA130" s="183" t="n"/>
    </row>
    <row r="131" ht="45.75" customHeight="1" s="222">
      <c r="A131" s="205" t="n"/>
      <c r="B131" s="205" t="n"/>
      <c r="C131" s="205" t="n"/>
      <c r="D131" s="205" t="n"/>
      <c r="E131" s="205" t="n"/>
      <c r="F131" s="205" t="n"/>
      <c r="G131" s="206" t="n"/>
      <c r="H131" s="205" t="n"/>
      <c r="I131" s="28" t="n"/>
      <c r="J131" s="205" t="n"/>
      <c r="K131" s="205" t="n"/>
      <c r="L131" s="205" t="n"/>
      <c r="M131" s="205" t="n"/>
      <c r="N131" s="205" t="n"/>
      <c r="O131" s="183" t="n"/>
      <c r="P131" s="183" t="n"/>
      <c r="Q131" s="183" t="n"/>
      <c r="R131" s="183" t="n"/>
      <c r="S131" s="183" t="n"/>
      <c r="T131" s="183" t="n"/>
      <c r="U131" s="183" t="n"/>
      <c r="V131" s="183" t="n"/>
      <c r="W131" s="183" t="n"/>
      <c r="X131" s="183" t="n"/>
      <c r="Y131" s="183" t="n"/>
      <c r="Z131" s="183" t="n"/>
      <c r="AA131" s="183" t="n"/>
    </row>
    <row r="132" ht="45.75" customHeight="1" s="222">
      <c r="A132" s="205" t="n"/>
      <c r="B132" s="205" t="n"/>
      <c r="C132" s="205" t="n"/>
      <c r="D132" s="205" t="n"/>
      <c r="E132" s="205" t="n"/>
      <c r="F132" s="205" t="n"/>
      <c r="G132" s="206" t="n"/>
      <c r="H132" s="205" t="n"/>
      <c r="I132" s="28" t="n"/>
      <c r="J132" s="205" t="n"/>
      <c r="K132" s="205" t="n"/>
      <c r="L132" s="205" t="n"/>
      <c r="M132" s="205" t="n"/>
      <c r="N132" s="205" t="n"/>
      <c r="O132" s="183" t="n"/>
      <c r="P132" s="183" t="n"/>
      <c r="Q132" s="183" t="n"/>
      <c r="R132" s="183" t="n"/>
      <c r="S132" s="183" t="n"/>
      <c r="T132" s="183" t="n"/>
      <c r="U132" s="183" t="n"/>
      <c r="V132" s="183" t="n"/>
      <c r="W132" s="183" t="n"/>
      <c r="X132" s="183" t="n"/>
      <c r="Y132" s="183" t="n"/>
      <c r="Z132" s="183" t="n"/>
      <c r="AA132" s="183" t="n"/>
    </row>
    <row r="133" ht="45.75" customHeight="1" s="222">
      <c r="A133" s="205" t="n"/>
      <c r="B133" s="205" t="n"/>
      <c r="C133" s="205" t="n"/>
      <c r="D133" s="205" t="n"/>
      <c r="E133" s="205" t="n"/>
      <c r="F133" s="205" t="n"/>
      <c r="G133" s="206" t="n"/>
      <c r="H133" s="205" t="n"/>
      <c r="I133" s="28" t="n"/>
      <c r="J133" s="205" t="n"/>
      <c r="K133" s="205" t="n"/>
      <c r="L133" s="205" t="n"/>
      <c r="M133" s="205" t="n"/>
      <c r="N133" s="205" t="n"/>
      <c r="O133" s="183" t="n"/>
      <c r="P133" s="183" t="n"/>
      <c r="Q133" s="183" t="n"/>
      <c r="R133" s="183" t="n"/>
      <c r="S133" s="183" t="n"/>
      <c r="T133" s="183" t="n"/>
      <c r="U133" s="183" t="n"/>
      <c r="V133" s="183" t="n"/>
      <c r="W133" s="183" t="n"/>
      <c r="X133" s="183" t="n"/>
      <c r="Y133" s="183" t="n"/>
      <c r="Z133" s="183" t="n"/>
      <c r="AA133" s="183" t="n"/>
    </row>
    <row r="134" ht="45.75" customHeight="1" s="222">
      <c r="A134" s="205" t="n"/>
      <c r="B134" s="205" t="n"/>
      <c r="C134" s="205" t="n"/>
      <c r="D134" s="205" t="n"/>
      <c r="E134" s="205" t="n"/>
      <c r="F134" s="205" t="n"/>
      <c r="G134" s="206" t="n"/>
      <c r="H134" s="205" t="n"/>
      <c r="I134" s="28" t="n"/>
      <c r="J134" s="205" t="n"/>
      <c r="K134" s="205" t="n"/>
      <c r="L134" s="205" t="n"/>
      <c r="M134" s="205" t="n"/>
      <c r="N134" s="205" t="n"/>
      <c r="O134" s="183" t="n"/>
      <c r="P134" s="183" t="n"/>
      <c r="Q134" s="183" t="n"/>
      <c r="R134" s="183" t="n"/>
      <c r="S134" s="183" t="n"/>
      <c r="T134" s="183" t="n"/>
      <c r="U134" s="183" t="n"/>
      <c r="V134" s="183" t="n"/>
      <c r="W134" s="183" t="n"/>
      <c r="X134" s="183" t="n"/>
      <c r="Y134" s="183" t="n"/>
      <c r="Z134" s="183" t="n"/>
      <c r="AA134" s="183" t="n"/>
    </row>
    <row r="135" ht="45.75" customHeight="1" s="222">
      <c r="A135" s="205" t="n"/>
      <c r="B135" s="205" t="n"/>
      <c r="C135" s="205" t="n"/>
      <c r="D135" s="205" t="n"/>
      <c r="E135" s="205" t="n"/>
      <c r="F135" s="205" t="n"/>
      <c r="G135" s="206" t="n"/>
      <c r="H135" s="205" t="n"/>
      <c r="I135" s="28" t="n"/>
      <c r="J135" s="205" t="n"/>
      <c r="K135" s="205" t="n"/>
      <c r="L135" s="205" t="n"/>
      <c r="M135" s="205" t="n"/>
      <c r="N135" s="205" t="n"/>
      <c r="O135" s="183" t="n"/>
      <c r="P135" s="183" t="n"/>
      <c r="Q135" s="183" t="n"/>
      <c r="R135" s="183" t="n"/>
      <c r="S135" s="183" t="n"/>
      <c r="T135" s="183" t="n"/>
      <c r="U135" s="183" t="n"/>
      <c r="V135" s="183" t="n"/>
      <c r="W135" s="183" t="n"/>
      <c r="X135" s="183" t="n"/>
      <c r="Y135" s="183" t="n"/>
      <c r="Z135" s="183" t="n"/>
      <c r="AA135" s="183" t="n"/>
    </row>
    <row r="136" ht="45.75" customHeight="1" s="222">
      <c r="A136" s="205" t="n"/>
      <c r="B136" s="205" t="n"/>
      <c r="C136" s="205" t="n"/>
      <c r="D136" s="205" t="n"/>
      <c r="E136" s="205" t="n"/>
      <c r="F136" s="205" t="n"/>
      <c r="G136" s="206" t="n"/>
      <c r="H136" s="205" t="n"/>
      <c r="I136" s="28" t="n"/>
      <c r="J136" s="205" t="n"/>
      <c r="K136" s="205" t="n"/>
      <c r="L136" s="205" t="n"/>
      <c r="M136" s="205" t="n"/>
      <c r="N136" s="205" t="n"/>
      <c r="O136" s="183" t="n"/>
      <c r="P136" s="183" t="n"/>
      <c r="Q136" s="183" t="n"/>
      <c r="R136" s="183" t="n"/>
      <c r="S136" s="183" t="n"/>
      <c r="T136" s="183" t="n"/>
      <c r="U136" s="183" t="n"/>
      <c r="V136" s="183" t="n"/>
      <c r="W136" s="183" t="n"/>
      <c r="X136" s="183" t="n"/>
      <c r="Y136" s="183" t="n"/>
      <c r="Z136" s="183" t="n"/>
      <c r="AA136" s="183" t="n"/>
    </row>
    <row r="137" ht="45.75" customHeight="1" s="222">
      <c r="A137" s="205" t="n"/>
      <c r="B137" s="205" t="n"/>
      <c r="C137" s="205" t="n"/>
      <c r="D137" s="205" t="n"/>
      <c r="E137" s="205" t="n"/>
      <c r="F137" s="205" t="n"/>
      <c r="G137" s="206" t="n"/>
      <c r="H137" s="205" t="n"/>
      <c r="I137" s="28" t="n"/>
      <c r="J137" s="205" t="n"/>
      <c r="K137" s="205" t="n"/>
      <c r="L137" s="205" t="n"/>
      <c r="M137" s="205" t="n"/>
      <c r="N137" s="205" t="n"/>
      <c r="O137" s="183" t="n"/>
      <c r="P137" s="183" t="n"/>
      <c r="Q137" s="183" t="n"/>
      <c r="R137" s="183" t="n"/>
      <c r="S137" s="183" t="n"/>
      <c r="T137" s="183" t="n"/>
      <c r="U137" s="183" t="n"/>
      <c r="V137" s="183" t="n"/>
      <c r="W137" s="183" t="n"/>
      <c r="X137" s="183" t="n"/>
      <c r="Y137" s="183" t="n"/>
      <c r="Z137" s="183" t="n"/>
      <c r="AA137" s="183" t="n"/>
    </row>
    <row r="138" ht="45.75" customHeight="1" s="222">
      <c r="A138" s="205" t="n"/>
      <c r="B138" s="205" t="n"/>
      <c r="C138" s="205" t="n"/>
      <c r="D138" s="205" t="n"/>
      <c r="E138" s="205" t="n"/>
      <c r="F138" s="205" t="n"/>
      <c r="G138" s="206" t="n"/>
      <c r="H138" s="205" t="n"/>
      <c r="I138" s="28" t="n"/>
      <c r="J138" s="205" t="n"/>
      <c r="K138" s="205" t="n"/>
      <c r="L138" s="205" t="n"/>
      <c r="M138" s="205" t="n"/>
      <c r="N138" s="205" t="n"/>
      <c r="O138" s="183" t="n"/>
      <c r="P138" s="183" t="n"/>
      <c r="Q138" s="183" t="n"/>
      <c r="R138" s="183" t="n"/>
      <c r="S138" s="183" t="n"/>
      <c r="T138" s="183" t="n"/>
      <c r="U138" s="183" t="n"/>
      <c r="V138" s="183" t="n"/>
      <c r="W138" s="183" t="n"/>
      <c r="X138" s="183" t="n"/>
      <c r="Y138" s="183" t="n"/>
      <c r="Z138" s="183" t="n"/>
      <c r="AA138" s="183" t="n"/>
    </row>
    <row r="139" ht="45.75" customHeight="1" s="222">
      <c r="A139" s="205" t="n"/>
      <c r="B139" s="205" t="n"/>
      <c r="C139" s="205" t="n"/>
      <c r="D139" s="205" t="n"/>
      <c r="E139" s="205" t="n"/>
      <c r="F139" s="205" t="n"/>
      <c r="G139" s="206" t="n"/>
      <c r="H139" s="205" t="n"/>
      <c r="I139" s="28" t="n"/>
      <c r="J139" s="205" t="n"/>
      <c r="K139" s="205" t="n"/>
      <c r="L139" s="205" t="n"/>
      <c r="M139" s="205" t="n"/>
      <c r="N139" s="205" t="n"/>
      <c r="O139" s="183" t="n"/>
      <c r="P139" s="183" t="n"/>
      <c r="Q139" s="183" t="n"/>
      <c r="R139" s="183" t="n"/>
      <c r="S139" s="183" t="n"/>
      <c r="T139" s="183" t="n"/>
      <c r="U139" s="183" t="n"/>
      <c r="V139" s="183" t="n"/>
      <c r="W139" s="183" t="n"/>
      <c r="X139" s="183" t="n"/>
      <c r="Y139" s="183" t="n"/>
      <c r="Z139" s="183" t="n"/>
      <c r="AA139" s="183" t="n"/>
    </row>
    <row r="140" ht="45.75" customHeight="1" s="222">
      <c r="A140" s="205" t="n"/>
      <c r="B140" s="205" t="n"/>
      <c r="C140" s="205" t="n"/>
      <c r="D140" s="205" t="n"/>
      <c r="E140" s="205" t="n"/>
      <c r="F140" s="205" t="n"/>
      <c r="G140" s="206" t="n"/>
      <c r="H140" s="205" t="n"/>
      <c r="I140" s="28" t="n"/>
      <c r="J140" s="205" t="n"/>
      <c r="K140" s="205" t="n"/>
      <c r="L140" s="205" t="n"/>
      <c r="M140" s="205" t="n"/>
      <c r="N140" s="205" t="n"/>
      <c r="O140" s="183" t="n"/>
      <c r="P140" s="183" t="n"/>
      <c r="Q140" s="183" t="n"/>
      <c r="R140" s="183" t="n"/>
      <c r="S140" s="183" t="n"/>
      <c r="T140" s="183" t="n"/>
      <c r="U140" s="183" t="n"/>
      <c r="V140" s="183" t="n"/>
      <c r="W140" s="183" t="n"/>
      <c r="X140" s="183" t="n"/>
      <c r="Y140" s="183" t="n"/>
      <c r="Z140" s="183" t="n"/>
      <c r="AA140" s="183" t="n"/>
    </row>
    <row r="141" ht="45.75" customHeight="1" s="222">
      <c r="A141" s="205" t="n"/>
      <c r="B141" s="205" t="n"/>
      <c r="C141" s="205" t="n"/>
      <c r="D141" s="205" t="n"/>
      <c r="E141" s="205" t="n"/>
      <c r="F141" s="205" t="n"/>
      <c r="G141" s="206" t="n"/>
      <c r="H141" s="205" t="n"/>
      <c r="I141" s="28" t="n"/>
      <c r="J141" s="205" t="n"/>
      <c r="K141" s="205" t="n"/>
      <c r="L141" s="205" t="n"/>
      <c r="M141" s="205" t="n"/>
      <c r="N141" s="205" t="n"/>
      <c r="O141" s="183" t="n"/>
      <c r="P141" s="183" t="n"/>
      <c r="Q141" s="183" t="n"/>
      <c r="R141" s="183" t="n"/>
      <c r="S141" s="183" t="n"/>
      <c r="T141" s="183" t="n"/>
      <c r="U141" s="183" t="n"/>
      <c r="V141" s="183" t="n"/>
      <c r="W141" s="183" t="n"/>
      <c r="X141" s="183" t="n"/>
      <c r="Y141" s="183" t="n"/>
      <c r="Z141" s="183" t="n"/>
      <c r="AA141" s="183" t="n"/>
    </row>
    <row r="142" ht="45.75" customHeight="1" s="222">
      <c r="A142" s="205" t="n"/>
      <c r="B142" s="205" t="n"/>
      <c r="C142" s="205" t="n"/>
      <c r="D142" s="205" t="n"/>
      <c r="E142" s="205" t="n"/>
      <c r="F142" s="205" t="n"/>
      <c r="G142" s="206" t="n"/>
      <c r="H142" s="205" t="n"/>
      <c r="I142" s="28" t="n"/>
      <c r="J142" s="205" t="n"/>
      <c r="K142" s="205" t="n"/>
      <c r="L142" s="205" t="n"/>
      <c r="M142" s="205" t="n"/>
      <c r="N142" s="205" t="n"/>
      <c r="O142" s="183" t="n"/>
      <c r="P142" s="183" t="n"/>
      <c r="Q142" s="183" t="n"/>
      <c r="R142" s="183" t="n"/>
      <c r="S142" s="183" t="n"/>
      <c r="T142" s="183" t="n"/>
      <c r="U142" s="183" t="n"/>
      <c r="V142" s="183" t="n"/>
      <c r="W142" s="183" t="n"/>
      <c r="X142" s="183" t="n"/>
      <c r="Y142" s="183" t="n"/>
      <c r="Z142" s="183" t="n"/>
      <c r="AA142" s="183" t="n"/>
    </row>
    <row r="143" ht="45.75" customHeight="1" s="222">
      <c r="A143" s="205" t="n"/>
      <c r="B143" s="205" t="n"/>
      <c r="C143" s="205" t="n"/>
      <c r="D143" s="205" t="n"/>
      <c r="E143" s="205" t="n"/>
      <c r="F143" s="205" t="n"/>
      <c r="G143" s="206" t="n"/>
      <c r="H143" s="205" t="n"/>
      <c r="I143" s="28" t="n"/>
      <c r="J143" s="205" t="n"/>
      <c r="K143" s="205" t="n"/>
      <c r="L143" s="205" t="n"/>
      <c r="M143" s="205" t="n"/>
      <c r="N143" s="205" t="n"/>
      <c r="O143" s="183" t="n"/>
      <c r="P143" s="183" t="n"/>
      <c r="Q143" s="183" t="n"/>
      <c r="R143" s="183" t="n"/>
      <c r="S143" s="183" t="n"/>
      <c r="T143" s="183" t="n"/>
      <c r="U143" s="183" t="n"/>
      <c r="V143" s="183" t="n"/>
      <c r="W143" s="183" t="n"/>
      <c r="X143" s="183" t="n"/>
      <c r="Y143" s="183" t="n"/>
      <c r="Z143" s="183" t="n"/>
      <c r="AA143" s="183" t="n"/>
    </row>
    <row r="144" ht="45.75" customHeight="1" s="222">
      <c r="A144" s="205" t="n"/>
      <c r="B144" s="205" t="n"/>
      <c r="C144" s="205" t="n"/>
      <c r="D144" s="205" t="n"/>
      <c r="E144" s="205" t="n"/>
      <c r="F144" s="205" t="n"/>
      <c r="G144" s="206" t="n"/>
      <c r="H144" s="205" t="n"/>
      <c r="I144" s="28" t="n"/>
      <c r="J144" s="205" t="n"/>
      <c r="K144" s="205" t="n"/>
      <c r="L144" s="205" t="n"/>
      <c r="M144" s="205" t="n"/>
      <c r="N144" s="205" t="n"/>
      <c r="O144" s="183" t="n"/>
      <c r="P144" s="183" t="n"/>
      <c r="Q144" s="183" t="n"/>
      <c r="R144" s="183" t="n"/>
      <c r="S144" s="183" t="n"/>
      <c r="T144" s="183" t="n"/>
      <c r="U144" s="183" t="n"/>
      <c r="V144" s="183" t="n"/>
      <c r="W144" s="183" t="n"/>
      <c r="X144" s="183" t="n"/>
      <c r="Y144" s="183" t="n"/>
      <c r="Z144" s="183" t="n"/>
      <c r="AA144" s="183" t="n"/>
    </row>
    <row r="145" ht="45.75" customHeight="1" s="222">
      <c r="A145" s="205" t="n"/>
      <c r="B145" s="205" t="n"/>
      <c r="C145" s="205" t="n"/>
      <c r="D145" s="205" t="n"/>
      <c r="E145" s="205" t="n"/>
      <c r="F145" s="205" t="n"/>
      <c r="G145" s="206" t="n"/>
      <c r="H145" s="205" t="n"/>
      <c r="I145" s="28" t="n"/>
      <c r="J145" s="205" t="n"/>
      <c r="K145" s="205" t="n"/>
      <c r="L145" s="205" t="n"/>
      <c r="M145" s="205" t="n"/>
      <c r="N145" s="205" t="n"/>
      <c r="O145" s="183" t="n"/>
      <c r="P145" s="183" t="n"/>
      <c r="Q145" s="183" t="n"/>
      <c r="R145" s="183" t="n"/>
      <c r="S145" s="183" t="n"/>
      <c r="T145" s="183" t="n"/>
      <c r="U145" s="183" t="n"/>
      <c r="V145" s="183" t="n"/>
      <c r="W145" s="183" t="n"/>
      <c r="X145" s="183" t="n"/>
      <c r="Y145" s="183" t="n"/>
      <c r="Z145" s="183" t="n"/>
      <c r="AA145" s="183" t="n"/>
    </row>
    <row r="146" ht="45.75" customHeight="1" s="222">
      <c r="A146" s="205" t="n"/>
      <c r="B146" s="205" t="n"/>
      <c r="C146" s="205" t="n"/>
      <c r="D146" s="205" t="n"/>
      <c r="E146" s="205" t="n"/>
      <c r="F146" s="205" t="n"/>
      <c r="G146" s="206" t="n"/>
      <c r="H146" s="205" t="n"/>
      <c r="I146" s="28" t="n"/>
      <c r="J146" s="205" t="n"/>
      <c r="K146" s="205" t="n"/>
      <c r="L146" s="205" t="n"/>
      <c r="M146" s="205" t="n"/>
      <c r="N146" s="205" t="n"/>
      <c r="O146" s="183" t="n"/>
      <c r="P146" s="183" t="n"/>
      <c r="Q146" s="183" t="n"/>
      <c r="R146" s="183" t="n"/>
      <c r="S146" s="183" t="n"/>
      <c r="T146" s="183" t="n"/>
      <c r="U146" s="183" t="n"/>
      <c r="V146" s="183" t="n"/>
      <c r="W146" s="183" t="n"/>
      <c r="X146" s="183" t="n"/>
      <c r="Y146" s="183" t="n"/>
      <c r="Z146" s="183" t="n"/>
      <c r="AA146" s="183" t="n"/>
    </row>
    <row r="147" ht="45.75" customHeight="1" s="222">
      <c r="A147" s="205" t="n"/>
      <c r="B147" s="205" t="n"/>
      <c r="C147" s="205" t="n"/>
      <c r="D147" s="205" t="n"/>
      <c r="E147" s="205" t="n"/>
      <c r="F147" s="205" t="n"/>
      <c r="G147" s="206" t="n"/>
      <c r="H147" s="205" t="n"/>
      <c r="I147" s="28" t="n"/>
      <c r="J147" s="205" t="n"/>
      <c r="K147" s="205" t="n"/>
      <c r="L147" s="205" t="n"/>
      <c r="M147" s="205" t="n"/>
      <c r="N147" s="205" t="n"/>
      <c r="O147" s="183" t="n"/>
      <c r="P147" s="183" t="n"/>
      <c r="Q147" s="183" t="n"/>
      <c r="R147" s="183" t="n"/>
      <c r="S147" s="183" t="n"/>
      <c r="T147" s="183" t="n"/>
      <c r="U147" s="183" t="n"/>
      <c r="V147" s="183" t="n"/>
      <c r="W147" s="183" t="n"/>
      <c r="X147" s="183" t="n"/>
      <c r="Y147" s="183" t="n"/>
      <c r="Z147" s="183" t="n"/>
      <c r="AA147" s="183" t="n"/>
    </row>
    <row r="148" ht="45.75" customHeight="1" s="222">
      <c r="A148" s="205" t="n"/>
      <c r="B148" s="205" t="n"/>
      <c r="C148" s="205" t="n"/>
      <c r="D148" s="205" t="n"/>
      <c r="E148" s="205" t="n"/>
      <c r="F148" s="205" t="n"/>
      <c r="G148" s="206" t="n"/>
      <c r="H148" s="205" t="n"/>
      <c r="I148" s="28" t="n"/>
      <c r="J148" s="205" t="n"/>
      <c r="K148" s="205" t="n"/>
      <c r="L148" s="205" t="n"/>
      <c r="M148" s="205" t="n"/>
      <c r="N148" s="205" t="n"/>
      <c r="O148" s="183" t="n"/>
      <c r="P148" s="183" t="n"/>
      <c r="Q148" s="183" t="n"/>
      <c r="R148" s="183" t="n"/>
      <c r="S148" s="183" t="n"/>
      <c r="T148" s="183" t="n"/>
      <c r="U148" s="183" t="n"/>
      <c r="V148" s="183" t="n"/>
      <c r="W148" s="183" t="n"/>
      <c r="X148" s="183" t="n"/>
      <c r="Y148" s="183" t="n"/>
      <c r="Z148" s="183" t="n"/>
      <c r="AA148" s="183" t="n"/>
    </row>
    <row r="149" ht="45.75" customHeight="1" s="222">
      <c r="A149" s="205" t="n"/>
      <c r="B149" s="205" t="n"/>
      <c r="C149" s="205" t="n"/>
      <c r="D149" s="205" t="n"/>
      <c r="E149" s="205" t="n"/>
      <c r="F149" s="205" t="n"/>
      <c r="G149" s="206" t="n"/>
      <c r="H149" s="205" t="n"/>
      <c r="I149" s="28" t="n"/>
      <c r="J149" s="205" t="n"/>
      <c r="K149" s="205" t="n"/>
      <c r="L149" s="205" t="n"/>
      <c r="M149" s="205" t="n"/>
      <c r="N149" s="205" t="n"/>
      <c r="O149" s="183" t="n"/>
      <c r="P149" s="183" t="n"/>
      <c r="Q149" s="183" t="n"/>
      <c r="R149" s="183" t="n"/>
      <c r="S149" s="183" t="n"/>
      <c r="T149" s="183" t="n"/>
      <c r="U149" s="183" t="n"/>
      <c r="V149" s="183" t="n"/>
      <c r="W149" s="183" t="n"/>
      <c r="X149" s="183" t="n"/>
      <c r="Y149" s="183" t="n"/>
      <c r="Z149" s="183" t="n"/>
      <c r="AA149" s="183" t="n"/>
    </row>
    <row r="150" ht="45.75" customHeight="1" s="222">
      <c r="A150" s="205" t="n"/>
      <c r="B150" s="205" t="n"/>
      <c r="C150" s="205" t="n"/>
      <c r="D150" s="205" t="n"/>
      <c r="E150" s="205" t="n"/>
      <c r="F150" s="205" t="n"/>
      <c r="G150" s="206" t="n"/>
      <c r="H150" s="205" t="n"/>
      <c r="I150" s="28" t="n"/>
      <c r="J150" s="205" t="n"/>
      <c r="K150" s="205" t="n"/>
      <c r="L150" s="205" t="n"/>
      <c r="M150" s="205" t="n"/>
      <c r="N150" s="205" t="n"/>
      <c r="O150" s="183" t="n"/>
      <c r="P150" s="183" t="n"/>
      <c r="Q150" s="183" t="n"/>
      <c r="R150" s="183" t="n"/>
      <c r="S150" s="183" t="n"/>
      <c r="T150" s="183" t="n"/>
      <c r="U150" s="183" t="n"/>
      <c r="V150" s="183" t="n"/>
      <c r="W150" s="183" t="n"/>
      <c r="X150" s="183" t="n"/>
      <c r="Y150" s="183" t="n"/>
      <c r="Z150" s="183" t="n"/>
      <c r="AA150" s="183" t="n"/>
    </row>
    <row r="151" ht="45.75" customHeight="1" s="222">
      <c r="A151" s="205" t="n"/>
      <c r="B151" s="205" t="n"/>
      <c r="C151" s="205" t="n"/>
      <c r="D151" s="205" t="n"/>
      <c r="E151" s="205" t="n"/>
      <c r="F151" s="205" t="n"/>
      <c r="G151" s="206" t="n"/>
      <c r="H151" s="205" t="n"/>
      <c r="I151" s="28" t="n"/>
      <c r="J151" s="205" t="n"/>
      <c r="K151" s="205" t="n"/>
      <c r="L151" s="205" t="n"/>
      <c r="M151" s="205" t="n"/>
      <c r="N151" s="205" t="n"/>
      <c r="O151" s="183" t="n"/>
      <c r="P151" s="183" t="n"/>
      <c r="Q151" s="183" t="n"/>
      <c r="R151" s="183" t="n"/>
      <c r="S151" s="183" t="n"/>
      <c r="T151" s="183" t="n"/>
      <c r="U151" s="183" t="n"/>
      <c r="V151" s="183" t="n"/>
      <c r="W151" s="183" t="n"/>
      <c r="X151" s="183" t="n"/>
      <c r="Y151" s="183" t="n"/>
      <c r="Z151" s="183" t="n"/>
      <c r="AA151" s="183" t="n"/>
    </row>
    <row r="152" ht="45.75" customHeight="1" s="222">
      <c r="A152" s="205" t="n"/>
      <c r="B152" s="205" t="n"/>
      <c r="C152" s="205" t="n"/>
      <c r="D152" s="205" t="n"/>
      <c r="E152" s="205" t="n"/>
      <c r="F152" s="205" t="n"/>
      <c r="G152" s="206" t="n"/>
      <c r="H152" s="205" t="n"/>
      <c r="I152" s="28" t="n"/>
      <c r="J152" s="205" t="n"/>
      <c r="K152" s="205" t="n"/>
      <c r="L152" s="205" t="n"/>
      <c r="M152" s="205" t="n"/>
      <c r="N152" s="205" t="n"/>
      <c r="O152" s="183" t="n"/>
      <c r="P152" s="183" t="n"/>
      <c r="Q152" s="183" t="n"/>
      <c r="R152" s="183" t="n"/>
      <c r="S152" s="183" t="n"/>
      <c r="T152" s="183" t="n"/>
      <c r="U152" s="183" t="n"/>
      <c r="V152" s="183" t="n"/>
      <c r="W152" s="183" t="n"/>
      <c r="X152" s="183" t="n"/>
      <c r="Y152" s="183" t="n"/>
      <c r="Z152" s="183" t="n"/>
      <c r="AA152" s="183" t="n"/>
    </row>
    <row r="153" ht="45.75" customHeight="1" s="222">
      <c r="A153" s="205" t="n"/>
      <c r="B153" s="205" t="n"/>
      <c r="C153" s="205" t="n"/>
      <c r="D153" s="205" t="n"/>
      <c r="E153" s="205" t="n"/>
      <c r="F153" s="205" t="n"/>
      <c r="G153" s="206" t="n"/>
      <c r="H153" s="205" t="n"/>
      <c r="I153" s="28" t="n"/>
      <c r="J153" s="205" t="n"/>
      <c r="K153" s="205" t="n"/>
      <c r="L153" s="205" t="n"/>
      <c r="M153" s="205" t="n"/>
      <c r="N153" s="205" t="n"/>
      <c r="O153" s="183" t="n"/>
      <c r="P153" s="183" t="n"/>
      <c r="Q153" s="183" t="n"/>
      <c r="R153" s="183" t="n"/>
      <c r="S153" s="183" t="n"/>
      <c r="T153" s="183" t="n"/>
      <c r="U153" s="183" t="n"/>
      <c r="V153" s="183" t="n"/>
      <c r="W153" s="183" t="n"/>
      <c r="X153" s="183" t="n"/>
      <c r="Y153" s="183" t="n"/>
      <c r="Z153" s="183" t="n"/>
      <c r="AA153" s="183" t="n"/>
    </row>
    <row r="154" ht="45.75" customHeight="1" s="222">
      <c r="A154" s="205" t="n"/>
      <c r="B154" s="205" t="n"/>
      <c r="C154" s="205" t="n"/>
      <c r="D154" s="205" t="n"/>
      <c r="E154" s="205" t="n"/>
      <c r="F154" s="205" t="n"/>
      <c r="G154" s="206" t="n"/>
      <c r="H154" s="205" t="n"/>
      <c r="I154" s="28" t="n"/>
      <c r="J154" s="205" t="n"/>
      <c r="K154" s="205" t="n"/>
      <c r="L154" s="205" t="n"/>
      <c r="M154" s="205" t="n"/>
      <c r="N154" s="205" t="n"/>
      <c r="O154" s="183" t="n"/>
      <c r="P154" s="183" t="n"/>
      <c r="Q154" s="183" t="n"/>
      <c r="R154" s="183" t="n"/>
      <c r="S154" s="183" t="n"/>
      <c r="T154" s="183" t="n"/>
      <c r="U154" s="183" t="n"/>
      <c r="V154" s="183" t="n"/>
      <c r="W154" s="183" t="n"/>
      <c r="X154" s="183" t="n"/>
      <c r="Y154" s="183" t="n"/>
      <c r="Z154" s="183" t="n"/>
      <c r="AA154" s="183" t="n"/>
    </row>
    <row r="155" ht="45.75" customHeight="1" s="222">
      <c r="A155" s="205" t="n"/>
      <c r="B155" s="205" t="n"/>
      <c r="C155" s="205" t="n"/>
      <c r="D155" s="205" t="n"/>
      <c r="E155" s="205" t="n"/>
      <c r="F155" s="205" t="n"/>
      <c r="G155" s="206" t="n"/>
      <c r="H155" s="205" t="n"/>
      <c r="I155" s="28" t="n"/>
      <c r="J155" s="205" t="n"/>
      <c r="K155" s="205" t="n"/>
      <c r="L155" s="205" t="n"/>
      <c r="M155" s="205" t="n"/>
      <c r="N155" s="205" t="n"/>
      <c r="O155" s="183" t="n"/>
      <c r="P155" s="183" t="n"/>
      <c r="Q155" s="183" t="n"/>
      <c r="R155" s="183" t="n"/>
      <c r="S155" s="183" t="n"/>
      <c r="T155" s="183" t="n"/>
      <c r="U155" s="183" t="n"/>
      <c r="V155" s="183" t="n"/>
      <c r="W155" s="183" t="n"/>
      <c r="X155" s="183" t="n"/>
      <c r="Y155" s="183" t="n"/>
      <c r="Z155" s="183" t="n"/>
      <c r="AA155" s="183" t="n"/>
    </row>
    <row r="156" ht="45.75" customHeight="1" s="222">
      <c r="A156" s="205" t="n"/>
      <c r="B156" s="205" t="n"/>
      <c r="C156" s="205" t="n"/>
      <c r="D156" s="205" t="n"/>
      <c r="E156" s="205" t="n"/>
      <c r="F156" s="205" t="n"/>
      <c r="G156" s="206" t="n"/>
      <c r="H156" s="205" t="n"/>
      <c r="I156" s="28" t="n"/>
      <c r="J156" s="205" t="n"/>
      <c r="K156" s="205" t="n"/>
      <c r="L156" s="205" t="n"/>
      <c r="M156" s="205" t="n"/>
      <c r="N156" s="205" t="n"/>
      <c r="O156" s="183" t="n"/>
      <c r="P156" s="183" t="n"/>
      <c r="Q156" s="183" t="n"/>
      <c r="R156" s="183" t="n"/>
      <c r="S156" s="183" t="n"/>
      <c r="T156" s="183" t="n"/>
      <c r="U156" s="183" t="n"/>
      <c r="V156" s="183" t="n"/>
      <c r="W156" s="183" t="n"/>
      <c r="X156" s="183" t="n"/>
      <c r="Y156" s="183" t="n"/>
      <c r="Z156" s="183" t="n"/>
      <c r="AA156" s="183" t="n"/>
    </row>
    <row r="157" ht="45.75" customHeight="1" s="222">
      <c r="A157" s="205" t="n"/>
      <c r="B157" s="205" t="n"/>
      <c r="C157" s="205" t="n"/>
      <c r="D157" s="205" t="n"/>
      <c r="E157" s="205" t="n"/>
      <c r="F157" s="205" t="n"/>
      <c r="G157" s="206" t="n"/>
      <c r="H157" s="205" t="n"/>
      <c r="I157" s="28" t="n"/>
      <c r="J157" s="205" t="n"/>
      <c r="K157" s="205" t="n"/>
      <c r="L157" s="205" t="n"/>
      <c r="M157" s="205" t="n"/>
      <c r="N157" s="205" t="n"/>
      <c r="O157" s="183" t="n"/>
      <c r="P157" s="183" t="n"/>
      <c r="Q157" s="183" t="n"/>
      <c r="R157" s="183" t="n"/>
      <c r="S157" s="183" t="n"/>
      <c r="T157" s="183" t="n"/>
      <c r="U157" s="183" t="n"/>
      <c r="V157" s="183" t="n"/>
      <c r="W157" s="183" t="n"/>
      <c r="X157" s="183" t="n"/>
      <c r="Y157" s="183" t="n"/>
      <c r="Z157" s="183" t="n"/>
      <c r="AA157" s="183" t="n"/>
    </row>
    <row r="158" ht="45.75" customHeight="1" s="222">
      <c r="A158" s="205" t="n"/>
      <c r="B158" s="205" t="n"/>
      <c r="C158" s="205" t="n"/>
      <c r="D158" s="205" t="n"/>
      <c r="E158" s="205" t="n"/>
      <c r="F158" s="205" t="n"/>
      <c r="G158" s="206" t="n"/>
      <c r="H158" s="205" t="n"/>
      <c r="I158" s="28" t="n"/>
      <c r="J158" s="205" t="n"/>
      <c r="K158" s="205" t="n"/>
      <c r="L158" s="205" t="n"/>
      <c r="M158" s="205" t="n"/>
      <c r="N158" s="205" t="n"/>
      <c r="O158" s="183" t="n"/>
      <c r="P158" s="183" t="n"/>
      <c r="Q158" s="183" t="n"/>
      <c r="R158" s="183" t="n"/>
      <c r="S158" s="183" t="n"/>
      <c r="T158" s="183" t="n"/>
      <c r="U158" s="183" t="n"/>
      <c r="V158" s="183" t="n"/>
      <c r="W158" s="183" t="n"/>
      <c r="X158" s="183" t="n"/>
      <c r="Y158" s="183" t="n"/>
      <c r="Z158" s="183" t="n"/>
      <c r="AA158" s="183" t="n"/>
    </row>
    <row r="159" ht="45.75" customHeight="1" s="222">
      <c r="A159" s="205" t="n"/>
      <c r="B159" s="205" t="n"/>
      <c r="C159" s="205" t="n"/>
      <c r="D159" s="205" t="n"/>
      <c r="E159" s="205" t="n"/>
      <c r="F159" s="205" t="n"/>
      <c r="G159" s="206" t="n"/>
      <c r="H159" s="205" t="n"/>
      <c r="I159" s="28" t="n"/>
      <c r="J159" s="205" t="n"/>
      <c r="K159" s="205" t="n"/>
      <c r="L159" s="205" t="n"/>
      <c r="M159" s="205" t="n"/>
      <c r="N159" s="205" t="n"/>
      <c r="O159" s="183" t="n"/>
      <c r="P159" s="183" t="n"/>
      <c r="Q159" s="183" t="n"/>
      <c r="R159" s="183" t="n"/>
      <c r="S159" s="183" t="n"/>
      <c r="T159" s="183" t="n"/>
      <c r="U159" s="183" t="n"/>
      <c r="V159" s="183" t="n"/>
      <c r="W159" s="183" t="n"/>
      <c r="X159" s="183" t="n"/>
      <c r="Y159" s="183" t="n"/>
      <c r="Z159" s="183" t="n"/>
      <c r="AA159" s="183" t="n"/>
    </row>
    <row r="160" ht="45.75" customHeight="1" s="222">
      <c r="A160" s="205" t="n"/>
      <c r="B160" s="205" t="n"/>
      <c r="C160" s="205" t="n"/>
      <c r="D160" s="205" t="n"/>
      <c r="E160" s="205" t="n"/>
      <c r="F160" s="205" t="n"/>
      <c r="G160" s="206" t="n"/>
      <c r="H160" s="205" t="n"/>
      <c r="I160" s="28" t="n"/>
      <c r="J160" s="205" t="n"/>
      <c r="K160" s="205" t="n"/>
      <c r="L160" s="205" t="n"/>
      <c r="M160" s="205" t="n"/>
      <c r="N160" s="205" t="n"/>
      <c r="O160" s="183" t="n"/>
      <c r="P160" s="183" t="n"/>
      <c r="Q160" s="183" t="n"/>
      <c r="R160" s="183" t="n"/>
      <c r="S160" s="183" t="n"/>
      <c r="T160" s="183" t="n"/>
      <c r="U160" s="183" t="n"/>
      <c r="V160" s="183" t="n"/>
      <c r="W160" s="183" t="n"/>
      <c r="X160" s="183" t="n"/>
      <c r="Y160" s="183" t="n"/>
      <c r="Z160" s="183" t="n"/>
      <c r="AA160" s="183" t="n"/>
    </row>
    <row r="161" ht="45.75" customHeight="1" s="222">
      <c r="A161" s="205" t="n"/>
      <c r="B161" s="205" t="n"/>
      <c r="C161" s="205" t="n"/>
      <c r="D161" s="205" t="n"/>
      <c r="E161" s="205" t="n"/>
      <c r="F161" s="205" t="n"/>
      <c r="G161" s="206" t="n"/>
      <c r="H161" s="205" t="n"/>
      <c r="I161" s="28" t="n"/>
      <c r="J161" s="205" t="n"/>
      <c r="K161" s="205" t="n"/>
      <c r="L161" s="205" t="n"/>
      <c r="M161" s="205" t="n"/>
      <c r="N161" s="205" t="n"/>
      <c r="O161" s="183" t="n"/>
      <c r="P161" s="183" t="n"/>
      <c r="Q161" s="183" t="n"/>
      <c r="R161" s="183" t="n"/>
      <c r="S161" s="183" t="n"/>
      <c r="T161" s="183" t="n"/>
      <c r="U161" s="183" t="n"/>
      <c r="V161" s="183" t="n"/>
      <c r="W161" s="183" t="n"/>
      <c r="X161" s="183" t="n"/>
      <c r="Y161" s="183" t="n"/>
      <c r="Z161" s="183" t="n"/>
      <c r="AA161" s="183" t="n"/>
    </row>
    <row r="162" ht="45.75" customHeight="1" s="222">
      <c r="A162" s="205" t="n"/>
      <c r="B162" s="205" t="n"/>
      <c r="C162" s="205" t="n"/>
      <c r="D162" s="205" t="n"/>
      <c r="E162" s="205" t="n"/>
      <c r="F162" s="205" t="n"/>
      <c r="G162" s="206" t="n"/>
      <c r="H162" s="205" t="n"/>
      <c r="I162" s="28" t="n"/>
      <c r="J162" s="205" t="n"/>
      <c r="K162" s="205" t="n"/>
      <c r="L162" s="205" t="n"/>
      <c r="M162" s="205" t="n"/>
      <c r="N162" s="205" t="n"/>
      <c r="O162" s="183" t="n"/>
      <c r="P162" s="183" t="n"/>
      <c r="Q162" s="183" t="n"/>
      <c r="R162" s="183" t="n"/>
      <c r="S162" s="183" t="n"/>
      <c r="T162" s="183" t="n"/>
      <c r="U162" s="183" t="n"/>
      <c r="V162" s="183" t="n"/>
      <c r="W162" s="183" t="n"/>
      <c r="X162" s="183" t="n"/>
      <c r="Y162" s="183" t="n"/>
      <c r="Z162" s="183" t="n"/>
      <c r="AA162" s="183" t="n"/>
    </row>
    <row r="163" ht="45.75" customHeight="1" s="222">
      <c r="A163" s="205" t="n"/>
      <c r="B163" s="205" t="n"/>
      <c r="C163" s="205" t="n"/>
      <c r="D163" s="205" t="n"/>
      <c r="E163" s="205" t="n"/>
      <c r="F163" s="205" t="n"/>
      <c r="G163" s="206" t="n"/>
      <c r="H163" s="205" t="n"/>
      <c r="I163" s="28" t="n"/>
      <c r="J163" s="205" t="n"/>
      <c r="K163" s="205" t="n"/>
      <c r="L163" s="205" t="n"/>
      <c r="M163" s="205" t="n"/>
      <c r="N163" s="205" t="n"/>
      <c r="O163" s="183" t="n"/>
      <c r="P163" s="183" t="n"/>
      <c r="Q163" s="183" t="n"/>
      <c r="R163" s="183" t="n"/>
      <c r="S163" s="183" t="n"/>
      <c r="T163" s="183" t="n"/>
      <c r="U163" s="183" t="n"/>
      <c r="V163" s="183" t="n"/>
      <c r="W163" s="183" t="n"/>
      <c r="X163" s="183" t="n"/>
      <c r="Y163" s="183" t="n"/>
      <c r="Z163" s="183" t="n"/>
      <c r="AA163" s="183" t="n"/>
    </row>
    <row r="164" ht="45.75" customHeight="1" s="222">
      <c r="A164" s="205" t="n"/>
      <c r="B164" s="205" t="n"/>
      <c r="C164" s="205" t="n"/>
      <c r="D164" s="205" t="n"/>
      <c r="E164" s="205" t="n"/>
      <c r="F164" s="205" t="n"/>
      <c r="G164" s="206" t="n"/>
      <c r="H164" s="205" t="n"/>
      <c r="I164" s="28" t="n"/>
      <c r="J164" s="205" t="n"/>
      <c r="K164" s="205" t="n"/>
      <c r="L164" s="205" t="n"/>
      <c r="M164" s="205" t="n"/>
      <c r="N164" s="205" t="n"/>
      <c r="O164" s="183" t="n"/>
      <c r="P164" s="183" t="n"/>
      <c r="Q164" s="183" t="n"/>
      <c r="R164" s="183" t="n"/>
      <c r="S164" s="183" t="n"/>
      <c r="T164" s="183" t="n"/>
      <c r="U164" s="183" t="n"/>
      <c r="V164" s="183" t="n"/>
      <c r="W164" s="183" t="n"/>
      <c r="X164" s="183" t="n"/>
      <c r="Y164" s="183" t="n"/>
      <c r="Z164" s="183" t="n"/>
      <c r="AA164" s="183" t="n"/>
    </row>
    <row r="165" ht="45.75" customHeight="1" s="222">
      <c r="A165" s="205" t="n"/>
      <c r="B165" s="205" t="n"/>
      <c r="C165" s="205" t="n"/>
      <c r="D165" s="205" t="n"/>
      <c r="E165" s="205" t="n"/>
      <c r="F165" s="205" t="n"/>
      <c r="G165" s="206" t="n"/>
      <c r="H165" s="205" t="n"/>
      <c r="I165" s="28" t="n"/>
      <c r="J165" s="205" t="n"/>
      <c r="K165" s="205" t="n"/>
      <c r="L165" s="205" t="n"/>
      <c r="M165" s="205" t="n"/>
      <c r="N165" s="205" t="n"/>
      <c r="O165" s="183" t="n"/>
      <c r="P165" s="183" t="n"/>
      <c r="Q165" s="183" t="n"/>
      <c r="R165" s="183" t="n"/>
      <c r="S165" s="183" t="n"/>
      <c r="T165" s="183" t="n"/>
      <c r="U165" s="183" t="n"/>
      <c r="V165" s="183" t="n"/>
      <c r="W165" s="183" t="n"/>
      <c r="X165" s="183" t="n"/>
      <c r="Y165" s="183" t="n"/>
      <c r="Z165" s="183" t="n"/>
      <c r="AA165" s="183" t="n"/>
    </row>
    <row r="166" ht="45.75" customHeight="1" s="222">
      <c r="A166" s="205" t="n"/>
      <c r="B166" s="205" t="n"/>
      <c r="C166" s="205" t="n"/>
      <c r="D166" s="205" t="n"/>
      <c r="E166" s="205" t="n"/>
      <c r="F166" s="205" t="n"/>
      <c r="G166" s="206" t="n"/>
      <c r="H166" s="205" t="n"/>
      <c r="I166" s="28" t="n"/>
      <c r="J166" s="205" t="n"/>
      <c r="K166" s="205" t="n"/>
      <c r="L166" s="205" t="n"/>
      <c r="M166" s="205" t="n"/>
      <c r="N166" s="205" t="n"/>
      <c r="O166" s="183" t="n"/>
      <c r="P166" s="183" t="n"/>
      <c r="Q166" s="183" t="n"/>
      <c r="R166" s="183" t="n"/>
      <c r="S166" s="183" t="n"/>
      <c r="T166" s="183" t="n"/>
      <c r="U166" s="183" t="n"/>
      <c r="V166" s="183" t="n"/>
      <c r="W166" s="183" t="n"/>
      <c r="X166" s="183" t="n"/>
      <c r="Y166" s="183" t="n"/>
      <c r="Z166" s="183" t="n"/>
      <c r="AA166" s="183" t="n"/>
    </row>
    <row r="167" ht="45.75" customHeight="1" s="222">
      <c r="A167" s="205" t="n"/>
      <c r="B167" s="205" t="n"/>
      <c r="C167" s="205" t="n"/>
      <c r="D167" s="205" t="n"/>
      <c r="E167" s="205" t="n"/>
      <c r="F167" s="205" t="n"/>
      <c r="G167" s="206" t="n"/>
      <c r="H167" s="205" t="n"/>
      <c r="I167" s="28" t="n"/>
      <c r="J167" s="205" t="n"/>
      <c r="K167" s="205" t="n"/>
      <c r="L167" s="205" t="n"/>
      <c r="M167" s="205" t="n"/>
      <c r="N167" s="205" t="n"/>
      <c r="O167" s="183" t="n"/>
      <c r="P167" s="183" t="n"/>
      <c r="Q167" s="183" t="n"/>
      <c r="R167" s="183" t="n"/>
      <c r="S167" s="183" t="n"/>
      <c r="T167" s="183" t="n"/>
      <c r="U167" s="183" t="n"/>
      <c r="V167" s="183" t="n"/>
      <c r="W167" s="183" t="n"/>
      <c r="X167" s="183" t="n"/>
      <c r="Y167" s="183" t="n"/>
      <c r="Z167" s="183" t="n"/>
      <c r="AA167" s="183" t="n"/>
    </row>
    <row r="168" ht="45.75" customHeight="1" s="222">
      <c r="A168" s="205" t="n"/>
      <c r="B168" s="205" t="n"/>
      <c r="C168" s="205" t="n"/>
      <c r="D168" s="205" t="n"/>
      <c r="E168" s="205" t="n"/>
      <c r="F168" s="205" t="n"/>
      <c r="G168" s="206" t="n"/>
      <c r="H168" s="205" t="n"/>
      <c r="I168" s="28" t="n"/>
      <c r="J168" s="205" t="n"/>
      <c r="K168" s="205" t="n"/>
      <c r="L168" s="205" t="n"/>
      <c r="M168" s="205" t="n"/>
      <c r="N168" s="205" t="n"/>
      <c r="O168" s="183" t="n"/>
      <c r="P168" s="183" t="n"/>
      <c r="Q168" s="183" t="n"/>
      <c r="R168" s="183" t="n"/>
      <c r="S168" s="183" t="n"/>
      <c r="T168" s="183" t="n"/>
      <c r="U168" s="183" t="n"/>
      <c r="V168" s="183" t="n"/>
      <c r="W168" s="183" t="n"/>
      <c r="X168" s="183" t="n"/>
      <c r="Y168" s="183" t="n"/>
      <c r="Z168" s="183" t="n"/>
      <c r="AA168" s="183" t="n"/>
    </row>
    <row r="169" ht="45.75" customHeight="1" s="222">
      <c r="A169" s="205" t="n"/>
      <c r="B169" s="205" t="n"/>
      <c r="C169" s="205" t="n"/>
      <c r="D169" s="205" t="n"/>
      <c r="E169" s="205" t="n"/>
      <c r="F169" s="205" t="n"/>
      <c r="G169" s="206" t="n"/>
      <c r="H169" s="205" t="n"/>
      <c r="I169" s="28" t="n"/>
      <c r="J169" s="205" t="n"/>
      <c r="K169" s="205" t="n"/>
      <c r="L169" s="205" t="n"/>
      <c r="M169" s="205" t="n"/>
      <c r="N169" s="205" t="n"/>
      <c r="O169" s="183" t="n"/>
      <c r="P169" s="183" t="n"/>
      <c r="Q169" s="183" t="n"/>
      <c r="R169" s="183" t="n"/>
      <c r="S169" s="183" t="n"/>
      <c r="T169" s="183" t="n"/>
      <c r="U169" s="183" t="n"/>
      <c r="V169" s="183" t="n"/>
      <c r="W169" s="183" t="n"/>
      <c r="X169" s="183" t="n"/>
      <c r="Y169" s="183" t="n"/>
      <c r="Z169" s="183" t="n"/>
      <c r="AA169" s="183" t="n"/>
    </row>
    <row r="170" ht="45.75" customHeight="1" s="222">
      <c r="A170" s="205" t="n"/>
      <c r="B170" s="205" t="n"/>
      <c r="C170" s="205" t="n"/>
      <c r="D170" s="205" t="n"/>
      <c r="E170" s="205" t="n"/>
      <c r="F170" s="205" t="n"/>
      <c r="G170" s="206" t="n"/>
      <c r="H170" s="205" t="n"/>
      <c r="I170" s="28" t="n"/>
      <c r="J170" s="205" t="n"/>
      <c r="K170" s="205" t="n"/>
      <c r="L170" s="205" t="n"/>
      <c r="M170" s="205" t="n"/>
      <c r="N170" s="205" t="n"/>
      <c r="O170" s="183" t="n"/>
      <c r="P170" s="183" t="n"/>
      <c r="Q170" s="183" t="n"/>
      <c r="R170" s="183" t="n"/>
      <c r="S170" s="183" t="n"/>
      <c r="T170" s="183" t="n"/>
      <c r="U170" s="183" t="n"/>
      <c r="V170" s="183" t="n"/>
      <c r="W170" s="183" t="n"/>
      <c r="X170" s="183" t="n"/>
      <c r="Y170" s="183" t="n"/>
      <c r="Z170" s="183" t="n"/>
      <c r="AA170" s="183" t="n"/>
    </row>
    <row r="171" ht="45.75" customHeight="1" s="222">
      <c r="A171" s="205" t="n"/>
      <c r="B171" s="205" t="n"/>
      <c r="C171" s="205" t="n"/>
      <c r="D171" s="205" t="n"/>
      <c r="E171" s="205" t="n"/>
      <c r="F171" s="205" t="n"/>
      <c r="G171" s="206" t="n"/>
      <c r="H171" s="205" t="n"/>
      <c r="I171" s="28" t="n"/>
      <c r="J171" s="205" t="n"/>
      <c r="K171" s="205" t="n"/>
      <c r="L171" s="205" t="n"/>
      <c r="M171" s="205" t="n"/>
      <c r="N171" s="205" t="n"/>
      <c r="O171" s="183" t="n"/>
      <c r="P171" s="183" t="n"/>
      <c r="Q171" s="183" t="n"/>
      <c r="R171" s="183" t="n"/>
      <c r="S171" s="183" t="n"/>
      <c r="T171" s="183" t="n"/>
      <c r="U171" s="183" t="n"/>
      <c r="V171" s="183" t="n"/>
      <c r="W171" s="183" t="n"/>
      <c r="X171" s="183" t="n"/>
      <c r="Y171" s="183" t="n"/>
      <c r="Z171" s="183" t="n"/>
      <c r="AA171" s="183" t="n"/>
    </row>
    <row r="172" ht="45.75" customHeight="1" s="222">
      <c r="A172" s="205" t="n"/>
      <c r="B172" s="205" t="n"/>
      <c r="C172" s="205" t="n"/>
      <c r="D172" s="205" t="n"/>
      <c r="E172" s="205" t="n"/>
      <c r="F172" s="205" t="n"/>
      <c r="G172" s="206" t="n"/>
      <c r="H172" s="205" t="n"/>
      <c r="I172" s="28" t="n"/>
      <c r="J172" s="205" t="n"/>
      <c r="K172" s="205" t="n"/>
      <c r="L172" s="205" t="n"/>
      <c r="M172" s="205" t="n"/>
      <c r="N172" s="205" t="n"/>
      <c r="O172" s="183" t="n"/>
      <c r="P172" s="183" t="n"/>
      <c r="Q172" s="183" t="n"/>
      <c r="R172" s="183" t="n"/>
      <c r="S172" s="183" t="n"/>
      <c r="T172" s="183" t="n"/>
      <c r="U172" s="183" t="n"/>
      <c r="V172" s="183" t="n"/>
      <c r="W172" s="183" t="n"/>
      <c r="X172" s="183" t="n"/>
      <c r="Y172" s="183" t="n"/>
      <c r="Z172" s="183" t="n"/>
      <c r="AA172" s="183" t="n"/>
    </row>
    <row r="173" ht="45.75" customHeight="1" s="222">
      <c r="A173" s="205" t="n"/>
      <c r="B173" s="205" t="n"/>
      <c r="C173" s="205" t="n"/>
      <c r="D173" s="205" t="n"/>
      <c r="E173" s="205" t="n"/>
      <c r="F173" s="205" t="n"/>
      <c r="G173" s="206" t="n"/>
      <c r="H173" s="205" t="n"/>
      <c r="I173" s="28" t="n"/>
      <c r="J173" s="205" t="n"/>
      <c r="K173" s="205" t="n"/>
      <c r="L173" s="205" t="n"/>
      <c r="M173" s="205" t="n"/>
      <c r="N173" s="205" t="n"/>
      <c r="O173" s="183" t="n"/>
      <c r="P173" s="183" t="n"/>
      <c r="Q173" s="183" t="n"/>
      <c r="R173" s="183" t="n"/>
      <c r="S173" s="183" t="n"/>
      <c r="T173" s="183" t="n"/>
      <c r="U173" s="183" t="n"/>
      <c r="V173" s="183" t="n"/>
      <c r="W173" s="183" t="n"/>
      <c r="X173" s="183" t="n"/>
      <c r="Y173" s="183" t="n"/>
      <c r="Z173" s="183" t="n"/>
      <c r="AA173" s="183" t="n"/>
    </row>
    <row r="174" ht="45.75" customHeight="1" s="222">
      <c r="A174" s="205" t="n"/>
      <c r="B174" s="205" t="n"/>
      <c r="C174" s="205" t="n"/>
      <c r="D174" s="205" t="n"/>
      <c r="E174" s="205" t="n"/>
      <c r="F174" s="205" t="n"/>
      <c r="G174" s="206" t="n"/>
      <c r="H174" s="205" t="n"/>
      <c r="I174" s="28" t="n"/>
      <c r="J174" s="205" t="n"/>
      <c r="K174" s="205" t="n"/>
      <c r="L174" s="205" t="n"/>
      <c r="M174" s="205" t="n"/>
      <c r="N174" s="205" t="n"/>
      <c r="O174" s="183" t="n"/>
      <c r="P174" s="183" t="n"/>
      <c r="Q174" s="183" t="n"/>
      <c r="R174" s="183" t="n"/>
      <c r="S174" s="183" t="n"/>
      <c r="T174" s="183" t="n"/>
      <c r="U174" s="183" t="n"/>
      <c r="V174" s="183" t="n"/>
      <c r="W174" s="183" t="n"/>
      <c r="X174" s="183" t="n"/>
      <c r="Y174" s="183" t="n"/>
      <c r="Z174" s="183" t="n"/>
      <c r="AA174" s="183" t="n"/>
    </row>
    <row r="175" ht="45.75" customHeight="1" s="222">
      <c r="A175" s="205" t="n"/>
      <c r="B175" s="205" t="n"/>
      <c r="C175" s="205" t="n"/>
      <c r="D175" s="205" t="n"/>
      <c r="E175" s="205" t="n"/>
      <c r="F175" s="205" t="n"/>
      <c r="G175" s="206" t="n"/>
      <c r="H175" s="205" t="n"/>
      <c r="I175" s="28" t="n"/>
      <c r="J175" s="205" t="n"/>
      <c r="K175" s="205" t="n"/>
      <c r="L175" s="205" t="n"/>
      <c r="M175" s="205" t="n"/>
      <c r="N175" s="205" t="n"/>
      <c r="O175" s="183" t="n"/>
      <c r="P175" s="183" t="n"/>
      <c r="Q175" s="183" t="n"/>
      <c r="R175" s="183" t="n"/>
      <c r="S175" s="183" t="n"/>
      <c r="T175" s="183" t="n"/>
      <c r="U175" s="183" t="n"/>
      <c r="V175" s="183" t="n"/>
      <c r="W175" s="183" t="n"/>
      <c r="X175" s="183" t="n"/>
      <c r="Y175" s="183" t="n"/>
      <c r="Z175" s="183" t="n"/>
      <c r="AA175" s="183" t="n"/>
    </row>
    <row r="176" ht="45.75" customHeight="1" s="222">
      <c r="A176" s="205" t="n"/>
      <c r="B176" s="205" t="n"/>
      <c r="C176" s="205" t="n"/>
      <c r="D176" s="205" t="n"/>
      <c r="E176" s="205" t="n"/>
      <c r="F176" s="205" t="n"/>
      <c r="G176" s="206" t="n"/>
      <c r="H176" s="205" t="n"/>
      <c r="I176" s="28" t="n"/>
      <c r="J176" s="205" t="n"/>
      <c r="K176" s="205" t="n"/>
      <c r="L176" s="205" t="n"/>
      <c r="M176" s="205" t="n"/>
      <c r="N176" s="205" t="n"/>
      <c r="O176" s="183" t="n"/>
      <c r="P176" s="183" t="n"/>
      <c r="Q176" s="183" t="n"/>
      <c r="R176" s="183" t="n"/>
      <c r="S176" s="183" t="n"/>
      <c r="T176" s="183" t="n"/>
      <c r="U176" s="183" t="n"/>
      <c r="V176" s="183" t="n"/>
      <c r="W176" s="183" t="n"/>
      <c r="X176" s="183" t="n"/>
      <c r="Y176" s="183" t="n"/>
      <c r="Z176" s="183" t="n"/>
      <c r="AA176" s="183" t="n"/>
    </row>
    <row r="177" ht="45.75" customHeight="1" s="222">
      <c r="A177" s="205" t="n"/>
      <c r="B177" s="205" t="n"/>
      <c r="C177" s="205" t="n"/>
      <c r="D177" s="205" t="n"/>
      <c r="E177" s="205" t="n"/>
      <c r="F177" s="205" t="n"/>
      <c r="G177" s="206" t="n"/>
      <c r="H177" s="205" t="n"/>
      <c r="I177" s="28" t="n"/>
      <c r="J177" s="205" t="n"/>
      <c r="K177" s="205" t="n"/>
      <c r="L177" s="205" t="n"/>
      <c r="M177" s="205" t="n"/>
      <c r="N177" s="205" t="n"/>
      <c r="O177" s="183" t="n"/>
      <c r="P177" s="183" t="n"/>
      <c r="Q177" s="183" t="n"/>
      <c r="R177" s="183" t="n"/>
      <c r="S177" s="183" t="n"/>
      <c r="T177" s="183" t="n"/>
      <c r="U177" s="183" t="n"/>
      <c r="V177" s="183" t="n"/>
      <c r="W177" s="183" t="n"/>
      <c r="X177" s="183" t="n"/>
      <c r="Y177" s="183" t="n"/>
      <c r="Z177" s="183" t="n"/>
      <c r="AA177" s="183" t="n"/>
    </row>
    <row r="178" ht="45.75" customHeight="1" s="222">
      <c r="A178" s="205" t="n"/>
      <c r="B178" s="205" t="n"/>
      <c r="C178" s="205" t="n"/>
      <c r="D178" s="205" t="n"/>
      <c r="E178" s="205" t="n"/>
      <c r="F178" s="205" t="n"/>
      <c r="G178" s="206" t="n"/>
      <c r="H178" s="205" t="n"/>
      <c r="I178" s="28" t="n"/>
      <c r="J178" s="205" t="n"/>
      <c r="K178" s="205" t="n"/>
      <c r="L178" s="205" t="n"/>
      <c r="M178" s="205" t="n"/>
      <c r="N178" s="205" t="n"/>
      <c r="O178" s="183" t="n"/>
      <c r="P178" s="183" t="n"/>
      <c r="Q178" s="183" t="n"/>
      <c r="R178" s="183" t="n"/>
      <c r="S178" s="183" t="n"/>
      <c r="T178" s="183" t="n"/>
      <c r="U178" s="183" t="n"/>
      <c r="V178" s="183" t="n"/>
      <c r="W178" s="183" t="n"/>
      <c r="X178" s="183" t="n"/>
      <c r="Y178" s="183" t="n"/>
      <c r="Z178" s="183" t="n"/>
      <c r="AA178" s="183" t="n"/>
    </row>
    <row r="179" ht="45.75" customHeight="1" s="222">
      <c r="A179" s="205" t="n"/>
      <c r="B179" s="205" t="n"/>
      <c r="C179" s="205" t="n"/>
      <c r="D179" s="205" t="n"/>
      <c r="E179" s="205" t="n"/>
      <c r="F179" s="205" t="n"/>
      <c r="G179" s="206" t="n"/>
      <c r="H179" s="205" t="n"/>
      <c r="I179" s="28" t="n"/>
      <c r="J179" s="205" t="n"/>
      <c r="K179" s="205" t="n"/>
      <c r="L179" s="205" t="n"/>
      <c r="M179" s="205" t="n"/>
      <c r="N179" s="205" t="n"/>
      <c r="O179" s="183" t="n"/>
      <c r="P179" s="183" t="n"/>
      <c r="Q179" s="183" t="n"/>
      <c r="R179" s="183" t="n"/>
      <c r="S179" s="183" t="n"/>
      <c r="T179" s="183" t="n"/>
      <c r="U179" s="183" t="n"/>
      <c r="V179" s="183" t="n"/>
      <c r="W179" s="183" t="n"/>
      <c r="X179" s="183" t="n"/>
      <c r="Y179" s="183" t="n"/>
      <c r="Z179" s="183" t="n"/>
      <c r="AA179" s="183" t="n"/>
    </row>
    <row r="180" ht="45.75" customHeight="1" s="222">
      <c r="A180" s="205" t="n"/>
      <c r="B180" s="205" t="n"/>
      <c r="C180" s="205" t="n"/>
      <c r="D180" s="205" t="n"/>
      <c r="E180" s="205" t="n"/>
      <c r="F180" s="205" t="n"/>
      <c r="G180" s="206" t="n"/>
      <c r="H180" s="205" t="n"/>
      <c r="I180" s="28" t="n"/>
      <c r="J180" s="205" t="n"/>
      <c r="K180" s="205" t="n"/>
      <c r="L180" s="205" t="n"/>
      <c r="M180" s="205" t="n"/>
      <c r="N180" s="205" t="n"/>
      <c r="O180" s="183" t="n"/>
      <c r="P180" s="183" t="n"/>
      <c r="Q180" s="183" t="n"/>
      <c r="R180" s="183" t="n"/>
      <c r="S180" s="183" t="n"/>
      <c r="T180" s="183" t="n"/>
      <c r="U180" s="183" t="n"/>
      <c r="V180" s="183" t="n"/>
      <c r="W180" s="183" t="n"/>
      <c r="X180" s="183" t="n"/>
      <c r="Y180" s="183" t="n"/>
      <c r="Z180" s="183" t="n"/>
      <c r="AA180" s="183" t="n"/>
    </row>
    <row r="181" ht="45.75" customHeight="1" s="222">
      <c r="A181" s="205" t="n"/>
      <c r="B181" s="205" t="n"/>
      <c r="C181" s="205" t="n"/>
      <c r="D181" s="205" t="n"/>
      <c r="E181" s="205" t="n"/>
      <c r="F181" s="205" t="n"/>
      <c r="G181" s="206" t="n"/>
      <c r="H181" s="205" t="n"/>
      <c r="I181" s="28" t="n"/>
      <c r="J181" s="205" t="n"/>
      <c r="K181" s="205" t="n"/>
      <c r="L181" s="205" t="n"/>
      <c r="M181" s="205" t="n"/>
      <c r="N181" s="205" t="n"/>
      <c r="O181" s="183" t="n"/>
      <c r="P181" s="183" t="n"/>
      <c r="Q181" s="183" t="n"/>
      <c r="R181" s="183" t="n"/>
      <c r="S181" s="183" t="n"/>
      <c r="T181" s="183" t="n"/>
      <c r="U181" s="183" t="n"/>
      <c r="V181" s="183" t="n"/>
      <c r="W181" s="183" t="n"/>
      <c r="X181" s="183" t="n"/>
      <c r="Y181" s="183" t="n"/>
      <c r="Z181" s="183" t="n"/>
      <c r="AA181" s="183" t="n"/>
    </row>
    <row r="182" ht="45.75" customHeight="1" s="222">
      <c r="A182" s="205" t="n"/>
      <c r="B182" s="205" t="n"/>
      <c r="C182" s="205" t="n"/>
      <c r="D182" s="205" t="n"/>
      <c r="E182" s="205" t="n"/>
      <c r="F182" s="205" t="n"/>
      <c r="G182" s="206" t="n"/>
      <c r="H182" s="205" t="n"/>
      <c r="I182" s="28" t="n"/>
      <c r="J182" s="205" t="n"/>
      <c r="K182" s="205" t="n"/>
      <c r="L182" s="205" t="n"/>
      <c r="M182" s="205" t="n"/>
      <c r="N182" s="205" t="n"/>
      <c r="O182" s="183" t="n"/>
      <c r="P182" s="183" t="n"/>
      <c r="Q182" s="183" t="n"/>
      <c r="R182" s="183" t="n"/>
      <c r="S182" s="183" t="n"/>
      <c r="T182" s="183" t="n"/>
      <c r="U182" s="183" t="n"/>
      <c r="V182" s="183" t="n"/>
      <c r="W182" s="183" t="n"/>
      <c r="X182" s="183" t="n"/>
      <c r="Y182" s="183" t="n"/>
      <c r="Z182" s="183" t="n"/>
      <c r="AA182" s="183" t="n"/>
    </row>
    <row r="183" ht="45.75" customHeight="1" s="222">
      <c r="A183" s="205" t="n"/>
      <c r="B183" s="205" t="n"/>
      <c r="C183" s="205" t="n"/>
      <c r="D183" s="205" t="n"/>
      <c r="E183" s="205" t="n"/>
      <c r="F183" s="205" t="n"/>
      <c r="G183" s="206" t="n"/>
      <c r="H183" s="205" t="n"/>
      <c r="I183" s="28" t="n"/>
      <c r="J183" s="205" t="n"/>
      <c r="K183" s="205" t="n"/>
      <c r="L183" s="205" t="n"/>
      <c r="M183" s="205" t="n"/>
      <c r="N183" s="205" t="n"/>
      <c r="O183" s="183" t="n"/>
      <c r="P183" s="183" t="n"/>
      <c r="Q183" s="183" t="n"/>
      <c r="R183" s="183" t="n"/>
      <c r="S183" s="183" t="n"/>
      <c r="T183" s="183" t="n"/>
      <c r="U183" s="183" t="n"/>
      <c r="V183" s="183" t="n"/>
      <c r="W183" s="183" t="n"/>
      <c r="X183" s="183" t="n"/>
      <c r="Y183" s="183" t="n"/>
      <c r="Z183" s="183" t="n"/>
      <c r="AA183" s="183" t="n"/>
    </row>
    <row r="184" ht="45.75" customHeight="1" s="222">
      <c r="A184" s="205" t="n"/>
      <c r="B184" s="205" t="n"/>
      <c r="C184" s="205" t="n"/>
      <c r="D184" s="205" t="n"/>
      <c r="E184" s="205" t="n"/>
      <c r="F184" s="205" t="n"/>
      <c r="G184" s="206" t="n"/>
      <c r="H184" s="205" t="n"/>
      <c r="I184" s="28" t="n"/>
      <c r="J184" s="205" t="n"/>
      <c r="K184" s="205" t="n"/>
      <c r="L184" s="205" t="n"/>
      <c r="M184" s="205" t="n"/>
      <c r="N184" s="205" t="n"/>
      <c r="O184" s="183" t="n"/>
      <c r="P184" s="183" t="n"/>
      <c r="Q184" s="183" t="n"/>
      <c r="R184" s="183" t="n"/>
      <c r="S184" s="183" t="n"/>
      <c r="T184" s="183" t="n"/>
      <c r="U184" s="183" t="n"/>
      <c r="V184" s="183" t="n"/>
      <c r="W184" s="183" t="n"/>
      <c r="X184" s="183" t="n"/>
      <c r="Y184" s="183" t="n"/>
      <c r="Z184" s="183" t="n"/>
      <c r="AA184" s="183" t="n"/>
    </row>
    <row r="185" ht="45.75" customHeight="1" s="222">
      <c r="A185" s="205" t="n"/>
      <c r="B185" s="205" t="n"/>
      <c r="C185" s="205" t="n"/>
      <c r="D185" s="205" t="n"/>
      <c r="E185" s="205" t="n"/>
      <c r="F185" s="205" t="n"/>
      <c r="G185" s="206" t="n"/>
      <c r="H185" s="205" t="n"/>
      <c r="I185" s="28" t="n"/>
      <c r="J185" s="205" t="n"/>
      <c r="K185" s="205" t="n"/>
      <c r="L185" s="205" t="n"/>
      <c r="M185" s="205" t="n"/>
      <c r="N185" s="205" t="n"/>
      <c r="O185" s="183" t="n"/>
      <c r="P185" s="183" t="n"/>
      <c r="Q185" s="183" t="n"/>
      <c r="R185" s="183" t="n"/>
      <c r="S185" s="183" t="n"/>
      <c r="T185" s="183" t="n"/>
      <c r="U185" s="183" t="n"/>
      <c r="V185" s="183" t="n"/>
      <c r="W185" s="183" t="n"/>
      <c r="X185" s="183" t="n"/>
      <c r="Y185" s="183" t="n"/>
      <c r="Z185" s="183" t="n"/>
      <c r="AA185" s="183" t="n"/>
    </row>
    <row r="186" ht="45.75" customHeight="1" s="222">
      <c r="A186" s="205" t="n"/>
      <c r="B186" s="205" t="n"/>
      <c r="C186" s="205" t="n"/>
      <c r="D186" s="205" t="n"/>
      <c r="E186" s="205" t="n"/>
      <c r="F186" s="205" t="n"/>
      <c r="G186" s="206" t="n"/>
      <c r="H186" s="205" t="n"/>
      <c r="I186" s="28" t="n"/>
      <c r="J186" s="205" t="n"/>
      <c r="K186" s="205" t="n"/>
      <c r="L186" s="205" t="n"/>
      <c r="M186" s="205" t="n"/>
      <c r="N186" s="205" t="n"/>
      <c r="O186" s="183" t="n"/>
      <c r="P186" s="183" t="n"/>
      <c r="Q186" s="183" t="n"/>
      <c r="R186" s="183" t="n"/>
      <c r="S186" s="183" t="n"/>
      <c r="T186" s="183" t="n"/>
      <c r="U186" s="183" t="n"/>
      <c r="V186" s="183" t="n"/>
      <c r="W186" s="183" t="n"/>
      <c r="X186" s="183" t="n"/>
      <c r="Y186" s="183" t="n"/>
      <c r="Z186" s="183" t="n"/>
      <c r="AA186" s="183" t="n"/>
    </row>
    <row r="187" ht="45.75" customHeight="1" s="222">
      <c r="A187" s="205" t="n"/>
      <c r="B187" s="205" t="n"/>
      <c r="C187" s="205" t="n"/>
      <c r="D187" s="205" t="n"/>
      <c r="E187" s="205" t="n"/>
      <c r="F187" s="205" t="n"/>
      <c r="G187" s="206" t="n"/>
      <c r="H187" s="205" t="n"/>
      <c r="I187" s="28" t="n"/>
      <c r="J187" s="205" t="n"/>
      <c r="K187" s="205" t="n"/>
      <c r="L187" s="205" t="n"/>
      <c r="M187" s="205" t="n"/>
      <c r="N187" s="205" t="n"/>
      <c r="O187" s="183" t="n"/>
      <c r="P187" s="183" t="n"/>
      <c r="Q187" s="183" t="n"/>
      <c r="R187" s="183" t="n"/>
      <c r="S187" s="183" t="n"/>
      <c r="T187" s="183" t="n"/>
      <c r="U187" s="183" t="n"/>
      <c r="V187" s="183" t="n"/>
      <c r="W187" s="183" t="n"/>
      <c r="X187" s="183" t="n"/>
      <c r="Y187" s="183" t="n"/>
      <c r="Z187" s="183" t="n"/>
      <c r="AA187" s="183" t="n"/>
    </row>
    <row r="188" ht="45.75" customHeight="1" s="222">
      <c r="A188" s="205" t="n"/>
      <c r="B188" s="205" t="n"/>
      <c r="C188" s="205" t="n"/>
      <c r="D188" s="205" t="n"/>
      <c r="E188" s="205" t="n"/>
      <c r="F188" s="205" t="n"/>
      <c r="G188" s="206" t="n"/>
      <c r="H188" s="205" t="n"/>
      <c r="I188" s="28" t="n"/>
      <c r="J188" s="205" t="n"/>
      <c r="K188" s="205" t="n"/>
      <c r="L188" s="205" t="n"/>
      <c r="M188" s="205" t="n"/>
      <c r="N188" s="205" t="n"/>
      <c r="O188" s="183" t="n"/>
      <c r="P188" s="183" t="n"/>
      <c r="Q188" s="183" t="n"/>
      <c r="R188" s="183" t="n"/>
      <c r="S188" s="183" t="n"/>
      <c r="T188" s="183" t="n"/>
      <c r="U188" s="183" t="n"/>
      <c r="V188" s="183" t="n"/>
      <c r="W188" s="183" t="n"/>
      <c r="X188" s="183" t="n"/>
      <c r="Y188" s="183" t="n"/>
      <c r="Z188" s="183" t="n"/>
      <c r="AA188" s="183" t="n"/>
    </row>
    <row r="189" ht="45.75" customHeight="1" s="222">
      <c r="A189" s="205" t="n"/>
      <c r="B189" s="205" t="n"/>
      <c r="C189" s="205" t="n"/>
      <c r="D189" s="205" t="n"/>
      <c r="E189" s="205" t="n"/>
      <c r="F189" s="205" t="n"/>
      <c r="G189" s="206" t="n"/>
      <c r="H189" s="205" t="n"/>
      <c r="I189" s="28" t="n"/>
      <c r="J189" s="205" t="n"/>
      <c r="K189" s="205" t="n"/>
      <c r="L189" s="205" t="n"/>
      <c r="M189" s="205" t="n"/>
      <c r="N189" s="205" t="n"/>
      <c r="O189" s="183" t="n"/>
      <c r="P189" s="183" t="n"/>
      <c r="Q189" s="183" t="n"/>
      <c r="R189" s="183" t="n"/>
      <c r="S189" s="183" t="n"/>
      <c r="T189" s="183" t="n"/>
      <c r="U189" s="183" t="n"/>
      <c r="V189" s="183" t="n"/>
      <c r="W189" s="183" t="n"/>
      <c r="X189" s="183" t="n"/>
      <c r="Y189" s="183" t="n"/>
      <c r="Z189" s="183" t="n"/>
      <c r="AA189" s="183" t="n"/>
    </row>
    <row r="190" ht="45.75" customHeight="1" s="222">
      <c r="A190" s="205" t="n"/>
      <c r="B190" s="205" t="n"/>
      <c r="C190" s="205" t="n"/>
      <c r="D190" s="205" t="n"/>
      <c r="E190" s="205" t="n"/>
      <c r="F190" s="205" t="n"/>
      <c r="G190" s="206" t="n"/>
      <c r="H190" s="205" t="n"/>
      <c r="I190" s="28" t="n"/>
      <c r="J190" s="205" t="n"/>
      <c r="K190" s="205" t="n"/>
      <c r="L190" s="205" t="n"/>
      <c r="M190" s="205" t="n"/>
      <c r="N190" s="205" t="n"/>
      <c r="O190" s="183" t="n"/>
      <c r="P190" s="183" t="n"/>
      <c r="Q190" s="183" t="n"/>
      <c r="R190" s="183" t="n"/>
      <c r="S190" s="183" t="n"/>
      <c r="T190" s="183" t="n"/>
      <c r="U190" s="183" t="n"/>
      <c r="V190" s="183" t="n"/>
      <c r="W190" s="183" t="n"/>
      <c r="X190" s="183" t="n"/>
      <c r="Y190" s="183" t="n"/>
      <c r="Z190" s="183" t="n"/>
      <c r="AA190" s="183" t="n"/>
    </row>
    <row r="191" ht="45.75" customHeight="1" s="222">
      <c r="A191" s="205" t="n"/>
      <c r="B191" s="205" t="n"/>
      <c r="C191" s="205" t="n"/>
      <c r="D191" s="205" t="n"/>
      <c r="E191" s="205" t="n"/>
      <c r="F191" s="205" t="n"/>
      <c r="G191" s="206" t="n"/>
      <c r="H191" s="205" t="n"/>
      <c r="I191" s="28" t="n"/>
      <c r="J191" s="205" t="n"/>
      <c r="K191" s="205" t="n"/>
      <c r="L191" s="205" t="n"/>
      <c r="M191" s="205" t="n"/>
      <c r="N191" s="205" t="n"/>
      <c r="O191" s="183" t="n"/>
      <c r="P191" s="183" t="n"/>
      <c r="Q191" s="183" t="n"/>
      <c r="R191" s="183" t="n"/>
      <c r="S191" s="183" t="n"/>
      <c r="T191" s="183" t="n"/>
      <c r="U191" s="183" t="n"/>
      <c r="V191" s="183" t="n"/>
      <c r="W191" s="183" t="n"/>
      <c r="X191" s="183" t="n"/>
      <c r="Y191" s="183" t="n"/>
      <c r="Z191" s="183" t="n"/>
      <c r="AA191" s="183" t="n"/>
    </row>
    <row r="192" ht="45.75" customHeight="1" s="222">
      <c r="A192" s="205" t="n"/>
      <c r="B192" s="205" t="n"/>
      <c r="C192" s="205" t="n"/>
      <c r="D192" s="205" t="n"/>
      <c r="E192" s="205" t="n"/>
      <c r="F192" s="205" t="n"/>
      <c r="G192" s="206" t="n"/>
      <c r="H192" s="205" t="n"/>
      <c r="I192" s="28" t="n"/>
      <c r="J192" s="205" t="n"/>
      <c r="K192" s="205" t="n"/>
      <c r="L192" s="205" t="n"/>
      <c r="M192" s="205" t="n"/>
      <c r="N192" s="205" t="n"/>
      <c r="O192" s="183" t="n"/>
      <c r="P192" s="183" t="n"/>
      <c r="Q192" s="183" t="n"/>
      <c r="R192" s="183" t="n"/>
      <c r="S192" s="183" t="n"/>
      <c r="T192" s="183" t="n"/>
      <c r="U192" s="183" t="n"/>
      <c r="V192" s="183" t="n"/>
      <c r="W192" s="183" t="n"/>
      <c r="X192" s="183" t="n"/>
      <c r="Y192" s="183" t="n"/>
      <c r="Z192" s="183" t="n"/>
      <c r="AA192" s="183" t="n"/>
    </row>
    <row r="193" ht="45.75" customHeight="1" s="222">
      <c r="A193" s="205" t="n"/>
      <c r="B193" s="205" t="n"/>
      <c r="C193" s="205" t="n"/>
      <c r="D193" s="205" t="n"/>
      <c r="E193" s="205" t="n"/>
      <c r="F193" s="205" t="n"/>
      <c r="G193" s="206" t="n"/>
      <c r="H193" s="205" t="n"/>
      <c r="I193" s="28" t="n"/>
      <c r="J193" s="205" t="n"/>
      <c r="K193" s="205" t="n"/>
      <c r="L193" s="205" t="n"/>
      <c r="M193" s="205" t="n"/>
      <c r="N193" s="205" t="n"/>
      <c r="O193" s="183" t="n"/>
      <c r="P193" s="183" t="n"/>
      <c r="Q193" s="183" t="n"/>
      <c r="R193" s="183" t="n"/>
      <c r="S193" s="183" t="n"/>
      <c r="T193" s="183" t="n"/>
      <c r="U193" s="183" t="n"/>
      <c r="V193" s="183" t="n"/>
      <c r="W193" s="183" t="n"/>
      <c r="X193" s="183" t="n"/>
      <c r="Y193" s="183" t="n"/>
      <c r="Z193" s="183" t="n"/>
      <c r="AA193" s="183" t="n"/>
    </row>
    <row r="194" ht="45.75" customHeight="1" s="222">
      <c r="A194" s="205" t="n"/>
      <c r="B194" s="205" t="n"/>
      <c r="C194" s="205" t="n"/>
      <c r="D194" s="205" t="n"/>
      <c r="E194" s="205" t="n"/>
      <c r="F194" s="205" t="n"/>
      <c r="G194" s="206" t="n"/>
      <c r="H194" s="205" t="n"/>
      <c r="I194" s="28" t="n"/>
      <c r="J194" s="205" t="n"/>
      <c r="K194" s="205" t="n"/>
      <c r="L194" s="205" t="n"/>
      <c r="M194" s="205" t="n"/>
      <c r="N194" s="205" t="n"/>
      <c r="O194" s="183" t="n"/>
      <c r="P194" s="183" t="n"/>
      <c r="Q194" s="183" t="n"/>
      <c r="R194" s="183" t="n"/>
      <c r="S194" s="183" t="n"/>
      <c r="T194" s="183" t="n"/>
      <c r="U194" s="183" t="n"/>
      <c r="V194" s="183" t="n"/>
      <c r="W194" s="183" t="n"/>
      <c r="X194" s="183" t="n"/>
      <c r="Y194" s="183" t="n"/>
      <c r="Z194" s="183" t="n"/>
      <c r="AA194" s="183" t="n"/>
    </row>
    <row r="195" ht="45.75" customHeight="1" s="222">
      <c r="A195" s="205" t="n"/>
      <c r="B195" s="205" t="n"/>
      <c r="C195" s="205" t="n"/>
      <c r="D195" s="205" t="n"/>
      <c r="E195" s="205" t="n"/>
      <c r="F195" s="205" t="n"/>
      <c r="G195" s="206" t="n"/>
      <c r="H195" s="205" t="n"/>
      <c r="I195" s="28" t="n"/>
      <c r="J195" s="205" t="n"/>
      <c r="K195" s="205" t="n"/>
      <c r="L195" s="205" t="n"/>
      <c r="M195" s="205" t="n"/>
      <c r="N195" s="205" t="n"/>
      <c r="O195" s="183" t="n"/>
      <c r="P195" s="183" t="n"/>
      <c r="Q195" s="183" t="n"/>
      <c r="R195" s="183" t="n"/>
      <c r="S195" s="183" t="n"/>
      <c r="T195" s="183" t="n"/>
      <c r="U195" s="183" t="n"/>
      <c r="V195" s="183" t="n"/>
      <c r="W195" s="183" t="n"/>
      <c r="X195" s="183" t="n"/>
      <c r="Y195" s="183" t="n"/>
      <c r="Z195" s="183" t="n"/>
      <c r="AA195" s="183" t="n"/>
    </row>
    <row r="196" ht="45.75" customHeight="1" s="222">
      <c r="A196" s="205" t="n"/>
      <c r="B196" s="205" t="n"/>
      <c r="C196" s="205" t="n"/>
      <c r="D196" s="205" t="n"/>
      <c r="E196" s="205" t="n"/>
      <c r="F196" s="205" t="n"/>
      <c r="G196" s="206" t="n"/>
      <c r="H196" s="205" t="n"/>
      <c r="I196" s="28" t="n"/>
      <c r="J196" s="205" t="n"/>
      <c r="K196" s="205" t="n"/>
      <c r="L196" s="205" t="n"/>
      <c r="M196" s="205" t="n"/>
      <c r="N196" s="205" t="n"/>
      <c r="O196" s="183" t="n"/>
      <c r="P196" s="183" t="n"/>
      <c r="Q196" s="183" t="n"/>
      <c r="R196" s="183" t="n"/>
      <c r="S196" s="183" t="n"/>
      <c r="T196" s="183" t="n"/>
      <c r="U196" s="183" t="n"/>
      <c r="V196" s="183" t="n"/>
      <c r="W196" s="183" t="n"/>
      <c r="X196" s="183" t="n"/>
      <c r="Y196" s="183" t="n"/>
      <c r="Z196" s="183" t="n"/>
      <c r="AA196" s="183" t="n"/>
    </row>
    <row r="197" ht="45.75" customHeight="1" s="222">
      <c r="A197" s="205" t="n"/>
      <c r="B197" s="205" t="n"/>
      <c r="C197" s="205" t="n"/>
      <c r="D197" s="205" t="n"/>
      <c r="E197" s="205" t="n"/>
      <c r="F197" s="205" t="n"/>
      <c r="G197" s="206" t="n"/>
      <c r="H197" s="205" t="n"/>
      <c r="I197" s="28" t="n"/>
      <c r="J197" s="205" t="n"/>
      <c r="K197" s="205" t="n"/>
      <c r="L197" s="205" t="n"/>
      <c r="M197" s="205" t="n"/>
      <c r="N197" s="205" t="n"/>
      <c r="O197" s="183" t="n"/>
      <c r="P197" s="183" t="n"/>
      <c r="Q197" s="183" t="n"/>
      <c r="R197" s="183" t="n"/>
      <c r="S197" s="183" t="n"/>
      <c r="T197" s="183" t="n"/>
      <c r="U197" s="183" t="n"/>
      <c r="V197" s="183" t="n"/>
      <c r="W197" s="183" t="n"/>
      <c r="X197" s="183" t="n"/>
      <c r="Y197" s="183" t="n"/>
      <c r="Z197" s="183" t="n"/>
      <c r="AA197" s="183" t="n"/>
    </row>
    <row r="198" ht="45.75" customHeight="1" s="222">
      <c r="A198" s="205" t="n"/>
      <c r="B198" s="205" t="n"/>
      <c r="C198" s="205" t="n"/>
      <c r="D198" s="205" t="n"/>
      <c r="E198" s="205" t="n"/>
      <c r="F198" s="205" t="n"/>
      <c r="G198" s="206" t="n"/>
      <c r="H198" s="205" t="n"/>
      <c r="I198" s="28" t="n"/>
      <c r="J198" s="205" t="n"/>
      <c r="K198" s="205" t="n"/>
      <c r="L198" s="205" t="n"/>
      <c r="M198" s="205" t="n"/>
      <c r="N198" s="205" t="n"/>
      <c r="O198" s="183" t="n"/>
      <c r="P198" s="183" t="n"/>
      <c r="Q198" s="183" t="n"/>
      <c r="R198" s="183" t="n"/>
      <c r="S198" s="183" t="n"/>
      <c r="T198" s="183" t="n"/>
      <c r="U198" s="183" t="n"/>
      <c r="V198" s="183" t="n"/>
      <c r="W198" s="183" t="n"/>
      <c r="X198" s="183" t="n"/>
      <c r="Y198" s="183" t="n"/>
      <c r="Z198" s="183" t="n"/>
      <c r="AA198" s="183" t="n"/>
    </row>
    <row r="199" ht="45.75" customHeight="1" s="222">
      <c r="A199" s="205" t="n"/>
      <c r="B199" s="205" t="n"/>
      <c r="C199" s="205" t="n"/>
      <c r="D199" s="205" t="n"/>
      <c r="E199" s="205" t="n"/>
      <c r="F199" s="205" t="n"/>
      <c r="G199" s="206" t="n"/>
      <c r="H199" s="205" t="n"/>
      <c r="I199" s="28" t="n"/>
      <c r="J199" s="205" t="n"/>
      <c r="K199" s="205" t="n"/>
      <c r="L199" s="205" t="n"/>
      <c r="M199" s="205" t="n"/>
      <c r="N199" s="205" t="n"/>
      <c r="O199" s="183" t="n"/>
      <c r="P199" s="183" t="n"/>
      <c r="Q199" s="183" t="n"/>
      <c r="R199" s="183" t="n"/>
      <c r="S199" s="183" t="n"/>
      <c r="T199" s="183" t="n"/>
      <c r="U199" s="183" t="n"/>
      <c r="V199" s="183" t="n"/>
      <c r="W199" s="183" t="n"/>
      <c r="X199" s="183" t="n"/>
      <c r="Y199" s="183" t="n"/>
      <c r="Z199" s="183" t="n"/>
      <c r="AA199" s="183" t="n"/>
    </row>
    <row r="200" ht="45.75" customHeight="1" s="222">
      <c r="A200" s="205" t="n"/>
      <c r="B200" s="205" t="n"/>
      <c r="C200" s="205" t="n"/>
      <c r="D200" s="205" t="n"/>
      <c r="E200" s="205" t="n"/>
      <c r="F200" s="205" t="n"/>
      <c r="G200" s="206" t="n"/>
      <c r="H200" s="205" t="n"/>
      <c r="I200" s="28" t="n"/>
      <c r="J200" s="205" t="n"/>
      <c r="K200" s="205" t="n"/>
      <c r="L200" s="205" t="n"/>
      <c r="M200" s="205" t="n"/>
      <c r="N200" s="205" t="n"/>
      <c r="O200" s="183" t="n"/>
      <c r="P200" s="183" t="n"/>
      <c r="Q200" s="183" t="n"/>
      <c r="R200" s="183" t="n"/>
      <c r="S200" s="183" t="n"/>
      <c r="T200" s="183" t="n"/>
      <c r="U200" s="183" t="n"/>
      <c r="V200" s="183" t="n"/>
      <c r="W200" s="183" t="n"/>
      <c r="X200" s="183" t="n"/>
      <c r="Y200" s="183" t="n"/>
      <c r="Z200" s="183" t="n"/>
      <c r="AA200" s="183" t="n"/>
    </row>
    <row r="201" ht="45.75" customHeight="1" s="222">
      <c r="A201" s="205" t="n"/>
      <c r="B201" s="205" t="n"/>
      <c r="C201" s="205" t="n"/>
      <c r="D201" s="205" t="n"/>
      <c r="E201" s="205" t="n"/>
      <c r="F201" s="205" t="n"/>
      <c r="G201" s="206" t="n"/>
      <c r="H201" s="205" t="n"/>
      <c r="I201" s="28" t="n"/>
      <c r="J201" s="205" t="n"/>
      <c r="K201" s="205" t="n"/>
      <c r="L201" s="205" t="n"/>
      <c r="M201" s="205" t="n"/>
      <c r="N201" s="205" t="n"/>
      <c r="O201" s="183" t="n"/>
      <c r="P201" s="183" t="n"/>
      <c r="Q201" s="183" t="n"/>
      <c r="R201" s="183" t="n"/>
      <c r="S201" s="183" t="n"/>
      <c r="T201" s="183" t="n"/>
      <c r="U201" s="183" t="n"/>
      <c r="V201" s="183" t="n"/>
      <c r="W201" s="183" t="n"/>
      <c r="X201" s="183" t="n"/>
      <c r="Y201" s="183" t="n"/>
      <c r="Z201" s="183" t="n"/>
      <c r="AA201" s="183" t="n"/>
    </row>
    <row r="202" ht="45.75" customHeight="1" s="222">
      <c r="A202" s="205" t="n"/>
      <c r="B202" s="205" t="n"/>
      <c r="C202" s="205" t="n"/>
      <c r="D202" s="205" t="n"/>
      <c r="E202" s="205" t="n"/>
      <c r="F202" s="205" t="n"/>
      <c r="G202" s="206" t="n"/>
      <c r="H202" s="205" t="n"/>
      <c r="I202" s="28" t="n"/>
      <c r="J202" s="205" t="n"/>
      <c r="K202" s="205" t="n"/>
      <c r="L202" s="205" t="n"/>
      <c r="M202" s="205" t="n"/>
      <c r="N202" s="205" t="n"/>
      <c r="O202" s="183" t="n"/>
      <c r="P202" s="183" t="n"/>
      <c r="Q202" s="183" t="n"/>
      <c r="R202" s="183" t="n"/>
      <c r="S202" s="183" t="n"/>
      <c r="T202" s="183" t="n"/>
      <c r="U202" s="183" t="n"/>
      <c r="V202" s="183" t="n"/>
      <c r="W202" s="183" t="n"/>
      <c r="X202" s="183" t="n"/>
      <c r="Y202" s="183" t="n"/>
      <c r="Z202" s="183" t="n"/>
      <c r="AA202" s="183" t="n"/>
    </row>
    <row r="203" ht="45.75" customHeight="1" s="222">
      <c r="A203" s="205" t="n"/>
      <c r="B203" s="205" t="n"/>
      <c r="C203" s="205" t="n"/>
      <c r="D203" s="205" t="n"/>
      <c r="E203" s="205" t="n"/>
      <c r="F203" s="205" t="n"/>
      <c r="G203" s="206" t="n"/>
      <c r="H203" s="205" t="n"/>
      <c r="I203" s="28" t="n"/>
      <c r="J203" s="205" t="n"/>
      <c r="K203" s="205" t="n"/>
      <c r="L203" s="205" t="n"/>
      <c r="M203" s="205" t="n"/>
      <c r="N203" s="205" t="n"/>
      <c r="O203" s="183" t="n"/>
      <c r="P203" s="183" t="n"/>
      <c r="Q203" s="183" t="n"/>
      <c r="R203" s="183" t="n"/>
      <c r="S203" s="183" t="n"/>
      <c r="T203" s="183" t="n"/>
      <c r="U203" s="183" t="n"/>
      <c r="V203" s="183" t="n"/>
      <c r="W203" s="183" t="n"/>
      <c r="X203" s="183" t="n"/>
      <c r="Y203" s="183" t="n"/>
      <c r="Z203" s="183" t="n"/>
      <c r="AA203" s="183" t="n"/>
    </row>
    <row r="204" ht="45.75" customHeight="1" s="222">
      <c r="A204" s="205" t="n"/>
      <c r="B204" s="205" t="n"/>
      <c r="C204" s="205" t="n"/>
      <c r="D204" s="205" t="n"/>
      <c r="E204" s="205" t="n"/>
      <c r="F204" s="205" t="n"/>
      <c r="G204" s="206" t="n"/>
      <c r="H204" s="205" t="n"/>
      <c r="I204" s="28" t="n"/>
      <c r="J204" s="205" t="n"/>
      <c r="K204" s="205" t="n"/>
      <c r="L204" s="205" t="n"/>
      <c r="M204" s="205" t="n"/>
      <c r="N204" s="205" t="n"/>
      <c r="O204" s="183" t="n"/>
      <c r="P204" s="183" t="n"/>
      <c r="Q204" s="183" t="n"/>
      <c r="R204" s="183" t="n"/>
      <c r="S204" s="183" t="n"/>
      <c r="T204" s="183" t="n"/>
      <c r="U204" s="183" t="n"/>
      <c r="V204" s="183" t="n"/>
      <c r="W204" s="183" t="n"/>
      <c r="X204" s="183" t="n"/>
      <c r="Y204" s="183" t="n"/>
      <c r="Z204" s="183" t="n"/>
      <c r="AA204" s="183" t="n"/>
    </row>
    <row r="205" ht="45.75" customHeight="1" s="222">
      <c r="A205" s="205" t="n"/>
      <c r="B205" s="205" t="n"/>
      <c r="C205" s="205" t="n"/>
      <c r="D205" s="205" t="n"/>
      <c r="E205" s="205" t="n"/>
      <c r="F205" s="205" t="n"/>
      <c r="G205" s="206" t="n"/>
      <c r="H205" s="205" t="n"/>
      <c r="I205" s="28" t="n"/>
      <c r="J205" s="205" t="n"/>
      <c r="K205" s="205" t="n"/>
      <c r="L205" s="205" t="n"/>
      <c r="M205" s="205" t="n"/>
      <c r="N205" s="205" t="n"/>
      <c r="O205" s="183" t="n"/>
      <c r="P205" s="183" t="n"/>
      <c r="Q205" s="183" t="n"/>
      <c r="R205" s="183" t="n"/>
      <c r="S205" s="183" t="n"/>
      <c r="T205" s="183" t="n"/>
      <c r="U205" s="183" t="n"/>
      <c r="V205" s="183" t="n"/>
      <c r="W205" s="183" t="n"/>
      <c r="X205" s="183" t="n"/>
      <c r="Y205" s="183" t="n"/>
      <c r="Z205" s="183" t="n"/>
      <c r="AA205" s="183" t="n"/>
    </row>
    <row r="206" ht="45.75" customHeight="1" s="222">
      <c r="A206" s="205" t="n"/>
      <c r="B206" s="205" t="n"/>
      <c r="C206" s="205" t="n"/>
      <c r="D206" s="205" t="n"/>
      <c r="E206" s="205" t="n"/>
      <c r="F206" s="205" t="n"/>
      <c r="G206" s="206" t="n"/>
      <c r="H206" s="205" t="n"/>
      <c r="I206" s="28" t="n"/>
      <c r="J206" s="205" t="n"/>
      <c r="K206" s="205" t="n"/>
      <c r="L206" s="205" t="n"/>
      <c r="M206" s="205" t="n"/>
      <c r="N206" s="205" t="n"/>
      <c r="O206" s="183" t="n"/>
      <c r="P206" s="183" t="n"/>
      <c r="Q206" s="183" t="n"/>
      <c r="R206" s="183" t="n"/>
      <c r="S206" s="183" t="n"/>
      <c r="T206" s="183" t="n"/>
      <c r="U206" s="183" t="n"/>
      <c r="V206" s="183" t="n"/>
      <c r="W206" s="183" t="n"/>
      <c r="X206" s="183" t="n"/>
      <c r="Y206" s="183" t="n"/>
      <c r="Z206" s="183" t="n"/>
      <c r="AA206" s="183" t="n"/>
    </row>
    <row r="207" ht="45.75" customHeight="1" s="222">
      <c r="A207" s="205" t="n"/>
      <c r="B207" s="205" t="n"/>
      <c r="C207" s="205" t="n"/>
      <c r="D207" s="205" t="n"/>
      <c r="E207" s="205" t="n"/>
      <c r="F207" s="205" t="n"/>
      <c r="G207" s="206" t="n"/>
      <c r="H207" s="205" t="n"/>
      <c r="I207" s="28" t="n"/>
      <c r="J207" s="205" t="n"/>
      <c r="K207" s="205" t="n"/>
      <c r="L207" s="205" t="n"/>
      <c r="M207" s="205" t="n"/>
      <c r="N207" s="205" t="n"/>
      <c r="O207" s="183" t="n"/>
      <c r="P207" s="183" t="n"/>
      <c r="Q207" s="183" t="n"/>
      <c r="R207" s="183" t="n"/>
      <c r="S207" s="183" t="n"/>
      <c r="T207" s="183" t="n"/>
      <c r="U207" s="183" t="n"/>
      <c r="V207" s="183" t="n"/>
      <c r="W207" s="183" t="n"/>
      <c r="X207" s="183" t="n"/>
      <c r="Y207" s="183" t="n"/>
      <c r="Z207" s="183" t="n"/>
      <c r="AA207" s="183" t="n"/>
    </row>
    <row r="208" ht="45.75" customHeight="1" s="222">
      <c r="A208" s="205" t="n"/>
      <c r="B208" s="205" t="n"/>
      <c r="C208" s="205" t="n"/>
      <c r="D208" s="205" t="n"/>
      <c r="E208" s="205" t="n"/>
      <c r="F208" s="205" t="n"/>
      <c r="G208" s="206" t="n"/>
      <c r="H208" s="205" t="n"/>
      <c r="I208" s="28" t="n"/>
      <c r="J208" s="205" t="n"/>
      <c r="K208" s="205" t="n"/>
      <c r="L208" s="205" t="n"/>
      <c r="M208" s="205" t="n"/>
      <c r="N208" s="205" t="n"/>
      <c r="O208" s="183" t="n"/>
      <c r="P208" s="183" t="n"/>
      <c r="Q208" s="183" t="n"/>
      <c r="R208" s="183" t="n"/>
      <c r="S208" s="183" t="n"/>
      <c r="T208" s="183" t="n"/>
      <c r="U208" s="183" t="n"/>
      <c r="V208" s="183" t="n"/>
      <c r="W208" s="183" t="n"/>
      <c r="X208" s="183" t="n"/>
      <c r="Y208" s="183" t="n"/>
      <c r="Z208" s="183" t="n"/>
      <c r="AA208" s="183" t="n"/>
    </row>
    <row r="209" ht="45.75" customHeight="1" s="222">
      <c r="A209" s="205" t="n"/>
      <c r="B209" s="205" t="n"/>
      <c r="C209" s="205" t="n"/>
      <c r="D209" s="205" t="n"/>
      <c r="E209" s="205" t="n"/>
      <c r="F209" s="205" t="n"/>
      <c r="G209" s="206" t="n"/>
      <c r="H209" s="205" t="n"/>
      <c r="I209" s="28" t="n"/>
      <c r="J209" s="205" t="n"/>
      <c r="K209" s="205" t="n"/>
      <c r="L209" s="205" t="n"/>
      <c r="M209" s="205" t="n"/>
      <c r="N209" s="205" t="n"/>
      <c r="O209" s="183" t="n"/>
      <c r="P209" s="183" t="n"/>
      <c r="Q209" s="183" t="n"/>
      <c r="R209" s="183" t="n"/>
      <c r="S209" s="183" t="n"/>
      <c r="T209" s="183" t="n"/>
      <c r="U209" s="183" t="n"/>
      <c r="V209" s="183" t="n"/>
      <c r="W209" s="183" t="n"/>
      <c r="X209" s="183" t="n"/>
      <c r="Y209" s="183" t="n"/>
      <c r="Z209" s="183" t="n"/>
      <c r="AA209" s="183" t="n"/>
    </row>
    <row r="210" ht="45.75" customHeight="1" s="222">
      <c r="A210" s="205" t="n"/>
      <c r="B210" s="205" t="n"/>
      <c r="C210" s="205" t="n"/>
      <c r="D210" s="205" t="n"/>
      <c r="E210" s="205" t="n"/>
      <c r="F210" s="205" t="n"/>
      <c r="G210" s="206" t="n"/>
      <c r="H210" s="205" t="n"/>
      <c r="I210" s="28" t="n"/>
      <c r="J210" s="205" t="n"/>
      <c r="K210" s="205" t="n"/>
      <c r="L210" s="205" t="n"/>
      <c r="M210" s="205" t="n"/>
      <c r="N210" s="205" t="n"/>
      <c r="O210" s="183" t="n"/>
      <c r="P210" s="183" t="n"/>
      <c r="Q210" s="183" t="n"/>
      <c r="R210" s="183" t="n"/>
      <c r="S210" s="183" t="n"/>
      <c r="T210" s="183" t="n"/>
      <c r="U210" s="183" t="n"/>
      <c r="V210" s="183" t="n"/>
      <c r="W210" s="183" t="n"/>
      <c r="X210" s="183" t="n"/>
      <c r="Y210" s="183" t="n"/>
      <c r="Z210" s="183" t="n"/>
      <c r="AA210" s="183" t="n"/>
    </row>
    <row r="211" ht="45.75" customHeight="1" s="222">
      <c r="A211" s="205" t="n"/>
      <c r="B211" s="205" t="n"/>
      <c r="C211" s="205" t="n"/>
      <c r="D211" s="205" t="n"/>
      <c r="E211" s="205" t="n"/>
      <c r="F211" s="205" t="n"/>
      <c r="G211" s="206" t="n"/>
      <c r="H211" s="205" t="n"/>
      <c r="I211" s="28" t="n"/>
      <c r="J211" s="205" t="n"/>
      <c r="K211" s="205" t="n"/>
      <c r="L211" s="205" t="n"/>
      <c r="M211" s="205" t="n"/>
      <c r="N211" s="205" t="n"/>
      <c r="O211" s="183" t="n"/>
      <c r="P211" s="183" t="n"/>
      <c r="Q211" s="183" t="n"/>
      <c r="R211" s="183" t="n"/>
      <c r="S211" s="183" t="n"/>
      <c r="T211" s="183" t="n"/>
      <c r="U211" s="183" t="n"/>
      <c r="V211" s="183" t="n"/>
      <c r="W211" s="183" t="n"/>
      <c r="X211" s="183" t="n"/>
      <c r="Y211" s="183" t="n"/>
      <c r="Z211" s="183" t="n"/>
      <c r="AA211" s="183" t="n"/>
    </row>
    <row r="212" ht="45.75" customHeight="1" s="222">
      <c r="A212" s="205" t="n"/>
      <c r="B212" s="205" t="n"/>
      <c r="C212" s="205" t="n"/>
      <c r="D212" s="205" t="n"/>
      <c r="E212" s="205" t="n"/>
      <c r="F212" s="205" t="n"/>
      <c r="G212" s="206" t="n"/>
      <c r="H212" s="205" t="n"/>
      <c r="I212" s="28" t="n"/>
      <c r="J212" s="205" t="n"/>
      <c r="K212" s="205" t="n"/>
      <c r="L212" s="205" t="n"/>
      <c r="M212" s="205" t="n"/>
      <c r="N212" s="205" t="n"/>
      <c r="O212" s="183" t="n"/>
      <c r="P212" s="183" t="n"/>
      <c r="Q212" s="183" t="n"/>
      <c r="R212" s="183" t="n"/>
      <c r="S212" s="183" t="n"/>
      <c r="T212" s="183" t="n"/>
      <c r="U212" s="183" t="n"/>
      <c r="V212" s="183" t="n"/>
      <c r="W212" s="183" t="n"/>
      <c r="X212" s="183" t="n"/>
      <c r="Y212" s="183" t="n"/>
      <c r="Z212" s="183" t="n"/>
      <c r="AA212" s="183" t="n"/>
    </row>
    <row r="213" ht="45.75" customHeight="1" s="222">
      <c r="A213" s="205" t="n"/>
      <c r="B213" s="205" t="n"/>
      <c r="C213" s="205" t="n"/>
      <c r="D213" s="205" t="n"/>
      <c r="E213" s="205" t="n"/>
      <c r="F213" s="205" t="n"/>
      <c r="G213" s="206" t="n"/>
      <c r="H213" s="205" t="n"/>
      <c r="I213" s="28" t="n"/>
      <c r="J213" s="205" t="n"/>
      <c r="K213" s="205" t="n"/>
      <c r="L213" s="205" t="n"/>
      <c r="M213" s="205" t="n"/>
      <c r="N213" s="205" t="n"/>
      <c r="O213" s="183" t="n"/>
      <c r="P213" s="183" t="n"/>
      <c r="Q213" s="183" t="n"/>
      <c r="R213" s="183" t="n"/>
      <c r="S213" s="183" t="n"/>
      <c r="T213" s="183" t="n"/>
      <c r="U213" s="183" t="n"/>
      <c r="V213" s="183" t="n"/>
      <c r="W213" s="183" t="n"/>
      <c r="X213" s="183" t="n"/>
      <c r="Y213" s="183" t="n"/>
      <c r="Z213" s="183" t="n"/>
      <c r="AA213" s="183" t="n"/>
    </row>
    <row r="214" ht="45.75" customHeight="1" s="222">
      <c r="A214" s="205" t="n"/>
      <c r="B214" s="205" t="n"/>
      <c r="C214" s="205" t="n"/>
      <c r="D214" s="205" t="n"/>
      <c r="E214" s="205" t="n"/>
      <c r="F214" s="205" t="n"/>
      <c r="G214" s="206" t="n"/>
      <c r="H214" s="205" t="n"/>
      <c r="I214" s="28" t="n"/>
      <c r="J214" s="205" t="n"/>
      <c r="K214" s="205" t="n"/>
      <c r="L214" s="205" t="n"/>
      <c r="M214" s="205" t="n"/>
      <c r="N214" s="205" t="n"/>
      <c r="O214" s="183" t="n"/>
      <c r="P214" s="183" t="n"/>
      <c r="Q214" s="183" t="n"/>
      <c r="R214" s="183" t="n"/>
      <c r="S214" s="183" t="n"/>
      <c r="T214" s="183" t="n"/>
      <c r="U214" s="183" t="n"/>
      <c r="V214" s="183" t="n"/>
      <c r="W214" s="183" t="n"/>
      <c r="X214" s="183" t="n"/>
      <c r="Y214" s="183" t="n"/>
      <c r="Z214" s="183" t="n"/>
      <c r="AA214" s="183" t="n"/>
    </row>
    <row r="215" ht="45.75" customHeight="1" s="222">
      <c r="A215" s="205" t="n"/>
      <c r="B215" s="205" t="n"/>
      <c r="C215" s="205" t="n"/>
      <c r="D215" s="205" t="n"/>
      <c r="E215" s="205" t="n"/>
      <c r="F215" s="205" t="n"/>
      <c r="G215" s="206" t="n"/>
      <c r="H215" s="205" t="n"/>
      <c r="I215" s="28" t="n"/>
      <c r="J215" s="205" t="n"/>
      <c r="K215" s="205" t="n"/>
      <c r="L215" s="205" t="n"/>
      <c r="M215" s="205" t="n"/>
      <c r="N215" s="205" t="n"/>
      <c r="O215" s="183" t="n"/>
      <c r="P215" s="183" t="n"/>
      <c r="Q215" s="183" t="n"/>
      <c r="R215" s="183" t="n"/>
      <c r="S215" s="183" t="n"/>
      <c r="T215" s="183" t="n"/>
      <c r="U215" s="183" t="n"/>
      <c r="V215" s="183" t="n"/>
      <c r="W215" s="183" t="n"/>
      <c r="X215" s="183" t="n"/>
      <c r="Y215" s="183" t="n"/>
      <c r="Z215" s="183" t="n"/>
      <c r="AA215" s="183" t="n"/>
    </row>
    <row r="216" ht="45.75" customHeight="1" s="222">
      <c r="A216" s="205" t="n"/>
      <c r="B216" s="205" t="n"/>
      <c r="C216" s="205" t="n"/>
      <c r="D216" s="205" t="n"/>
      <c r="E216" s="205" t="n"/>
      <c r="F216" s="205" t="n"/>
      <c r="G216" s="206" t="n"/>
      <c r="H216" s="205" t="n"/>
      <c r="I216" s="28" t="n"/>
      <c r="J216" s="205" t="n"/>
      <c r="K216" s="205" t="n"/>
      <c r="L216" s="205" t="n"/>
      <c r="M216" s="205" t="n"/>
      <c r="N216" s="205" t="n"/>
      <c r="O216" s="183" t="n"/>
      <c r="P216" s="183" t="n"/>
      <c r="Q216" s="183" t="n"/>
      <c r="R216" s="183" t="n"/>
      <c r="S216" s="183" t="n"/>
      <c r="T216" s="183" t="n"/>
      <c r="U216" s="183" t="n"/>
      <c r="V216" s="183" t="n"/>
      <c r="W216" s="183" t="n"/>
      <c r="X216" s="183" t="n"/>
      <c r="Y216" s="183" t="n"/>
      <c r="Z216" s="183" t="n"/>
      <c r="AA216" s="183" t="n"/>
    </row>
    <row r="217" ht="45.75" customHeight="1" s="222">
      <c r="A217" s="205" t="n"/>
      <c r="B217" s="205" t="n"/>
      <c r="C217" s="205" t="n"/>
      <c r="D217" s="205" t="n"/>
      <c r="E217" s="205" t="n"/>
      <c r="F217" s="205" t="n"/>
      <c r="G217" s="206" t="n"/>
      <c r="H217" s="205" t="n"/>
      <c r="I217" s="28" t="n"/>
      <c r="J217" s="205" t="n"/>
      <c r="K217" s="205" t="n"/>
      <c r="L217" s="205" t="n"/>
      <c r="M217" s="205" t="n"/>
      <c r="N217" s="205" t="n"/>
      <c r="O217" s="183" t="n"/>
      <c r="P217" s="183" t="n"/>
      <c r="Q217" s="183" t="n"/>
      <c r="R217" s="183" t="n"/>
      <c r="S217" s="183" t="n"/>
      <c r="T217" s="183" t="n"/>
      <c r="U217" s="183" t="n"/>
      <c r="V217" s="183" t="n"/>
      <c r="W217" s="183" t="n"/>
      <c r="X217" s="183" t="n"/>
      <c r="Y217" s="183" t="n"/>
      <c r="Z217" s="183" t="n"/>
      <c r="AA217" s="183" t="n"/>
    </row>
    <row r="218" ht="45.75" customHeight="1" s="222">
      <c r="A218" s="205" t="n"/>
      <c r="B218" s="205" t="n"/>
      <c r="C218" s="205" t="n"/>
      <c r="D218" s="205" t="n"/>
      <c r="E218" s="205" t="n"/>
      <c r="F218" s="205" t="n"/>
      <c r="G218" s="206" t="n"/>
      <c r="H218" s="205" t="n"/>
      <c r="I218" s="28" t="n"/>
      <c r="J218" s="205" t="n"/>
      <c r="K218" s="205" t="n"/>
      <c r="L218" s="205" t="n"/>
      <c r="M218" s="205" t="n"/>
      <c r="N218" s="205" t="n"/>
      <c r="O218" s="183" t="n"/>
      <c r="P218" s="183" t="n"/>
      <c r="Q218" s="183" t="n"/>
      <c r="R218" s="183" t="n"/>
      <c r="S218" s="183" t="n"/>
      <c r="T218" s="183" t="n"/>
      <c r="U218" s="183" t="n"/>
      <c r="V218" s="183" t="n"/>
      <c r="W218" s="183" t="n"/>
      <c r="X218" s="183" t="n"/>
      <c r="Y218" s="183" t="n"/>
      <c r="Z218" s="183" t="n"/>
      <c r="AA218" s="183" t="n"/>
    </row>
    <row r="219" ht="45.75" customHeight="1" s="222">
      <c r="A219" s="205" t="n"/>
      <c r="B219" s="205" t="n"/>
      <c r="C219" s="205" t="n"/>
      <c r="D219" s="205" t="n"/>
      <c r="E219" s="205" t="n"/>
      <c r="F219" s="205" t="n"/>
      <c r="G219" s="206" t="n"/>
      <c r="H219" s="205" t="n"/>
      <c r="I219" s="28" t="n"/>
      <c r="J219" s="205" t="n"/>
      <c r="K219" s="205" t="n"/>
      <c r="L219" s="205" t="n"/>
      <c r="M219" s="205" t="n"/>
      <c r="N219" s="205" t="n"/>
      <c r="O219" s="183" t="n"/>
      <c r="P219" s="183" t="n"/>
      <c r="Q219" s="183" t="n"/>
      <c r="R219" s="183" t="n"/>
      <c r="S219" s="183" t="n"/>
      <c r="T219" s="183" t="n"/>
      <c r="U219" s="183" t="n"/>
      <c r="V219" s="183" t="n"/>
      <c r="W219" s="183" t="n"/>
      <c r="X219" s="183" t="n"/>
      <c r="Y219" s="183" t="n"/>
      <c r="Z219" s="183" t="n"/>
      <c r="AA219" s="183" t="n"/>
    </row>
    <row r="220" ht="45.75" customHeight="1" s="222">
      <c r="A220" s="205" t="n"/>
      <c r="B220" s="205" t="n"/>
      <c r="C220" s="205" t="n"/>
      <c r="D220" s="205" t="n"/>
      <c r="E220" s="205" t="n"/>
      <c r="F220" s="205" t="n"/>
      <c r="G220" s="206" t="n"/>
      <c r="H220" s="205" t="n"/>
      <c r="I220" s="28" t="n"/>
      <c r="J220" s="205" t="n"/>
      <c r="K220" s="205" t="n"/>
      <c r="L220" s="205" t="n"/>
      <c r="M220" s="205" t="n"/>
      <c r="N220" s="205" t="n"/>
      <c r="O220" s="183" t="n"/>
      <c r="P220" s="183" t="n"/>
      <c r="Q220" s="183" t="n"/>
      <c r="R220" s="183" t="n"/>
      <c r="S220" s="183" t="n"/>
      <c r="T220" s="183" t="n"/>
      <c r="U220" s="183" t="n"/>
      <c r="V220" s="183" t="n"/>
      <c r="W220" s="183" t="n"/>
      <c r="X220" s="183" t="n"/>
      <c r="Y220" s="183" t="n"/>
      <c r="Z220" s="183" t="n"/>
      <c r="AA220" s="183" t="n"/>
    </row>
    <row r="221" ht="45.75" customHeight="1" s="222">
      <c r="A221" s="205" t="n"/>
      <c r="B221" s="205" t="n"/>
      <c r="C221" s="205" t="n"/>
      <c r="D221" s="205" t="n"/>
      <c r="E221" s="205" t="n"/>
      <c r="F221" s="205" t="n"/>
      <c r="G221" s="206" t="n"/>
      <c r="H221" s="205" t="n"/>
      <c r="I221" s="28" t="n"/>
      <c r="J221" s="205" t="n"/>
      <c r="K221" s="205" t="n"/>
      <c r="L221" s="205" t="n"/>
      <c r="M221" s="205" t="n"/>
      <c r="N221" s="205" t="n"/>
      <c r="O221" s="183" t="n"/>
      <c r="P221" s="183" t="n"/>
      <c r="Q221" s="183" t="n"/>
      <c r="R221" s="183" t="n"/>
      <c r="S221" s="183" t="n"/>
      <c r="T221" s="183" t="n"/>
      <c r="U221" s="183" t="n"/>
      <c r="V221" s="183" t="n"/>
      <c r="W221" s="183" t="n"/>
      <c r="X221" s="183" t="n"/>
      <c r="Y221" s="183" t="n"/>
      <c r="Z221" s="183" t="n"/>
      <c r="AA221" s="183" t="n"/>
    </row>
    <row r="222" ht="45.75" customHeight="1" s="222">
      <c r="A222" s="205" t="n"/>
      <c r="B222" s="205" t="n"/>
      <c r="C222" s="205" t="n"/>
      <c r="D222" s="205" t="n"/>
      <c r="E222" s="205" t="n"/>
      <c r="F222" s="205" t="n"/>
      <c r="G222" s="206" t="n"/>
      <c r="H222" s="205" t="n"/>
      <c r="I222" s="28" t="n"/>
      <c r="J222" s="205" t="n"/>
      <c r="K222" s="205" t="n"/>
      <c r="L222" s="205" t="n"/>
      <c r="M222" s="205" t="n"/>
      <c r="N222" s="205" t="n"/>
      <c r="O222" s="183" t="n"/>
      <c r="P222" s="183" t="n"/>
      <c r="Q222" s="183" t="n"/>
      <c r="R222" s="183" t="n"/>
      <c r="S222" s="183" t="n"/>
      <c r="T222" s="183" t="n"/>
      <c r="U222" s="183" t="n"/>
      <c r="V222" s="183" t="n"/>
      <c r="W222" s="183" t="n"/>
      <c r="X222" s="183" t="n"/>
      <c r="Y222" s="183" t="n"/>
      <c r="Z222" s="183" t="n"/>
      <c r="AA222" s="183" t="n"/>
    </row>
    <row r="223" ht="45.75" customHeight="1" s="222">
      <c r="A223" s="205" t="n"/>
      <c r="B223" s="205" t="n"/>
      <c r="C223" s="205" t="n"/>
      <c r="D223" s="205" t="n"/>
      <c r="E223" s="205" t="n"/>
      <c r="F223" s="205" t="n"/>
      <c r="G223" s="206" t="n"/>
      <c r="H223" s="205" t="n"/>
      <c r="I223" s="28" t="n"/>
      <c r="J223" s="205" t="n"/>
      <c r="K223" s="205" t="n"/>
      <c r="L223" s="205" t="n"/>
      <c r="M223" s="205" t="n"/>
      <c r="N223" s="205" t="n"/>
      <c r="O223" s="183" t="n"/>
      <c r="P223" s="183" t="n"/>
      <c r="Q223" s="183" t="n"/>
      <c r="R223" s="183" t="n"/>
      <c r="S223" s="183" t="n"/>
      <c r="T223" s="183" t="n"/>
      <c r="U223" s="183" t="n"/>
      <c r="V223" s="183" t="n"/>
      <c r="W223" s="183" t="n"/>
      <c r="X223" s="183" t="n"/>
      <c r="Y223" s="183" t="n"/>
      <c r="Z223" s="183" t="n"/>
      <c r="AA223" s="183" t="n"/>
    </row>
    <row r="224" ht="45.75" customHeight="1" s="222">
      <c r="A224" s="205" t="n"/>
      <c r="B224" s="205" t="n"/>
      <c r="C224" s="205" t="n"/>
      <c r="D224" s="205" t="n"/>
      <c r="E224" s="205" t="n"/>
      <c r="F224" s="205" t="n"/>
      <c r="G224" s="206" t="n"/>
      <c r="H224" s="205" t="n"/>
      <c r="I224" s="28" t="n"/>
      <c r="J224" s="205" t="n"/>
      <c r="K224" s="205" t="n"/>
      <c r="L224" s="205" t="n"/>
      <c r="M224" s="205" t="n"/>
      <c r="N224" s="205" t="n"/>
      <c r="O224" s="183" t="n"/>
      <c r="P224" s="183" t="n"/>
      <c r="Q224" s="183" t="n"/>
      <c r="R224" s="183" t="n"/>
      <c r="S224" s="183" t="n"/>
      <c r="T224" s="183" t="n"/>
      <c r="U224" s="183" t="n"/>
      <c r="V224" s="183" t="n"/>
      <c r="W224" s="183" t="n"/>
      <c r="X224" s="183" t="n"/>
      <c r="Y224" s="183" t="n"/>
      <c r="Z224" s="183" t="n"/>
      <c r="AA224" s="183" t="n"/>
    </row>
    <row r="225" ht="45.75" customHeight="1" s="222">
      <c r="A225" s="205" t="n"/>
      <c r="B225" s="205" t="n"/>
      <c r="C225" s="205" t="n"/>
      <c r="D225" s="205" t="n"/>
      <c r="E225" s="205" t="n"/>
      <c r="F225" s="205" t="n"/>
      <c r="G225" s="206" t="n"/>
      <c r="H225" s="205" t="n"/>
      <c r="I225" s="28" t="n"/>
      <c r="J225" s="205" t="n"/>
      <c r="K225" s="205" t="n"/>
      <c r="L225" s="205" t="n"/>
      <c r="M225" s="205" t="n"/>
      <c r="N225" s="205" t="n"/>
      <c r="O225" s="183" t="n"/>
      <c r="P225" s="183" t="n"/>
      <c r="Q225" s="183" t="n"/>
      <c r="R225" s="183" t="n"/>
      <c r="S225" s="183" t="n"/>
      <c r="T225" s="183" t="n"/>
      <c r="U225" s="183" t="n"/>
      <c r="V225" s="183" t="n"/>
      <c r="W225" s="183" t="n"/>
      <c r="X225" s="183" t="n"/>
      <c r="Y225" s="183" t="n"/>
      <c r="Z225" s="183" t="n"/>
      <c r="AA225" s="183" t="n"/>
    </row>
    <row r="226" ht="45.75" customHeight="1" s="222">
      <c r="A226" s="205" t="n"/>
      <c r="B226" s="205" t="n"/>
      <c r="C226" s="205" t="n"/>
      <c r="D226" s="205" t="n"/>
      <c r="E226" s="205" t="n"/>
      <c r="F226" s="205" t="n"/>
      <c r="G226" s="206" t="n"/>
      <c r="H226" s="205" t="n"/>
      <c r="I226" s="28" t="n"/>
      <c r="J226" s="205" t="n"/>
      <c r="K226" s="205" t="n"/>
      <c r="L226" s="205" t="n"/>
      <c r="M226" s="205" t="n"/>
      <c r="N226" s="205" t="n"/>
      <c r="O226" s="183" t="n"/>
      <c r="P226" s="183" t="n"/>
      <c r="Q226" s="183" t="n"/>
      <c r="R226" s="183" t="n"/>
      <c r="S226" s="183" t="n"/>
      <c r="T226" s="183" t="n"/>
      <c r="U226" s="183" t="n"/>
      <c r="V226" s="183" t="n"/>
      <c r="W226" s="183" t="n"/>
      <c r="X226" s="183" t="n"/>
      <c r="Y226" s="183" t="n"/>
      <c r="Z226" s="183" t="n"/>
      <c r="AA226" s="183" t="n"/>
    </row>
    <row r="227" ht="45.75" customHeight="1" s="222">
      <c r="A227" s="205" t="n"/>
      <c r="B227" s="205" t="n"/>
      <c r="C227" s="205" t="n"/>
      <c r="D227" s="205" t="n"/>
      <c r="E227" s="205" t="n"/>
      <c r="F227" s="205" t="n"/>
      <c r="G227" s="206" t="n"/>
      <c r="H227" s="205" t="n"/>
      <c r="I227" s="28" t="n"/>
      <c r="J227" s="205" t="n"/>
      <c r="K227" s="205" t="n"/>
      <c r="L227" s="205" t="n"/>
      <c r="M227" s="205" t="n"/>
      <c r="N227" s="205" t="n"/>
      <c r="O227" s="183" t="n"/>
      <c r="P227" s="183" t="n"/>
      <c r="Q227" s="183" t="n"/>
      <c r="R227" s="183" t="n"/>
      <c r="S227" s="183" t="n"/>
      <c r="T227" s="183" t="n"/>
      <c r="U227" s="183" t="n"/>
      <c r="V227" s="183" t="n"/>
      <c r="W227" s="183" t="n"/>
      <c r="X227" s="183" t="n"/>
      <c r="Y227" s="183" t="n"/>
      <c r="Z227" s="183" t="n"/>
      <c r="AA227" s="183" t="n"/>
    </row>
    <row r="228" ht="45.75" customHeight="1" s="222">
      <c r="A228" s="205" t="n"/>
      <c r="B228" s="205" t="n"/>
      <c r="C228" s="205" t="n"/>
      <c r="D228" s="205" t="n"/>
      <c r="E228" s="205" t="n"/>
      <c r="F228" s="205" t="n"/>
      <c r="G228" s="206" t="n"/>
      <c r="H228" s="205" t="n"/>
      <c r="I228" s="28" t="n"/>
      <c r="J228" s="205" t="n"/>
      <c r="K228" s="205" t="n"/>
      <c r="L228" s="205" t="n"/>
      <c r="M228" s="205" t="n"/>
      <c r="N228" s="205" t="n"/>
      <c r="O228" s="183" t="n"/>
      <c r="P228" s="183" t="n"/>
      <c r="Q228" s="183" t="n"/>
      <c r="R228" s="183" t="n"/>
      <c r="S228" s="183" t="n"/>
      <c r="T228" s="183" t="n"/>
      <c r="U228" s="183" t="n"/>
      <c r="V228" s="183" t="n"/>
      <c r="W228" s="183" t="n"/>
      <c r="X228" s="183" t="n"/>
      <c r="Y228" s="183" t="n"/>
      <c r="Z228" s="183" t="n"/>
      <c r="AA228" s="183" t="n"/>
    </row>
    <row r="229" ht="45.75" customHeight="1" s="222">
      <c r="A229" s="205" t="n"/>
      <c r="B229" s="205" t="n"/>
      <c r="C229" s="205" t="n"/>
      <c r="D229" s="205" t="n"/>
      <c r="E229" s="205" t="n"/>
      <c r="F229" s="205" t="n"/>
      <c r="G229" s="206" t="n"/>
      <c r="H229" s="205" t="n"/>
      <c r="I229" s="28" t="n"/>
      <c r="J229" s="205" t="n"/>
      <c r="K229" s="205" t="n"/>
      <c r="L229" s="205" t="n"/>
      <c r="M229" s="205" t="n"/>
      <c r="N229" s="205" t="n"/>
      <c r="O229" s="183" t="n"/>
      <c r="P229" s="183" t="n"/>
      <c r="Q229" s="183" t="n"/>
      <c r="R229" s="183" t="n"/>
      <c r="S229" s="183" t="n"/>
      <c r="T229" s="183" t="n"/>
      <c r="U229" s="183" t="n"/>
      <c r="V229" s="183" t="n"/>
      <c r="W229" s="183" t="n"/>
      <c r="X229" s="183" t="n"/>
      <c r="Y229" s="183" t="n"/>
      <c r="Z229" s="183" t="n"/>
      <c r="AA229" s="183" t="n"/>
    </row>
    <row r="230" ht="45.75" customHeight="1" s="222">
      <c r="A230" s="205" t="n"/>
      <c r="B230" s="205" t="n"/>
      <c r="C230" s="205" t="n"/>
      <c r="D230" s="205" t="n"/>
      <c r="E230" s="205" t="n"/>
      <c r="F230" s="205" t="n"/>
      <c r="G230" s="206" t="n"/>
      <c r="H230" s="205" t="n"/>
      <c r="I230" s="28" t="n"/>
      <c r="J230" s="205" t="n"/>
      <c r="K230" s="205" t="n"/>
      <c r="L230" s="205" t="n"/>
      <c r="M230" s="205" t="n"/>
      <c r="N230" s="205" t="n"/>
      <c r="O230" s="183" t="n"/>
      <c r="P230" s="183" t="n"/>
      <c r="Q230" s="183" t="n"/>
      <c r="R230" s="183" t="n"/>
      <c r="S230" s="183" t="n"/>
      <c r="T230" s="183" t="n"/>
      <c r="U230" s="183" t="n"/>
      <c r="V230" s="183" t="n"/>
      <c r="W230" s="183" t="n"/>
      <c r="X230" s="183" t="n"/>
      <c r="Y230" s="183" t="n"/>
      <c r="Z230" s="183" t="n"/>
      <c r="AA230" s="183" t="n"/>
    </row>
    <row r="231" ht="45.75" customHeight="1" s="222">
      <c r="A231" s="205" t="n"/>
      <c r="B231" s="205" t="n"/>
      <c r="C231" s="205" t="n"/>
      <c r="D231" s="205" t="n"/>
      <c r="E231" s="205" t="n"/>
      <c r="F231" s="205" t="n"/>
      <c r="G231" s="206" t="n"/>
      <c r="H231" s="205" t="n"/>
      <c r="I231" s="28" t="n"/>
      <c r="J231" s="205" t="n"/>
      <c r="K231" s="205" t="n"/>
      <c r="L231" s="205" t="n"/>
      <c r="M231" s="205" t="n"/>
      <c r="N231" s="205" t="n"/>
      <c r="O231" s="183" t="n"/>
      <c r="P231" s="183" t="n"/>
      <c r="Q231" s="183" t="n"/>
      <c r="R231" s="183" t="n"/>
      <c r="S231" s="183" t="n"/>
      <c r="T231" s="183" t="n"/>
      <c r="U231" s="183" t="n"/>
      <c r="V231" s="183" t="n"/>
      <c r="W231" s="183" t="n"/>
      <c r="X231" s="183" t="n"/>
      <c r="Y231" s="183" t="n"/>
      <c r="Z231" s="183" t="n"/>
      <c r="AA231" s="183" t="n"/>
    </row>
    <row r="232" ht="45.75" customHeight="1" s="222">
      <c r="A232" s="205" t="n"/>
      <c r="B232" s="205" t="n"/>
      <c r="C232" s="205" t="n"/>
      <c r="D232" s="205" t="n"/>
      <c r="E232" s="205" t="n"/>
      <c r="F232" s="205" t="n"/>
      <c r="G232" s="206" t="n"/>
      <c r="H232" s="205" t="n"/>
      <c r="I232" s="28" t="n"/>
      <c r="J232" s="205" t="n"/>
      <c r="K232" s="205" t="n"/>
      <c r="L232" s="205" t="n"/>
      <c r="M232" s="205" t="n"/>
      <c r="N232" s="205" t="n"/>
      <c r="O232" s="183" t="n"/>
      <c r="P232" s="183" t="n"/>
      <c r="Q232" s="183" t="n"/>
      <c r="R232" s="183" t="n"/>
      <c r="S232" s="183" t="n"/>
      <c r="T232" s="183" t="n"/>
      <c r="U232" s="183" t="n"/>
      <c r="V232" s="183" t="n"/>
      <c r="W232" s="183" t="n"/>
      <c r="X232" s="183" t="n"/>
      <c r="Y232" s="183" t="n"/>
      <c r="Z232" s="183" t="n"/>
      <c r="AA232" s="183" t="n"/>
    </row>
    <row r="233" ht="45.75" customHeight="1" s="222">
      <c r="A233" s="205" t="n"/>
      <c r="B233" s="205" t="n"/>
      <c r="C233" s="205" t="n"/>
      <c r="D233" s="205" t="n"/>
      <c r="E233" s="205" t="n"/>
      <c r="F233" s="205" t="n"/>
      <c r="G233" s="206" t="n"/>
      <c r="H233" s="205" t="n"/>
      <c r="I233" s="28" t="n"/>
      <c r="J233" s="205" t="n"/>
      <c r="K233" s="205" t="n"/>
      <c r="L233" s="205" t="n"/>
      <c r="M233" s="205" t="n"/>
      <c r="N233" s="205" t="n"/>
      <c r="O233" s="183" t="n"/>
      <c r="P233" s="183" t="n"/>
      <c r="Q233" s="183" t="n"/>
      <c r="R233" s="183" t="n"/>
      <c r="S233" s="183" t="n"/>
      <c r="T233" s="183" t="n"/>
      <c r="U233" s="183" t="n"/>
      <c r="V233" s="183" t="n"/>
      <c r="W233" s="183" t="n"/>
      <c r="X233" s="183" t="n"/>
      <c r="Y233" s="183" t="n"/>
      <c r="Z233" s="183" t="n"/>
      <c r="AA233" s="183" t="n"/>
    </row>
    <row r="234" ht="45.75" customHeight="1" s="222">
      <c r="A234" s="205" t="n"/>
      <c r="B234" s="205" t="n"/>
      <c r="C234" s="205" t="n"/>
      <c r="D234" s="205" t="n"/>
      <c r="E234" s="205" t="n"/>
      <c r="F234" s="205" t="n"/>
      <c r="G234" s="206" t="n"/>
      <c r="H234" s="205" t="n"/>
      <c r="I234" s="28" t="n"/>
      <c r="J234" s="205" t="n"/>
      <c r="K234" s="205" t="n"/>
      <c r="L234" s="205" t="n"/>
      <c r="M234" s="205" t="n"/>
      <c r="N234" s="205" t="n"/>
      <c r="O234" s="183" t="n"/>
      <c r="P234" s="183" t="n"/>
      <c r="Q234" s="183" t="n"/>
      <c r="R234" s="183" t="n"/>
      <c r="S234" s="183" t="n"/>
      <c r="T234" s="183" t="n"/>
      <c r="U234" s="183" t="n"/>
      <c r="V234" s="183" t="n"/>
      <c r="W234" s="183" t="n"/>
      <c r="X234" s="183" t="n"/>
      <c r="Y234" s="183" t="n"/>
      <c r="Z234" s="183" t="n"/>
      <c r="AA234" s="183" t="n"/>
    </row>
    <row r="235" ht="45.75" customHeight="1" s="222">
      <c r="A235" s="205" t="n"/>
      <c r="B235" s="205" t="n"/>
      <c r="C235" s="205" t="n"/>
      <c r="D235" s="205" t="n"/>
      <c r="E235" s="205" t="n"/>
      <c r="F235" s="205" t="n"/>
      <c r="G235" s="206" t="n"/>
      <c r="H235" s="205" t="n"/>
      <c r="I235" s="28" t="n"/>
      <c r="J235" s="205" t="n"/>
      <c r="K235" s="205" t="n"/>
      <c r="L235" s="205" t="n"/>
      <c r="M235" s="205" t="n"/>
      <c r="N235" s="205" t="n"/>
      <c r="O235" s="183" t="n"/>
      <c r="P235" s="183" t="n"/>
      <c r="Q235" s="183" t="n"/>
      <c r="R235" s="183" t="n"/>
      <c r="S235" s="183" t="n"/>
      <c r="T235" s="183" t="n"/>
      <c r="U235" s="183" t="n"/>
      <c r="V235" s="183" t="n"/>
      <c r="W235" s="183" t="n"/>
      <c r="X235" s="183" t="n"/>
      <c r="Y235" s="183" t="n"/>
      <c r="Z235" s="183" t="n"/>
      <c r="AA235" s="183" t="n"/>
    </row>
    <row r="236" ht="45.75" customHeight="1" s="222">
      <c r="A236" s="205" t="n"/>
      <c r="B236" s="205" t="n"/>
      <c r="C236" s="205" t="n"/>
      <c r="D236" s="205" t="n"/>
      <c r="E236" s="205" t="n"/>
      <c r="F236" s="205" t="n"/>
      <c r="G236" s="206" t="n"/>
      <c r="H236" s="205" t="n"/>
      <c r="I236" s="28" t="n"/>
      <c r="J236" s="205" t="n"/>
      <c r="K236" s="205" t="n"/>
      <c r="L236" s="205" t="n"/>
      <c r="M236" s="205" t="n"/>
      <c r="N236" s="205" t="n"/>
      <c r="O236" s="183" t="n"/>
      <c r="P236" s="183" t="n"/>
      <c r="Q236" s="183" t="n"/>
      <c r="R236" s="183" t="n"/>
      <c r="S236" s="183" t="n"/>
      <c r="T236" s="183" t="n"/>
      <c r="U236" s="183" t="n"/>
      <c r="V236" s="183" t="n"/>
      <c r="W236" s="183" t="n"/>
      <c r="X236" s="183" t="n"/>
      <c r="Y236" s="183" t="n"/>
      <c r="Z236" s="183" t="n"/>
      <c r="AA236" s="183" t="n"/>
    </row>
    <row r="237" ht="45.75" customHeight="1" s="222">
      <c r="A237" s="205" t="n"/>
      <c r="B237" s="205" t="n"/>
      <c r="C237" s="205" t="n"/>
      <c r="D237" s="205" t="n"/>
      <c r="E237" s="205" t="n"/>
      <c r="F237" s="205" t="n"/>
      <c r="G237" s="206" t="n"/>
      <c r="H237" s="205" t="n"/>
      <c r="I237" s="28" t="n"/>
      <c r="J237" s="205" t="n"/>
      <c r="K237" s="205" t="n"/>
      <c r="L237" s="205" t="n"/>
      <c r="M237" s="205" t="n"/>
      <c r="N237" s="205" t="n"/>
      <c r="O237" s="183" t="n"/>
      <c r="P237" s="183" t="n"/>
      <c r="Q237" s="183" t="n"/>
      <c r="R237" s="183" t="n"/>
      <c r="S237" s="183" t="n"/>
      <c r="T237" s="183" t="n"/>
      <c r="U237" s="183" t="n"/>
      <c r="V237" s="183" t="n"/>
      <c r="W237" s="183" t="n"/>
      <c r="X237" s="183" t="n"/>
      <c r="Y237" s="183" t="n"/>
      <c r="Z237" s="183" t="n"/>
      <c r="AA237" s="183" t="n"/>
    </row>
    <row r="238" ht="45.75" customHeight="1" s="222">
      <c r="A238" s="205" t="n"/>
      <c r="B238" s="205" t="n"/>
      <c r="C238" s="205" t="n"/>
      <c r="D238" s="205" t="n"/>
      <c r="E238" s="205" t="n"/>
      <c r="F238" s="205" t="n"/>
      <c r="G238" s="206" t="n"/>
      <c r="H238" s="205" t="n"/>
      <c r="I238" s="28" t="n"/>
      <c r="J238" s="205" t="n"/>
      <c r="K238" s="205" t="n"/>
      <c r="L238" s="205" t="n"/>
      <c r="M238" s="205" t="n"/>
      <c r="N238" s="205" t="n"/>
      <c r="O238" s="183" t="n"/>
      <c r="P238" s="183" t="n"/>
      <c r="Q238" s="183" t="n"/>
      <c r="R238" s="183" t="n"/>
      <c r="S238" s="183" t="n"/>
      <c r="T238" s="183" t="n"/>
      <c r="U238" s="183" t="n"/>
      <c r="V238" s="183" t="n"/>
      <c r="W238" s="183" t="n"/>
      <c r="X238" s="183" t="n"/>
      <c r="Y238" s="183" t="n"/>
      <c r="Z238" s="183" t="n"/>
      <c r="AA238" s="183" t="n"/>
    </row>
    <row r="239" ht="45.75" customHeight="1" s="222">
      <c r="A239" s="205" t="n"/>
      <c r="B239" s="205" t="n"/>
      <c r="C239" s="205" t="n"/>
      <c r="D239" s="205" t="n"/>
      <c r="E239" s="205" t="n"/>
      <c r="F239" s="205" t="n"/>
      <c r="G239" s="206" t="n"/>
      <c r="H239" s="205" t="n"/>
      <c r="I239" s="28" t="n"/>
      <c r="J239" s="205" t="n"/>
      <c r="K239" s="205" t="n"/>
      <c r="L239" s="205" t="n"/>
      <c r="M239" s="205" t="n"/>
      <c r="N239" s="205" t="n"/>
      <c r="O239" s="183" t="n"/>
      <c r="P239" s="183" t="n"/>
      <c r="Q239" s="183" t="n"/>
      <c r="R239" s="183" t="n"/>
      <c r="S239" s="183" t="n"/>
      <c r="T239" s="183" t="n"/>
      <c r="U239" s="183" t="n"/>
      <c r="V239" s="183" t="n"/>
      <c r="W239" s="183" t="n"/>
      <c r="X239" s="183" t="n"/>
      <c r="Y239" s="183" t="n"/>
      <c r="Z239" s="183" t="n"/>
      <c r="AA239" s="183" t="n"/>
    </row>
    <row r="240" ht="45.75" customHeight="1" s="222">
      <c r="A240" s="205" t="n"/>
      <c r="B240" s="205" t="n"/>
      <c r="C240" s="205" t="n"/>
      <c r="D240" s="205" t="n"/>
      <c r="E240" s="205" t="n"/>
      <c r="F240" s="205" t="n"/>
      <c r="G240" s="206" t="n"/>
      <c r="H240" s="205" t="n"/>
      <c r="I240" s="28" t="n"/>
      <c r="J240" s="205" t="n"/>
      <c r="K240" s="205" t="n"/>
      <c r="L240" s="205" t="n"/>
      <c r="M240" s="205" t="n"/>
      <c r="N240" s="205" t="n"/>
      <c r="O240" s="183" t="n"/>
      <c r="P240" s="183" t="n"/>
      <c r="Q240" s="183" t="n"/>
      <c r="R240" s="183" t="n"/>
      <c r="S240" s="183" t="n"/>
      <c r="T240" s="183" t="n"/>
      <c r="U240" s="183" t="n"/>
      <c r="V240" s="183" t="n"/>
      <c r="W240" s="183" t="n"/>
      <c r="X240" s="183" t="n"/>
      <c r="Y240" s="183" t="n"/>
      <c r="Z240" s="183" t="n"/>
      <c r="AA240" s="183" t="n"/>
    </row>
    <row r="241" ht="45.75" customHeight="1" s="222">
      <c r="A241" s="205" t="n"/>
      <c r="B241" s="205" t="n"/>
      <c r="C241" s="205" t="n"/>
      <c r="D241" s="205" t="n"/>
      <c r="E241" s="205" t="n"/>
      <c r="F241" s="205" t="n"/>
      <c r="G241" s="206" t="n"/>
      <c r="H241" s="205" t="n"/>
      <c r="I241" s="28" t="n"/>
      <c r="J241" s="205" t="n"/>
      <c r="K241" s="205" t="n"/>
      <c r="L241" s="205" t="n"/>
      <c r="M241" s="205" t="n"/>
      <c r="N241" s="205" t="n"/>
      <c r="O241" s="183" t="n"/>
      <c r="P241" s="183" t="n"/>
      <c r="Q241" s="183" t="n"/>
      <c r="R241" s="183" t="n"/>
      <c r="S241" s="183" t="n"/>
      <c r="T241" s="183" t="n"/>
      <c r="U241" s="183" t="n"/>
      <c r="V241" s="183" t="n"/>
      <c r="W241" s="183" t="n"/>
      <c r="X241" s="183" t="n"/>
      <c r="Y241" s="183" t="n"/>
      <c r="Z241" s="183" t="n"/>
      <c r="AA241" s="183" t="n"/>
    </row>
    <row r="242" ht="45.75" customHeight="1" s="222">
      <c r="A242" s="205" t="n"/>
      <c r="B242" s="205" t="n"/>
      <c r="C242" s="205" t="n"/>
      <c r="D242" s="205" t="n"/>
      <c r="E242" s="205" t="n"/>
      <c r="F242" s="205" t="n"/>
      <c r="G242" s="206" t="n"/>
      <c r="H242" s="205" t="n"/>
      <c r="I242" s="28" t="n"/>
      <c r="J242" s="205" t="n"/>
      <c r="K242" s="205" t="n"/>
      <c r="L242" s="205" t="n"/>
      <c r="M242" s="205" t="n"/>
      <c r="N242" s="205" t="n"/>
      <c r="O242" s="183" t="n"/>
      <c r="P242" s="183" t="n"/>
      <c r="Q242" s="183" t="n"/>
      <c r="R242" s="183" t="n"/>
      <c r="S242" s="183" t="n"/>
      <c r="T242" s="183" t="n"/>
      <c r="U242" s="183" t="n"/>
      <c r="V242" s="183" t="n"/>
      <c r="W242" s="183" t="n"/>
      <c r="X242" s="183" t="n"/>
      <c r="Y242" s="183" t="n"/>
      <c r="Z242" s="183" t="n"/>
      <c r="AA242" s="183" t="n"/>
    </row>
    <row r="243" ht="45.75" customHeight="1" s="222">
      <c r="A243" s="205" t="n"/>
      <c r="B243" s="205" t="n"/>
      <c r="C243" s="205" t="n"/>
      <c r="D243" s="205" t="n"/>
      <c r="E243" s="205" t="n"/>
      <c r="F243" s="205" t="n"/>
      <c r="G243" s="206" t="n"/>
      <c r="H243" s="205" t="n"/>
      <c r="I243" s="28" t="n"/>
      <c r="J243" s="205" t="n"/>
      <c r="K243" s="205" t="n"/>
      <c r="L243" s="205" t="n"/>
      <c r="M243" s="205" t="n"/>
      <c r="N243" s="205" t="n"/>
      <c r="O243" s="183" t="n"/>
      <c r="P243" s="183" t="n"/>
      <c r="Q243" s="183" t="n"/>
      <c r="R243" s="183" t="n"/>
      <c r="S243" s="183" t="n"/>
      <c r="T243" s="183" t="n"/>
      <c r="U243" s="183" t="n"/>
      <c r="V243" s="183" t="n"/>
      <c r="W243" s="183" t="n"/>
      <c r="X243" s="183" t="n"/>
      <c r="Y243" s="183" t="n"/>
      <c r="Z243" s="183" t="n"/>
      <c r="AA243" s="183" t="n"/>
    </row>
    <row r="244" ht="45.75" customHeight="1" s="222">
      <c r="A244" s="205" t="n"/>
      <c r="B244" s="205" t="n"/>
      <c r="C244" s="205" t="n"/>
      <c r="D244" s="205" t="n"/>
      <c r="E244" s="205" t="n"/>
      <c r="F244" s="205" t="n"/>
      <c r="G244" s="206" t="n"/>
      <c r="H244" s="205" t="n"/>
      <c r="I244" s="28" t="n"/>
      <c r="J244" s="205" t="n"/>
      <c r="K244" s="205" t="n"/>
      <c r="L244" s="205" t="n"/>
      <c r="M244" s="205" t="n"/>
      <c r="N244" s="205" t="n"/>
      <c r="O244" s="183" t="n"/>
      <c r="P244" s="183" t="n"/>
      <c r="Q244" s="183" t="n"/>
      <c r="R244" s="183" t="n"/>
      <c r="S244" s="183" t="n"/>
      <c r="T244" s="183" t="n"/>
      <c r="U244" s="183" t="n"/>
      <c r="V244" s="183" t="n"/>
      <c r="W244" s="183" t="n"/>
      <c r="X244" s="183" t="n"/>
      <c r="Y244" s="183" t="n"/>
      <c r="Z244" s="183" t="n"/>
      <c r="AA244" s="183" t="n"/>
    </row>
    <row r="245" ht="45.75" customHeight="1" s="222">
      <c r="A245" s="205" t="n"/>
      <c r="B245" s="205" t="n"/>
      <c r="C245" s="205" t="n"/>
      <c r="D245" s="205" t="n"/>
      <c r="E245" s="205" t="n"/>
      <c r="F245" s="205" t="n"/>
      <c r="G245" s="206" t="n"/>
      <c r="H245" s="205" t="n"/>
      <c r="I245" s="28" t="n"/>
      <c r="J245" s="205" t="n"/>
      <c r="K245" s="205" t="n"/>
      <c r="L245" s="205" t="n"/>
      <c r="M245" s="205" t="n"/>
      <c r="N245" s="205" t="n"/>
      <c r="O245" s="183" t="n"/>
      <c r="P245" s="183" t="n"/>
      <c r="Q245" s="183" t="n"/>
      <c r="R245" s="183" t="n"/>
      <c r="S245" s="183" t="n"/>
      <c r="T245" s="183" t="n"/>
      <c r="U245" s="183" t="n"/>
      <c r="V245" s="183" t="n"/>
      <c r="W245" s="183" t="n"/>
      <c r="X245" s="183" t="n"/>
      <c r="Y245" s="183" t="n"/>
      <c r="Z245" s="183" t="n"/>
      <c r="AA245" s="183" t="n"/>
    </row>
    <row r="246" ht="45.75" customHeight="1" s="222">
      <c r="A246" s="205" t="n"/>
      <c r="B246" s="205" t="n"/>
      <c r="C246" s="205" t="n"/>
      <c r="D246" s="205" t="n"/>
      <c r="E246" s="205" t="n"/>
      <c r="F246" s="205" t="n"/>
      <c r="G246" s="206" t="n"/>
      <c r="H246" s="205" t="n"/>
      <c r="I246" s="28" t="n"/>
      <c r="J246" s="205" t="n"/>
      <c r="K246" s="205" t="n"/>
      <c r="L246" s="205" t="n"/>
      <c r="M246" s="205" t="n"/>
      <c r="N246" s="205" t="n"/>
      <c r="O246" s="183" t="n"/>
      <c r="P246" s="183" t="n"/>
      <c r="Q246" s="183" t="n"/>
      <c r="R246" s="183" t="n"/>
      <c r="S246" s="183" t="n"/>
      <c r="T246" s="183" t="n"/>
      <c r="U246" s="183" t="n"/>
      <c r="V246" s="183" t="n"/>
      <c r="W246" s="183" t="n"/>
      <c r="X246" s="183" t="n"/>
      <c r="Y246" s="183" t="n"/>
      <c r="Z246" s="183" t="n"/>
      <c r="AA246" s="183" t="n"/>
    </row>
    <row r="247" ht="45.75" customHeight="1" s="222">
      <c r="A247" s="205" t="n"/>
      <c r="B247" s="205" t="n"/>
      <c r="C247" s="205" t="n"/>
      <c r="D247" s="205" t="n"/>
      <c r="E247" s="205" t="n"/>
      <c r="F247" s="205" t="n"/>
      <c r="G247" s="206" t="n"/>
      <c r="H247" s="205" t="n"/>
      <c r="I247" s="28" t="n"/>
      <c r="J247" s="205" t="n"/>
      <c r="K247" s="205" t="n"/>
      <c r="L247" s="205" t="n"/>
      <c r="M247" s="205" t="n"/>
      <c r="N247" s="205" t="n"/>
      <c r="O247" s="183" t="n"/>
      <c r="P247" s="183" t="n"/>
      <c r="Q247" s="183" t="n"/>
      <c r="R247" s="183" t="n"/>
      <c r="S247" s="183" t="n"/>
      <c r="T247" s="183" t="n"/>
      <c r="U247" s="183" t="n"/>
      <c r="V247" s="183" t="n"/>
      <c r="W247" s="183" t="n"/>
      <c r="X247" s="183" t="n"/>
      <c r="Y247" s="183" t="n"/>
      <c r="Z247" s="183" t="n"/>
      <c r="AA247" s="183" t="n"/>
    </row>
    <row r="248" ht="45.75" customHeight="1" s="222">
      <c r="A248" s="205" t="n"/>
      <c r="B248" s="205" t="n"/>
      <c r="C248" s="205" t="n"/>
      <c r="D248" s="205" t="n"/>
      <c r="E248" s="205" t="n"/>
      <c r="F248" s="205" t="n"/>
      <c r="G248" s="206" t="n"/>
      <c r="H248" s="205" t="n"/>
      <c r="I248" s="28" t="n"/>
      <c r="J248" s="205" t="n"/>
      <c r="K248" s="205" t="n"/>
      <c r="L248" s="205" t="n"/>
      <c r="M248" s="205" t="n"/>
      <c r="N248" s="205" t="n"/>
      <c r="O248" s="183" t="n"/>
      <c r="P248" s="183" t="n"/>
      <c r="Q248" s="183" t="n"/>
      <c r="R248" s="183" t="n"/>
      <c r="S248" s="183" t="n"/>
      <c r="T248" s="183" t="n"/>
      <c r="U248" s="183" t="n"/>
      <c r="V248" s="183" t="n"/>
      <c r="W248" s="183" t="n"/>
      <c r="X248" s="183" t="n"/>
      <c r="Y248" s="183" t="n"/>
      <c r="Z248" s="183" t="n"/>
      <c r="AA248" s="183" t="n"/>
    </row>
    <row r="249" ht="45.75" customHeight="1" s="222">
      <c r="A249" s="205" t="n"/>
      <c r="B249" s="205" t="n"/>
      <c r="C249" s="205" t="n"/>
      <c r="D249" s="205" t="n"/>
      <c r="E249" s="205" t="n"/>
      <c r="F249" s="205" t="n"/>
      <c r="G249" s="206" t="n"/>
      <c r="H249" s="205" t="n"/>
      <c r="I249" s="28" t="n"/>
      <c r="J249" s="205" t="n"/>
      <c r="K249" s="205" t="n"/>
      <c r="L249" s="205" t="n"/>
      <c r="M249" s="205" t="n"/>
      <c r="N249" s="205" t="n"/>
      <c r="O249" s="183" t="n"/>
      <c r="P249" s="183" t="n"/>
      <c r="Q249" s="183" t="n"/>
      <c r="R249" s="183" t="n"/>
      <c r="S249" s="183" t="n"/>
      <c r="T249" s="183" t="n"/>
      <c r="U249" s="183" t="n"/>
      <c r="V249" s="183" t="n"/>
      <c r="W249" s="183" t="n"/>
      <c r="X249" s="183" t="n"/>
      <c r="Y249" s="183" t="n"/>
      <c r="Z249" s="183" t="n"/>
      <c r="AA249" s="183" t="n"/>
    </row>
    <row r="250" ht="45.75" customHeight="1" s="222">
      <c r="A250" s="205" t="n"/>
      <c r="B250" s="205" t="n"/>
      <c r="C250" s="205" t="n"/>
      <c r="D250" s="205" t="n"/>
      <c r="E250" s="205" t="n"/>
      <c r="F250" s="205" t="n"/>
      <c r="G250" s="206" t="n"/>
      <c r="H250" s="205" t="n"/>
      <c r="I250" s="28" t="n"/>
      <c r="J250" s="205" t="n"/>
      <c r="K250" s="205" t="n"/>
      <c r="L250" s="205" t="n"/>
      <c r="M250" s="205" t="n"/>
      <c r="N250" s="205" t="n"/>
      <c r="O250" s="183" t="n"/>
      <c r="P250" s="183" t="n"/>
      <c r="Q250" s="183" t="n"/>
      <c r="R250" s="183" t="n"/>
      <c r="S250" s="183" t="n"/>
      <c r="T250" s="183" t="n"/>
      <c r="U250" s="183" t="n"/>
      <c r="V250" s="183" t="n"/>
      <c r="W250" s="183" t="n"/>
      <c r="X250" s="183" t="n"/>
      <c r="Y250" s="183" t="n"/>
      <c r="Z250" s="183" t="n"/>
      <c r="AA250" s="183" t="n"/>
    </row>
    <row r="251" ht="45.75" customHeight="1" s="222">
      <c r="A251" s="205" t="n"/>
      <c r="B251" s="205" t="n"/>
      <c r="C251" s="205" t="n"/>
      <c r="D251" s="205" t="n"/>
      <c r="E251" s="205" t="n"/>
      <c r="F251" s="205" t="n"/>
      <c r="G251" s="206" t="n"/>
      <c r="H251" s="205" t="n"/>
      <c r="I251" s="28" t="n"/>
      <c r="J251" s="205" t="n"/>
      <c r="K251" s="205" t="n"/>
      <c r="L251" s="205" t="n"/>
      <c r="M251" s="205" t="n"/>
      <c r="N251" s="205" t="n"/>
      <c r="O251" s="183" t="n"/>
      <c r="P251" s="183" t="n"/>
      <c r="Q251" s="183" t="n"/>
      <c r="R251" s="183" t="n"/>
      <c r="S251" s="183" t="n"/>
      <c r="T251" s="183" t="n"/>
      <c r="U251" s="183" t="n"/>
      <c r="V251" s="183" t="n"/>
      <c r="W251" s="183" t="n"/>
      <c r="X251" s="183" t="n"/>
      <c r="Y251" s="183" t="n"/>
      <c r="Z251" s="183" t="n"/>
      <c r="AA251" s="183" t="n"/>
    </row>
    <row r="252" ht="45.75" customHeight="1" s="222">
      <c r="A252" s="205" t="n"/>
      <c r="B252" s="205" t="n"/>
      <c r="C252" s="205" t="n"/>
      <c r="D252" s="205" t="n"/>
      <c r="E252" s="205" t="n"/>
      <c r="F252" s="205" t="n"/>
      <c r="G252" s="206" t="n"/>
      <c r="H252" s="205" t="n"/>
      <c r="I252" s="28" t="n"/>
      <c r="J252" s="205" t="n"/>
      <c r="K252" s="205" t="n"/>
      <c r="L252" s="205" t="n"/>
      <c r="M252" s="205" t="n"/>
      <c r="N252" s="205" t="n"/>
      <c r="O252" s="183" t="n"/>
      <c r="P252" s="183" t="n"/>
      <c r="Q252" s="183" t="n"/>
      <c r="R252" s="183" t="n"/>
      <c r="S252" s="183" t="n"/>
      <c r="T252" s="183" t="n"/>
      <c r="U252" s="183" t="n"/>
      <c r="V252" s="183" t="n"/>
      <c r="W252" s="183" t="n"/>
      <c r="X252" s="183" t="n"/>
      <c r="Y252" s="183" t="n"/>
      <c r="Z252" s="183" t="n"/>
      <c r="AA252" s="183" t="n"/>
    </row>
    <row r="253" ht="45.75" customHeight="1" s="222">
      <c r="A253" s="205" t="n"/>
      <c r="B253" s="205" t="n"/>
      <c r="C253" s="205" t="n"/>
      <c r="D253" s="205" t="n"/>
      <c r="E253" s="205" t="n"/>
      <c r="F253" s="205" t="n"/>
      <c r="G253" s="206" t="n"/>
      <c r="H253" s="205" t="n"/>
      <c r="I253" s="28" t="n"/>
      <c r="J253" s="205" t="n"/>
      <c r="K253" s="205" t="n"/>
      <c r="L253" s="205" t="n"/>
      <c r="M253" s="205" t="n"/>
      <c r="N253" s="205" t="n"/>
      <c r="O253" s="183" t="n"/>
      <c r="P253" s="183" t="n"/>
      <c r="Q253" s="183" t="n"/>
      <c r="R253" s="183" t="n"/>
      <c r="S253" s="183" t="n"/>
      <c r="T253" s="183" t="n"/>
      <c r="U253" s="183" t="n"/>
      <c r="V253" s="183" t="n"/>
      <c r="W253" s="183" t="n"/>
      <c r="X253" s="183" t="n"/>
      <c r="Y253" s="183" t="n"/>
      <c r="Z253" s="183" t="n"/>
      <c r="AA253" s="183" t="n"/>
    </row>
    <row r="254" ht="45.75" customHeight="1" s="222">
      <c r="A254" s="205" t="n"/>
      <c r="B254" s="205" t="n"/>
      <c r="C254" s="205" t="n"/>
      <c r="D254" s="205" t="n"/>
      <c r="E254" s="205" t="n"/>
      <c r="F254" s="205" t="n"/>
      <c r="G254" s="206" t="n"/>
      <c r="H254" s="205" t="n"/>
      <c r="I254" s="28" t="n"/>
      <c r="J254" s="205" t="n"/>
      <c r="K254" s="205" t="n"/>
      <c r="L254" s="205" t="n"/>
      <c r="M254" s="205" t="n"/>
      <c r="N254" s="205" t="n"/>
      <c r="O254" s="183" t="n"/>
      <c r="P254" s="183" t="n"/>
      <c r="Q254" s="183" t="n"/>
      <c r="R254" s="183" t="n"/>
      <c r="S254" s="183" t="n"/>
      <c r="T254" s="183" t="n"/>
      <c r="U254" s="183" t="n"/>
      <c r="V254" s="183" t="n"/>
      <c r="W254" s="183" t="n"/>
      <c r="X254" s="183" t="n"/>
      <c r="Y254" s="183" t="n"/>
      <c r="Z254" s="183" t="n"/>
      <c r="AA254" s="183" t="n"/>
    </row>
    <row r="255" ht="45.75" customHeight="1" s="222">
      <c r="A255" s="205" t="n"/>
      <c r="B255" s="205" t="n"/>
      <c r="C255" s="205" t="n"/>
      <c r="D255" s="205" t="n"/>
      <c r="E255" s="205" t="n"/>
      <c r="F255" s="205" t="n"/>
      <c r="G255" s="206" t="n"/>
      <c r="H255" s="205" t="n"/>
      <c r="I255" s="28" t="n"/>
      <c r="J255" s="205" t="n"/>
      <c r="K255" s="205" t="n"/>
      <c r="L255" s="205" t="n"/>
      <c r="M255" s="205" t="n"/>
      <c r="N255" s="205" t="n"/>
      <c r="O255" s="183" t="n"/>
      <c r="P255" s="183" t="n"/>
      <c r="Q255" s="183" t="n"/>
      <c r="R255" s="183" t="n"/>
      <c r="S255" s="183" t="n"/>
      <c r="T255" s="183" t="n"/>
      <c r="U255" s="183" t="n"/>
      <c r="V255" s="183" t="n"/>
      <c r="W255" s="183" t="n"/>
      <c r="X255" s="183" t="n"/>
      <c r="Y255" s="183" t="n"/>
      <c r="Z255" s="183" t="n"/>
      <c r="AA255" s="183" t="n"/>
    </row>
    <row r="256" ht="45.75" customHeight="1" s="222">
      <c r="A256" s="205" t="n"/>
      <c r="B256" s="205" t="n"/>
      <c r="C256" s="205" t="n"/>
      <c r="D256" s="205" t="n"/>
      <c r="E256" s="205" t="n"/>
      <c r="F256" s="205" t="n"/>
      <c r="G256" s="206" t="n"/>
      <c r="H256" s="205" t="n"/>
      <c r="I256" s="28" t="n"/>
      <c r="J256" s="205" t="n"/>
      <c r="K256" s="205" t="n"/>
      <c r="L256" s="205" t="n"/>
      <c r="M256" s="205" t="n"/>
      <c r="N256" s="205" t="n"/>
      <c r="O256" s="183" t="n"/>
      <c r="P256" s="183" t="n"/>
      <c r="Q256" s="183" t="n"/>
      <c r="R256" s="183" t="n"/>
      <c r="S256" s="183" t="n"/>
      <c r="T256" s="183" t="n"/>
      <c r="U256" s="183" t="n"/>
      <c r="V256" s="183" t="n"/>
      <c r="W256" s="183" t="n"/>
      <c r="X256" s="183" t="n"/>
      <c r="Y256" s="183" t="n"/>
      <c r="Z256" s="183" t="n"/>
      <c r="AA256" s="183" t="n"/>
    </row>
    <row r="257" ht="45.75" customHeight="1" s="222">
      <c r="A257" s="205" t="n"/>
      <c r="B257" s="205" t="n"/>
      <c r="C257" s="205" t="n"/>
      <c r="D257" s="205" t="n"/>
      <c r="E257" s="205" t="n"/>
      <c r="F257" s="205" t="n"/>
      <c r="G257" s="206" t="n"/>
      <c r="H257" s="205" t="n"/>
      <c r="I257" s="28" t="n"/>
      <c r="J257" s="205" t="n"/>
      <c r="K257" s="205" t="n"/>
      <c r="L257" s="205" t="n"/>
      <c r="M257" s="205" t="n"/>
      <c r="N257" s="205" t="n"/>
      <c r="O257" s="183" t="n"/>
      <c r="P257" s="183" t="n"/>
      <c r="Q257" s="183" t="n"/>
      <c r="R257" s="183" t="n"/>
      <c r="S257" s="183" t="n"/>
      <c r="T257" s="183" t="n"/>
      <c r="U257" s="183" t="n"/>
      <c r="V257" s="183" t="n"/>
      <c r="W257" s="183" t="n"/>
      <c r="X257" s="183" t="n"/>
      <c r="Y257" s="183" t="n"/>
      <c r="Z257" s="183" t="n"/>
      <c r="AA257" s="183" t="n"/>
    </row>
    <row r="258" ht="45.75" customHeight="1" s="222">
      <c r="A258" s="205" t="n"/>
      <c r="B258" s="205" t="n"/>
      <c r="C258" s="205" t="n"/>
      <c r="D258" s="205" t="n"/>
      <c r="E258" s="205" t="n"/>
      <c r="F258" s="205" t="n"/>
      <c r="G258" s="206" t="n"/>
      <c r="H258" s="205" t="n"/>
      <c r="I258" s="28" t="n"/>
      <c r="J258" s="205" t="n"/>
      <c r="K258" s="205" t="n"/>
      <c r="L258" s="205" t="n"/>
      <c r="M258" s="205" t="n"/>
      <c r="N258" s="205" t="n"/>
      <c r="O258" s="183" t="n"/>
      <c r="P258" s="183" t="n"/>
      <c r="Q258" s="183" t="n"/>
      <c r="R258" s="183" t="n"/>
      <c r="S258" s="183" t="n"/>
      <c r="T258" s="183" t="n"/>
      <c r="U258" s="183" t="n"/>
      <c r="V258" s="183" t="n"/>
      <c r="W258" s="183" t="n"/>
      <c r="X258" s="183" t="n"/>
      <c r="Y258" s="183" t="n"/>
      <c r="Z258" s="183" t="n"/>
      <c r="AA258" s="183" t="n"/>
    </row>
    <row r="259" ht="45.75" customHeight="1" s="222">
      <c r="A259" s="205" t="n"/>
      <c r="B259" s="205" t="n"/>
      <c r="C259" s="205" t="n"/>
      <c r="D259" s="205" t="n"/>
      <c r="E259" s="205" t="n"/>
      <c r="F259" s="205" t="n"/>
      <c r="G259" s="206" t="n"/>
      <c r="H259" s="205" t="n"/>
      <c r="I259" s="28" t="n"/>
      <c r="J259" s="205" t="n"/>
      <c r="K259" s="205" t="n"/>
      <c r="L259" s="205" t="n"/>
      <c r="M259" s="205" t="n"/>
      <c r="N259" s="205" t="n"/>
      <c r="O259" s="183" t="n"/>
      <c r="P259" s="183" t="n"/>
      <c r="Q259" s="183" t="n"/>
      <c r="R259" s="183" t="n"/>
      <c r="S259" s="183" t="n"/>
      <c r="T259" s="183" t="n"/>
      <c r="U259" s="183" t="n"/>
      <c r="V259" s="183" t="n"/>
      <c r="W259" s="183" t="n"/>
      <c r="X259" s="183" t="n"/>
      <c r="Y259" s="183" t="n"/>
      <c r="Z259" s="183" t="n"/>
      <c r="AA259" s="183" t="n"/>
    </row>
    <row r="260" ht="45.75" customHeight="1" s="222">
      <c r="A260" s="205" t="n"/>
      <c r="B260" s="205" t="n"/>
      <c r="C260" s="205" t="n"/>
      <c r="D260" s="205" t="n"/>
      <c r="E260" s="205" t="n"/>
      <c r="F260" s="205" t="n"/>
      <c r="G260" s="206" t="n"/>
      <c r="H260" s="205" t="n"/>
      <c r="I260" s="28" t="n"/>
      <c r="J260" s="205" t="n"/>
      <c r="K260" s="205" t="n"/>
      <c r="L260" s="205" t="n"/>
      <c r="M260" s="205" t="n"/>
      <c r="N260" s="205" t="n"/>
      <c r="O260" s="183" t="n"/>
      <c r="P260" s="183" t="n"/>
      <c r="Q260" s="183" t="n"/>
      <c r="R260" s="183" t="n"/>
      <c r="S260" s="183" t="n"/>
      <c r="T260" s="183" t="n"/>
      <c r="U260" s="183" t="n"/>
      <c r="V260" s="183" t="n"/>
      <c r="W260" s="183" t="n"/>
      <c r="X260" s="183" t="n"/>
      <c r="Y260" s="183" t="n"/>
      <c r="Z260" s="183" t="n"/>
      <c r="AA260" s="183" t="n"/>
    </row>
    <row r="261" ht="45.75" customHeight="1" s="222">
      <c r="A261" s="205" t="n"/>
      <c r="B261" s="205" t="n"/>
      <c r="C261" s="205" t="n"/>
      <c r="D261" s="205" t="n"/>
      <c r="E261" s="205" t="n"/>
      <c r="F261" s="205" t="n"/>
      <c r="G261" s="206" t="n"/>
      <c r="H261" s="205" t="n"/>
      <c r="I261" s="28" t="n"/>
      <c r="J261" s="205" t="n"/>
      <c r="K261" s="205" t="n"/>
      <c r="L261" s="205" t="n"/>
      <c r="M261" s="205" t="n"/>
      <c r="N261" s="205" t="n"/>
      <c r="O261" s="183" t="n"/>
      <c r="P261" s="183" t="n"/>
      <c r="Q261" s="183" t="n"/>
      <c r="R261" s="183" t="n"/>
      <c r="S261" s="183" t="n"/>
      <c r="T261" s="183" t="n"/>
      <c r="U261" s="183" t="n"/>
      <c r="V261" s="183" t="n"/>
      <c r="W261" s="183" t="n"/>
      <c r="X261" s="183" t="n"/>
      <c r="Y261" s="183" t="n"/>
      <c r="Z261" s="183" t="n"/>
      <c r="AA261" s="183" t="n"/>
    </row>
    <row r="262" ht="45.75" customHeight="1" s="222">
      <c r="A262" s="205" t="n"/>
      <c r="B262" s="205" t="n"/>
      <c r="C262" s="205" t="n"/>
      <c r="D262" s="205" t="n"/>
      <c r="E262" s="205" t="n"/>
      <c r="F262" s="205" t="n"/>
      <c r="G262" s="206" t="n"/>
      <c r="H262" s="205" t="n"/>
      <c r="I262" s="28" t="n"/>
      <c r="J262" s="205" t="n"/>
      <c r="K262" s="205" t="n"/>
      <c r="L262" s="205" t="n"/>
      <c r="M262" s="205" t="n"/>
      <c r="N262" s="205" t="n"/>
      <c r="O262" s="183" t="n"/>
      <c r="P262" s="183" t="n"/>
      <c r="Q262" s="183" t="n"/>
      <c r="R262" s="183" t="n"/>
      <c r="S262" s="183" t="n"/>
      <c r="T262" s="183" t="n"/>
      <c r="U262" s="183" t="n"/>
      <c r="V262" s="183" t="n"/>
      <c r="W262" s="183" t="n"/>
      <c r="X262" s="183" t="n"/>
      <c r="Y262" s="183" t="n"/>
      <c r="Z262" s="183" t="n"/>
      <c r="AA262" s="183" t="n"/>
    </row>
    <row r="263" ht="45.75" customHeight="1" s="222">
      <c r="A263" s="205" t="n"/>
      <c r="B263" s="205" t="n"/>
      <c r="C263" s="205" t="n"/>
      <c r="D263" s="205" t="n"/>
      <c r="E263" s="205" t="n"/>
      <c r="F263" s="205" t="n"/>
      <c r="G263" s="206" t="n"/>
      <c r="H263" s="205" t="n"/>
      <c r="I263" s="28" t="n"/>
      <c r="J263" s="205" t="n"/>
      <c r="K263" s="205" t="n"/>
      <c r="L263" s="205" t="n"/>
      <c r="M263" s="205" t="n"/>
      <c r="N263" s="205" t="n"/>
      <c r="O263" s="183" t="n"/>
      <c r="P263" s="183" t="n"/>
      <c r="Q263" s="183" t="n"/>
      <c r="R263" s="183" t="n"/>
      <c r="S263" s="183" t="n"/>
      <c r="T263" s="183" t="n"/>
      <c r="U263" s="183" t="n"/>
      <c r="V263" s="183" t="n"/>
      <c r="W263" s="183" t="n"/>
      <c r="X263" s="183" t="n"/>
      <c r="Y263" s="183" t="n"/>
      <c r="Z263" s="183" t="n"/>
      <c r="AA263" s="183" t="n"/>
    </row>
    <row r="264" ht="45.75" customHeight="1" s="222">
      <c r="A264" s="205" t="n"/>
      <c r="B264" s="205" t="n"/>
      <c r="C264" s="205" t="n"/>
      <c r="D264" s="205" t="n"/>
      <c r="E264" s="205" t="n"/>
      <c r="F264" s="205" t="n"/>
      <c r="G264" s="206" t="n"/>
      <c r="H264" s="205" t="n"/>
      <c r="I264" s="28" t="n"/>
      <c r="J264" s="205" t="n"/>
      <c r="K264" s="205" t="n"/>
      <c r="L264" s="205" t="n"/>
      <c r="M264" s="205" t="n"/>
      <c r="N264" s="205" t="n"/>
      <c r="O264" s="183" t="n"/>
      <c r="P264" s="183" t="n"/>
      <c r="Q264" s="183" t="n"/>
      <c r="R264" s="183" t="n"/>
      <c r="S264" s="183" t="n"/>
      <c r="T264" s="183" t="n"/>
      <c r="U264" s="183" t="n"/>
      <c r="V264" s="183" t="n"/>
      <c r="W264" s="183" t="n"/>
      <c r="X264" s="183" t="n"/>
      <c r="Y264" s="183" t="n"/>
      <c r="Z264" s="183" t="n"/>
      <c r="AA264" s="183" t="n"/>
    </row>
    <row r="265" ht="45.75" customHeight="1" s="222">
      <c r="A265" s="205" t="n"/>
      <c r="B265" s="205" t="n"/>
      <c r="C265" s="205" t="n"/>
      <c r="D265" s="205" t="n"/>
      <c r="E265" s="205" t="n"/>
      <c r="F265" s="205" t="n"/>
      <c r="G265" s="206" t="n"/>
      <c r="H265" s="205" t="n"/>
      <c r="I265" s="28" t="n"/>
      <c r="J265" s="205" t="n"/>
      <c r="K265" s="205" t="n"/>
      <c r="L265" s="205" t="n"/>
      <c r="M265" s="205" t="n"/>
      <c r="N265" s="205" t="n"/>
      <c r="O265" s="183" t="n"/>
      <c r="P265" s="183" t="n"/>
      <c r="Q265" s="183" t="n"/>
      <c r="R265" s="183" t="n"/>
      <c r="S265" s="183" t="n"/>
      <c r="T265" s="183" t="n"/>
      <c r="U265" s="183" t="n"/>
      <c r="V265" s="183" t="n"/>
      <c r="W265" s="183" t="n"/>
      <c r="X265" s="183" t="n"/>
      <c r="Y265" s="183" t="n"/>
      <c r="Z265" s="183" t="n"/>
      <c r="AA265" s="183" t="n"/>
    </row>
    <row r="266" ht="45.75" customHeight="1" s="222">
      <c r="A266" s="205" t="n"/>
      <c r="B266" s="205" t="n"/>
      <c r="C266" s="205" t="n"/>
      <c r="D266" s="205" t="n"/>
      <c r="E266" s="205" t="n"/>
      <c r="F266" s="205" t="n"/>
      <c r="G266" s="206" t="n"/>
      <c r="H266" s="205" t="n"/>
      <c r="I266" s="28" t="n"/>
      <c r="J266" s="205" t="n"/>
      <c r="K266" s="205" t="n"/>
      <c r="L266" s="205" t="n"/>
      <c r="M266" s="205" t="n"/>
      <c r="N266" s="205" t="n"/>
      <c r="O266" s="183" t="n"/>
      <c r="P266" s="183" t="n"/>
      <c r="Q266" s="183" t="n"/>
      <c r="R266" s="183" t="n"/>
      <c r="S266" s="183" t="n"/>
      <c r="T266" s="183" t="n"/>
      <c r="U266" s="183" t="n"/>
      <c r="V266" s="183" t="n"/>
      <c r="W266" s="183" t="n"/>
      <c r="X266" s="183" t="n"/>
      <c r="Y266" s="183" t="n"/>
      <c r="Z266" s="183" t="n"/>
      <c r="AA266" s="183" t="n"/>
    </row>
    <row r="267" ht="45.75" customHeight="1" s="222">
      <c r="A267" s="205" t="n"/>
      <c r="B267" s="205" t="n"/>
      <c r="C267" s="205" t="n"/>
      <c r="D267" s="205" t="n"/>
      <c r="E267" s="205" t="n"/>
      <c r="F267" s="205" t="n"/>
      <c r="G267" s="206" t="n"/>
      <c r="H267" s="205" t="n"/>
      <c r="I267" s="28" t="n"/>
      <c r="J267" s="205" t="n"/>
      <c r="K267" s="205" t="n"/>
      <c r="L267" s="205" t="n"/>
      <c r="M267" s="205" t="n"/>
      <c r="N267" s="205" t="n"/>
      <c r="O267" s="183" t="n"/>
      <c r="P267" s="183" t="n"/>
      <c r="Q267" s="183" t="n"/>
      <c r="R267" s="183" t="n"/>
      <c r="S267" s="183" t="n"/>
      <c r="T267" s="183" t="n"/>
      <c r="U267" s="183" t="n"/>
      <c r="V267" s="183" t="n"/>
      <c r="W267" s="183" t="n"/>
      <c r="X267" s="183" t="n"/>
      <c r="Y267" s="183" t="n"/>
      <c r="Z267" s="183" t="n"/>
      <c r="AA267" s="183" t="n"/>
    </row>
    <row r="268" ht="45.75" customHeight="1" s="222">
      <c r="A268" s="205" t="n"/>
      <c r="B268" s="205" t="n"/>
      <c r="C268" s="205" t="n"/>
      <c r="D268" s="205" t="n"/>
      <c r="E268" s="205" t="n"/>
      <c r="F268" s="205" t="n"/>
      <c r="G268" s="206" t="n"/>
      <c r="H268" s="205" t="n"/>
      <c r="I268" s="28" t="n"/>
      <c r="J268" s="205" t="n"/>
      <c r="K268" s="205" t="n"/>
      <c r="L268" s="205" t="n"/>
      <c r="M268" s="205" t="n"/>
      <c r="N268" s="205" t="n"/>
      <c r="O268" s="183" t="n"/>
      <c r="P268" s="183" t="n"/>
      <c r="Q268" s="183" t="n"/>
      <c r="R268" s="183" t="n"/>
      <c r="S268" s="183" t="n"/>
      <c r="T268" s="183" t="n"/>
      <c r="U268" s="183" t="n"/>
      <c r="V268" s="183" t="n"/>
      <c r="W268" s="183" t="n"/>
      <c r="X268" s="183" t="n"/>
      <c r="Y268" s="183" t="n"/>
      <c r="Z268" s="183" t="n"/>
      <c r="AA268" s="183" t="n"/>
    </row>
    <row r="269" ht="45.75" customHeight="1" s="222">
      <c r="A269" s="205" t="n"/>
      <c r="B269" s="205" t="n"/>
      <c r="C269" s="205" t="n"/>
      <c r="D269" s="205" t="n"/>
      <c r="E269" s="205" t="n"/>
      <c r="F269" s="205" t="n"/>
      <c r="G269" s="206" t="n"/>
      <c r="H269" s="205" t="n"/>
      <c r="I269" s="28" t="n"/>
      <c r="J269" s="205" t="n"/>
      <c r="K269" s="205" t="n"/>
      <c r="L269" s="205" t="n"/>
      <c r="M269" s="205" t="n"/>
      <c r="N269" s="205" t="n"/>
      <c r="O269" s="183" t="n"/>
      <c r="P269" s="183" t="n"/>
      <c r="Q269" s="183" t="n"/>
      <c r="R269" s="183" t="n"/>
      <c r="S269" s="183" t="n"/>
      <c r="T269" s="183" t="n"/>
      <c r="U269" s="183" t="n"/>
      <c r="V269" s="183" t="n"/>
      <c r="W269" s="183" t="n"/>
      <c r="X269" s="183" t="n"/>
      <c r="Y269" s="183" t="n"/>
      <c r="Z269" s="183" t="n"/>
      <c r="AA269" s="183" t="n"/>
    </row>
    <row r="270" ht="45.75" customHeight="1" s="222">
      <c r="A270" s="205" t="n"/>
      <c r="B270" s="205" t="n"/>
      <c r="C270" s="205" t="n"/>
      <c r="D270" s="205" t="n"/>
      <c r="E270" s="205" t="n"/>
      <c r="F270" s="205" t="n"/>
      <c r="G270" s="206" t="n"/>
      <c r="H270" s="205" t="n"/>
      <c r="I270" s="28" t="n"/>
      <c r="J270" s="205" t="n"/>
      <c r="K270" s="205" t="n"/>
      <c r="L270" s="205" t="n"/>
      <c r="M270" s="205" t="n"/>
      <c r="N270" s="205" t="n"/>
      <c r="O270" s="183" t="n"/>
      <c r="P270" s="183" t="n"/>
      <c r="Q270" s="183" t="n"/>
      <c r="R270" s="183" t="n"/>
      <c r="S270" s="183" t="n"/>
      <c r="T270" s="183" t="n"/>
      <c r="U270" s="183" t="n"/>
      <c r="V270" s="183" t="n"/>
      <c r="W270" s="183" t="n"/>
      <c r="X270" s="183" t="n"/>
      <c r="Y270" s="183" t="n"/>
      <c r="Z270" s="183" t="n"/>
      <c r="AA270" s="183" t="n"/>
    </row>
    <row r="271" ht="45.75" customHeight="1" s="222">
      <c r="A271" s="205" t="n"/>
      <c r="B271" s="205" t="n"/>
      <c r="C271" s="205" t="n"/>
      <c r="D271" s="205" t="n"/>
      <c r="E271" s="205" t="n"/>
      <c r="F271" s="205" t="n"/>
      <c r="G271" s="206" t="n"/>
      <c r="H271" s="205" t="n"/>
      <c r="I271" s="28" t="n"/>
      <c r="J271" s="205" t="n"/>
      <c r="K271" s="205" t="n"/>
      <c r="L271" s="205" t="n"/>
      <c r="M271" s="205" t="n"/>
      <c r="N271" s="205" t="n"/>
      <c r="O271" s="183" t="n"/>
      <c r="P271" s="183" t="n"/>
      <c r="Q271" s="183" t="n"/>
      <c r="R271" s="183" t="n"/>
      <c r="S271" s="183" t="n"/>
      <c r="T271" s="183" t="n"/>
      <c r="U271" s="183" t="n"/>
      <c r="V271" s="183" t="n"/>
      <c r="W271" s="183" t="n"/>
      <c r="X271" s="183" t="n"/>
      <c r="Y271" s="183" t="n"/>
      <c r="Z271" s="183" t="n"/>
      <c r="AA271" s="183" t="n"/>
    </row>
    <row r="272" ht="45.75" customHeight="1" s="222">
      <c r="A272" s="205" t="n"/>
      <c r="B272" s="205" t="n"/>
      <c r="C272" s="205" t="n"/>
      <c r="D272" s="205" t="n"/>
      <c r="E272" s="205" t="n"/>
      <c r="F272" s="205" t="n"/>
      <c r="G272" s="206" t="n"/>
      <c r="H272" s="205" t="n"/>
      <c r="I272" s="28" t="n"/>
      <c r="J272" s="205" t="n"/>
      <c r="K272" s="205" t="n"/>
      <c r="L272" s="205" t="n"/>
      <c r="M272" s="205" t="n"/>
      <c r="N272" s="205" t="n"/>
      <c r="O272" s="183" t="n"/>
      <c r="P272" s="183" t="n"/>
      <c r="Q272" s="183" t="n"/>
      <c r="R272" s="183" t="n"/>
      <c r="S272" s="183" t="n"/>
      <c r="T272" s="183" t="n"/>
      <c r="U272" s="183" t="n"/>
      <c r="V272" s="183" t="n"/>
      <c r="W272" s="183" t="n"/>
      <c r="X272" s="183" t="n"/>
      <c r="Y272" s="183" t="n"/>
      <c r="Z272" s="183" t="n"/>
      <c r="AA272" s="183" t="n"/>
    </row>
    <row r="273" ht="45.75" customHeight="1" s="222">
      <c r="A273" s="205" t="n"/>
      <c r="B273" s="205" t="n"/>
      <c r="C273" s="205" t="n"/>
      <c r="D273" s="205" t="n"/>
      <c r="E273" s="205" t="n"/>
      <c r="F273" s="205" t="n"/>
      <c r="G273" s="206" t="n"/>
      <c r="H273" s="205" t="n"/>
      <c r="I273" s="28" t="n"/>
      <c r="J273" s="205" t="n"/>
      <c r="K273" s="205" t="n"/>
      <c r="L273" s="205" t="n"/>
      <c r="M273" s="205" t="n"/>
      <c r="N273" s="205" t="n"/>
      <c r="O273" s="183" t="n"/>
      <c r="P273" s="183" t="n"/>
      <c r="Q273" s="183" t="n"/>
      <c r="R273" s="183" t="n"/>
      <c r="S273" s="183" t="n"/>
      <c r="T273" s="183" t="n"/>
      <c r="U273" s="183" t="n"/>
      <c r="V273" s="183" t="n"/>
      <c r="W273" s="183" t="n"/>
      <c r="X273" s="183" t="n"/>
      <c r="Y273" s="183" t="n"/>
      <c r="Z273" s="183" t="n"/>
      <c r="AA273" s="183" t="n"/>
    </row>
    <row r="274" ht="45.75" customHeight="1" s="222">
      <c r="A274" s="205" t="n"/>
      <c r="B274" s="205" t="n"/>
      <c r="C274" s="205" t="n"/>
      <c r="D274" s="205" t="n"/>
      <c r="E274" s="205" t="n"/>
      <c r="F274" s="205" t="n"/>
      <c r="G274" s="206" t="n"/>
      <c r="H274" s="205" t="n"/>
      <c r="I274" s="28" t="n"/>
      <c r="J274" s="205" t="n"/>
      <c r="K274" s="205" t="n"/>
      <c r="L274" s="205" t="n"/>
      <c r="M274" s="205" t="n"/>
      <c r="N274" s="205" t="n"/>
      <c r="O274" s="183" t="n"/>
      <c r="P274" s="183" t="n"/>
      <c r="Q274" s="183" t="n"/>
      <c r="R274" s="183" t="n"/>
      <c r="S274" s="183" t="n"/>
      <c r="T274" s="183" t="n"/>
      <c r="U274" s="183" t="n"/>
      <c r="V274" s="183" t="n"/>
      <c r="W274" s="183" t="n"/>
      <c r="X274" s="183" t="n"/>
      <c r="Y274" s="183" t="n"/>
      <c r="Z274" s="183" t="n"/>
      <c r="AA274" s="183" t="n"/>
    </row>
    <row r="275" ht="45.75" customHeight="1" s="222">
      <c r="A275" s="205" t="n"/>
      <c r="B275" s="205" t="n"/>
      <c r="C275" s="205" t="n"/>
      <c r="D275" s="205" t="n"/>
      <c r="E275" s="205" t="n"/>
      <c r="F275" s="205" t="n"/>
      <c r="G275" s="206" t="n"/>
      <c r="H275" s="205" t="n"/>
      <c r="I275" s="28" t="n"/>
      <c r="J275" s="205" t="n"/>
      <c r="K275" s="205" t="n"/>
      <c r="L275" s="205" t="n"/>
      <c r="M275" s="205" t="n"/>
      <c r="N275" s="205" t="n"/>
      <c r="O275" s="183" t="n"/>
      <c r="P275" s="183" t="n"/>
      <c r="Q275" s="183" t="n"/>
      <c r="R275" s="183" t="n"/>
      <c r="S275" s="183" t="n"/>
      <c r="T275" s="183" t="n"/>
      <c r="U275" s="183" t="n"/>
      <c r="V275" s="183" t="n"/>
      <c r="W275" s="183" t="n"/>
      <c r="X275" s="183" t="n"/>
      <c r="Y275" s="183" t="n"/>
      <c r="Z275" s="183" t="n"/>
      <c r="AA275" s="183" t="n"/>
    </row>
    <row r="276" ht="45.75" customHeight="1" s="222">
      <c r="A276" s="205" t="n"/>
      <c r="B276" s="205" t="n"/>
      <c r="C276" s="205" t="n"/>
      <c r="D276" s="205" t="n"/>
      <c r="E276" s="205" t="n"/>
      <c r="F276" s="205" t="n"/>
      <c r="G276" s="206" t="n"/>
      <c r="H276" s="205" t="n"/>
      <c r="I276" s="28" t="n"/>
      <c r="J276" s="205" t="n"/>
      <c r="K276" s="205" t="n"/>
      <c r="L276" s="205" t="n"/>
      <c r="M276" s="205" t="n"/>
      <c r="N276" s="205" t="n"/>
      <c r="O276" s="183" t="n"/>
      <c r="P276" s="183" t="n"/>
      <c r="Q276" s="183" t="n"/>
      <c r="R276" s="183" t="n"/>
      <c r="S276" s="183" t="n"/>
      <c r="T276" s="183" t="n"/>
      <c r="U276" s="183" t="n"/>
      <c r="V276" s="183" t="n"/>
      <c r="W276" s="183" t="n"/>
      <c r="X276" s="183" t="n"/>
      <c r="Y276" s="183" t="n"/>
      <c r="Z276" s="183" t="n"/>
      <c r="AA276" s="183" t="n"/>
    </row>
    <row r="277" ht="45.75" customHeight="1" s="222">
      <c r="A277" s="205" t="n"/>
      <c r="B277" s="205" t="n"/>
      <c r="C277" s="205" t="n"/>
      <c r="D277" s="205" t="n"/>
      <c r="E277" s="205" t="n"/>
      <c r="F277" s="205" t="n"/>
      <c r="G277" s="206" t="n"/>
      <c r="H277" s="205" t="n"/>
      <c r="I277" s="28" t="n"/>
      <c r="J277" s="205" t="n"/>
      <c r="K277" s="205" t="n"/>
      <c r="L277" s="205" t="n"/>
      <c r="M277" s="205" t="n"/>
      <c r="N277" s="205" t="n"/>
      <c r="O277" s="183" t="n"/>
      <c r="P277" s="183" t="n"/>
      <c r="Q277" s="183" t="n"/>
      <c r="R277" s="183" t="n"/>
      <c r="S277" s="183" t="n"/>
      <c r="T277" s="183" t="n"/>
      <c r="U277" s="183" t="n"/>
      <c r="V277" s="183" t="n"/>
      <c r="W277" s="183" t="n"/>
      <c r="X277" s="183" t="n"/>
      <c r="Y277" s="183" t="n"/>
      <c r="Z277" s="183" t="n"/>
      <c r="AA277" s="183" t="n"/>
    </row>
    <row r="278" ht="45.75" customHeight="1" s="222">
      <c r="A278" s="205" t="n"/>
      <c r="B278" s="205" t="n"/>
      <c r="C278" s="205" t="n"/>
      <c r="D278" s="205" t="n"/>
      <c r="E278" s="205" t="n"/>
      <c r="F278" s="205" t="n"/>
      <c r="G278" s="206" t="n"/>
      <c r="H278" s="205" t="n"/>
      <c r="I278" s="28" t="n"/>
      <c r="J278" s="205" t="n"/>
      <c r="K278" s="205" t="n"/>
      <c r="L278" s="205" t="n"/>
      <c r="M278" s="205" t="n"/>
      <c r="N278" s="205" t="n"/>
      <c r="O278" s="183" t="n"/>
      <c r="P278" s="183" t="n"/>
      <c r="Q278" s="183" t="n"/>
      <c r="R278" s="183" t="n"/>
      <c r="S278" s="183" t="n"/>
      <c r="T278" s="183" t="n"/>
      <c r="U278" s="183" t="n"/>
      <c r="V278" s="183" t="n"/>
      <c r="W278" s="183" t="n"/>
      <c r="X278" s="183" t="n"/>
      <c r="Y278" s="183" t="n"/>
      <c r="Z278" s="183" t="n"/>
      <c r="AA278" s="183" t="n"/>
    </row>
    <row r="279" ht="45.75" customHeight="1" s="222">
      <c r="A279" s="205" t="n"/>
      <c r="B279" s="205" t="n"/>
      <c r="C279" s="205" t="n"/>
      <c r="D279" s="205" t="n"/>
      <c r="E279" s="205" t="n"/>
      <c r="F279" s="205" t="n"/>
      <c r="G279" s="206" t="n"/>
      <c r="H279" s="205" t="n"/>
      <c r="I279" s="28" t="n"/>
      <c r="J279" s="205" t="n"/>
      <c r="K279" s="205" t="n"/>
      <c r="L279" s="205" t="n"/>
      <c r="M279" s="205" t="n"/>
      <c r="N279" s="205" t="n"/>
      <c r="O279" s="183" t="n"/>
      <c r="P279" s="183" t="n"/>
      <c r="Q279" s="183" t="n"/>
      <c r="R279" s="183" t="n"/>
      <c r="S279" s="183" t="n"/>
      <c r="T279" s="183" t="n"/>
      <c r="U279" s="183" t="n"/>
      <c r="V279" s="183" t="n"/>
      <c r="W279" s="183" t="n"/>
      <c r="X279" s="183" t="n"/>
      <c r="Y279" s="183" t="n"/>
      <c r="Z279" s="183" t="n"/>
      <c r="AA279" s="183" t="n"/>
    </row>
    <row r="280" ht="45.75" customHeight="1" s="222">
      <c r="A280" s="205" t="n"/>
      <c r="B280" s="205" t="n"/>
      <c r="C280" s="205" t="n"/>
      <c r="D280" s="205" t="n"/>
      <c r="E280" s="205" t="n"/>
      <c r="F280" s="205" t="n"/>
      <c r="G280" s="206" t="n"/>
      <c r="H280" s="205" t="n"/>
      <c r="I280" s="28" t="n"/>
      <c r="J280" s="205" t="n"/>
      <c r="K280" s="205" t="n"/>
      <c r="L280" s="205" t="n"/>
      <c r="M280" s="205" t="n"/>
      <c r="N280" s="205" t="n"/>
      <c r="O280" s="183" t="n"/>
      <c r="P280" s="183" t="n"/>
      <c r="Q280" s="183" t="n"/>
      <c r="R280" s="183" t="n"/>
      <c r="S280" s="183" t="n"/>
      <c r="T280" s="183" t="n"/>
      <c r="U280" s="183" t="n"/>
      <c r="V280" s="183" t="n"/>
      <c r="W280" s="183" t="n"/>
      <c r="X280" s="183" t="n"/>
      <c r="Y280" s="183" t="n"/>
      <c r="Z280" s="183" t="n"/>
      <c r="AA280" s="183" t="n"/>
    </row>
    <row r="281" ht="45.75" customHeight="1" s="222">
      <c r="A281" s="205" t="n"/>
      <c r="B281" s="205" t="n"/>
      <c r="C281" s="205" t="n"/>
      <c r="D281" s="205" t="n"/>
      <c r="E281" s="205" t="n"/>
      <c r="F281" s="205" t="n"/>
      <c r="G281" s="206" t="n"/>
      <c r="H281" s="205" t="n"/>
      <c r="I281" s="28" t="n"/>
      <c r="J281" s="205" t="n"/>
      <c r="K281" s="205" t="n"/>
      <c r="L281" s="205" t="n"/>
      <c r="M281" s="205" t="n"/>
      <c r="N281" s="205" t="n"/>
      <c r="O281" s="183" t="n"/>
      <c r="P281" s="183" t="n"/>
      <c r="Q281" s="183" t="n"/>
      <c r="R281" s="183" t="n"/>
      <c r="S281" s="183" t="n"/>
      <c r="T281" s="183" t="n"/>
      <c r="U281" s="183" t="n"/>
      <c r="V281" s="183" t="n"/>
      <c r="W281" s="183" t="n"/>
      <c r="X281" s="183" t="n"/>
      <c r="Y281" s="183" t="n"/>
      <c r="Z281" s="183" t="n"/>
      <c r="AA281" s="183" t="n"/>
    </row>
    <row r="282" ht="45.75" customHeight="1" s="222">
      <c r="A282" s="205" t="n"/>
      <c r="B282" s="205" t="n"/>
      <c r="C282" s="205" t="n"/>
      <c r="D282" s="205" t="n"/>
      <c r="E282" s="205" t="n"/>
      <c r="F282" s="205" t="n"/>
      <c r="G282" s="206" t="n"/>
      <c r="H282" s="205" t="n"/>
      <c r="I282" s="28" t="n"/>
      <c r="J282" s="205" t="n"/>
      <c r="K282" s="205" t="n"/>
      <c r="L282" s="205" t="n"/>
      <c r="M282" s="205" t="n"/>
      <c r="N282" s="205" t="n"/>
      <c r="O282" s="183" t="n"/>
      <c r="P282" s="183" t="n"/>
      <c r="Q282" s="183" t="n"/>
      <c r="R282" s="183" t="n"/>
      <c r="S282" s="183" t="n"/>
      <c r="T282" s="183" t="n"/>
      <c r="U282" s="183" t="n"/>
      <c r="V282" s="183" t="n"/>
      <c r="W282" s="183" t="n"/>
      <c r="X282" s="183" t="n"/>
      <c r="Y282" s="183" t="n"/>
      <c r="Z282" s="183" t="n"/>
      <c r="AA282" s="183" t="n"/>
    </row>
    <row r="283" ht="45.75" customHeight="1" s="222">
      <c r="A283" s="205" t="n"/>
      <c r="B283" s="205" t="n"/>
      <c r="C283" s="205" t="n"/>
      <c r="D283" s="205" t="n"/>
      <c r="E283" s="205" t="n"/>
      <c r="F283" s="205" t="n"/>
      <c r="G283" s="206" t="n"/>
      <c r="H283" s="205" t="n"/>
      <c r="I283" s="28" t="n"/>
      <c r="J283" s="205" t="n"/>
      <c r="K283" s="205" t="n"/>
      <c r="L283" s="205" t="n"/>
      <c r="M283" s="205" t="n"/>
      <c r="N283" s="205" t="n"/>
      <c r="O283" s="183" t="n"/>
      <c r="P283" s="183" t="n"/>
      <c r="Q283" s="183" t="n"/>
      <c r="R283" s="183" t="n"/>
      <c r="S283" s="183" t="n"/>
      <c r="T283" s="183" t="n"/>
      <c r="U283" s="183" t="n"/>
      <c r="V283" s="183" t="n"/>
      <c r="W283" s="183" t="n"/>
      <c r="X283" s="183" t="n"/>
      <c r="Y283" s="183" t="n"/>
      <c r="Z283" s="183" t="n"/>
      <c r="AA283" s="183" t="n"/>
    </row>
    <row r="284" ht="45.75" customHeight="1" s="222">
      <c r="A284" s="205" t="n"/>
      <c r="B284" s="205" t="n"/>
      <c r="C284" s="205" t="n"/>
      <c r="D284" s="205" t="n"/>
      <c r="E284" s="205" t="n"/>
      <c r="F284" s="205" t="n"/>
      <c r="G284" s="206" t="n"/>
      <c r="H284" s="205" t="n"/>
      <c r="I284" s="28" t="n"/>
      <c r="J284" s="205" t="n"/>
      <c r="K284" s="205" t="n"/>
      <c r="L284" s="205" t="n"/>
      <c r="M284" s="205" t="n"/>
      <c r="N284" s="205" t="n"/>
      <c r="O284" s="183" t="n"/>
      <c r="P284" s="183" t="n"/>
      <c r="Q284" s="183" t="n"/>
      <c r="R284" s="183" t="n"/>
      <c r="S284" s="183" t="n"/>
      <c r="T284" s="183" t="n"/>
      <c r="U284" s="183" t="n"/>
      <c r="V284" s="183" t="n"/>
      <c r="W284" s="183" t="n"/>
      <c r="X284" s="183" t="n"/>
      <c r="Y284" s="183" t="n"/>
      <c r="Z284" s="183" t="n"/>
      <c r="AA284" s="183" t="n"/>
    </row>
    <row r="285" ht="45.75" customHeight="1" s="222">
      <c r="A285" s="205" t="n"/>
      <c r="B285" s="205" t="n"/>
      <c r="C285" s="205" t="n"/>
      <c r="D285" s="205" t="n"/>
      <c r="E285" s="205" t="n"/>
      <c r="F285" s="205" t="n"/>
      <c r="G285" s="206" t="n"/>
      <c r="H285" s="205" t="n"/>
      <c r="I285" s="28" t="n"/>
      <c r="J285" s="205" t="n"/>
      <c r="K285" s="205" t="n"/>
      <c r="L285" s="205" t="n"/>
      <c r="M285" s="205" t="n"/>
      <c r="N285" s="205" t="n"/>
      <c r="O285" s="183" t="n"/>
      <c r="P285" s="183" t="n"/>
      <c r="Q285" s="183" t="n"/>
      <c r="R285" s="183" t="n"/>
      <c r="S285" s="183" t="n"/>
      <c r="T285" s="183" t="n"/>
      <c r="U285" s="183" t="n"/>
      <c r="V285" s="183" t="n"/>
      <c r="W285" s="183" t="n"/>
      <c r="X285" s="183" t="n"/>
      <c r="Y285" s="183" t="n"/>
      <c r="Z285" s="183" t="n"/>
      <c r="AA285" s="183" t="n"/>
    </row>
    <row r="286" ht="45.75" customHeight="1" s="222">
      <c r="A286" s="205" t="n"/>
      <c r="B286" s="205" t="n"/>
      <c r="C286" s="205" t="n"/>
      <c r="D286" s="205" t="n"/>
      <c r="E286" s="205" t="n"/>
      <c r="F286" s="205" t="n"/>
      <c r="G286" s="206" t="n"/>
      <c r="H286" s="205" t="n"/>
      <c r="I286" s="28" t="n"/>
      <c r="J286" s="205" t="n"/>
      <c r="K286" s="205" t="n"/>
      <c r="L286" s="205" t="n"/>
      <c r="M286" s="205" t="n"/>
      <c r="N286" s="205" t="n"/>
      <c r="O286" s="183" t="n"/>
      <c r="P286" s="183" t="n"/>
      <c r="Q286" s="183" t="n"/>
      <c r="R286" s="183" t="n"/>
      <c r="S286" s="183" t="n"/>
      <c r="T286" s="183" t="n"/>
      <c r="U286" s="183" t="n"/>
      <c r="V286" s="183" t="n"/>
      <c r="W286" s="183" t="n"/>
      <c r="X286" s="183" t="n"/>
      <c r="Y286" s="183" t="n"/>
      <c r="Z286" s="183" t="n"/>
      <c r="AA286" s="183" t="n"/>
    </row>
    <row r="287" ht="45.75" customHeight="1" s="222">
      <c r="A287" s="205" t="n"/>
      <c r="B287" s="205" t="n"/>
      <c r="C287" s="205" t="n"/>
      <c r="D287" s="205" t="n"/>
      <c r="E287" s="205" t="n"/>
      <c r="F287" s="205" t="n"/>
      <c r="G287" s="206" t="n"/>
      <c r="H287" s="205" t="n"/>
      <c r="I287" s="28" t="n"/>
      <c r="J287" s="205" t="n"/>
      <c r="K287" s="205" t="n"/>
      <c r="L287" s="205" t="n"/>
      <c r="M287" s="205" t="n"/>
      <c r="N287" s="205" t="n"/>
      <c r="O287" s="183" t="n"/>
      <c r="P287" s="183" t="n"/>
      <c r="Q287" s="183" t="n"/>
      <c r="R287" s="183" t="n"/>
      <c r="S287" s="183" t="n"/>
      <c r="T287" s="183" t="n"/>
      <c r="U287" s="183" t="n"/>
      <c r="V287" s="183" t="n"/>
      <c r="W287" s="183" t="n"/>
      <c r="X287" s="183" t="n"/>
      <c r="Y287" s="183" t="n"/>
      <c r="Z287" s="183" t="n"/>
      <c r="AA287" s="183" t="n"/>
    </row>
    <row r="288" ht="45.75" customHeight="1" s="222">
      <c r="A288" s="205" t="n"/>
      <c r="B288" s="205" t="n"/>
      <c r="C288" s="205" t="n"/>
      <c r="D288" s="205" t="n"/>
      <c r="E288" s="205" t="n"/>
      <c r="F288" s="205" t="n"/>
      <c r="G288" s="206" t="n"/>
      <c r="H288" s="205" t="n"/>
      <c r="I288" s="28" t="n"/>
      <c r="J288" s="205" t="n"/>
      <c r="K288" s="205" t="n"/>
      <c r="L288" s="205" t="n"/>
      <c r="M288" s="205" t="n"/>
      <c r="N288" s="205" t="n"/>
      <c r="O288" s="183" t="n"/>
      <c r="P288" s="183" t="n"/>
      <c r="Q288" s="183" t="n"/>
      <c r="R288" s="183" t="n"/>
      <c r="S288" s="183" t="n"/>
      <c r="T288" s="183" t="n"/>
      <c r="U288" s="183" t="n"/>
      <c r="V288" s="183" t="n"/>
      <c r="W288" s="183" t="n"/>
      <c r="X288" s="183" t="n"/>
      <c r="Y288" s="183" t="n"/>
      <c r="Z288" s="183" t="n"/>
      <c r="AA288" s="183" t="n"/>
    </row>
    <row r="289" ht="45.75" customHeight="1" s="222">
      <c r="A289" s="205" t="n"/>
      <c r="B289" s="205" t="n"/>
      <c r="C289" s="205" t="n"/>
      <c r="D289" s="205" t="n"/>
      <c r="E289" s="205" t="n"/>
      <c r="F289" s="205" t="n"/>
      <c r="G289" s="206" t="n"/>
      <c r="H289" s="205" t="n"/>
      <c r="I289" s="28" t="n"/>
      <c r="J289" s="205" t="n"/>
      <c r="K289" s="205" t="n"/>
      <c r="L289" s="205" t="n"/>
      <c r="M289" s="205" t="n"/>
      <c r="N289" s="205" t="n"/>
      <c r="O289" s="183" t="n"/>
      <c r="P289" s="183" t="n"/>
      <c r="Q289" s="183" t="n"/>
      <c r="R289" s="183" t="n"/>
      <c r="S289" s="183" t="n"/>
      <c r="T289" s="183" t="n"/>
      <c r="U289" s="183" t="n"/>
      <c r="V289" s="183" t="n"/>
      <c r="W289" s="183" t="n"/>
      <c r="X289" s="183" t="n"/>
      <c r="Y289" s="183" t="n"/>
      <c r="Z289" s="183" t="n"/>
      <c r="AA289" s="183" t="n"/>
    </row>
    <row r="290" ht="45.75" customHeight="1" s="222">
      <c r="A290" s="205" t="n"/>
      <c r="B290" s="205" t="n"/>
      <c r="C290" s="205" t="n"/>
      <c r="D290" s="205" t="n"/>
      <c r="E290" s="205" t="n"/>
      <c r="F290" s="205" t="n"/>
      <c r="G290" s="206" t="n"/>
      <c r="H290" s="205" t="n"/>
      <c r="I290" s="28" t="n"/>
      <c r="J290" s="205" t="n"/>
      <c r="K290" s="205" t="n"/>
      <c r="L290" s="205" t="n"/>
      <c r="M290" s="205" t="n"/>
      <c r="N290" s="205" t="n"/>
      <c r="O290" s="183" t="n"/>
      <c r="P290" s="183" t="n"/>
      <c r="Q290" s="183" t="n"/>
      <c r="R290" s="183" t="n"/>
      <c r="S290" s="183" t="n"/>
      <c r="T290" s="183" t="n"/>
      <c r="U290" s="183" t="n"/>
      <c r="V290" s="183" t="n"/>
      <c r="W290" s="183" t="n"/>
      <c r="X290" s="183" t="n"/>
      <c r="Y290" s="183" t="n"/>
      <c r="Z290" s="183" t="n"/>
      <c r="AA290" s="183" t="n"/>
    </row>
    <row r="291" ht="45.75" customHeight="1" s="222">
      <c r="A291" s="205" t="n"/>
      <c r="B291" s="205" t="n"/>
      <c r="C291" s="205" t="n"/>
      <c r="D291" s="205" t="n"/>
      <c r="E291" s="205" t="n"/>
      <c r="F291" s="205" t="n"/>
      <c r="G291" s="206" t="n"/>
      <c r="H291" s="205" t="n"/>
      <c r="I291" s="28" t="n"/>
      <c r="J291" s="205" t="n"/>
      <c r="K291" s="205" t="n"/>
      <c r="L291" s="205" t="n"/>
      <c r="M291" s="205" t="n"/>
      <c r="N291" s="205" t="n"/>
      <c r="O291" s="183" t="n"/>
      <c r="P291" s="183" t="n"/>
      <c r="Q291" s="183" t="n"/>
      <c r="R291" s="183" t="n"/>
      <c r="S291" s="183" t="n"/>
      <c r="T291" s="183" t="n"/>
      <c r="U291" s="183" t="n"/>
      <c r="V291" s="183" t="n"/>
      <c r="W291" s="183" t="n"/>
      <c r="X291" s="183" t="n"/>
      <c r="Y291" s="183" t="n"/>
      <c r="Z291" s="183" t="n"/>
      <c r="AA291" s="183" t="n"/>
    </row>
    <row r="292" ht="45.75" customHeight="1" s="222">
      <c r="A292" s="205" t="n"/>
      <c r="B292" s="205" t="n"/>
      <c r="C292" s="205" t="n"/>
      <c r="D292" s="205" t="n"/>
      <c r="E292" s="205" t="n"/>
      <c r="F292" s="205" t="n"/>
      <c r="G292" s="206" t="n"/>
      <c r="H292" s="205" t="n"/>
      <c r="I292" s="28" t="n"/>
      <c r="J292" s="205" t="n"/>
      <c r="K292" s="205" t="n"/>
      <c r="L292" s="205" t="n"/>
      <c r="M292" s="205" t="n"/>
      <c r="N292" s="205" t="n"/>
      <c r="O292" s="183" t="n"/>
      <c r="P292" s="183" t="n"/>
      <c r="Q292" s="183" t="n"/>
      <c r="R292" s="183" t="n"/>
      <c r="S292" s="183" t="n"/>
      <c r="T292" s="183" t="n"/>
      <c r="U292" s="183" t="n"/>
      <c r="V292" s="183" t="n"/>
      <c r="W292" s="183" t="n"/>
      <c r="X292" s="183" t="n"/>
      <c r="Y292" s="183" t="n"/>
      <c r="Z292" s="183" t="n"/>
      <c r="AA292" s="183" t="n"/>
    </row>
    <row r="293" ht="45.75" customHeight="1" s="222">
      <c r="A293" s="205" t="n"/>
      <c r="B293" s="205" t="n"/>
      <c r="C293" s="205" t="n"/>
      <c r="D293" s="205" t="n"/>
      <c r="E293" s="205" t="n"/>
      <c r="F293" s="205" t="n"/>
      <c r="G293" s="206" t="n"/>
      <c r="H293" s="205" t="n"/>
      <c r="I293" s="28" t="n"/>
      <c r="J293" s="205" t="n"/>
      <c r="K293" s="205" t="n"/>
      <c r="L293" s="205" t="n"/>
      <c r="M293" s="205" t="n"/>
      <c r="N293" s="205" t="n"/>
      <c r="O293" s="183" t="n"/>
      <c r="P293" s="183" t="n"/>
      <c r="Q293" s="183" t="n"/>
      <c r="R293" s="183" t="n"/>
      <c r="S293" s="183" t="n"/>
      <c r="T293" s="183" t="n"/>
      <c r="U293" s="183" t="n"/>
      <c r="V293" s="183" t="n"/>
      <c r="W293" s="183" t="n"/>
      <c r="X293" s="183" t="n"/>
      <c r="Y293" s="183" t="n"/>
      <c r="Z293" s="183" t="n"/>
      <c r="AA293" s="183" t="n"/>
    </row>
    <row r="294" ht="45.75" customHeight="1" s="222">
      <c r="A294" s="205" t="n"/>
      <c r="B294" s="205" t="n"/>
      <c r="C294" s="205" t="n"/>
      <c r="D294" s="205" t="n"/>
      <c r="E294" s="205" t="n"/>
      <c r="F294" s="205" t="n"/>
      <c r="G294" s="206" t="n"/>
      <c r="H294" s="205" t="n"/>
      <c r="I294" s="28" t="n"/>
      <c r="J294" s="205" t="n"/>
      <c r="K294" s="205" t="n"/>
      <c r="L294" s="205" t="n"/>
      <c r="M294" s="205" t="n"/>
      <c r="N294" s="205" t="n"/>
      <c r="O294" s="183" t="n"/>
      <c r="P294" s="183" t="n"/>
      <c r="Q294" s="183" t="n"/>
      <c r="R294" s="183" t="n"/>
      <c r="S294" s="183" t="n"/>
      <c r="T294" s="183" t="n"/>
      <c r="U294" s="183" t="n"/>
      <c r="V294" s="183" t="n"/>
      <c r="W294" s="183" t="n"/>
      <c r="X294" s="183" t="n"/>
      <c r="Y294" s="183" t="n"/>
      <c r="Z294" s="183" t="n"/>
      <c r="AA294" s="183" t="n"/>
    </row>
    <row r="295" ht="45.75" customHeight="1" s="222">
      <c r="A295" s="205" t="n"/>
      <c r="B295" s="205" t="n"/>
      <c r="C295" s="205" t="n"/>
      <c r="D295" s="205" t="n"/>
      <c r="E295" s="205" t="n"/>
      <c r="F295" s="205" t="n"/>
      <c r="G295" s="206" t="n"/>
      <c r="H295" s="205" t="n"/>
      <c r="I295" s="28" t="n"/>
      <c r="J295" s="205" t="n"/>
      <c r="K295" s="205" t="n"/>
      <c r="L295" s="205" t="n"/>
      <c r="M295" s="205" t="n"/>
      <c r="N295" s="205" t="n"/>
      <c r="O295" s="183" t="n"/>
      <c r="P295" s="183" t="n"/>
      <c r="Q295" s="183" t="n"/>
      <c r="R295" s="183" t="n"/>
      <c r="S295" s="183" t="n"/>
      <c r="T295" s="183" t="n"/>
      <c r="U295" s="183" t="n"/>
      <c r="V295" s="183" t="n"/>
      <c r="W295" s="183" t="n"/>
      <c r="X295" s="183" t="n"/>
      <c r="Y295" s="183" t="n"/>
      <c r="Z295" s="183" t="n"/>
      <c r="AA295" s="183" t="n"/>
    </row>
    <row r="296" ht="45.75" customHeight="1" s="222">
      <c r="A296" s="205" t="n"/>
      <c r="B296" s="205" t="n"/>
      <c r="C296" s="205" t="n"/>
      <c r="D296" s="205" t="n"/>
      <c r="E296" s="205" t="n"/>
      <c r="F296" s="205" t="n"/>
      <c r="G296" s="206" t="n"/>
      <c r="H296" s="205" t="n"/>
      <c r="I296" s="28" t="n"/>
      <c r="J296" s="205" t="n"/>
      <c r="K296" s="205" t="n"/>
      <c r="L296" s="205" t="n"/>
      <c r="M296" s="205" t="n"/>
      <c r="N296" s="205" t="n"/>
      <c r="O296" s="183" t="n"/>
      <c r="P296" s="183" t="n"/>
      <c r="Q296" s="183" t="n"/>
      <c r="R296" s="183" t="n"/>
      <c r="S296" s="183" t="n"/>
      <c r="T296" s="183" t="n"/>
      <c r="U296" s="183" t="n"/>
      <c r="V296" s="183" t="n"/>
      <c r="W296" s="183" t="n"/>
      <c r="X296" s="183" t="n"/>
      <c r="Y296" s="183" t="n"/>
      <c r="Z296" s="183" t="n"/>
      <c r="AA296" s="183" t="n"/>
    </row>
    <row r="297" ht="45.75" customHeight="1" s="222">
      <c r="A297" s="205" t="n"/>
      <c r="B297" s="205" t="n"/>
      <c r="C297" s="205" t="n"/>
      <c r="D297" s="205" t="n"/>
      <c r="E297" s="205" t="n"/>
      <c r="F297" s="205" t="n"/>
      <c r="G297" s="206" t="n"/>
      <c r="H297" s="205" t="n"/>
      <c r="I297" s="28" t="n"/>
      <c r="J297" s="205" t="n"/>
      <c r="K297" s="205" t="n"/>
      <c r="L297" s="205" t="n"/>
      <c r="M297" s="205" t="n"/>
      <c r="N297" s="205" t="n"/>
      <c r="O297" s="183" t="n"/>
      <c r="P297" s="183" t="n"/>
      <c r="Q297" s="183" t="n"/>
      <c r="R297" s="183" t="n"/>
      <c r="S297" s="183" t="n"/>
      <c r="T297" s="183" t="n"/>
      <c r="U297" s="183" t="n"/>
      <c r="V297" s="183" t="n"/>
      <c r="W297" s="183" t="n"/>
      <c r="X297" s="183" t="n"/>
      <c r="Y297" s="183" t="n"/>
      <c r="Z297" s="183" t="n"/>
      <c r="AA297" s="183" t="n"/>
    </row>
    <row r="298" ht="45.75" customHeight="1" s="222">
      <c r="A298" s="205" t="n"/>
      <c r="B298" s="205" t="n"/>
      <c r="C298" s="205" t="n"/>
      <c r="D298" s="205" t="n"/>
      <c r="E298" s="205" t="n"/>
      <c r="F298" s="205" t="n"/>
      <c r="G298" s="206" t="n"/>
      <c r="H298" s="205" t="n"/>
      <c r="I298" s="28" t="n"/>
      <c r="J298" s="205" t="n"/>
      <c r="K298" s="205" t="n"/>
      <c r="L298" s="205" t="n"/>
      <c r="M298" s="205" t="n"/>
      <c r="N298" s="205" t="n"/>
      <c r="O298" s="183" t="n"/>
      <c r="P298" s="183" t="n"/>
      <c r="Q298" s="183" t="n"/>
      <c r="R298" s="183" t="n"/>
      <c r="S298" s="183" t="n"/>
      <c r="T298" s="183" t="n"/>
      <c r="U298" s="183" t="n"/>
      <c r="V298" s="183" t="n"/>
      <c r="W298" s="183" t="n"/>
      <c r="X298" s="183" t="n"/>
      <c r="Y298" s="183" t="n"/>
      <c r="Z298" s="183" t="n"/>
      <c r="AA298" s="183" t="n"/>
    </row>
    <row r="299" ht="45.75" customHeight="1" s="222">
      <c r="A299" s="205" t="n"/>
      <c r="B299" s="205" t="n"/>
      <c r="C299" s="205" t="n"/>
      <c r="D299" s="205" t="n"/>
      <c r="E299" s="205" t="n"/>
      <c r="F299" s="205" t="n"/>
      <c r="G299" s="206" t="n"/>
      <c r="H299" s="205" t="n"/>
      <c r="I299" s="28" t="n"/>
      <c r="J299" s="205" t="n"/>
      <c r="K299" s="205" t="n"/>
      <c r="L299" s="205" t="n"/>
      <c r="M299" s="205" t="n"/>
      <c r="N299" s="205" t="n"/>
      <c r="O299" s="183" t="n"/>
      <c r="P299" s="183" t="n"/>
      <c r="Q299" s="183" t="n"/>
      <c r="R299" s="183" t="n"/>
      <c r="S299" s="183" t="n"/>
      <c r="T299" s="183" t="n"/>
      <c r="U299" s="183" t="n"/>
      <c r="V299" s="183" t="n"/>
      <c r="W299" s="183" t="n"/>
      <c r="X299" s="183" t="n"/>
      <c r="Y299" s="183" t="n"/>
      <c r="Z299" s="183" t="n"/>
      <c r="AA299" s="183" t="n"/>
    </row>
    <row r="300" ht="45.75" customHeight="1" s="222">
      <c r="A300" s="205" t="n"/>
      <c r="B300" s="205" t="n"/>
      <c r="C300" s="205" t="n"/>
      <c r="D300" s="205" t="n"/>
      <c r="E300" s="205" t="n"/>
      <c r="F300" s="205" t="n"/>
      <c r="G300" s="206" t="n"/>
      <c r="H300" s="205" t="n"/>
      <c r="I300" s="28" t="n"/>
      <c r="J300" s="205" t="n"/>
      <c r="K300" s="205" t="n"/>
      <c r="L300" s="205" t="n"/>
      <c r="M300" s="205" t="n"/>
      <c r="N300" s="205" t="n"/>
      <c r="O300" s="183" t="n"/>
      <c r="P300" s="183" t="n"/>
      <c r="Q300" s="183" t="n"/>
      <c r="R300" s="183" t="n"/>
      <c r="S300" s="183" t="n"/>
      <c r="T300" s="183" t="n"/>
      <c r="U300" s="183" t="n"/>
      <c r="V300" s="183" t="n"/>
      <c r="W300" s="183" t="n"/>
      <c r="X300" s="183" t="n"/>
      <c r="Y300" s="183" t="n"/>
      <c r="Z300" s="183" t="n"/>
      <c r="AA300" s="183" t="n"/>
    </row>
    <row r="301" ht="45.75" customHeight="1" s="222">
      <c r="A301" s="205" t="n"/>
      <c r="B301" s="205" t="n"/>
      <c r="C301" s="205" t="n"/>
      <c r="D301" s="205" t="n"/>
      <c r="E301" s="205" t="n"/>
      <c r="F301" s="205" t="n"/>
      <c r="G301" s="206" t="n"/>
      <c r="H301" s="205" t="n"/>
      <c r="I301" s="28" t="n"/>
      <c r="J301" s="205" t="n"/>
      <c r="K301" s="205" t="n"/>
      <c r="L301" s="205" t="n"/>
      <c r="M301" s="205" t="n"/>
      <c r="N301" s="205" t="n"/>
      <c r="O301" s="183" t="n"/>
      <c r="P301" s="183" t="n"/>
      <c r="Q301" s="183" t="n"/>
      <c r="R301" s="183" t="n"/>
      <c r="S301" s="183" t="n"/>
      <c r="T301" s="183" t="n"/>
      <c r="U301" s="183" t="n"/>
      <c r="V301" s="183" t="n"/>
      <c r="W301" s="183" t="n"/>
      <c r="X301" s="183" t="n"/>
      <c r="Y301" s="183" t="n"/>
      <c r="Z301" s="183" t="n"/>
      <c r="AA301" s="183" t="n"/>
    </row>
    <row r="302" ht="45.75" customHeight="1" s="222">
      <c r="A302" s="205" t="n"/>
      <c r="B302" s="205" t="n"/>
      <c r="C302" s="205" t="n"/>
      <c r="D302" s="205" t="n"/>
      <c r="E302" s="205" t="n"/>
      <c r="F302" s="205" t="n"/>
      <c r="G302" s="206" t="n"/>
      <c r="H302" s="205" t="n"/>
      <c r="I302" s="28" t="n"/>
      <c r="J302" s="205" t="n"/>
      <c r="K302" s="205" t="n"/>
      <c r="L302" s="205" t="n"/>
      <c r="M302" s="205" t="n"/>
      <c r="N302" s="205" t="n"/>
      <c r="O302" s="183" t="n"/>
      <c r="P302" s="183" t="n"/>
      <c r="Q302" s="183" t="n"/>
      <c r="R302" s="183" t="n"/>
      <c r="S302" s="183" t="n"/>
      <c r="T302" s="183" t="n"/>
      <c r="U302" s="183" t="n"/>
      <c r="V302" s="183" t="n"/>
      <c r="W302" s="183" t="n"/>
      <c r="X302" s="183" t="n"/>
      <c r="Y302" s="183" t="n"/>
      <c r="Z302" s="183" t="n"/>
      <c r="AA302" s="183" t="n"/>
    </row>
    <row r="303" ht="45.75" customHeight="1" s="222">
      <c r="A303" s="205" t="n"/>
      <c r="B303" s="205" t="n"/>
      <c r="C303" s="205" t="n"/>
      <c r="D303" s="205" t="n"/>
      <c r="E303" s="205" t="n"/>
      <c r="F303" s="205" t="n"/>
      <c r="G303" s="206" t="n"/>
      <c r="H303" s="205" t="n"/>
      <c r="I303" s="28" t="n"/>
      <c r="J303" s="205" t="n"/>
      <c r="K303" s="205" t="n"/>
      <c r="L303" s="205" t="n"/>
      <c r="M303" s="205" t="n"/>
      <c r="N303" s="205" t="n"/>
      <c r="O303" s="183" t="n"/>
      <c r="P303" s="183" t="n"/>
      <c r="Q303" s="183" t="n"/>
      <c r="R303" s="183" t="n"/>
      <c r="S303" s="183" t="n"/>
      <c r="T303" s="183" t="n"/>
      <c r="U303" s="183" t="n"/>
      <c r="V303" s="183" t="n"/>
      <c r="W303" s="183" t="n"/>
      <c r="X303" s="183" t="n"/>
      <c r="Y303" s="183" t="n"/>
      <c r="Z303" s="183" t="n"/>
      <c r="AA303" s="183" t="n"/>
    </row>
    <row r="304" ht="45.75" customHeight="1" s="222">
      <c r="A304" s="205" t="n"/>
      <c r="B304" s="205" t="n"/>
      <c r="C304" s="205" t="n"/>
      <c r="D304" s="205" t="n"/>
      <c r="E304" s="205" t="n"/>
      <c r="F304" s="205" t="n"/>
      <c r="G304" s="206" t="n"/>
      <c r="H304" s="205" t="n"/>
      <c r="I304" s="28" t="n"/>
      <c r="J304" s="205" t="n"/>
      <c r="K304" s="205" t="n"/>
      <c r="L304" s="205" t="n"/>
      <c r="M304" s="205" t="n"/>
      <c r="N304" s="205" t="n"/>
      <c r="O304" s="183" t="n"/>
      <c r="P304" s="183" t="n"/>
      <c r="Q304" s="183" t="n"/>
      <c r="R304" s="183" t="n"/>
      <c r="S304" s="183" t="n"/>
      <c r="T304" s="183" t="n"/>
      <c r="U304" s="183" t="n"/>
      <c r="V304" s="183" t="n"/>
      <c r="W304" s="183" t="n"/>
      <c r="X304" s="183" t="n"/>
      <c r="Y304" s="183" t="n"/>
      <c r="Z304" s="183" t="n"/>
      <c r="AA304" s="183" t="n"/>
    </row>
    <row r="305" ht="45.75" customHeight="1" s="222">
      <c r="A305" s="205" t="n"/>
      <c r="B305" s="205" t="n"/>
      <c r="C305" s="205" t="n"/>
      <c r="D305" s="205" t="n"/>
      <c r="E305" s="205" t="n"/>
      <c r="F305" s="205" t="n"/>
      <c r="G305" s="206" t="n"/>
      <c r="H305" s="205" t="n"/>
      <c r="I305" s="28" t="n"/>
      <c r="J305" s="205" t="n"/>
      <c r="K305" s="205" t="n"/>
      <c r="L305" s="205" t="n"/>
      <c r="M305" s="205" t="n"/>
      <c r="N305" s="205" t="n"/>
      <c r="O305" s="183" t="n"/>
      <c r="P305" s="183" t="n"/>
      <c r="Q305" s="183" t="n"/>
      <c r="R305" s="183" t="n"/>
      <c r="S305" s="183" t="n"/>
      <c r="T305" s="183" t="n"/>
      <c r="U305" s="183" t="n"/>
      <c r="V305" s="183" t="n"/>
      <c r="W305" s="183" t="n"/>
      <c r="X305" s="183" t="n"/>
      <c r="Y305" s="183" t="n"/>
      <c r="Z305" s="183" t="n"/>
      <c r="AA305" s="183" t="n"/>
    </row>
    <row r="306" ht="45.75" customHeight="1" s="222">
      <c r="A306" s="205" t="n"/>
      <c r="B306" s="205" t="n"/>
      <c r="C306" s="205" t="n"/>
      <c r="D306" s="205" t="n"/>
      <c r="E306" s="205" t="n"/>
      <c r="F306" s="205" t="n"/>
      <c r="G306" s="206" t="n"/>
      <c r="H306" s="205" t="n"/>
      <c r="I306" s="28" t="n"/>
      <c r="J306" s="205" t="n"/>
      <c r="K306" s="205" t="n"/>
      <c r="L306" s="205" t="n"/>
      <c r="M306" s="205" t="n"/>
      <c r="N306" s="205" t="n"/>
      <c r="O306" s="183" t="n"/>
      <c r="P306" s="183" t="n"/>
      <c r="Q306" s="183" t="n"/>
      <c r="R306" s="183" t="n"/>
      <c r="S306" s="183" t="n"/>
      <c r="T306" s="183" t="n"/>
      <c r="U306" s="183" t="n"/>
      <c r="V306" s="183" t="n"/>
      <c r="W306" s="183" t="n"/>
      <c r="X306" s="183" t="n"/>
      <c r="Y306" s="183" t="n"/>
      <c r="Z306" s="183" t="n"/>
      <c r="AA306" s="183" t="n"/>
    </row>
    <row r="307" ht="45.75" customHeight="1" s="222">
      <c r="A307" s="205" t="n"/>
      <c r="B307" s="205" t="n"/>
      <c r="C307" s="205" t="n"/>
      <c r="D307" s="205" t="n"/>
      <c r="E307" s="205" t="n"/>
      <c r="F307" s="205" t="n"/>
      <c r="G307" s="206" t="n"/>
      <c r="H307" s="205" t="n"/>
      <c r="I307" s="28" t="n"/>
      <c r="J307" s="205" t="n"/>
      <c r="K307" s="205" t="n"/>
      <c r="L307" s="205" t="n"/>
      <c r="M307" s="205" t="n"/>
      <c r="N307" s="205" t="n"/>
      <c r="O307" s="183" t="n"/>
      <c r="P307" s="183" t="n"/>
      <c r="Q307" s="183" t="n"/>
      <c r="R307" s="183" t="n"/>
      <c r="S307" s="183" t="n"/>
      <c r="T307" s="183" t="n"/>
      <c r="U307" s="183" t="n"/>
      <c r="V307" s="183" t="n"/>
      <c r="W307" s="183" t="n"/>
      <c r="X307" s="183" t="n"/>
      <c r="Y307" s="183" t="n"/>
      <c r="Z307" s="183" t="n"/>
      <c r="AA307" s="183" t="n"/>
    </row>
    <row r="308" ht="45.75" customHeight="1" s="222">
      <c r="A308" s="205" t="n"/>
      <c r="B308" s="205" t="n"/>
      <c r="C308" s="205" t="n"/>
      <c r="D308" s="205" t="n"/>
      <c r="E308" s="205" t="n"/>
      <c r="F308" s="205" t="n"/>
      <c r="G308" s="206" t="n"/>
      <c r="H308" s="205" t="n"/>
      <c r="I308" s="28" t="n"/>
      <c r="J308" s="205" t="n"/>
      <c r="K308" s="205" t="n"/>
      <c r="L308" s="205" t="n"/>
      <c r="M308" s="205" t="n"/>
      <c r="N308" s="205" t="n"/>
      <c r="O308" s="183" t="n"/>
      <c r="P308" s="183" t="n"/>
      <c r="Q308" s="183" t="n"/>
      <c r="R308" s="183" t="n"/>
      <c r="S308" s="183" t="n"/>
      <c r="T308" s="183" t="n"/>
      <c r="U308" s="183" t="n"/>
      <c r="V308" s="183" t="n"/>
      <c r="W308" s="183" t="n"/>
      <c r="X308" s="183" t="n"/>
      <c r="Y308" s="183" t="n"/>
      <c r="Z308" s="183" t="n"/>
      <c r="AA308" s="183" t="n"/>
    </row>
    <row r="309" ht="45.75" customHeight="1" s="222">
      <c r="A309" s="205" t="n"/>
      <c r="B309" s="205" t="n"/>
      <c r="C309" s="205" t="n"/>
      <c r="D309" s="205" t="n"/>
      <c r="E309" s="205" t="n"/>
      <c r="F309" s="205" t="n"/>
      <c r="G309" s="206" t="n"/>
      <c r="H309" s="205" t="n"/>
      <c r="I309" s="28" t="n"/>
      <c r="J309" s="205" t="n"/>
      <c r="K309" s="205" t="n"/>
      <c r="L309" s="205" t="n"/>
      <c r="M309" s="205" t="n"/>
      <c r="N309" s="205" t="n"/>
      <c r="O309" s="183" t="n"/>
      <c r="P309" s="183" t="n"/>
      <c r="Q309" s="183" t="n"/>
      <c r="R309" s="183" t="n"/>
      <c r="S309" s="183" t="n"/>
      <c r="T309" s="183" t="n"/>
      <c r="U309" s="183" t="n"/>
      <c r="V309" s="183" t="n"/>
      <c r="W309" s="183" t="n"/>
      <c r="X309" s="183" t="n"/>
      <c r="Y309" s="183" t="n"/>
      <c r="Z309" s="183" t="n"/>
      <c r="AA309" s="183" t="n"/>
    </row>
    <row r="310" ht="45.75" customHeight="1" s="222">
      <c r="A310" s="205" t="n"/>
      <c r="B310" s="205" t="n"/>
      <c r="C310" s="205" t="n"/>
      <c r="D310" s="205" t="n"/>
      <c r="E310" s="205" t="n"/>
      <c r="F310" s="205" t="n"/>
      <c r="G310" s="206" t="n"/>
      <c r="H310" s="205" t="n"/>
      <c r="I310" s="28" t="n"/>
      <c r="J310" s="205" t="n"/>
      <c r="K310" s="205" t="n"/>
      <c r="L310" s="205" t="n"/>
      <c r="M310" s="205" t="n"/>
      <c r="N310" s="205" t="n"/>
      <c r="O310" s="183" t="n"/>
      <c r="P310" s="183" t="n"/>
      <c r="Q310" s="183" t="n"/>
      <c r="R310" s="183" t="n"/>
      <c r="S310" s="183" t="n"/>
      <c r="T310" s="183" t="n"/>
      <c r="U310" s="183" t="n"/>
      <c r="V310" s="183" t="n"/>
      <c r="W310" s="183" t="n"/>
      <c r="X310" s="183" t="n"/>
      <c r="Y310" s="183" t="n"/>
      <c r="Z310" s="183" t="n"/>
      <c r="AA310" s="183" t="n"/>
    </row>
    <row r="311" ht="45.75" customHeight="1" s="222">
      <c r="A311" s="205" t="n"/>
      <c r="B311" s="205" t="n"/>
      <c r="C311" s="205" t="n"/>
      <c r="D311" s="205" t="n"/>
      <c r="E311" s="205" t="n"/>
      <c r="F311" s="205" t="n"/>
      <c r="G311" s="206" t="n"/>
      <c r="H311" s="205" t="n"/>
      <c r="I311" s="28" t="n"/>
      <c r="J311" s="205" t="n"/>
      <c r="K311" s="205" t="n"/>
      <c r="L311" s="205" t="n"/>
      <c r="M311" s="205" t="n"/>
      <c r="N311" s="205" t="n"/>
      <c r="O311" s="183" t="n"/>
      <c r="P311" s="183" t="n"/>
      <c r="Q311" s="183" t="n"/>
      <c r="R311" s="183" t="n"/>
      <c r="S311" s="183" t="n"/>
      <c r="T311" s="183" t="n"/>
      <c r="U311" s="183" t="n"/>
      <c r="V311" s="183" t="n"/>
      <c r="W311" s="183" t="n"/>
      <c r="X311" s="183" t="n"/>
      <c r="Y311" s="183" t="n"/>
      <c r="Z311" s="183" t="n"/>
      <c r="AA311" s="183" t="n"/>
    </row>
    <row r="312" ht="45.75" customHeight="1" s="222">
      <c r="A312" s="205" t="n"/>
      <c r="B312" s="205" t="n"/>
      <c r="C312" s="205" t="n"/>
      <c r="D312" s="205" t="n"/>
      <c r="E312" s="205" t="n"/>
      <c r="F312" s="205" t="n"/>
      <c r="G312" s="206" t="n"/>
      <c r="H312" s="205" t="n"/>
      <c r="I312" s="28" t="n"/>
      <c r="J312" s="205" t="n"/>
      <c r="K312" s="205" t="n"/>
      <c r="L312" s="205" t="n"/>
      <c r="M312" s="205" t="n"/>
      <c r="N312" s="205" t="n"/>
      <c r="O312" s="183" t="n"/>
      <c r="P312" s="183" t="n"/>
      <c r="Q312" s="183" t="n"/>
      <c r="R312" s="183" t="n"/>
      <c r="S312" s="183" t="n"/>
      <c r="T312" s="183" t="n"/>
      <c r="U312" s="183" t="n"/>
      <c r="V312" s="183" t="n"/>
      <c r="W312" s="183" t="n"/>
      <c r="X312" s="183" t="n"/>
      <c r="Y312" s="183" t="n"/>
      <c r="Z312" s="183" t="n"/>
      <c r="AA312" s="183" t="n"/>
    </row>
    <row r="313" ht="45.75" customHeight="1" s="222">
      <c r="A313" s="205" t="n"/>
      <c r="B313" s="205" t="n"/>
      <c r="C313" s="205" t="n"/>
      <c r="D313" s="205" t="n"/>
      <c r="E313" s="205" t="n"/>
      <c r="F313" s="205" t="n"/>
      <c r="G313" s="206" t="n"/>
      <c r="H313" s="205" t="n"/>
      <c r="I313" s="28" t="n"/>
      <c r="J313" s="205" t="n"/>
      <c r="K313" s="205" t="n"/>
      <c r="L313" s="205" t="n"/>
      <c r="M313" s="205" t="n"/>
      <c r="N313" s="205" t="n"/>
      <c r="O313" s="183" t="n"/>
      <c r="P313" s="183" t="n"/>
      <c r="Q313" s="183" t="n"/>
      <c r="R313" s="183" t="n"/>
      <c r="S313" s="183" t="n"/>
      <c r="T313" s="183" t="n"/>
      <c r="U313" s="183" t="n"/>
      <c r="V313" s="183" t="n"/>
      <c r="W313" s="183" t="n"/>
      <c r="X313" s="183" t="n"/>
      <c r="Y313" s="183" t="n"/>
      <c r="Z313" s="183" t="n"/>
      <c r="AA313" s="183" t="n"/>
    </row>
    <row r="314" ht="45.75" customHeight="1" s="222">
      <c r="A314" s="205" t="n"/>
      <c r="B314" s="205" t="n"/>
      <c r="C314" s="205" t="n"/>
      <c r="D314" s="205" t="n"/>
      <c r="E314" s="205" t="n"/>
      <c r="F314" s="205" t="n"/>
      <c r="G314" s="206" t="n"/>
      <c r="H314" s="205" t="n"/>
      <c r="I314" s="28" t="n"/>
      <c r="J314" s="205" t="n"/>
      <c r="K314" s="205" t="n"/>
      <c r="L314" s="205" t="n"/>
      <c r="M314" s="205" t="n"/>
      <c r="N314" s="205" t="n"/>
      <c r="O314" s="183" t="n"/>
      <c r="P314" s="183" t="n"/>
      <c r="Q314" s="183" t="n"/>
      <c r="R314" s="183" t="n"/>
      <c r="S314" s="183" t="n"/>
      <c r="T314" s="183" t="n"/>
      <c r="U314" s="183" t="n"/>
      <c r="V314" s="183" t="n"/>
      <c r="W314" s="183" t="n"/>
      <c r="X314" s="183" t="n"/>
      <c r="Y314" s="183" t="n"/>
      <c r="Z314" s="183" t="n"/>
      <c r="AA314" s="183" t="n"/>
    </row>
    <row r="315" ht="45.75" customHeight="1" s="222">
      <c r="A315" s="205" t="n"/>
      <c r="B315" s="205" t="n"/>
      <c r="C315" s="205" t="n"/>
      <c r="D315" s="205" t="n"/>
      <c r="E315" s="205" t="n"/>
      <c r="F315" s="205" t="n"/>
      <c r="G315" s="206" t="n"/>
      <c r="H315" s="205" t="n"/>
      <c r="I315" s="28" t="n"/>
      <c r="J315" s="205" t="n"/>
      <c r="K315" s="205" t="n"/>
      <c r="L315" s="205" t="n"/>
      <c r="M315" s="205" t="n"/>
      <c r="N315" s="205" t="n"/>
      <c r="O315" s="183" t="n"/>
      <c r="P315" s="183" t="n"/>
      <c r="Q315" s="183" t="n"/>
      <c r="R315" s="183" t="n"/>
      <c r="S315" s="183" t="n"/>
      <c r="T315" s="183" t="n"/>
      <c r="U315" s="183" t="n"/>
      <c r="V315" s="183" t="n"/>
      <c r="W315" s="183" t="n"/>
      <c r="X315" s="183" t="n"/>
      <c r="Y315" s="183" t="n"/>
      <c r="Z315" s="183" t="n"/>
      <c r="AA315" s="183" t="n"/>
    </row>
    <row r="316" ht="45.75" customHeight="1" s="222">
      <c r="A316" s="205" t="n"/>
      <c r="B316" s="205" t="n"/>
      <c r="C316" s="205" t="n"/>
      <c r="D316" s="205" t="n"/>
      <c r="E316" s="205" t="n"/>
      <c r="F316" s="205" t="n"/>
      <c r="G316" s="206" t="n"/>
      <c r="H316" s="205" t="n"/>
      <c r="I316" s="28" t="n"/>
      <c r="J316" s="205" t="n"/>
      <c r="K316" s="205" t="n"/>
      <c r="L316" s="205" t="n"/>
      <c r="M316" s="205" t="n"/>
      <c r="N316" s="205" t="n"/>
      <c r="O316" s="183" t="n"/>
      <c r="P316" s="183" t="n"/>
      <c r="Q316" s="183" t="n"/>
      <c r="R316" s="183" t="n"/>
      <c r="S316" s="183" t="n"/>
      <c r="T316" s="183" t="n"/>
      <c r="U316" s="183" t="n"/>
      <c r="V316" s="183" t="n"/>
      <c r="W316" s="183" t="n"/>
      <c r="X316" s="183" t="n"/>
      <c r="Y316" s="183" t="n"/>
      <c r="Z316" s="183" t="n"/>
      <c r="AA316" s="183" t="n"/>
    </row>
    <row r="317" ht="45.75" customHeight="1" s="222">
      <c r="A317" s="205" t="n"/>
      <c r="B317" s="205" t="n"/>
      <c r="C317" s="205" t="n"/>
      <c r="D317" s="205" t="n"/>
      <c r="E317" s="205" t="n"/>
      <c r="F317" s="205" t="n"/>
      <c r="G317" s="206" t="n"/>
      <c r="H317" s="205" t="n"/>
      <c r="I317" s="28" t="n"/>
      <c r="J317" s="205" t="n"/>
      <c r="K317" s="205" t="n"/>
      <c r="L317" s="205" t="n"/>
      <c r="M317" s="205" t="n"/>
      <c r="N317" s="205" t="n"/>
      <c r="O317" s="183" t="n"/>
      <c r="P317" s="183" t="n"/>
      <c r="Q317" s="183" t="n"/>
      <c r="R317" s="183" t="n"/>
      <c r="S317" s="183" t="n"/>
      <c r="T317" s="183" t="n"/>
      <c r="U317" s="183" t="n"/>
      <c r="V317" s="183" t="n"/>
      <c r="W317" s="183" t="n"/>
      <c r="X317" s="183" t="n"/>
      <c r="Y317" s="183" t="n"/>
      <c r="Z317" s="183" t="n"/>
      <c r="AA317" s="183" t="n"/>
    </row>
    <row r="318" ht="45.75" customHeight="1" s="222">
      <c r="A318" s="205" t="n"/>
      <c r="B318" s="205" t="n"/>
      <c r="C318" s="205" t="n"/>
      <c r="D318" s="205" t="n"/>
      <c r="E318" s="205" t="n"/>
      <c r="F318" s="205" t="n"/>
      <c r="G318" s="206" t="n"/>
      <c r="H318" s="205" t="n"/>
      <c r="I318" s="28" t="n"/>
      <c r="J318" s="205" t="n"/>
      <c r="K318" s="205" t="n"/>
      <c r="L318" s="205" t="n"/>
      <c r="M318" s="205" t="n"/>
      <c r="N318" s="205" t="n"/>
      <c r="O318" s="183" t="n"/>
      <c r="P318" s="183" t="n"/>
      <c r="Q318" s="183" t="n"/>
      <c r="R318" s="183" t="n"/>
      <c r="S318" s="183" t="n"/>
      <c r="T318" s="183" t="n"/>
      <c r="U318" s="183" t="n"/>
      <c r="V318" s="183" t="n"/>
      <c r="W318" s="183" t="n"/>
      <c r="X318" s="183" t="n"/>
      <c r="Y318" s="183" t="n"/>
      <c r="Z318" s="183" t="n"/>
      <c r="AA318" s="183" t="n"/>
    </row>
    <row r="319" ht="45.75" customHeight="1" s="222">
      <c r="A319" s="205" t="n"/>
      <c r="B319" s="205" t="n"/>
      <c r="C319" s="205" t="n"/>
      <c r="D319" s="205" t="n"/>
      <c r="E319" s="205" t="n"/>
      <c r="F319" s="205" t="n"/>
      <c r="G319" s="206" t="n"/>
      <c r="H319" s="205" t="n"/>
      <c r="I319" s="28" t="n"/>
      <c r="J319" s="205" t="n"/>
      <c r="K319" s="205" t="n"/>
      <c r="L319" s="205" t="n"/>
      <c r="M319" s="205" t="n"/>
      <c r="N319" s="205" t="n"/>
      <c r="O319" s="183" t="n"/>
      <c r="P319" s="183" t="n"/>
      <c r="Q319" s="183" t="n"/>
      <c r="R319" s="183" t="n"/>
      <c r="S319" s="183" t="n"/>
      <c r="T319" s="183" t="n"/>
      <c r="U319" s="183" t="n"/>
      <c r="V319" s="183" t="n"/>
      <c r="W319" s="183" t="n"/>
      <c r="X319" s="183" t="n"/>
      <c r="Y319" s="183" t="n"/>
      <c r="Z319" s="183" t="n"/>
      <c r="AA319" s="183" t="n"/>
    </row>
    <row r="320" ht="45.75" customHeight="1" s="222">
      <c r="A320" s="205" t="n"/>
      <c r="B320" s="205" t="n"/>
      <c r="C320" s="205" t="n"/>
      <c r="D320" s="205" t="n"/>
      <c r="E320" s="205" t="n"/>
      <c r="F320" s="205" t="n"/>
      <c r="G320" s="206" t="n"/>
      <c r="H320" s="205" t="n"/>
      <c r="I320" s="28" t="n"/>
      <c r="J320" s="205" t="n"/>
      <c r="K320" s="205" t="n"/>
      <c r="L320" s="205" t="n"/>
      <c r="M320" s="205" t="n"/>
      <c r="N320" s="205" t="n"/>
      <c r="O320" s="183" t="n"/>
      <c r="P320" s="183" t="n"/>
      <c r="Q320" s="183" t="n"/>
      <c r="R320" s="183" t="n"/>
      <c r="S320" s="183" t="n"/>
      <c r="T320" s="183" t="n"/>
      <c r="U320" s="183" t="n"/>
      <c r="V320" s="183" t="n"/>
      <c r="W320" s="183" t="n"/>
      <c r="X320" s="183" t="n"/>
      <c r="Y320" s="183" t="n"/>
      <c r="Z320" s="183" t="n"/>
      <c r="AA320" s="183" t="n"/>
    </row>
    <row r="321" ht="45.75" customHeight="1" s="222">
      <c r="A321" s="205" t="n"/>
      <c r="B321" s="205" t="n"/>
      <c r="C321" s="205" t="n"/>
      <c r="D321" s="205" t="n"/>
      <c r="E321" s="205" t="n"/>
      <c r="F321" s="205" t="n"/>
      <c r="G321" s="206" t="n"/>
      <c r="H321" s="205" t="n"/>
      <c r="I321" s="28" t="n"/>
      <c r="J321" s="205" t="n"/>
      <c r="K321" s="205" t="n"/>
      <c r="L321" s="205" t="n"/>
      <c r="M321" s="205" t="n"/>
      <c r="N321" s="205" t="n"/>
      <c r="O321" s="183" t="n"/>
      <c r="P321" s="183" t="n"/>
      <c r="Q321" s="183" t="n"/>
      <c r="R321" s="183" t="n"/>
      <c r="S321" s="183" t="n"/>
      <c r="T321" s="183" t="n"/>
      <c r="U321" s="183" t="n"/>
      <c r="V321" s="183" t="n"/>
      <c r="W321" s="183" t="n"/>
      <c r="X321" s="183" t="n"/>
      <c r="Y321" s="183" t="n"/>
      <c r="Z321" s="183" t="n"/>
      <c r="AA321" s="183" t="n"/>
    </row>
    <row r="322" ht="45.75" customHeight="1" s="222">
      <c r="A322" s="205" t="n"/>
      <c r="B322" s="205" t="n"/>
      <c r="C322" s="205" t="n"/>
      <c r="D322" s="205" t="n"/>
      <c r="E322" s="205" t="n"/>
      <c r="F322" s="205" t="n"/>
      <c r="G322" s="206" t="n"/>
      <c r="H322" s="205" t="n"/>
      <c r="I322" s="28" t="n"/>
      <c r="J322" s="205" t="n"/>
      <c r="K322" s="205" t="n"/>
      <c r="L322" s="205" t="n"/>
      <c r="M322" s="205" t="n"/>
      <c r="N322" s="205" t="n"/>
      <c r="O322" s="183" t="n"/>
      <c r="P322" s="183" t="n"/>
      <c r="Q322" s="183" t="n"/>
      <c r="R322" s="183" t="n"/>
      <c r="S322" s="183" t="n"/>
      <c r="T322" s="183" t="n"/>
      <c r="U322" s="183" t="n"/>
      <c r="V322" s="183" t="n"/>
      <c r="W322" s="183" t="n"/>
      <c r="X322" s="183" t="n"/>
      <c r="Y322" s="183" t="n"/>
      <c r="Z322" s="183" t="n"/>
      <c r="AA322" s="183" t="n"/>
    </row>
    <row r="323" ht="45.75" customHeight="1" s="222">
      <c r="A323" s="205" t="n"/>
      <c r="B323" s="205" t="n"/>
      <c r="C323" s="205" t="n"/>
      <c r="D323" s="205" t="n"/>
      <c r="E323" s="205" t="n"/>
      <c r="F323" s="205" t="n"/>
      <c r="G323" s="206" t="n"/>
      <c r="H323" s="205" t="n"/>
      <c r="I323" s="28" t="n"/>
      <c r="J323" s="205" t="n"/>
      <c r="K323" s="205" t="n"/>
      <c r="L323" s="205" t="n"/>
      <c r="M323" s="205" t="n"/>
      <c r="N323" s="205" t="n"/>
      <c r="O323" s="183" t="n"/>
      <c r="P323" s="183" t="n"/>
      <c r="Q323" s="183" t="n"/>
      <c r="R323" s="183" t="n"/>
      <c r="S323" s="183" t="n"/>
      <c r="T323" s="183" t="n"/>
      <c r="U323" s="183" t="n"/>
      <c r="V323" s="183" t="n"/>
      <c r="W323" s="183" t="n"/>
      <c r="X323" s="183" t="n"/>
      <c r="Y323" s="183" t="n"/>
      <c r="Z323" s="183" t="n"/>
      <c r="AA323" s="183" t="n"/>
    </row>
    <row r="324" ht="45.75" customHeight="1" s="222">
      <c r="A324" s="205" t="n"/>
      <c r="B324" s="205" t="n"/>
      <c r="C324" s="205" t="n"/>
      <c r="D324" s="205" t="n"/>
      <c r="E324" s="205" t="n"/>
      <c r="F324" s="205" t="n"/>
      <c r="G324" s="206" t="n"/>
      <c r="H324" s="205" t="n"/>
      <c r="I324" s="28" t="n"/>
      <c r="J324" s="205" t="n"/>
      <c r="K324" s="205" t="n"/>
      <c r="L324" s="205" t="n"/>
      <c r="M324" s="205" t="n"/>
      <c r="N324" s="205" t="n"/>
      <c r="O324" s="183" t="n"/>
      <c r="P324" s="183" t="n"/>
      <c r="Q324" s="183" t="n"/>
      <c r="R324" s="183" t="n"/>
      <c r="S324" s="183" t="n"/>
      <c r="T324" s="183" t="n"/>
      <c r="U324" s="183" t="n"/>
      <c r="V324" s="183" t="n"/>
      <c r="W324" s="183" t="n"/>
      <c r="X324" s="183" t="n"/>
      <c r="Y324" s="183" t="n"/>
      <c r="Z324" s="183" t="n"/>
      <c r="AA324" s="183" t="n"/>
    </row>
    <row r="325" ht="45.75" customHeight="1" s="222">
      <c r="A325" s="205" t="n"/>
      <c r="B325" s="205" t="n"/>
      <c r="C325" s="205" t="n"/>
      <c r="D325" s="205" t="n"/>
      <c r="E325" s="205" t="n"/>
      <c r="F325" s="205" t="n"/>
      <c r="G325" s="206" t="n"/>
      <c r="H325" s="205" t="n"/>
      <c r="I325" s="28" t="n"/>
      <c r="J325" s="205" t="n"/>
      <c r="K325" s="205" t="n"/>
      <c r="L325" s="205" t="n"/>
      <c r="M325" s="205" t="n"/>
      <c r="N325" s="205" t="n"/>
      <c r="O325" s="183" t="n"/>
      <c r="P325" s="183" t="n"/>
      <c r="Q325" s="183" t="n"/>
      <c r="R325" s="183" t="n"/>
      <c r="S325" s="183" t="n"/>
      <c r="T325" s="183" t="n"/>
      <c r="U325" s="183" t="n"/>
      <c r="V325" s="183" t="n"/>
      <c r="W325" s="183" t="n"/>
      <c r="X325" s="183" t="n"/>
      <c r="Y325" s="183" t="n"/>
      <c r="Z325" s="183" t="n"/>
      <c r="AA325" s="183" t="n"/>
    </row>
    <row r="326" ht="45.75" customHeight="1" s="222">
      <c r="A326" s="205" t="n"/>
      <c r="B326" s="205" t="n"/>
      <c r="C326" s="205" t="n"/>
      <c r="D326" s="205" t="n"/>
      <c r="E326" s="205" t="n"/>
      <c r="F326" s="205" t="n"/>
      <c r="G326" s="206" t="n"/>
      <c r="H326" s="205" t="n"/>
      <c r="I326" s="28" t="n"/>
      <c r="J326" s="205" t="n"/>
      <c r="K326" s="205" t="n"/>
      <c r="L326" s="205" t="n"/>
      <c r="M326" s="205" t="n"/>
      <c r="N326" s="205" t="n"/>
      <c r="O326" s="183" t="n"/>
      <c r="P326" s="183" t="n"/>
      <c r="Q326" s="183" t="n"/>
      <c r="R326" s="183" t="n"/>
      <c r="S326" s="183" t="n"/>
      <c r="T326" s="183" t="n"/>
      <c r="U326" s="183" t="n"/>
      <c r="V326" s="183" t="n"/>
      <c r="W326" s="183" t="n"/>
      <c r="X326" s="183" t="n"/>
      <c r="Y326" s="183" t="n"/>
      <c r="Z326" s="183" t="n"/>
      <c r="AA326" s="183" t="n"/>
    </row>
    <row r="327" ht="45.75" customHeight="1" s="222">
      <c r="A327" s="205" t="n"/>
      <c r="B327" s="205" t="n"/>
      <c r="C327" s="205" t="n"/>
      <c r="D327" s="205" t="n"/>
      <c r="E327" s="205" t="n"/>
      <c r="F327" s="205" t="n"/>
      <c r="G327" s="206" t="n"/>
      <c r="H327" s="205" t="n"/>
      <c r="I327" s="28" t="n"/>
      <c r="J327" s="205" t="n"/>
      <c r="K327" s="205" t="n"/>
      <c r="L327" s="205" t="n"/>
      <c r="M327" s="205" t="n"/>
      <c r="N327" s="205" t="n"/>
      <c r="O327" s="183" t="n"/>
      <c r="P327" s="183" t="n"/>
      <c r="Q327" s="183" t="n"/>
      <c r="R327" s="183" t="n"/>
      <c r="S327" s="183" t="n"/>
      <c r="T327" s="183" t="n"/>
      <c r="U327" s="183" t="n"/>
      <c r="V327" s="183" t="n"/>
      <c r="W327" s="183" t="n"/>
      <c r="X327" s="183" t="n"/>
      <c r="Y327" s="183" t="n"/>
      <c r="Z327" s="183" t="n"/>
      <c r="AA327" s="183" t="n"/>
    </row>
    <row r="328" ht="45.75" customHeight="1" s="222">
      <c r="A328" s="205" t="n"/>
      <c r="B328" s="205" t="n"/>
      <c r="C328" s="205" t="n"/>
      <c r="D328" s="205" t="n"/>
      <c r="E328" s="205" t="n"/>
      <c r="F328" s="205" t="n"/>
      <c r="G328" s="206" t="n"/>
      <c r="H328" s="205" t="n"/>
      <c r="I328" s="28" t="n"/>
      <c r="J328" s="205" t="n"/>
      <c r="K328" s="205" t="n"/>
      <c r="L328" s="205" t="n"/>
      <c r="M328" s="205" t="n"/>
      <c r="N328" s="205" t="n"/>
      <c r="O328" s="183" t="n"/>
      <c r="P328" s="183" t="n"/>
      <c r="Q328" s="183" t="n"/>
      <c r="R328" s="183" t="n"/>
      <c r="S328" s="183" t="n"/>
      <c r="T328" s="183" t="n"/>
      <c r="U328" s="183" t="n"/>
      <c r="V328" s="183" t="n"/>
      <c r="W328" s="183" t="n"/>
      <c r="X328" s="183" t="n"/>
      <c r="Y328" s="183" t="n"/>
      <c r="Z328" s="183" t="n"/>
      <c r="AA328" s="183" t="n"/>
    </row>
    <row r="329" ht="45.75" customHeight="1" s="222">
      <c r="A329" s="205" t="n"/>
      <c r="B329" s="205" t="n"/>
      <c r="C329" s="205" t="n"/>
      <c r="D329" s="205" t="n"/>
      <c r="E329" s="205" t="n"/>
      <c r="F329" s="205" t="n"/>
      <c r="G329" s="206" t="n"/>
      <c r="H329" s="205" t="n"/>
      <c r="I329" s="28" t="n"/>
      <c r="J329" s="205" t="n"/>
      <c r="K329" s="205" t="n"/>
      <c r="L329" s="205" t="n"/>
      <c r="M329" s="205" t="n"/>
      <c r="N329" s="205" t="n"/>
      <c r="O329" s="183" t="n"/>
      <c r="P329" s="183" t="n"/>
      <c r="Q329" s="183" t="n"/>
      <c r="R329" s="183" t="n"/>
      <c r="S329" s="183" t="n"/>
      <c r="T329" s="183" t="n"/>
      <c r="U329" s="183" t="n"/>
      <c r="V329" s="183" t="n"/>
      <c r="W329" s="183" t="n"/>
      <c r="X329" s="183" t="n"/>
      <c r="Y329" s="183" t="n"/>
      <c r="Z329" s="183" t="n"/>
      <c r="AA329" s="183" t="n"/>
    </row>
    <row r="330" ht="45.75" customHeight="1" s="222">
      <c r="A330" s="205" t="n"/>
      <c r="B330" s="205" t="n"/>
      <c r="C330" s="205" t="n"/>
      <c r="D330" s="205" t="n"/>
      <c r="E330" s="205" t="n"/>
      <c r="F330" s="205" t="n"/>
      <c r="G330" s="206" t="n"/>
      <c r="H330" s="205" t="n"/>
      <c r="I330" s="28" t="n"/>
      <c r="J330" s="205" t="n"/>
      <c r="K330" s="205" t="n"/>
      <c r="L330" s="205" t="n"/>
      <c r="M330" s="205" t="n"/>
      <c r="N330" s="205" t="n"/>
      <c r="O330" s="183" t="n"/>
      <c r="P330" s="183" t="n"/>
      <c r="Q330" s="183" t="n"/>
      <c r="R330" s="183" t="n"/>
      <c r="S330" s="183" t="n"/>
      <c r="T330" s="183" t="n"/>
      <c r="U330" s="183" t="n"/>
      <c r="V330" s="183" t="n"/>
      <c r="W330" s="183" t="n"/>
      <c r="X330" s="183" t="n"/>
      <c r="Y330" s="183" t="n"/>
      <c r="Z330" s="183" t="n"/>
      <c r="AA330" s="183" t="n"/>
    </row>
    <row r="331" ht="45.75" customHeight="1" s="222">
      <c r="A331" s="205" t="n"/>
      <c r="B331" s="205" t="n"/>
      <c r="C331" s="205" t="n"/>
      <c r="D331" s="205" t="n"/>
      <c r="E331" s="205" t="n"/>
      <c r="F331" s="205" t="n"/>
      <c r="G331" s="206" t="n"/>
      <c r="H331" s="205" t="n"/>
      <c r="I331" s="28" t="n"/>
      <c r="J331" s="205" t="n"/>
      <c r="K331" s="205" t="n"/>
      <c r="L331" s="205" t="n"/>
      <c r="M331" s="205" t="n"/>
      <c r="N331" s="205" t="n"/>
      <c r="O331" s="183" t="n"/>
      <c r="P331" s="183" t="n"/>
      <c r="Q331" s="183" t="n"/>
      <c r="R331" s="183" t="n"/>
      <c r="S331" s="183" t="n"/>
      <c r="T331" s="183" t="n"/>
      <c r="U331" s="183" t="n"/>
      <c r="V331" s="183" t="n"/>
      <c r="W331" s="183" t="n"/>
      <c r="X331" s="183" t="n"/>
      <c r="Y331" s="183" t="n"/>
      <c r="Z331" s="183" t="n"/>
      <c r="AA331" s="183" t="n"/>
    </row>
    <row r="332" ht="45.75" customHeight="1" s="222">
      <c r="A332" s="205" t="n"/>
      <c r="B332" s="205" t="n"/>
      <c r="C332" s="205" t="n"/>
      <c r="D332" s="205" t="n"/>
      <c r="E332" s="205" t="n"/>
      <c r="F332" s="205" t="n"/>
      <c r="G332" s="206" t="n"/>
      <c r="H332" s="205" t="n"/>
      <c r="I332" s="28" t="n"/>
      <c r="J332" s="205" t="n"/>
      <c r="K332" s="205" t="n"/>
      <c r="L332" s="205" t="n"/>
      <c r="M332" s="205" t="n"/>
      <c r="N332" s="205" t="n"/>
      <c r="O332" s="183" t="n"/>
      <c r="P332" s="183" t="n"/>
      <c r="Q332" s="183" t="n"/>
      <c r="R332" s="183" t="n"/>
      <c r="S332" s="183" t="n"/>
      <c r="T332" s="183" t="n"/>
      <c r="U332" s="183" t="n"/>
      <c r="V332" s="183" t="n"/>
      <c r="W332" s="183" t="n"/>
      <c r="X332" s="183" t="n"/>
      <c r="Y332" s="183" t="n"/>
      <c r="Z332" s="183" t="n"/>
      <c r="AA332" s="183" t="n"/>
    </row>
    <row r="333" ht="45.75" customHeight="1" s="222">
      <c r="A333" s="205" t="n"/>
      <c r="B333" s="205" t="n"/>
      <c r="C333" s="205" t="n"/>
      <c r="D333" s="205" t="n"/>
      <c r="E333" s="205" t="n"/>
      <c r="F333" s="205" t="n"/>
      <c r="G333" s="206" t="n"/>
      <c r="H333" s="205" t="n"/>
      <c r="I333" s="28" t="n"/>
      <c r="J333" s="205" t="n"/>
      <c r="K333" s="205" t="n"/>
      <c r="L333" s="205" t="n"/>
      <c r="M333" s="205" t="n"/>
      <c r="N333" s="205" t="n"/>
      <c r="O333" s="183" t="n"/>
      <c r="P333" s="183" t="n"/>
      <c r="Q333" s="183" t="n"/>
      <c r="R333" s="183" t="n"/>
      <c r="S333" s="183" t="n"/>
      <c r="T333" s="183" t="n"/>
      <c r="U333" s="183" t="n"/>
      <c r="V333" s="183" t="n"/>
      <c r="W333" s="183" t="n"/>
      <c r="X333" s="183" t="n"/>
      <c r="Y333" s="183" t="n"/>
      <c r="Z333" s="183" t="n"/>
      <c r="AA333" s="183" t="n"/>
    </row>
    <row r="334" ht="45.75" customHeight="1" s="222">
      <c r="A334" s="205" t="n"/>
      <c r="B334" s="205" t="n"/>
      <c r="C334" s="205" t="n"/>
      <c r="D334" s="205" t="n"/>
      <c r="E334" s="205" t="n"/>
      <c r="F334" s="205" t="n"/>
      <c r="G334" s="206" t="n"/>
      <c r="H334" s="205" t="n"/>
      <c r="I334" s="28" t="n"/>
      <c r="J334" s="205" t="n"/>
      <c r="K334" s="205" t="n"/>
      <c r="L334" s="205" t="n"/>
      <c r="M334" s="205" t="n"/>
      <c r="N334" s="205" t="n"/>
      <c r="O334" s="183" t="n"/>
      <c r="P334" s="183" t="n"/>
      <c r="Q334" s="183" t="n"/>
      <c r="R334" s="183" t="n"/>
      <c r="S334" s="183" t="n"/>
      <c r="T334" s="183" t="n"/>
      <c r="U334" s="183" t="n"/>
      <c r="V334" s="183" t="n"/>
      <c r="W334" s="183" t="n"/>
      <c r="X334" s="183" t="n"/>
      <c r="Y334" s="183" t="n"/>
      <c r="Z334" s="183" t="n"/>
      <c r="AA334" s="183" t="n"/>
    </row>
    <row r="335" ht="45.75" customHeight="1" s="222">
      <c r="A335" s="205" t="n"/>
      <c r="B335" s="205" t="n"/>
      <c r="C335" s="205" t="n"/>
      <c r="D335" s="205" t="n"/>
      <c r="E335" s="205" t="n"/>
      <c r="F335" s="205" t="n"/>
      <c r="G335" s="206" t="n"/>
      <c r="H335" s="205" t="n"/>
      <c r="I335" s="28" t="n"/>
      <c r="J335" s="205" t="n"/>
      <c r="K335" s="205" t="n"/>
      <c r="L335" s="205" t="n"/>
      <c r="M335" s="205" t="n"/>
      <c r="N335" s="205" t="n"/>
      <c r="O335" s="183" t="n"/>
      <c r="P335" s="183" t="n"/>
      <c r="Q335" s="183" t="n"/>
      <c r="R335" s="183" t="n"/>
      <c r="S335" s="183" t="n"/>
      <c r="T335" s="183" t="n"/>
      <c r="U335" s="183" t="n"/>
      <c r="V335" s="183" t="n"/>
      <c r="W335" s="183" t="n"/>
      <c r="X335" s="183" t="n"/>
      <c r="Y335" s="183" t="n"/>
      <c r="Z335" s="183" t="n"/>
      <c r="AA335" s="183" t="n"/>
    </row>
    <row r="336" ht="45.75" customHeight="1" s="222">
      <c r="A336" s="205" t="n"/>
      <c r="B336" s="205" t="n"/>
      <c r="C336" s="205" t="n"/>
      <c r="D336" s="205" t="n"/>
      <c r="E336" s="205" t="n"/>
      <c r="F336" s="205" t="n"/>
      <c r="G336" s="206" t="n"/>
      <c r="H336" s="205" t="n"/>
      <c r="I336" s="28" t="n"/>
      <c r="J336" s="205" t="n"/>
      <c r="K336" s="205" t="n"/>
      <c r="L336" s="205" t="n"/>
      <c r="M336" s="205" t="n"/>
      <c r="N336" s="205" t="n"/>
      <c r="O336" s="183" t="n"/>
      <c r="P336" s="183" t="n"/>
      <c r="Q336" s="183" t="n"/>
      <c r="R336" s="183" t="n"/>
      <c r="S336" s="183" t="n"/>
      <c r="T336" s="183" t="n"/>
      <c r="U336" s="183" t="n"/>
      <c r="V336" s="183" t="n"/>
      <c r="W336" s="183" t="n"/>
      <c r="X336" s="183" t="n"/>
      <c r="Y336" s="183" t="n"/>
      <c r="Z336" s="183" t="n"/>
      <c r="AA336" s="183" t="n"/>
    </row>
    <row r="337" ht="45.75" customHeight="1" s="222">
      <c r="A337" s="205" t="n"/>
      <c r="B337" s="205" t="n"/>
      <c r="C337" s="205" t="n"/>
      <c r="D337" s="205" t="n"/>
      <c r="E337" s="205" t="n"/>
      <c r="F337" s="205" t="n"/>
      <c r="G337" s="206" t="n"/>
      <c r="H337" s="205" t="n"/>
      <c r="I337" s="28" t="n"/>
      <c r="J337" s="205" t="n"/>
      <c r="K337" s="205" t="n"/>
      <c r="L337" s="205" t="n"/>
      <c r="M337" s="205" t="n"/>
      <c r="N337" s="205" t="n"/>
      <c r="O337" s="183" t="n"/>
      <c r="P337" s="183" t="n"/>
      <c r="Q337" s="183" t="n"/>
      <c r="R337" s="183" t="n"/>
      <c r="S337" s="183" t="n"/>
      <c r="T337" s="183" t="n"/>
      <c r="U337" s="183" t="n"/>
      <c r="V337" s="183" t="n"/>
      <c r="W337" s="183" t="n"/>
      <c r="X337" s="183" t="n"/>
      <c r="Y337" s="183" t="n"/>
      <c r="Z337" s="183" t="n"/>
      <c r="AA337" s="183" t="n"/>
    </row>
    <row r="338" ht="45.75" customHeight="1" s="222">
      <c r="A338" s="205" t="n"/>
      <c r="B338" s="205" t="n"/>
      <c r="C338" s="205" t="n"/>
      <c r="D338" s="205" t="n"/>
      <c r="E338" s="205" t="n"/>
      <c r="F338" s="205" t="n"/>
      <c r="G338" s="206" t="n"/>
      <c r="H338" s="205" t="n"/>
      <c r="I338" s="28" t="n"/>
      <c r="J338" s="205" t="n"/>
      <c r="K338" s="205" t="n"/>
      <c r="L338" s="205" t="n"/>
      <c r="M338" s="205" t="n"/>
      <c r="N338" s="205" t="n"/>
      <c r="O338" s="183" t="n"/>
      <c r="P338" s="183" t="n"/>
      <c r="Q338" s="183" t="n"/>
      <c r="R338" s="183" t="n"/>
      <c r="S338" s="183" t="n"/>
      <c r="T338" s="183" t="n"/>
      <c r="U338" s="183" t="n"/>
      <c r="V338" s="183" t="n"/>
      <c r="W338" s="183" t="n"/>
      <c r="X338" s="183" t="n"/>
      <c r="Y338" s="183" t="n"/>
      <c r="Z338" s="183" t="n"/>
      <c r="AA338" s="183" t="n"/>
    </row>
    <row r="339" ht="45.75" customHeight="1" s="222">
      <c r="A339" s="205" t="n"/>
      <c r="B339" s="205" t="n"/>
      <c r="C339" s="205" t="n"/>
      <c r="D339" s="205" t="n"/>
      <c r="E339" s="205" t="n"/>
      <c r="F339" s="205" t="n"/>
      <c r="G339" s="206" t="n"/>
      <c r="H339" s="205" t="n"/>
      <c r="I339" s="28" t="n"/>
      <c r="J339" s="205" t="n"/>
      <c r="K339" s="205" t="n"/>
      <c r="L339" s="205" t="n"/>
      <c r="M339" s="205" t="n"/>
      <c r="N339" s="205" t="n"/>
      <c r="O339" s="183" t="n"/>
      <c r="P339" s="183" t="n"/>
      <c r="Q339" s="183" t="n"/>
      <c r="R339" s="183" t="n"/>
      <c r="S339" s="183" t="n"/>
      <c r="T339" s="183" t="n"/>
      <c r="U339" s="183" t="n"/>
      <c r="V339" s="183" t="n"/>
      <c r="W339" s="183" t="n"/>
      <c r="X339" s="183" t="n"/>
      <c r="Y339" s="183" t="n"/>
      <c r="Z339" s="183" t="n"/>
      <c r="AA339" s="183" t="n"/>
    </row>
    <row r="340" ht="45.75" customHeight="1" s="222">
      <c r="A340" s="205" t="n"/>
      <c r="B340" s="205" t="n"/>
      <c r="C340" s="205" t="n"/>
      <c r="D340" s="205" t="n"/>
      <c r="E340" s="205" t="n"/>
      <c r="F340" s="205" t="n"/>
      <c r="G340" s="206" t="n"/>
      <c r="H340" s="205" t="n"/>
      <c r="I340" s="28" t="n"/>
      <c r="J340" s="205" t="n"/>
      <c r="K340" s="205" t="n"/>
      <c r="L340" s="205" t="n"/>
      <c r="M340" s="205" t="n"/>
      <c r="N340" s="205" t="n"/>
      <c r="O340" s="183" t="n"/>
      <c r="P340" s="183" t="n"/>
      <c r="Q340" s="183" t="n"/>
      <c r="R340" s="183" t="n"/>
      <c r="S340" s="183" t="n"/>
      <c r="T340" s="183" t="n"/>
      <c r="U340" s="183" t="n"/>
      <c r="V340" s="183" t="n"/>
      <c r="W340" s="183" t="n"/>
      <c r="X340" s="183" t="n"/>
      <c r="Y340" s="183" t="n"/>
      <c r="Z340" s="183" t="n"/>
      <c r="AA340" s="183" t="n"/>
    </row>
    <row r="341" ht="45.75" customHeight="1" s="222">
      <c r="A341" s="205" t="n"/>
      <c r="B341" s="205" t="n"/>
      <c r="C341" s="205" t="n"/>
      <c r="D341" s="205" t="n"/>
      <c r="E341" s="205" t="n"/>
      <c r="F341" s="205" t="n"/>
      <c r="G341" s="206" t="n"/>
      <c r="H341" s="205" t="n"/>
      <c r="I341" s="28" t="n"/>
      <c r="J341" s="205" t="n"/>
      <c r="K341" s="205" t="n"/>
      <c r="L341" s="205" t="n"/>
      <c r="M341" s="205" t="n"/>
      <c r="N341" s="205" t="n"/>
      <c r="O341" s="183" t="n"/>
      <c r="P341" s="183" t="n"/>
      <c r="Q341" s="183" t="n"/>
      <c r="R341" s="183" t="n"/>
      <c r="S341" s="183" t="n"/>
      <c r="T341" s="183" t="n"/>
      <c r="U341" s="183" t="n"/>
      <c r="V341" s="183" t="n"/>
      <c r="W341" s="183" t="n"/>
      <c r="X341" s="183" t="n"/>
      <c r="Y341" s="183" t="n"/>
      <c r="Z341" s="183" t="n"/>
      <c r="AA341" s="183" t="n"/>
    </row>
    <row r="342" ht="45.75" customHeight="1" s="222">
      <c r="A342" s="205" t="n"/>
      <c r="B342" s="205" t="n"/>
      <c r="C342" s="205" t="n"/>
      <c r="D342" s="205" t="n"/>
      <c r="E342" s="205" t="n"/>
      <c r="F342" s="205" t="n"/>
      <c r="G342" s="206" t="n"/>
      <c r="H342" s="205" t="n"/>
      <c r="I342" s="28" t="n"/>
      <c r="J342" s="205" t="n"/>
      <c r="K342" s="205" t="n"/>
      <c r="L342" s="205" t="n"/>
      <c r="M342" s="205" t="n"/>
      <c r="N342" s="205" t="n"/>
      <c r="O342" s="183" t="n"/>
      <c r="P342" s="183" t="n"/>
      <c r="Q342" s="183" t="n"/>
      <c r="R342" s="183" t="n"/>
      <c r="S342" s="183" t="n"/>
      <c r="T342" s="183" t="n"/>
      <c r="U342" s="183" t="n"/>
      <c r="V342" s="183" t="n"/>
      <c r="W342" s="183" t="n"/>
      <c r="X342" s="183" t="n"/>
      <c r="Y342" s="183" t="n"/>
      <c r="Z342" s="183" t="n"/>
      <c r="AA342" s="183" t="n"/>
    </row>
    <row r="343" ht="45.75" customHeight="1" s="222">
      <c r="A343" s="205" t="n"/>
      <c r="B343" s="205" t="n"/>
      <c r="C343" s="205" t="n"/>
      <c r="D343" s="205" t="n"/>
      <c r="E343" s="205" t="n"/>
      <c r="F343" s="205" t="n"/>
      <c r="G343" s="206" t="n"/>
      <c r="H343" s="205" t="n"/>
      <c r="I343" s="28" t="n"/>
      <c r="J343" s="205" t="n"/>
      <c r="K343" s="205" t="n"/>
      <c r="L343" s="205" t="n"/>
      <c r="M343" s="205" t="n"/>
      <c r="N343" s="205" t="n"/>
      <c r="O343" s="183" t="n"/>
      <c r="P343" s="183" t="n"/>
      <c r="Q343" s="183" t="n"/>
      <c r="R343" s="183" t="n"/>
      <c r="S343" s="183" t="n"/>
      <c r="T343" s="183" t="n"/>
      <c r="U343" s="183" t="n"/>
      <c r="V343" s="183" t="n"/>
      <c r="W343" s="183" t="n"/>
      <c r="X343" s="183" t="n"/>
      <c r="Y343" s="183" t="n"/>
      <c r="Z343" s="183" t="n"/>
      <c r="AA343" s="183" t="n"/>
    </row>
    <row r="344" ht="45.75" customHeight="1" s="222">
      <c r="A344" s="205" t="n"/>
      <c r="B344" s="205" t="n"/>
      <c r="C344" s="205" t="n"/>
      <c r="D344" s="205" t="n"/>
      <c r="E344" s="205" t="n"/>
      <c r="F344" s="205" t="n"/>
      <c r="G344" s="206" t="n"/>
      <c r="H344" s="205" t="n"/>
      <c r="I344" s="28" t="n"/>
      <c r="J344" s="205" t="n"/>
      <c r="K344" s="205" t="n"/>
      <c r="L344" s="205" t="n"/>
      <c r="M344" s="205" t="n"/>
      <c r="N344" s="205" t="n"/>
      <c r="O344" s="183" t="n"/>
      <c r="P344" s="183" t="n"/>
      <c r="Q344" s="183" t="n"/>
      <c r="R344" s="183" t="n"/>
      <c r="S344" s="183" t="n"/>
      <c r="T344" s="183" t="n"/>
      <c r="U344" s="183" t="n"/>
      <c r="V344" s="183" t="n"/>
      <c r="W344" s="183" t="n"/>
      <c r="X344" s="183" t="n"/>
      <c r="Y344" s="183" t="n"/>
      <c r="Z344" s="183" t="n"/>
      <c r="AA344" s="183" t="n"/>
    </row>
    <row r="345" ht="45.75" customHeight="1" s="222">
      <c r="A345" s="205" t="n"/>
      <c r="B345" s="205" t="n"/>
      <c r="C345" s="205" t="n"/>
      <c r="D345" s="205" t="n"/>
      <c r="E345" s="205" t="n"/>
      <c r="F345" s="205" t="n"/>
      <c r="G345" s="206" t="n"/>
      <c r="H345" s="205" t="n"/>
      <c r="I345" s="28" t="n"/>
      <c r="J345" s="205" t="n"/>
      <c r="K345" s="205" t="n"/>
      <c r="L345" s="205" t="n"/>
      <c r="M345" s="205" t="n"/>
      <c r="N345" s="205" t="n"/>
      <c r="O345" s="183" t="n"/>
      <c r="P345" s="183" t="n"/>
      <c r="Q345" s="183" t="n"/>
      <c r="R345" s="183" t="n"/>
      <c r="S345" s="183" t="n"/>
      <c r="T345" s="183" t="n"/>
      <c r="U345" s="183" t="n"/>
      <c r="V345" s="183" t="n"/>
      <c r="W345" s="183" t="n"/>
      <c r="X345" s="183" t="n"/>
      <c r="Y345" s="183" t="n"/>
      <c r="Z345" s="183" t="n"/>
      <c r="AA345" s="183" t="n"/>
    </row>
    <row r="346" ht="45.75" customHeight="1" s="222">
      <c r="A346" s="205" t="n"/>
      <c r="B346" s="205" t="n"/>
      <c r="C346" s="205" t="n"/>
      <c r="D346" s="205" t="n"/>
      <c r="E346" s="205" t="n"/>
      <c r="F346" s="205" t="n"/>
      <c r="G346" s="206" t="n"/>
      <c r="H346" s="205" t="n"/>
      <c r="I346" s="28" t="n"/>
      <c r="J346" s="205" t="n"/>
      <c r="K346" s="205" t="n"/>
      <c r="L346" s="205" t="n"/>
      <c r="M346" s="205" t="n"/>
      <c r="N346" s="205" t="n"/>
      <c r="O346" s="183" t="n"/>
      <c r="P346" s="183" t="n"/>
      <c r="Q346" s="183" t="n"/>
      <c r="R346" s="183" t="n"/>
      <c r="S346" s="183" t="n"/>
      <c r="T346" s="183" t="n"/>
      <c r="U346" s="183" t="n"/>
      <c r="V346" s="183" t="n"/>
      <c r="W346" s="183" t="n"/>
      <c r="X346" s="183" t="n"/>
      <c r="Y346" s="183" t="n"/>
      <c r="Z346" s="183" t="n"/>
      <c r="AA346" s="183" t="n"/>
    </row>
    <row r="347" ht="45.75" customHeight="1" s="222">
      <c r="A347" s="205" t="n"/>
      <c r="B347" s="205" t="n"/>
      <c r="C347" s="205" t="n"/>
      <c r="D347" s="205" t="n"/>
      <c r="E347" s="205" t="n"/>
      <c r="F347" s="205" t="n"/>
      <c r="G347" s="206" t="n"/>
      <c r="H347" s="205" t="n"/>
      <c r="I347" s="28" t="n"/>
      <c r="J347" s="205" t="n"/>
      <c r="K347" s="205" t="n"/>
      <c r="L347" s="205" t="n"/>
      <c r="M347" s="205" t="n"/>
      <c r="N347" s="205" t="n"/>
      <c r="O347" s="183" t="n"/>
      <c r="P347" s="183" t="n"/>
      <c r="Q347" s="183" t="n"/>
      <c r="R347" s="183" t="n"/>
      <c r="S347" s="183" t="n"/>
      <c r="T347" s="183" t="n"/>
      <c r="U347" s="183" t="n"/>
      <c r="V347" s="183" t="n"/>
      <c r="W347" s="183" t="n"/>
      <c r="X347" s="183" t="n"/>
      <c r="Y347" s="183" t="n"/>
      <c r="Z347" s="183" t="n"/>
      <c r="AA347" s="183" t="n"/>
    </row>
    <row r="348" ht="45.75" customHeight="1" s="222">
      <c r="A348" s="205" t="n"/>
      <c r="B348" s="205" t="n"/>
      <c r="C348" s="205" t="n"/>
      <c r="D348" s="205" t="n"/>
      <c r="E348" s="205" t="n"/>
      <c r="F348" s="205" t="n"/>
      <c r="G348" s="206" t="n"/>
      <c r="H348" s="205" t="n"/>
      <c r="I348" s="28" t="n"/>
      <c r="J348" s="205" t="n"/>
      <c r="K348" s="205" t="n"/>
      <c r="L348" s="205" t="n"/>
      <c r="M348" s="205" t="n"/>
      <c r="N348" s="205" t="n"/>
      <c r="O348" s="183" t="n"/>
      <c r="P348" s="183" t="n"/>
      <c r="Q348" s="183" t="n"/>
      <c r="R348" s="183" t="n"/>
      <c r="S348" s="183" t="n"/>
      <c r="T348" s="183" t="n"/>
      <c r="U348" s="183" t="n"/>
      <c r="V348" s="183" t="n"/>
      <c r="W348" s="183" t="n"/>
      <c r="X348" s="183" t="n"/>
      <c r="Y348" s="183" t="n"/>
      <c r="Z348" s="183" t="n"/>
      <c r="AA348" s="183" t="n"/>
    </row>
    <row r="349" ht="45.75" customHeight="1" s="222">
      <c r="A349" s="205" t="n"/>
      <c r="B349" s="205" t="n"/>
      <c r="C349" s="205" t="n"/>
      <c r="D349" s="205" t="n"/>
      <c r="E349" s="205" t="n"/>
      <c r="F349" s="205" t="n"/>
      <c r="G349" s="206" t="n"/>
      <c r="H349" s="205" t="n"/>
      <c r="I349" s="28" t="n"/>
      <c r="J349" s="205" t="n"/>
      <c r="K349" s="205" t="n"/>
      <c r="L349" s="205" t="n"/>
      <c r="M349" s="205" t="n"/>
      <c r="N349" s="205" t="n"/>
      <c r="O349" s="183" t="n"/>
      <c r="P349" s="183" t="n"/>
      <c r="Q349" s="183" t="n"/>
      <c r="R349" s="183" t="n"/>
      <c r="S349" s="183" t="n"/>
      <c r="T349" s="183" t="n"/>
      <c r="U349" s="183" t="n"/>
      <c r="V349" s="183" t="n"/>
      <c r="W349" s="183" t="n"/>
      <c r="X349" s="183" t="n"/>
      <c r="Y349" s="183" t="n"/>
      <c r="Z349" s="183" t="n"/>
      <c r="AA349" s="183" t="n"/>
    </row>
    <row r="350" ht="45.75" customHeight="1" s="222">
      <c r="A350" s="205" t="n"/>
      <c r="B350" s="205" t="n"/>
      <c r="C350" s="205" t="n"/>
      <c r="D350" s="205" t="n"/>
      <c r="E350" s="205" t="n"/>
      <c r="F350" s="205" t="n"/>
      <c r="G350" s="206" t="n"/>
      <c r="H350" s="205" t="n"/>
      <c r="I350" s="28" t="n"/>
      <c r="J350" s="205" t="n"/>
      <c r="K350" s="205" t="n"/>
      <c r="L350" s="205" t="n"/>
      <c r="M350" s="205" t="n"/>
      <c r="N350" s="205" t="n"/>
      <c r="O350" s="183" t="n"/>
      <c r="P350" s="183" t="n"/>
      <c r="Q350" s="183" t="n"/>
      <c r="R350" s="183" t="n"/>
      <c r="S350" s="183" t="n"/>
      <c r="T350" s="183" t="n"/>
      <c r="U350" s="183" t="n"/>
      <c r="V350" s="183" t="n"/>
      <c r="W350" s="183" t="n"/>
      <c r="X350" s="183" t="n"/>
      <c r="Y350" s="183" t="n"/>
      <c r="Z350" s="183" t="n"/>
      <c r="AA350" s="183" t="n"/>
    </row>
    <row r="351" ht="45.75" customHeight="1" s="222">
      <c r="A351" s="205" t="n"/>
      <c r="B351" s="205" t="n"/>
      <c r="C351" s="205" t="n"/>
      <c r="D351" s="205" t="n"/>
      <c r="E351" s="205" t="n"/>
      <c r="F351" s="205" t="n"/>
      <c r="G351" s="206" t="n"/>
      <c r="H351" s="205" t="n"/>
      <c r="I351" s="28" t="n"/>
      <c r="J351" s="205" t="n"/>
      <c r="K351" s="205" t="n"/>
      <c r="L351" s="205" t="n"/>
      <c r="M351" s="205" t="n"/>
      <c r="N351" s="205" t="n"/>
      <c r="O351" s="183" t="n"/>
      <c r="P351" s="183" t="n"/>
      <c r="Q351" s="183" t="n"/>
      <c r="R351" s="183" t="n"/>
      <c r="S351" s="183" t="n"/>
      <c r="T351" s="183" t="n"/>
      <c r="U351" s="183" t="n"/>
      <c r="V351" s="183" t="n"/>
      <c r="W351" s="183" t="n"/>
      <c r="X351" s="183" t="n"/>
      <c r="Y351" s="183" t="n"/>
      <c r="Z351" s="183" t="n"/>
      <c r="AA351" s="183" t="n"/>
    </row>
    <row r="352" ht="45.75" customHeight="1" s="222">
      <c r="A352" s="205" t="n"/>
      <c r="B352" s="205" t="n"/>
      <c r="C352" s="205" t="n"/>
      <c r="D352" s="205" t="n"/>
      <c r="E352" s="205" t="n"/>
      <c r="F352" s="205" t="n"/>
      <c r="G352" s="206" t="n"/>
      <c r="H352" s="205" t="n"/>
      <c r="I352" s="28" t="n"/>
      <c r="J352" s="205" t="n"/>
      <c r="K352" s="205" t="n"/>
      <c r="L352" s="205" t="n"/>
      <c r="M352" s="205" t="n"/>
      <c r="N352" s="205" t="n"/>
      <c r="O352" s="183" t="n"/>
      <c r="P352" s="183" t="n"/>
      <c r="Q352" s="183" t="n"/>
      <c r="R352" s="183" t="n"/>
      <c r="S352" s="183" t="n"/>
      <c r="T352" s="183" t="n"/>
      <c r="U352" s="183" t="n"/>
      <c r="V352" s="183" t="n"/>
      <c r="W352" s="183" t="n"/>
      <c r="X352" s="183" t="n"/>
      <c r="Y352" s="183" t="n"/>
      <c r="Z352" s="183" t="n"/>
      <c r="AA352" s="183" t="n"/>
    </row>
    <row r="353" ht="45.75" customHeight="1" s="222">
      <c r="A353" s="205" t="n"/>
      <c r="B353" s="205" t="n"/>
      <c r="C353" s="205" t="n"/>
      <c r="D353" s="205" t="n"/>
      <c r="E353" s="205" t="n"/>
      <c r="F353" s="205" t="n"/>
      <c r="G353" s="206" t="n"/>
      <c r="H353" s="205" t="n"/>
      <c r="I353" s="28" t="n"/>
      <c r="J353" s="205" t="n"/>
      <c r="K353" s="205" t="n"/>
      <c r="L353" s="205" t="n"/>
      <c r="M353" s="205" t="n"/>
      <c r="N353" s="205" t="n"/>
      <c r="O353" s="183" t="n"/>
      <c r="P353" s="183" t="n"/>
      <c r="Q353" s="183" t="n"/>
      <c r="R353" s="183" t="n"/>
      <c r="S353" s="183" t="n"/>
      <c r="T353" s="183" t="n"/>
      <c r="U353" s="183" t="n"/>
      <c r="V353" s="183" t="n"/>
      <c r="W353" s="183" t="n"/>
      <c r="X353" s="183" t="n"/>
      <c r="Y353" s="183" t="n"/>
      <c r="Z353" s="183" t="n"/>
      <c r="AA353" s="183" t="n"/>
    </row>
    <row r="354" ht="45.75" customHeight="1" s="222">
      <c r="A354" s="205" t="n"/>
      <c r="B354" s="205" t="n"/>
      <c r="C354" s="205" t="n"/>
      <c r="D354" s="205" t="n"/>
      <c r="E354" s="205" t="n"/>
      <c r="F354" s="205" t="n"/>
      <c r="G354" s="206" t="n"/>
      <c r="H354" s="205" t="n"/>
      <c r="I354" s="28" t="n"/>
      <c r="J354" s="205" t="n"/>
      <c r="K354" s="205" t="n"/>
      <c r="L354" s="205" t="n"/>
      <c r="M354" s="205" t="n"/>
      <c r="N354" s="205" t="n"/>
      <c r="O354" s="183" t="n"/>
      <c r="P354" s="183" t="n"/>
      <c r="Q354" s="183" t="n"/>
      <c r="R354" s="183" t="n"/>
      <c r="S354" s="183" t="n"/>
      <c r="T354" s="183" t="n"/>
      <c r="U354" s="183" t="n"/>
      <c r="V354" s="183" t="n"/>
      <c r="W354" s="183" t="n"/>
      <c r="X354" s="183" t="n"/>
      <c r="Y354" s="183" t="n"/>
      <c r="Z354" s="183" t="n"/>
      <c r="AA354" s="183" t="n"/>
    </row>
    <row r="355" ht="45.75" customHeight="1" s="222">
      <c r="A355" s="205" t="n"/>
      <c r="B355" s="205" t="n"/>
      <c r="C355" s="205" t="n"/>
      <c r="D355" s="205" t="n"/>
      <c r="E355" s="205" t="n"/>
      <c r="F355" s="205" t="n"/>
      <c r="G355" s="206" t="n"/>
      <c r="H355" s="205" t="n"/>
      <c r="I355" s="28" t="n"/>
      <c r="J355" s="205" t="n"/>
      <c r="K355" s="205" t="n"/>
      <c r="L355" s="205" t="n"/>
      <c r="M355" s="205" t="n"/>
      <c r="N355" s="205" t="n"/>
      <c r="O355" s="183" t="n"/>
      <c r="P355" s="183" t="n"/>
      <c r="Q355" s="183" t="n"/>
      <c r="R355" s="183" t="n"/>
      <c r="S355" s="183" t="n"/>
      <c r="T355" s="183" t="n"/>
      <c r="U355" s="183" t="n"/>
      <c r="V355" s="183" t="n"/>
      <c r="W355" s="183" t="n"/>
      <c r="X355" s="183" t="n"/>
      <c r="Y355" s="183" t="n"/>
      <c r="Z355" s="183" t="n"/>
      <c r="AA355" s="183" t="n"/>
    </row>
    <row r="356" ht="45.75" customHeight="1" s="222">
      <c r="A356" s="205" t="n"/>
      <c r="B356" s="205" t="n"/>
      <c r="C356" s="205" t="n"/>
      <c r="D356" s="205" t="n"/>
      <c r="E356" s="205" t="n"/>
      <c r="F356" s="205" t="n"/>
      <c r="G356" s="206" t="n"/>
      <c r="H356" s="205" t="n"/>
      <c r="I356" s="28" t="n"/>
      <c r="J356" s="205" t="n"/>
      <c r="K356" s="205" t="n"/>
      <c r="L356" s="205" t="n"/>
      <c r="M356" s="205" t="n"/>
      <c r="N356" s="205" t="n"/>
      <c r="O356" s="183" t="n"/>
      <c r="P356" s="183" t="n"/>
      <c r="Q356" s="183" t="n"/>
      <c r="R356" s="183" t="n"/>
      <c r="S356" s="183" t="n"/>
      <c r="T356" s="183" t="n"/>
      <c r="U356" s="183" t="n"/>
      <c r="V356" s="183" t="n"/>
      <c r="W356" s="183" t="n"/>
      <c r="X356" s="183" t="n"/>
      <c r="Y356" s="183" t="n"/>
      <c r="Z356" s="183" t="n"/>
      <c r="AA356" s="183" t="n"/>
    </row>
    <row r="357" ht="45.75" customHeight="1" s="222">
      <c r="A357" s="205" t="n"/>
      <c r="B357" s="205" t="n"/>
      <c r="C357" s="205" t="n"/>
      <c r="D357" s="205" t="n"/>
      <c r="E357" s="205" t="n"/>
      <c r="F357" s="205" t="n"/>
      <c r="G357" s="206" t="n"/>
      <c r="H357" s="205" t="n"/>
      <c r="I357" s="28" t="n"/>
      <c r="J357" s="205" t="n"/>
      <c r="K357" s="205" t="n"/>
      <c r="L357" s="205" t="n"/>
      <c r="M357" s="205" t="n"/>
      <c r="N357" s="205" t="n"/>
      <c r="O357" s="183" t="n"/>
      <c r="P357" s="183" t="n"/>
      <c r="Q357" s="183" t="n"/>
      <c r="R357" s="183" t="n"/>
      <c r="S357" s="183" t="n"/>
      <c r="T357" s="183" t="n"/>
      <c r="U357" s="183" t="n"/>
      <c r="V357" s="183" t="n"/>
      <c r="W357" s="183" t="n"/>
      <c r="X357" s="183" t="n"/>
      <c r="Y357" s="183" t="n"/>
      <c r="Z357" s="183" t="n"/>
      <c r="AA357" s="183" t="n"/>
    </row>
    <row r="358" ht="45.75" customHeight="1" s="222">
      <c r="A358" s="205" t="n"/>
      <c r="B358" s="205" t="n"/>
      <c r="C358" s="205" t="n"/>
      <c r="D358" s="205" t="n"/>
      <c r="E358" s="205" t="n"/>
      <c r="F358" s="205" t="n"/>
      <c r="G358" s="206" t="n"/>
      <c r="H358" s="205" t="n"/>
      <c r="I358" s="28" t="n"/>
      <c r="J358" s="205" t="n"/>
      <c r="K358" s="205" t="n"/>
      <c r="L358" s="205" t="n"/>
      <c r="M358" s="205" t="n"/>
      <c r="N358" s="205" t="n"/>
      <c r="O358" s="183" t="n"/>
      <c r="P358" s="183" t="n"/>
      <c r="Q358" s="183" t="n"/>
      <c r="R358" s="183" t="n"/>
      <c r="S358" s="183" t="n"/>
      <c r="T358" s="183" t="n"/>
      <c r="U358" s="183" t="n"/>
      <c r="V358" s="183" t="n"/>
      <c r="W358" s="183" t="n"/>
      <c r="X358" s="183" t="n"/>
      <c r="Y358" s="183" t="n"/>
      <c r="Z358" s="183" t="n"/>
      <c r="AA358" s="183" t="n"/>
    </row>
    <row r="359" ht="45.75" customHeight="1" s="222">
      <c r="A359" s="205" t="n"/>
      <c r="B359" s="205" t="n"/>
      <c r="C359" s="205" t="n"/>
      <c r="D359" s="205" t="n"/>
      <c r="E359" s="205" t="n"/>
      <c r="F359" s="205" t="n"/>
      <c r="G359" s="206" t="n"/>
      <c r="H359" s="205" t="n"/>
      <c r="I359" s="28" t="n"/>
      <c r="J359" s="205" t="n"/>
      <c r="K359" s="205" t="n"/>
      <c r="L359" s="205" t="n"/>
      <c r="M359" s="205" t="n"/>
      <c r="N359" s="205" t="n"/>
      <c r="O359" s="183" t="n"/>
      <c r="P359" s="183" t="n"/>
      <c r="Q359" s="183" t="n"/>
      <c r="R359" s="183" t="n"/>
      <c r="S359" s="183" t="n"/>
      <c r="T359" s="183" t="n"/>
      <c r="U359" s="183" t="n"/>
      <c r="V359" s="183" t="n"/>
      <c r="W359" s="183" t="n"/>
      <c r="X359" s="183" t="n"/>
      <c r="Y359" s="183" t="n"/>
      <c r="Z359" s="183" t="n"/>
      <c r="AA359" s="183" t="n"/>
    </row>
    <row r="360" ht="45.75" customHeight="1" s="222">
      <c r="A360" s="205" t="n"/>
      <c r="B360" s="205" t="n"/>
      <c r="C360" s="205" t="n"/>
      <c r="D360" s="205" t="n"/>
      <c r="E360" s="205" t="n"/>
      <c r="F360" s="205" t="n"/>
      <c r="G360" s="206" t="n"/>
      <c r="H360" s="205" t="n"/>
      <c r="I360" s="28" t="n"/>
      <c r="J360" s="205" t="n"/>
      <c r="K360" s="205" t="n"/>
      <c r="L360" s="205" t="n"/>
      <c r="M360" s="205" t="n"/>
      <c r="N360" s="205" t="n"/>
      <c r="O360" s="183" t="n"/>
      <c r="P360" s="183" t="n"/>
      <c r="Q360" s="183" t="n"/>
      <c r="R360" s="183" t="n"/>
      <c r="S360" s="183" t="n"/>
      <c r="T360" s="183" t="n"/>
      <c r="U360" s="183" t="n"/>
      <c r="V360" s="183" t="n"/>
      <c r="W360" s="183" t="n"/>
      <c r="X360" s="183" t="n"/>
      <c r="Y360" s="183" t="n"/>
      <c r="Z360" s="183" t="n"/>
      <c r="AA360" s="183" t="n"/>
    </row>
    <row r="361" ht="45.75" customHeight="1" s="222">
      <c r="A361" s="205" t="n"/>
      <c r="B361" s="205" t="n"/>
      <c r="C361" s="205" t="n"/>
      <c r="D361" s="205" t="n"/>
      <c r="E361" s="205" t="n"/>
      <c r="F361" s="205" t="n"/>
      <c r="G361" s="206" t="n"/>
      <c r="H361" s="205" t="n"/>
      <c r="I361" s="28" t="n"/>
      <c r="J361" s="205" t="n"/>
      <c r="K361" s="205" t="n"/>
      <c r="L361" s="205" t="n"/>
      <c r="M361" s="205" t="n"/>
      <c r="N361" s="205" t="n"/>
      <c r="O361" s="183" t="n"/>
      <c r="P361" s="183" t="n"/>
      <c r="Q361" s="183" t="n"/>
      <c r="R361" s="183" t="n"/>
      <c r="S361" s="183" t="n"/>
      <c r="T361" s="183" t="n"/>
      <c r="U361" s="183" t="n"/>
      <c r="V361" s="183" t="n"/>
      <c r="W361" s="183" t="n"/>
      <c r="X361" s="183" t="n"/>
      <c r="Y361" s="183" t="n"/>
      <c r="Z361" s="183" t="n"/>
      <c r="AA361" s="183" t="n"/>
    </row>
    <row r="362" ht="45.75" customHeight="1" s="222">
      <c r="A362" s="205" t="n"/>
      <c r="B362" s="205" t="n"/>
      <c r="C362" s="205" t="n"/>
      <c r="D362" s="205" t="n"/>
      <c r="E362" s="205" t="n"/>
      <c r="F362" s="205" t="n"/>
      <c r="G362" s="206" t="n"/>
      <c r="H362" s="205" t="n"/>
      <c r="I362" s="28" t="n"/>
      <c r="J362" s="205" t="n"/>
      <c r="K362" s="205" t="n"/>
      <c r="L362" s="205" t="n"/>
      <c r="M362" s="205" t="n"/>
      <c r="N362" s="205" t="n"/>
      <c r="O362" s="183" t="n"/>
      <c r="P362" s="183" t="n"/>
      <c r="Q362" s="183" t="n"/>
      <c r="R362" s="183" t="n"/>
      <c r="S362" s="183" t="n"/>
      <c r="T362" s="183" t="n"/>
      <c r="U362" s="183" t="n"/>
      <c r="V362" s="183" t="n"/>
      <c r="W362" s="183" t="n"/>
      <c r="X362" s="183" t="n"/>
      <c r="Y362" s="183" t="n"/>
      <c r="Z362" s="183" t="n"/>
      <c r="AA362" s="183" t="n"/>
    </row>
    <row r="363" ht="45.75" customHeight="1" s="222">
      <c r="A363" s="205" t="n"/>
      <c r="B363" s="205" t="n"/>
      <c r="C363" s="205" t="n"/>
      <c r="D363" s="205" t="n"/>
      <c r="E363" s="205" t="n"/>
      <c r="F363" s="205" t="n"/>
      <c r="G363" s="206" t="n"/>
      <c r="H363" s="205" t="n"/>
      <c r="I363" s="28" t="n"/>
      <c r="J363" s="205" t="n"/>
      <c r="K363" s="205" t="n"/>
      <c r="L363" s="205" t="n"/>
      <c r="M363" s="205" t="n"/>
      <c r="N363" s="205" t="n"/>
      <c r="O363" s="183" t="n"/>
      <c r="P363" s="183" t="n"/>
      <c r="Q363" s="183" t="n"/>
      <c r="R363" s="183" t="n"/>
      <c r="S363" s="183" t="n"/>
      <c r="T363" s="183" t="n"/>
      <c r="U363" s="183" t="n"/>
      <c r="V363" s="183" t="n"/>
      <c r="W363" s="183" t="n"/>
      <c r="X363" s="183" t="n"/>
      <c r="Y363" s="183" t="n"/>
      <c r="Z363" s="183" t="n"/>
      <c r="AA363" s="183" t="n"/>
    </row>
    <row r="364" ht="45.75" customHeight="1" s="222">
      <c r="A364" s="205" t="n"/>
      <c r="B364" s="205" t="n"/>
      <c r="C364" s="205" t="n"/>
      <c r="D364" s="205" t="n"/>
      <c r="E364" s="205" t="n"/>
      <c r="F364" s="205" t="n"/>
      <c r="G364" s="206" t="n"/>
      <c r="H364" s="205" t="n"/>
      <c r="I364" s="28" t="n"/>
      <c r="J364" s="205" t="n"/>
      <c r="K364" s="205" t="n"/>
      <c r="L364" s="205" t="n"/>
      <c r="M364" s="205" t="n"/>
      <c r="N364" s="205" t="n"/>
      <c r="O364" s="183" t="n"/>
      <c r="P364" s="183" t="n"/>
      <c r="Q364" s="183" t="n"/>
      <c r="R364" s="183" t="n"/>
      <c r="S364" s="183" t="n"/>
      <c r="T364" s="183" t="n"/>
      <c r="U364" s="183" t="n"/>
      <c r="V364" s="183" t="n"/>
      <c r="W364" s="183" t="n"/>
      <c r="X364" s="183" t="n"/>
      <c r="Y364" s="183" t="n"/>
      <c r="Z364" s="183" t="n"/>
      <c r="AA364" s="183" t="n"/>
    </row>
    <row r="365" ht="45.75" customHeight="1" s="222">
      <c r="A365" s="205" t="n"/>
      <c r="B365" s="205" t="n"/>
      <c r="C365" s="205" t="n"/>
      <c r="D365" s="205" t="n"/>
      <c r="E365" s="205" t="n"/>
      <c r="F365" s="205" t="n"/>
      <c r="G365" s="206" t="n"/>
      <c r="H365" s="205" t="n"/>
      <c r="I365" s="28" t="n"/>
      <c r="J365" s="205" t="n"/>
      <c r="K365" s="205" t="n"/>
      <c r="L365" s="205" t="n"/>
      <c r="M365" s="205" t="n"/>
      <c r="N365" s="205" t="n"/>
      <c r="O365" s="183" t="n"/>
      <c r="P365" s="183" t="n"/>
      <c r="Q365" s="183" t="n"/>
      <c r="R365" s="183" t="n"/>
      <c r="S365" s="183" t="n"/>
      <c r="T365" s="183" t="n"/>
      <c r="U365" s="183" t="n"/>
      <c r="V365" s="183" t="n"/>
      <c r="W365" s="183" t="n"/>
      <c r="X365" s="183" t="n"/>
      <c r="Y365" s="183" t="n"/>
      <c r="Z365" s="183" t="n"/>
      <c r="AA365" s="183" t="n"/>
    </row>
    <row r="366" ht="45.75" customHeight="1" s="222">
      <c r="A366" s="205" t="n"/>
      <c r="B366" s="205" t="n"/>
      <c r="C366" s="205" t="n"/>
      <c r="D366" s="205" t="n"/>
      <c r="E366" s="205" t="n"/>
      <c r="F366" s="205" t="n"/>
      <c r="G366" s="206" t="n"/>
      <c r="H366" s="205" t="n"/>
      <c r="I366" s="28" t="n"/>
      <c r="J366" s="205" t="n"/>
      <c r="K366" s="205" t="n"/>
      <c r="L366" s="205" t="n"/>
      <c r="M366" s="205" t="n"/>
      <c r="N366" s="205" t="n"/>
      <c r="O366" s="183" t="n"/>
      <c r="P366" s="183" t="n"/>
      <c r="Q366" s="183" t="n"/>
      <c r="R366" s="183" t="n"/>
      <c r="S366" s="183" t="n"/>
      <c r="T366" s="183" t="n"/>
      <c r="U366" s="183" t="n"/>
      <c r="V366" s="183" t="n"/>
      <c r="W366" s="183" t="n"/>
      <c r="X366" s="183" t="n"/>
      <c r="Y366" s="183" t="n"/>
      <c r="Z366" s="183" t="n"/>
      <c r="AA366" s="183" t="n"/>
    </row>
    <row r="367" ht="45.75" customHeight="1" s="222">
      <c r="A367" s="205" t="n"/>
      <c r="B367" s="205" t="n"/>
      <c r="C367" s="205" t="n"/>
      <c r="D367" s="205" t="n"/>
      <c r="E367" s="205" t="n"/>
      <c r="F367" s="205" t="n"/>
      <c r="G367" s="206" t="n"/>
      <c r="H367" s="205" t="n"/>
      <c r="I367" s="28" t="n"/>
      <c r="J367" s="205" t="n"/>
      <c r="K367" s="205" t="n"/>
      <c r="L367" s="205" t="n"/>
      <c r="M367" s="205" t="n"/>
      <c r="N367" s="205" t="n"/>
      <c r="O367" s="183" t="n"/>
      <c r="P367" s="183" t="n"/>
      <c r="Q367" s="183" t="n"/>
      <c r="R367" s="183" t="n"/>
      <c r="S367" s="183" t="n"/>
      <c r="T367" s="183" t="n"/>
      <c r="U367" s="183" t="n"/>
      <c r="V367" s="183" t="n"/>
      <c r="W367" s="183" t="n"/>
      <c r="X367" s="183" t="n"/>
      <c r="Y367" s="183" t="n"/>
      <c r="Z367" s="183" t="n"/>
      <c r="AA367" s="183" t="n"/>
    </row>
    <row r="368" ht="45.75" customHeight="1" s="222">
      <c r="A368" s="205" t="n"/>
      <c r="B368" s="205" t="n"/>
      <c r="C368" s="205" t="n"/>
      <c r="D368" s="205" t="n"/>
      <c r="E368" s="205" t="n"/>
      <c r="F368" s="205" t="n"/>
      <c r="G368" s="206" t="n"/>
      <c r="H368" s="205" t="n"/>
      <c r="I368" s="28" t="n"/>
      <c r="J368" s="205" t="n"/>
      <c r="K368" s="205" t="n"/>
      <c r="L368" s="205" t="n"/>
      <c r="M368" s="205" t="n"/>
      <c r="N368" s="205" t="n"/>
      <c r="O368" s="183" t="n"/>
      <c r="P368" s="183" t="n"/>
      <c r="Q368" s="183" t="n"/>
      <c r="R368" s="183" t="n"/>
      <c r="S368" s="183" t="n"/>
      <c r="T368" s="183" t="n"/>
      <c r="U368" s="183" t="n"/>
      <c r="V368" s="183" t="n"/>
      <c r="W368" s="183" t="n"/>
      <c r="X368" s="183" t="n"/>
      <c r="Y368" s="183" t="n"/>
      <c r="Z368" s="183" t="n"/>
      <c r="AA368" s="183" t="n"/>
    </row>
    <row r="369" ht="45.75" customHeight="1" s="222">
      <c r="A369" s="205" t="n"/>
      <c r="B369" s="205" t="n"/>
      <c r="C369" s="205" t="n"/>
      <c r="D369" s="205" t="n"/>
      <c r="E369" s="205" t="n"/>
      <c r="F369" s="205" t="n"/>
      <c r="G369" s="206" t="n"/>
      <c r="H369" s="205" t="n"/>
      <c r="I369" s="28" t="n"/>
      <c r="J369" s="205" t="n"/>
      <c r="K369" s="205" t="n"/>
      <c r="L369" s="205" t="n"/>
      <c r="M369" s="205" t="n"/>
      <c r="N369" s="205" t="n"/>
      <c r="O369" s="183" t="n"/>
      <c r="P369" s="183" t="n"/>
      <c r="Q369" s="183" t="n"/>
      <c r="R369" s="183" t="n"/>
      <c r="S369" s="183" t="n"/>
      <c r="T369" s="183" t="n"/>
      <c r="U369" s="183" t="n"/>
      <c r="V369" s="183" t="n"/>
      <c r="W369" s="183" t="n"/>
      <c r="X369" s="183" t="n"/>
      <c r="Y369" s="183" t="n"/>
      <c r="Z369" s="183" t="n"/>
      <c r="AA369" s="183" t="n"/>
    </row>
    <row r="370" ht="45.75" customHeight="1" s="222">
      <c r="A370" s="205" t="n"/>
      <c r="B370" s="205" t="n"/>
      <c r="C370" s="205" t="n"/>
      <c r="D370" s="205" t="n"/>
      <c r="E370" s="205" t="n"/>
      <c r="F370" s="205" t="n"/>
      <c r="G370" s="206" t="n"/>
      <c r="H370" s="205" t="n"/>
      <c r="I370" s="28" t="n"/>
      <c r="J370" s="205" t="n"/>
      <c r="K370" s="205" t="n"/>
      <c r="L370" s="205" t="n"/>
      <c r="M370" s="205" t="n"/>
      <c r="N370" s="205" t="n"/>
      <c r="O370" s="183" t="n"/>
      <c r="P370" s="183" t="n"/>
      <c r="Q370" s="183" t="n"/>
      <c r="R370" s="183" t="n"/>
      <c r="S370" s="183" t="n"/>
      <c r="T370" s="183" t="n"/>
      <c r="U370" s="183" t="n"/>
      <c r="V370" s="183" t="n"/>
      <c r="W370" s="183" t="n"/>
      <c r="X370" s="183" t="n"/>
      <c r="Y370" s="183" t="n"/>
      <c r="Z370" s="183" t="n"/>
      <c r="AA370" s="183" t="n"/>
    </row>
    <row r="371" ht="45.75" customHeight="1" s="222">
      <c r="A371" s="205" t="n"/>
      <c r="B371" s="205" t="n"/>
      <c r="C371" s="205" t="n"/>
      <c r="D371" s="205" t="n"/>
      <c r="E371" s="205" t="n"/>
      <c r="F371" s="205" t="n"/>
      <c r="G371" s="206" t="n"/>
      <c r="H371" s="205" t="n"/>
      <c r="I371" s="28" t="n"/>
      <c r="J371" s="205" t="n"/>
      <c r="K371" s="205" t="n"/>
      <c r="L371" s="205" t="n"/>
      <c r="M371" s="205" t="n"/>
      <c r="N371" s="205" t="n"/>
      <c r="O371" s="183" t="n"/>
      <c r="P371" s="183" t="n"/>
      <c r="Q371" s="183" t="n"/>
      <c r="R371" s="183" t="n"/>
      <c r="S371" s="183" t="n"/>
      <c r="T371" s="183" t="n"/>
      <c r="U371" s="183" t="n"/>
      <c r="V371" s="183" t="n"/>
      <c r="W371" s="183" t="n"/>
      <c r="X371" s="183" t="n"/>
      <c r="Y371" s="183" t="n"/>
      <c r="Z371" s="183" t="n"/>
      <c r="AA371" s="183" t="n"/>
    </row>
    <row r="372" ht="45.75" customHeight="1" s="222">
      <c r="A372" s="205" t="n"/>
      <c r="B372" s="205" t="n"/>
      <c r="C372" s="205" t="n"/>
      <c r="D372" s="205" t="n"/>
      <c r="E372" s="205" t="n"/>
      <c r="F372" s="205" t="n"/>
      <c r="G372" s="206" t="n"/>
      <c r="H372" s="205" t="n"/>
      <c r="I372" s="28" t="n"/>
      <c r="J372" s="205" t="n"/>
      <c r="K372" s="205" t="n"/>
      <c r="L372" s="205" t="n"/>
      <c r="M372" s="205" t="n"/>
      <c r="N372" s="205" t="n"/>
      <c r="O372" s="183" t="n"/>
      <c r="P372" s="183" t="n"/>
      <c r="Q372" s="183" t="n"/>
      <c r="R372" s="183" t="n"/>
      <c r="S372" s="183" t="n"/>
      <c r="T372" s="183" t="n"/>
      <c r="U372" s="183" t="n"/>
      <c r="V372" s="183" t="n"/>
      <c r="W372" s="183" t="n"/>
      <c r="X372" s="183" t="n"/>
      <c r="Y372" s="183" t="n"/>
      <c r="Z372" s="183" t="n"/>
      <c r="AA372" s="183" t="n"/>
    </row>
    <row r="373" ht="45.75" customHeight="1" s="222">
      <c r="A373" s="205" t="n"/>
      <c r="B373" s="205" t="n"/>
      <c r="C373" s="205" t="n"/>
      <c r="D373" s="205" t="n"/>
      <c r="E373" s="205" t="n"/>
      <c r="F373" s="205" t="n"/>
      <c r="G373" s="206" t="n"/>
      <c r="H373" s="205" t="n"/>
      <c r="I373" s="28" t="n"/>
      <c r="J373" s="205" t="n"/>
      <c r="K373" s="205" t="n"/>
      <c r="L373" s="205" t="n"/>
      <c r="M373" s="205" t="n"/>
      <c r="N373" s="205" t="n"/>
      <c r="O373" s="183" t="n"/>
      <c r="P373" s="183" t="n"/>
      <c r="Q373" s="183" t="n"/>
      <c r="R373" s="183" t="n"/>
      <c r="S373" s="183" t="n"/>
      <c r="T373" s="183" t="n"/>
      <c r="U373" s="183" t="n"/>
      <c r="V373" s="183" t="n"/>
      <c r="W373" s="183" t="n"/>
      <c r="X373" s="183" t="n"/>
      <c r="Y373" s="183" t="n"/>
      <c r="Z373" s="183" t="n"/>
      <c r="AA373" s="183" t="n"/>
    </row>
    <row r="374" ht="45.75" customHeight="1" s="222">
      <c r="A374" s="205" t="n"/>
      <c r="B374" s="205" t="n"/>
      <c r="C374" s="205" t="n"/>
      <c r="D374" s="205" t="n"/>
      <c r="E374" s="205" t="n"/>
      <c r="F374" s="205" t="n"/>
      <c r="G374" s="206" t="n"/>
      <c r="H374" s="205" t="n"/>
      <c r="I374" s="28" t="n"/>
      <c r="J374" s="205" t="n"/>
      <c r="K374" s="205" t="n"/>
      <c r="L374" s="205" t="n"/>
      <c r="M374" s="205" t="n"/>
      <c r="N374" s="205" t="n"/>
      <c r="O374" s="183" t="n"/>
      <c r="P374" s="183" t="n"/>
      <c r="Q374" s="183" t="n"/>
      <c r="R374" s="183" t="n"/>
      <c r="S374" s="183" t="n"/>
      <c r="T374" s="183" t="n"/>
      <c r="U374" s="183" t="n"/>
      <c r="V374" s="183" t="n"/>
      <c r="W374" s="183" t="n"/>
      <c r="X374" s="183" t="n"/>
      <c r="Y374" s="183" t="n"/>
      <c r="Z374" s="183" t="n"/>
      <c r="AA374" s="183" t="n"/>
    </row>
    <row r="375" ht="45.75" customHeight="1" s="222">
      <c r="A375" s="205" t="n"/>
      <c r="B375" s="205" t="n"/>
      <c r="C375" s="205" t="n"/>
      <c r="D375" s="205" t="n"/>
      <c r="E375" s="205" t="n"/>
      <c r="F375" s="205" t="n"/>
      <c r="G375" s="206" t="n"/>
      <c r="H375" s="205" t="n"/>
      <c r="I375" s="28" t="n"/>
      <c r="J375" s="205" t="n"/>
      <c r="K375" s="205" t="n"/>
      <c r="L375" s="205" t="n"/>
      <c r="M375" s="205" t="n"/>
      <c r="N375" s="205" t="n"/>
      <c r="O375" s="183" t="n"/>
      <c r="P375" s="183" t="n"/>
      <c r="Q375" s="183" t="n"/>
      <c r="R375" s="183" t="n"/>
      <c r="S375" s="183" t="n"/>
      <c r="T375" s="183" t="n"/>
      <c r="U375" s="183" t="n"/>
      <c r="V375" s="183" t="n"/>
      <c r="W375" s="183" t="n"/>
      <c r="X375" s="183" t="n"/>
      <c r="Y375" s="183" t="n"/>
      <c r="Z375" s="183" t="n"/>
      <c r="AA375" s="183" t="n"/>
    </row>
    <row r="376" ht="45.75" customHeight="1" s="222">
      <c r="A376" s="205" t="n"/>
      <c r="B376" s="205" t="n"/>
      <c r="C376" s="205" t="n"/>
      <c r="D376" s="205" t="n"/>
      <c r="E376" s="205" t="n"/>
      <c r="F376" s="205" t="n"/>
      <c r="G376" s="206" t="n"/>
      <c r="H376" s="205" t="n"/>
      <c r="I376" s="28" t="n"/>
      <c r="J376" s="205" t="n"/>
      <c r="K376" s="205" t="n"/>
      <c r="L376" s="205" t="n"/>
      <c r="M376" s="205" t="n"/>
      <c r="N376" s="205" t="n"/>
      <c r="O376" s="183" t="n"/>
      <c r="P376" s="183" t="n"/>
      <c r="Q376" s="183" t="n"/>
      <c r="R376" s="183" t="n"/>
      <c r="S376" s="183" t="n"/>
      <c r="T376" s="183" t="n"/>
      <c r="U376" s="183" t="n"/>
      <c r="V376" s="183" t="n"/>
      <c r="W376" s="183" t="n"/>
      <c r="X376" s="183" t="n"/>
      <c r="Y376" s="183" t="n"/>
      <c r="Z376" s="183" t="n"/>
      <c r="AA376" s="183" t="n"/>
    </row>
    <row r="377" ht="45.75" customHeight="1" s="222">
      <c r="A377" s="205" t="n"/>
      <c r="B377" s="205" t="n"/>
      <c r="C377" s="205" t="n"/>
      <c r="D377" s="205" t="n"/>
      <c r="E377" s="205" t="n"/>
      <c r="F377" s="205" t="n"/>
      <c r="G377" s="206" t="n"/>
      <c r="H377" s="205" t="n"/>
      <c r="I377" s="28" t="n"/>
      <c r="J377" s="205" t="n"/>
      <c r="K377" s="205" t="n"/>
      <c r="L377" s="205" t="n"/>
      <c r="M377" s="205" t="n"/>
      <c r="N377" s="205" t="n"/>
      <c r="O377" s="183" t="n"/>
      <c r="P377" s="183" t="n"/>
      <c r="Q377" s="183" t="n"/>
      <c r="R377" s="183" t="n"/>
      <c r="S377" s="183" t="n"/>
      <c r="T377" s="183" t="n"/>
      <c r="U377" s="183" t="n"/>
      <c r="V377" s="183" t="n"/>
      <c r="W377" s="183" t="n"/>
      <c r="X377" s="183" t="n"/>
      <c r="Y377" s="183" t="n"/>
      <c r="Z377" s="183" t="n"/>
      <c r="AA377" s="183" t="n"/>
    </row>
    <row r="378" ht="45.75" customHeight="1" s="222">
      <c r="A378" s="205" t="n"/>
      <c r="B378" s="205" t="n"/>
      <c r="C378" s="205" t="n"/>
      <c r="D378" s="205" t="n"/>
      <c r="E378" s="205" t="n"/>
      <c r="F378" s="205" t="n"/>
      <c r="G378" s="206" t="n"/>
      <c r="H378" s="205" t="n"/>
      <c r="I378" s="28" t="n"/>
      <c r="J378" s="205" t="n"/>
      <c r="K378" s="205" t="n"/>
      <c r="L378" s="205" t="n"/>
      <c r="M378" s="205" t="n"/>
      <c r="N378" s="205" t="n"/>
      <c r="O378" s="183" t="n"/>
      <c r="P378" s="183" t="n"/>
      <c r="Q378" s="183" t="n"/>
      <c r="R378" s="183" t="n"/>
      <c r="S378" s="183" t="n"/>
      <c r="T378" s="183" t="n"/>
      <c r="U378" s="183" t="n"/>
      <c r="V378" s="183" t="n"/>
      <c r="W378" s="183" t="n"/>
      <c r="X378" s="183" t="n"/>
      <c r="Y378" s="183" t="n"/>
      <c r="Z378" s="183" t="n"/>
      <c r="AA378" s="183" t="n"/>
    </row>
    <row r="379" ht="45.75" customHeight="1" s="222">
      <c r="A379" s="205" t="n"/>
      <c r="B379" s="205" t="n"/>
      <c r="C379" s="205" t="n"/>
      <c r="D379" s="205" t="n"/>
      <c r="E379" s="205" t="n"/>
      <c r="F379" s="205" t="n"/>
      <c r="G379" s="206" t="n"/>
      <c r="H379" s="205" t="n"/>
      <c r="I379" s="28" t="n"/>
      <c r="J379" s="205" t="n"/>
      <c r="K379" s="205" t="n"/>
      <c r="L379" s="205" t="n"/>
      <c r="M379" s="205" t="n"/>
      <c r="N379" s="205" t="n"/>
      <c r="O379" s="183" t="n"/>
      <c r="P379" s="183" t="n"/>
      <c r="Q379" s="183" t="n"/>
      <c r="R379" s="183" t="n"/>
      <c r="S379" s="183" t="n"/>
      <c r="T379" s="183" t="n"/>
      <c r="U379" s="183" t="n"/>
      <c r="V379" s="183" t="n"/>
      <c r="W379" s="183" t="n"/>
      <c r="X379" s="183" t="n"/>
      <c r="Y379" s="183" t="n"/>
      <c r="Z379" s="183" t="n"/>
      <c r="AA379" s="183" t="n"/>
    </row>
    <row r="380" ht="45.75" customHeight="1" s="222">
      <c r="A380" s="205" t="n"/>
      <c r="B380" s="205" t="n"/>
      <c r="C380" s="205" t="n"/>
      <c r="D380" s="205" t="n"/>
      <c r="E380" s="205" t="n"/>
      <c r="F380" s="205" t="n"/>
      <c r="G380" s="206" t="n"/>
      <c r="H380" s="205" t="n"/>
      <c r="I380" s="28" t="n"/>
      <c r="J380" s="205" t="n"/>
      <c r="K380" s="205" t="n"/>
      <c r="L380" s="205" t="n"/>
      <c r="M380" s="205" t="n"/>
      <c r="N380" s="205" t="n"/>
      <c r="O380" s="183" t="n"/>
      <c r="P380" s="183" t="n"/>
      <c r="Q380" s="183" t="n"/>
      <c r="R380" s="183" t="n"/>
      <c r="S380" s="183" t="n"/>
      <c r="T380" s="183" t="n"/>
      <c r="U380" s="183" t="n"/>
      <c r="V380" s="183" t="n"/>
      <c r="W380" s="183" t="n"/>
      <c r="X380" s="183" t="n"/>
      <c r="Y380" s="183" t="n"/>
      <c r="Z380" s="183" t="n"/>
      <c r="AA380" s="183" t="n"/>
    </row>
    <row r="381" ht="45.75" customHeight="1" s="222">
      <c r="A381" s="205" t="n"/>
      <c r="B381" s="205" t="n"/>
      <c r="C381" s="205" t="n"/>
      <c r="D381" s="205" t="n"/>
      <c r="E381" s="205" t="n"/>
      <c r="F381" s="205" t="n"/>
      <c r="G381" s="206" t="n"/>
      <c r="H381" s="205" t="n"/>
      <c r="I381" s="28" t="n"/>
      <c r="J381" s="205" t="n"/>
      <c r="K381" s="205" t="n"/>
      <c r="L381" s="205" t="n"/>
      <c r="M381" s="205" t="n"/>
      <c r="N381" s="205" t="n"/>
      <c r="O381" s="183" t="n"/>
      <c r="P381" s="183" t="n"/>
      <c r="Q381" s="183" t="n"/>
      <c r="R381" s="183" t="n"/>
      <c r="S381" s="183" t="n"/>
      <c r="T381" s="183" t="n"/>
      <c r="U381" s="183" t="n"/>
      <c r="V381" s="183" t="n"/>
      <c r="W381" s="183" t="n"/>
      <c r="X381" s="183" t="n"/>
      <c r="Y381" s="183" t="n"/>
      <c r="Z381" s="183" t="n"/>
      <c r="AA381" s="183" t="n"/>
    </row>
    <row r="382" ht="45.75" customHeight="1" s="222">
      <c r="A382" s="205" t="n"/>
      <c r="B382" s="205" t="n"/>
      <c r="C382" s="205" t="n"/>
      <c r="D382" s="205" t="n"/>
      <c r="E382" s="205" t="n"/>
      <c r="F382" s="205" t="n"/>
      <c r="G382" s="206" t="n"/>
      <c r="H382" s="205" t="n"/>
      <c r="I382" s="28" t="n"/>
      <c r="J382" s="205" t="n"/>
      <c r="K382" s="205" t="n"/>
      <c r="L382" s="205" t="n"/>
      <c r="M382" s="205" t="n"/>
      <c r="N382" s="205" t="n"/>
      <c r="O382" s="183" t="n"/>
      <c r="P382" s="183" t="n"/>
      <c r="Q382" s="183" t="n"/>
      <c r="R382" s="183" t="n"/>
      <c r="S382" s="183" t="n"/>
      <c r="T382" s="183" t="n"/>
      <c r="U382" s="183" t="n"/>
      <c r="V382" s="183" t="n"/>
      <c r="W382" s="183" t="n"/>
      <c r="X382" s="183" t="n"/>
      <c r="Y382" s="183" t="n"/>
      <c r="Z382" s="183" t="n"/>
      <c r="AA382" s="183" t="n"/>
    </row>
    <row r="383" ht="45.75" customHeight="1" s="222">
      <c r="A383" s="205" t="n"/>
      <c r="B383" s="205" t="n"/>
      <c r="C383" s="205" t="n"/>
      <c r="D383" s="205" t="n"/>
      <c r="E383" s="205" t="n"/>
      <c r="F383" s="205" t="n"/>
      <c r="G383" s="206" t="n"/>
      <c r="H383" s="205" t="n"/>
      <c r="I383" s="28" t="n"/>
      <c r="J383" s="205" t="n"/>
      <c r="K383" s="205" t="n"/>
      <c r="L383" s="205" t="n"/>
      <c r="M383" s="205" t="n"/>
      <c r="N383" s="205" t="n"/>
      <c r="O383" s="183" t="n"/>
      <c r="P383" s="183" t="n"/>
      <c r="Q383" s="183" t="n"/>
      <c r="R383" s="183" t="n"/>
      <c r="S383" s="183" t="n"/>
      <c r="T383" s="183" t="n"/>
      <c r="U383" s="183" t="n"/>
      <c r="V383" s="183" t="n"/>
      <c r="W383" s="183" t="n"/>
      <c r="X383" s="183" t="n"/>
      <c r="Y383" s="183" t="n"/>
      <c r="Z383" s="183" t="n"/>
      <c r="AA383" s="183" t="n"/>
    </row>
    <row r="384" ht="45.75" customHeight="1" s="222">
      <c r="A384" s="205" t="n"/>
      <c r="B384" s="205" t="n"/>
      <c r="C384" s="205" t="n"/>
      <c r="D384" s="205" t="n"/>
      <c r="E384" s="205" t="n"/>
      <c r="F384" s="205" t="n"/>
      <c r="G384" s="206" t="n"/>
      <c r="H384" s="205" t="n"/>
      <c r="I384" s="28" t="n"/>
      <c r="J384" s="205" t="n"/>
      <c r="K384" s="205" t="n"/>
      <c r="L384" s="205" t="n"/>
      <c r="M384" s="205" t="n"/>
      <c r="N384" s="205" t="n"/>
      <c r="O384" s="183" t="n"/>
      <c r="P384" s="183" t="n"/>
      <c r="Q384" s="183" t="n"/>
      <c r="R384" s="183" t="n"/>
      <c r="S384" s="183" t="n"/>
      <c r="T384" s="183" t="n"/>
      <c r="U384" s="183" t="n"/>
      <c r="V384" s="183" t="n"/>
      <c r="W384" s="183" t="n"/>
      <c r="X384" s="183" t="n"/>
      <c r="Y384" s="183" t="n"/>
      <c r="Z384" s="183" t="n"/>
      <c r="AA384" s="183" t="n"/>
    </row>
    <row r="385" ht="45.75" customHeight="1" s="222">
      <c r="A385" s="205" t="n"/>
      <c r="B385" s="205" t="n"/>
      <c r="C385" s="205" t="n"/>
      <c r="D385" s="205" t="n"/>
      <c r="E385" s="205" t="n"/>
      <c r="F385" s="205" t="n"/>
      <c r="G385" s="206" t="n"/>
      <c r="H385" s="205" t="n"/>
      <c r="I385" s="28" t="n"/>
      <c r="J385" s="205" t="n"/>
      <c r="K385" s="205" t="n"/>
      <c r="L385" s="205" t="n"/>
      <c r="M385" s="205" t="n"/>
      <c r="N385" s="205" t="n"/>
      <c r="O385" s="183" t="n"/>
      <c r="P385" s="183" t="n"/>
      <c r="Q385" s="183" t="n"/>
      <c r="R385" s="183" t="n"/>
      <c r="S385" s="183" t="n"/>
      <c r="T385" s="183" t="n"/>
      <c r="U385" s="183" t="n"/>
      <c r="V385" s="183" t="n"/>
      <c r="W385" s="183" t="n"/>
      <c r="X385" s="183" t="n"/>
      <c r="Y385" s="183" t="n"/>
      <c r="Z385" s="183" t="n"/>
      <c r="AA385" s="183" t="n"/>
    </row>
    <row r="386" ht="45.75" customHeight="1" s="222">
      <c r="A386" s="205" t="n"/>
      <c r="B386" s="205" t="n"/>
      <c r="C386" s="205" t="n"/>
      <c r="D386" s="205" t="n"/>
      <c r="E386" s="205" t="n"/>
      <c r="F386" s="205" t="n"/>
      <c r="G386" s="206" t="n"/>
      <c r="H386" s="205" t="n"/>
      <c r="I386" s="28" t="n"/>
      <c r="J386" s="205" t="n"/>
      <c r="K386" s="205" t="n"/>
      <c r="L386" s="205" t="n"/>
      <c r="M386" s="205" t="n"/>
      <c r="N386" s="205" t="n"/>
      <c r="O386" s="183" t="n"/>
      <c r="P386" s="183" t="n"/>
      <c r="Q386" s="183" t="n"/>
      <c r="R386" s="183" t="n"/>
      <c r="S386" s="183" t="n"/>
      <c r="T386" s="183" t="n"/>
      <c r="U386" s="183" t="n"/>
      <c r="V386" s="183" t="n"/>
      <c r="W386" s="183" t="n"/>
      <c r="X386" s="183" t="n"/>
      <c r="Y386" s="183" t="n"/>
      <c r="Z386" s="183" t="n"/>
      <c r="AA386" s="183" t="n"/>
    </row>
    <row r="387" ht="45.75" customHeight="1" s="222">
      <c r="A387" s="205" t="n"/>
      <c r="B387" s="205" t="n"/>
      <c r="C387" s="205" t="n"/>
      <c r="D387" s="205" t="n"/>
      <c r="E387" s="205" t="n"/>
      <c r="F387" s="205" t="n"/>
      <c r="G387" s="206" t="n"/>
      <c r="H387" s="205" t="n"/>
      <c r="I387" s="28" t="n"/>
      <c r="J387" s="205" t="n"/>
      <c r="K387" s="205" t="n"/>
      <c r="L387" s="205" t="n"/>
      <c r="M387" s="205" t="n"/>
      <c r="N387" s="205" t="n"/>
      <c r="O387" s="183" t="n"/>
      <c r="P387" s="183" t="n"/>
      <c r="Q387" s="183" t="n"/>
      <c r="R387" s="183" t="n"/>
      <c r="S387" s="183" t="n"/>
      <c r="T387" s="183" t="n"/>
      <c r="U387" s="183" t="n"/>
      <c r="V387" s="183" t="n"/>
      <c r="W387" s="183" t="n"/>
      <c r="X387" s="183" t="n"/>
      <c r="Y387" s="183" t="n"/>
      <c r="Z387" s="183" t="n"/>
      <c r="AA387" s="183" t="n"/>
    </row>
    <row r="388" ht="45.75" customHeight="1" s="222">
      <c r="A388" s="205" t="n"/>
      <c r="B388" s="205" t="n"/>
      <c r="C388" s="205" t="n"/>
      <c r="D388" s="205" t="n"/>
      <c r="E388" s="205" t="n"/>
      <c r="F388" s="205" t="n"/>
      <c r="G388" s="206" t="n"/>
      <c r="H388" s="205" t="n"/>
      <c r="I388" s="28" t="n"/>
      <c r="J388" s="205" t="n"/>
      <c r="K388" s="205" t="n"/>
      <c r="L388" s="205" t="n"/>
      <c r="M388" s="205" t="n"/>
      <c r="N388" s="205" t="n"/>
      <c r="O388" s="183" t="n"/>
      <c r="P388" s="183" t="n"/>
      <c r="Q388" s="183" t="n"/>
      <c r="R388" s="183" t="n"/>
      <c r="S388" s="183" t="n"/>
      <c r="T388" s="183" t="n"/>
      <c r="U388" s="183" t="n"/>
      <c r="V388" s="183" t="n"/>
      <c r="W388" s="183" t="n"/>
      <c r="X388" s="183" t="n"/>
      <c r="Y388" s="183" t="n"/>
      <c r="Z388" s="183" t="n"/>
      <c r="AA388" s="183" t="n"/>
    </row>
    <row r="389" ht="45.75" customHeight="1" s="222">
      <c r="A389" s="205" t="n"/>
      <c r="B389" s="205" t="n"/>
      <c r="C389" s="205" t="n"/>
      <c r="D389" s="205" t="n"/>
      <c r="E389" s="205" t="n"/>
      <c r="F389" s="205" t="n"/>
      <c r="G389" s="206" t="n"/>
      <c r="H389" s="205" t="n"/>
      <c r="I389" s="28" t="n"/>
      <c r="J389" s="205" t="n"/>
      <c r="K389" s="205" t="n"/>
      <c r="L389" s="205" t="n"/>
      <c r="M389" s="205" t="n"/>
      <c r="N389" s="205" t="n"/>
      <c r="O389" s="183" t="n"/>
      <c r="P389" s="183" t="n"/>
      <c r="Q389" s="183" t="n"/>
      <c r="R389" s="183" t="n"/>
      <c r="S389" s="183" t="n"/>
      <c r="T389" s="183" t="n"/>
      <c r="U389" s="183" t="n"/>
      <c r="V389" s="183" t="n"/>
      <c r="W389" s="183" t="n"/>
      <c r="X389" s="183" t="n"/>
      <c r="Y389" s="183" t="n"/>
      <c r="Z389" s="183" t="n"/>
      <c r="AA389" s="183" t="n"/>
    </row>
    <row r="390" ht="45.75" customHeight="1" s="222">
      <c r="A390" s="205" t="n"/>
      <c r="B390" s="205" t="n"/>
      <c r="C390" s="205" t="n"/>
      <c r="D390" s="205" t="n"/>
      <c r="E390" s="205" t="n"/>
      <c r="F390" s="205" t="n"/>
      <c r="G390" s="206" t="n"/>
      <c r="H390" s="205" t="n"/>
      <c r="I390" s="28" t="n"/>
      <c r="J390" s="205" t="n"/>
      <c r="K390" s="205" t="n"/>
      <c r="L390" s="205" t="n"/>
      <c r="M390" s="205" t="n"/>
      <c r="N390" s="205" t="n"/>
      <c r="O390" s="183" t="n"/>
      <c r="P390" s="183" t="n"/>
      <c r="Q390" s="183" t="n"/>
      <c r="R390" s="183" t="n"/>
      <c r="S390" s="183" t="n"/>
      <c r="T390" s="183" t="n"/>
      <c r="U390" s="183" t="n"/>
      <c r="V390" s="183" t="n"/>
      <c r="W390" s="183" t="n"/>
      <c r="X390" s="183" t="n"/>
      <c r="Y390" s="183" t="n"/>
      <c r="Z390" s="183" t="n"/>
      <c r="AA390" s="183" t="n"/>
    </row>
    <row r="391" ht="45.75" customHeight="1" s="222">
      <c r="A391" s="205" t="n"/>
      <c r="B391" s="205" t="n"/>
      <c r="C391" s="205" t="n"/>
      <c r="D391" s="205" t="n"/>
      <c r="E391" s="205" t="n"/>
      <c r="F391" s="205" t="n"/>
      <c r="G391" s="206" t="n"/>
      <c r="H391" s="205" t="n"/>
      <c r="I391" s="28" t="n"/>
      <c r="J391" s="205" t="n"/>
      <c r="K391" s="205" t="n"/>
      <c r="L391" s="205" t="n"/>
      <c r="M391" s="205" t="n"/>
      <c r="N391" s="205" t="n"/>
      <c r="O391" s="183" t="n"/>
      <c r="P391" s="183" t="n"/>
      <c r="Q391" s="183" t="n"/>
      <c r="R391" s="183" t="n"/>
      <c r="S391" s="183" t="n"/>
      <c r="T391" s="183" t="n"/>
      <c r="U391" s="183" t="n"/>
      <c r="V391" s="183" t="n"/>
      <c r="W391" s="183" t="n"/>
      <c r="X391" s="183" t="n"/>
      <c r="Y391" s="183" t="n"/>
      <c r="Z391" s="183" t="n"/>
      <c r="AA391" s="183" t="n"/>
    </row>
    <row r="392" ht="45.75" customHeight="1" s="222">
      <c r="A392" s="205" t="n"/>
      <c r="B392" s="205" t="n"/>
      <c r="C392" s="205" t="n"/>
      <c r="D392" s="205" t="n"/>
      <c r="E392" s="205" t="n"/>
      <c r="F392" s="205" t="n"/>
      <c r="G392" s="206" t="n"/>
      <c r="H392" s="205" t="n"/>
      <c r="I392" s="28" t="n"/>
      <c r="J392" s="205" t="n"/>
      <c r="K392" s="205" t="n"/>
      <c r="L392" s="205" t="n"/>
      <c r="M392" s="205" t="n"/>
      <c r="N392" s="205" t="n"/>
      <c r="O392" s="183" t="n"/>
      <c r="P392" s="183" t="n"/>
      <c r="Q392" s="183" t="n"/>
      <c r="R392" s="183" t="n"/>
      <c r="S392" s="183" t="n"/>
      <c r="T392" s="183" t="n"/>
      <c r="U392" s="183" t="n"/>
      <c r="V392" s="183" t="n"/>
      <c r="W392" s="183" t="n"/>
      <c r="X392" s="183" t="n"/>
      <c r="Y392" s="183" t="n"/>
      <c r="Z392" s="183" t="n"/>
      <c r="AA392" s="183" t="n"/>
    </row>
    <row r="393" ht="45.75" customHeight="1" s="222">
      <c r="A393" s="205" t="n"/>
      <c r="B393" s="205" t="n"/>
      <c r="C393" s="205" t="n"/>
      <c r="D393" s="205" t="n"/>
      <c r="E393" s="205" t="n"/>
      <c r="F393" s="205" t="n"/>
      <c r="G393" s="206" t="n"/>
      <c r="H393" s="205" t="n"/>
      <c r="I393" s="28" t="n"/>
      <c r="J393" s="205" t="n"/>
      <c r="K393" s="205" t="n"/>
      <c r="L393" s="205" t="n"/>
      <c r="M393" s="205" t="n"/>
      <c r="N393" s="205" t="n"/>
      <c r="O393" s="183" t="n"/>
      <c r="P393" s="183" t="n"/>
      <c r="Q393" s="183" t="n"/>
      <c r="R393" s="183" t="n"/>
      <c r="S393" s="183" t="n"/>
      <c r="T393" s="183" t="n"/>
      <c r="U393" s="183" t="n"/>
      <c r="V393" s="183" t="n"/>
      <c r="W393" s="183" t="n"/>
      <c r="X393" s="183" t="n"/>
      <c r="Y393" s="183" t="n"/>
      <c r="Z393" s="183" t="n"/>
      <c r="AA393" s="183" t="n"/>
    </row>
    <row r="394" ht="45.75" customHeight="1" s="222">
      <c r="A394" s="205" t="n"/>
      <c r="B394" s="205" t="n"/>
      <c r="C394" s="205" t="n"/>
      <c r="D394" s="205" t="n"/>
      <c r="E394" s="205" t="n"/>
      <c r="F394" s="205" t="n"/>
      <c r="G394" s="206" t="n"/>
      <c r="H394" s="205" t="n"/>
      <c r="I394" s="28" t="n"/>
      <c r="J394" s="205" t="n"/>
      <c r="K394" s="205" t="n"/>
      <c r="L394" s="205" t="n"/>
      <c r="M394" s="205" t="n"/>
      <c r="N394" s="205" t="n"/>
      <c r="O394" s="183" t="n"/>
      <c r="P394" s="183" t="n"/>
      <c r="Q394" s="183" t="n"/>
      <c r="R394" s="183" t="n"/>
      <c r="S394" s="183" t="n"/>
      <c r="T394" s="183" t="n"/>
      <c r="U394" s="183" t="n"/>
      <c r="V394" s="183" t="n"/>
      <c r="W394" s="183" t="n"/>
      <c r="X394" s="183" t="n"/>
      <c r="Y394" s="183" t="n"/>
      <c r="Z394" s="183" t="n"/>
      <c r="AA394" s="183" t="n"/>
    </row>
    <row r="395" ht="45.75" customHeight="1" s="222">
      <c r="A395" s="205" t="n"/>
      <c r="B395" s="205" t="n"/>
      <c r="C395" s="205" t="n"/>
      <c r="D395" s="205" t="n"/>
      <c r="E395" s="205" t="n"/>
      <c r="F395" s="205" t="n"/>
      <c r="G395" s="206" t="n"/>
      <c r="H395" s="205" t="n"/>
      <c r="I395" s="28" t="n"/>
      <c r="J395" s="205" t="n"/>
      <c r="K395" s="205" t="n"/>
      <c r="L395" s="205" t="n"/>
      <c r="M395" s="205" t="n"/>
      <c r="N395" s="205" t="n"/>
      <c r="O395" s="183" t="n"/>
      <c r="P395" s="183" t="n"/>
      <c r="Q395" s="183" t="n"/>
      <c r="R395" s="183" t="n"/>
      <c r="S395" s="183" t="n"/>
      <c r="T395" s="183" t="n"/>
      <c r="U395" s="183" t="n"/>
      <c r="V395" s="183" t="n"/>
      <c r="W395" s="183" t="n"/>
      <c r="X395" s="183" t="n"/>
      <c r="Y395" s="183" t="n"/>
      <c r="Z395" s="183" t="n"/>
      <c r="AA395" s="183" t="n"/>
    </row>
    <row r="396" ht="45.75" customHeight="1" s="222">
      <c r="A396" s="205" t="n"/>
      <c r="B396" s="205" t="n"/>
      <c r="C396" s="205" t="n"/>
      <c r="D396" s="205" t="n"/>
      <c r="E396" s="205" t="n"/>
      <c r="F396" s="205" t="n"/>
      <c r="G396" s="206" t="n"/>
      <c r="H396" s="205" t="n"/>
      <c r="I396" s="28" t="n"/>
      <c r="J396" s="205" t="n"/>
      <c r="K396" s="205" t="n"/>
      <c r="L396" s="205" t="n"/>
      <c r="M396" s="205" t="n"/>
      <c r="N396" s="205" t="n"/>
      <c r="O396" s="183" t="n"/>
      <c r="P396" s="183" t="n"/>
      <c r="Q396" s="183" t="n"/>
      <c r="R396" s="183" t="n"/>
      <c r="S396" s="183" t="n"/>
      <c r="T396" s="183" t="n"/>
      <c r="U396" s="183" t="n"/>
      <c r="V396" s="183" t="n"/>
      <c r="W396" s="183" t="n"/>
      <c r="X396" s="183" t="n"/>
      <c r="Y396" s="183" t="n"/>
      <c r="Z396" s="183" t="n"/>
      <c r="AA396" s="183" t="n"/>
    </row>
    <row r="397" ht="45.75" customHeight="1" s="222">
      <c r="A397" s="205" t="n"/>
      <c r="B397" s="205" t="n"/>
      <c r="C397" s="205" t="n"/>
      <c r="D397" s="205" t="n"/>
      <c r="E397" s="205" t="n"/>
      <c r="F397" s="205" t="n"/>
      <c r="G397" s="206" t="n"/>
      <c r="H397" s="205" t="n"/>
      <c r="I397" s="28" t="n"/>
      <c r="J397" s="205" t="n"/>
      <c r="K397" s="205" t="n"/>
      <c r="L397" s="205" t="n"/>
      <c r="M397" s="205" t="n"/>
      <c r="N397" s="205" t="n"/>
      <c r="O397" s="183" t="n"/>
      <c r="P397" s="183" t="n"/>
      <c r="Q397" s="183" t="n"/>
      <c r="R397" s="183" t="n"/>
      <c r="S397" s="183" t="n"/>
      <c r="T397" s="183" t="n"/>
      <c r="U397" s="183" t="n"/>
      <c r="V397" s="183" t="n"/>
      <c r="W397" s="183" t="n"/>
      <c r="X397" s="183" t="n"/>
      <c r="Y397" s="183" t="n"/>
      <c r="Z397" s="183" t="n"/>
      <c r="AA397" s="183" t="n"/>
    </row>
    <row r="398" ht="45.75" customHeight="1" s="222">
      <c r="A398" s="205" t="n"/>
      <c r="B398" s="205" t="n"/>
      <c r="C398" s="205" t="n"/>
      <c r="D398" s="205" t="n"/>
      <c r="E398" s="205" t="n"/>
      <c r="F398" s="205" t="n"/>
      <c r="G398" s="206" t="n"/>
      <c r="H398" s="205" t="n"/>
      <c r="I398" s="28" t="n"/>
      <c r="J398" s="205" t="n"/>
      <c r="K398" s="205" t="n"/>
      <c r="L398" s="205" t="n"/>
      <c r="M398" s="205" t="n"/>
      <c r="N398" s="205" t="n"/>
      <c r="O398" s="183" t="n"/>
      <c r="P398" s="183" t="n"/>
      <c r="Q398" s="183" t="n"/>
      <c r="R398" s="183" t="n"/>
      <c r="S398" s="183" t="n"/>
      <c r="T398" s="183" t="n"/>
      <c r="U398" s="183" t="n"/>
      <c r="V398" s="183" t="n"/>
      <c r="W398" s="183" t="n"/>
      <c r="X398" s="183" t="n"/>
      <c r="Y398" s="183" t="n"/>
      <c r="Z398" s="183" t="n"/>
      <c r="AA398" s="183" t="n"/>
    </row>
    <row r="399" ht="45.75" customHeight="1" s="222">
      <c r="A399" s="205" t="n"/>
      <c r="B399" s="205" t="n"/>
      <c r="C399" s="205" t="n"/>
      <c r="D399" s="205" t="n"/>
      <c r="E399" s="205" t="n"/>
      <c r="F399" s="205" t="n"/>
      <c r="G399" s="206" t="n"/>
      <c r="H399" s="205" t="n"/>
      <c r="I399" s="28" t="n"/>
      <c r="J399" s="205" t="n"/>
      <c r="K399" s="205" t="n"/>
      <c r="L399" s="205" t="n"/>
      <c r="M399" s="205" t="n"/>
      <c r="N399" s="205" t="n"/>
      <c r="O399" s="183" t="n"/>
      <c r="P399" s="183" t="n"/>
      <c r="Q399" s="183" t="n"/>
      <c r="R399" s="183" t="n"/>
      <c r="S399" s="183" t="n"/>
      <c r="T399" s="183" t="n"/>
      <c r="U399" s="183" t="n"/>
      <c r="V399" s="183" t="n"/>
      <c r="W399" s="183" t="n"/>
      <c r="X399" s="183" t="n"/>
      <c r="Y399" s="183" t="n"/>
      <c r="Z399" s="183" t="n"/>
      <c r="AA399" s="183" t="n"/>
    </row>
    <row r="400" ht="45.75" customHeight="1" s="222">
      <c r="A400" s="205" t="n"/>
      <c r="B400" s="205" t="n"/>
      <c r="C400" s="205" t="n"/>
      <c r="D400" s="205" t="n"/>
      <c r="E400" s="205" t="n"/>
      <c r="F400" s="205" t="n"/>
      <c r="G400" s="206" t="n"/>
      <c r="H400" s="205" t="n"/>
      <c r="I400" s="28" t="n"/>
      <c r="J400" s="205" t="n"/>
      <c r="K400" s="205" t="n"/>
      <c r="L400" s="205" t="n"/>
      <c r="M400" s="205" t="n"/>
      <c r="N400" s="205" t="n"/>
      <c r="O400" s="183" t="n"/>
      <c r="P400" s="183" t="n"/>
      <c r="Q400" s="183" t="n"/>
      <c r="R400" s="183" t="n"/>
      <c r="S400" s="183" t="n"/>
      <c r="T400" s="183" t="n"/>
      <c r="U400" s="183" t="n"/>
      <c r="V400" s="183" t="n"/>
      <c r="W400" s="183" t="n"/>
      <c r="X400" s="183" t="n"/>
      <c r="Y400" s="183" t="n"/>
      <c r="Z400" s="183" t="n"/>
      <c r="AA400" s="183" t="n"/>
    </row>
    <row r="401" ht="45.75" customHeight="1" s="222">
      <c r="A401" s="205" t="n"/>
      <c r="B401" s="205" t="n"/>
      <c r="C401" s="205" t="n"/>
      <c r="D401" s="205" t="n"/>
      <c r="E401" s="205" t="n"/>
      <c r="F401" s="205" t="n"/>
      <c r="G401" s="206" t="n"/>
      <c r="H401" s="205" t="n"/>
      <c r="I401" s="28" t="n"/>
      <c r="J401" s="205" t="n"/>
      <c r="K401" s="205" t="n"/>
      <c r="L401" s="205" t="n"/>
      <c r="M401" s="205" t="n"/>
      <c r="N401" s="205" t="n"/>
      <c r="O401" s="183" t="n"/>
      <c r="P401" s="183" t="n"/>
      <c r="Q401" s="183" t="n"/>
      <c r="R401" s="183" t="n"/>
      <c r="S401" s="183" t="n"/>
      <c r="T401" s="183" t="n"/>
      <c r="U401" s="183" t="n"/>
      <c r="V401" s="183" t="n"/>
      <c r="W401" s="183" t="n"/>
      <c r="X401" s="183" t="n"/>
      <c r="Y401" s="183" t="n"/>
      <c r="Z401" s="183" t="n"/>
      <c r="AA401" s="183" t="n"/>
    </row>
    <row r="402" ht="45.75" customHeight="1" s="222">
      <c r="A402" s="205" t="n"/>
      <c r="B402" s="205" t="n"/>
      <c r="C402" s="205" t="n"/>
      <c r="D402" s="205" t="n"/>
      <c r="E402" s="205" t="n"/>
      <c r="F402" s="205" t="n"/>
      <c r="G402" s="206" t="n"/>
      <c r="H402" s="205" t="n"/>
      <c r="I402" s="28" t="n"/>
      <c r="J402" s="205" t="n"/>
      <c r="K402" s="205" t="n"/>
      <c r="L402" s="205" t="n"/>
      <c r="M402" s="205" t="n"/>
      <c r="N402" s="205" t="n"/>
      <c r="O402" s="183" t="n"/>
      <c r="P402" s="183" t="n"/>
      <c r="Q402" s="183" t="n"/>
      <c r="R402" s="183" t="n"/>
      <c r="S402" s="183" t="n"/>
      <c r="T402" s="183" t="n"/>
      <c r="U402" s="183" t="n"/>
      <c r="V402" s="183" t="n"/>
      <c r="W402" s="183" t="n"/>
      <c r="X402" s="183" t="n"/>
      <c r="Y402" s="183" t="n"/>
      <c r="Z402" s="183" t="n"/>
      <c r="AA402" s="183" t="n"/>
    </row>
    <row r="403" ht="45.75" customHeight="1" s="222">
      <c r="A403" s="205" t="n"/>
      <c r="B403" s="205" t="n"/>
      <c r="C403" s="205" t="n"/>
      <c r="D403" s="205" t="n"/>
      <c r="E403" s="205" t="n"/>
      <c r="F403" s="205" t="n"/>
      <c r="G403" s="206" t="n"/>
      <c r="H403" s="205" t="n"/>
      <c r="I403" s="28" t="n"/>
      <c r="J403" s="205" t="n"/>
      <c r="K403" s="205" t="n"/>
      <c r="L403" s="205" t="n"/>
      <c r="M403" s="205" t="n"/>
      <c r="N403" s="205" t="n"/>
      <c r="O403" s="183" t="n"/>
      <c r="P403" s="183" t="n"/>
      <c r="Q403" s="183" t="n"/>
      <c r="R403" s="183" t="n"/>
      <c r="S403" s="183" t="n"/>
      <c r="T403" s="183" t="n"/>
      <c r="U403" s="183" t="n"/>
      <c r="V403" s="183" t="n"/>
      <c r="W403" s="183" t="n"/>
      <c r="X403" s="183" t="n"/>
      <c r="Y403" s="183" t="n"/>
      <c r="Z403" s="183" t="n"/>
      <c r="AA403" s="183" t="n"/>
    </row>
    <row r="404" ht="45.75" customHeight="1" s="222">
      <c r="A404" s="205" t="n"/>
      <c r="B404" s="205" t="n"/>
      <c r="C404" s="205" t="n"/>
      <c r="D404" s="205" t="n"/>
      <c r="E404" s="205" t="n"/>
      <c r="F404" s="205" t="n"/>
      <c r="G404" s="206" t="n"/>
      <c r="H404" s="205" t="n"/>
      <c r="I404" s="28" t="n"/>
      <c r="J404" s="205" t="n"/>
      <c r="K404" s="205" t="n"/>
      <c r="L404" s="205" t="n"/>
      <c r="M404" s="205" t="n"/>
      <c r="N404" s="205" t="n"/>
      <c r="O404" s="183" t="n"/>
      <c r="P404" s="183" t="n"/>
      <c r="Q404" s="183" t="n"/>
      <c r="R404" s="183" t="n"/>
      <c r="S404" s="183" t="n"/>
      <c r="T404" s="183" t="n"/>
      <c r="U404" s="183" t="n"/>
      <c r="V404" s="183" t="n"/>
      <c r="W404" s="183" t="n"/>
      <c r="X404" s="183" t="n"/>
      <c r="Y404" s="183" t="n"/>
      <c r="Z404" s="183" t="n"/>
      <c r="AA404" s="183" t="n"/>
    </row>
    <row r="405" ht="45.75" customHeight="1" s="222">
      <c r="A405" s="205" t="n"/>
      <c r="B405" s="205" t="n"/>
      <c r="C405" s="205" t="n"/>
      <c r="D405" s="205" t="n"/>
      <c r="E405" s="205" t="n"/>
      <c r="F405" s="205" t="n"/>
      <c r="G405" s="206" t="n"/>
      <c r="H405" s="205" t="n"/>
      <c r="I405" s="28" t="n"/>
      <c r="J405" s="205" t="n"/>
      <c r="K405" s="205" t="n"/>
      <c r="L405" s="205" t="n"/>
      <c r="M405" s="205" t="n"/>
      <c r="N405" s="205" t="n"/>
      <c r="O405" s="183" t="n"/>
      <c r="P405" s="183" t="n"/>
      <c r="Q405" s="183" t="n"/>
      <c r="R405" s="183" t="n"/>
      <c r="S405" s="183" t="n"/>
      <c r="T405" s="183" t="n"/>
      <c r="U405" s="183" t="n"/>
      <c r="V405" s="183" t="n"/>
      <c r="W405" s="183" t="n"/>
      <c r="X405" s="183" t="n"/>
      <c r="Y405" s="183" t="n"/>
      <c r="Z405" s="183" t="n"/>
      <c r="AA405" s="183" t="n"/>
    </row>
    <row r="406" ht="45.75" customHeight="1" s="222">
      <c r="A406" s="205" t="n"/>
      <c r="B406" s="205" t="n"/>
      <c r="C406" s="205" t="n"/>
      <c r="D406" s="205" t="n"/>
      <c r="E406" s="205" t="n"/>
      <c r="F406" s="205" t="n"/>
      <c r="G406" s="206" t="n"/>
      <c r="H406" s="205" t="n"/>
      <c r="I406" s="28" t="n"/>
      <c r="J406" s="205" t="n"/>
      <c r="K406" s="205" t="n"/>
      <c r="L406" s="205" t="n"/>
      <c r="M406" s="205" t="n"/>
      <c r="N406" s="205" t="n"/>
      <c r="O406" s="183" t="n"/>
      <c r="P406" s="183" t="n"/>
      <c r="Q406" s="183" t="n"/>
      <c r="R406" s="183" t="n"/>
      <c r="S406" s="183" t="n"/>
      <c r="T406" s="183" t="n"/>
      <c r="U406" s="183" t="n"/>
      <c r="V406" s="183" t="n"/>
      <c r="W406" s="183" t="n"/>
      <c r="X406" s="183" t="n"/>
      <c r="Y406" s="183" t="n"/>
      <c r="Z406" s="183" t="n"/>
      <c r="AA406" s="183" t="n"/>
    </row>
    <row r="407" ht="45.75" customHeight="1" s="222">
      <c r="A407" s="205" t="n"/>
      <c r="B407" s="205" t="n"/>
      <c r="C407" s="205" t="n"/>
      <c r="D407" s="205" t="n"/>
      <c r="E407" s="205" t="n"/>
      <c r="F407" s="205" t="n"/>
      <c r="G407" s="206" t="n"/>
      <c r="H407" s="205" t="n"/>
      <c r="I407" s="28" t="n"/>
      <c r="J407" s="205" t="n"/>
      <c r="K407" s="205" t="n"/>
      <c r="L407" s="205" t="n"/>
      <c r="M407" s="205" t="n"/>
      <c r="N407" s="205" t="n"/>
      <c r="O407" s="183" t="n"/>
      <c r="P407" s="183" t="n"/>
      <c r="Q407" s="183" t="n"/>
      <c r="R407" s="183" t="n"/>
      <c r="S407" s="183" t="n"/>
      <c r="T407" s="183" t="n"/>
      <c r="U407" s="183" t="n"/>
      <c r="V407" s="183" t="n"/>
      <c r="W407" s="183" t="n"/>
      <c r="X407" s="183" t="n"/>
      <c r="Y407" s="183" t="n"/>
      <c r="Z407" s="183" t="n"/>
      <c r="AA407" s="183" t="n"/>
    </row>
    <row r="408" ht="45.75" customHeight="1" s="222">
      <c r="A408" s="205" t="n"/>
      <c r="B408" s="205" t="n"/>
      <c r="C408" s="205" t="n"/>
      <c r="D408" s="205" t="n"/>
      <c r="E408" s="205" t="n"/>
      <c r="F408" s="205" t="n"/>
      <c r="G408" s="206" t="n"/>
      <c r="H408" s="205" t="n"/>
      <c r="I408" s="28" t="n"/>
      <c r="J408" s="205" t="n"/>
      <c r="K408" s="205" t="n"/>
      <c r="L408" s="205" t="n"/>
      <c r="M408" s="205" t="n"/>
      <c r="N408" s="205" t="n"/>
      <c r="O408" s="183" t="n"/>
      <c r="P408" s="183" t="n"/>
      <c r="Q408" s="183" t="n"/>
      <c r="R408" s="183" t="n"/>
      <c r="S408" s="183" t="n"/>
      <c r="T408" s="183" t="n"/>
      <c r="U408" s="183" t="n"/>
      <c r="V408" s="183" t="n"/>
      <c r="W408" s="183" t="n"/>
      <c r="X408" s="183" t="n"/>
      <c r="Y408" s="183" t="n"/>
      <c r="Z408" s="183" t="n"/>
      <c r="AA408" s="183" t="n"/>
    </row>
    <row r="409" ht="45.75" customHeight="1" s="222">
      <c r="A409" s="205" t="n"/>
      <c r="B409" s="205" t="n"/>
      <c r="C409" s="205" t="n"/>
      <c r="D409" s="205" t="n"/>
      <c r="E409" s="205" t="n"/>
      <c r="F409" s="205" t="n"/>
      <c r="G409" s="206" t="n"/>
      <c r="H409" s="205" t="n"/>
      <c r="I409" s="28" t="n"/>
      <c r="J409" s="205" t="n"/>
      <c r="K409" s="205" t="n"/>
      <c r="L409" s="205" t="n"/>
      <c r="M409" s="205" t="n"/>
      <c r="N409" s="205" t="n"/>
      <c r="O409" s="183" t="n"/>
      <c r="P409" s="183" t="n"/>
      <c r="Q409" s="183" t="n"/>
      <c r="R409" s="183" t="n"/>
      <c r="S409" s="183" t="n"/>
      <c r="T409" s="183" t="n"/>
      <c r="U409" s="183" t="n"/>
      <c r="V409" s="183" t="n"/>
      <c r="W409" s="183" t="n"/>
      <c r="X409" s="183" t="n"/>
      <c r="Y409" s="183" t="n"/>
      <c r="Z409" s="183" t="n"/>
      <c r="AA409" s="183" t="n"/>
    </row>
    <row r="410" ht="45.75" customHeight="1" s="222">
      <c r="A410" s="205" t="n"/>
      <c r="B410" s="205" t="n"/>
      <c r="C410" s="205" t="n"/>
      <c r="D410" s="205" t="n"/>
      <c r="E410" s="205" t="n"/>
      <c r="F410" s="205" t="n"/>
      <c r="G410" s="206" t="n"/>
      <c r="H410" s="205" t="n"/>
      <c r="I410" s="28" t="n"/>
      <c r="J410" s="205" t="n"/>
      <c r="K410" s="205" t="n"/>
      <c r="L410" s="205" t="n"/>
      <c r="M410" s="205" t="n"/>
      <c r="N410" s="205" t="n"/>
      <c r="O410" s="183" t="n"/>
      <c r="P410" s="183" t="n"/>
      <c r="Q410" s="183" t="n"/>
      <c r="R410" s="183" t="n"/>
      <c r="S410" s="183" t="n"/>
      <c r="T410" s="183" t="n"/>
      <c r="U410" s="183" t="n"/>
      <c r="V410" s="183" t="n"/>
      <c r="W410" s="183" t="n"/>
      <c r="X410" s="183" t="n"/>
      <c r="Y410" s="183" t="n"/>
      <c r="Z410" s="183" t="n"/>
      <c r="AA410" s="183" t="n"/>
    </row>
    <row r="411" ht="45.75" customHeight="1" s="222">
      <c r="A411" s="205" t="n"/>
      <c r="B411" s="205" t="n"/>
      <c r="C411" s="205" t="n"/>
      <c r="D411" s="205" t="n"/>
      <c r="E411" s="205" t="n"/>
      <c r="F411" s="205" t="n"/>
      <c r="G411" s="206" t="n"/>
      <c r="H411" s="205" t="n"/>
      <c r="I411" s="28" t="n"/>
      <c r="J411" s="205" t="n"/>
      <c r="K411" s="205" t="n"/>
      <c r="L411" s="205" t="n"/>
      <c r="M411" s="205" t="n"/>
      <c r="N411" s="205" t="n"/>
      <c r="O411" s="183" t="n"/>
      <c r="P411" s="183" t="n"/>
      <c r="Q411" s="183" t="n"/>
      <c r="R411" s="183" t="n"/>
      <c r="S411" s="183" t="n"/>
      <c r="T411" s="183" t="n"/>
      <c r="U411" s="183" t="n"/>
      <c r="V411" s="183" t="n"/>
      <c r="W411" s="183" t="n"/>
      <c r="X411" s="183" t="n"/>
      <c r="Y411" s="183" t="n"/>
      <c r="Z411" s="183" t="n"/>
      <c r="AA411" s="183" t="n"/>
    </row>
    <row r="412" ht="45.75" customHeight="1" s="222">
      <c r="A412" s="205" t="n"/>
      <c r="B412" s="205" t="n"/>
      <c r="C412" s="205" t="n"/>
      <c r="D412" s="205" t="n"/>
      <c r="E412" s="205" t="n"/>
      <c r="F412" s="205" t="n"/>
      <c r="G412" s="206" t="n"/>
      <c r="H412" s="205" t="n"/>
      <c r="I412" s="28" t="n"/>
      <c r="J412" s="205" t="n"/>
      <c r="K412" s="205" t="n"/>
      <c r="L412" s="205" t="n"/>
      <c r="M412" s="205" t="n"/>
      <c r="N412" s="205" t="n"/>
      <c r="O412" s="183" t="n"/>
      <c r="P412" s="183" t="n"/>
      <c r="Q412" s="183" t="n"/>
      <c r="R412" s="183" t="n"/>
      <c r="S412" s="183" t="n"/>
      <c r="T412" s="183" t="n"/>
      <c r="U412" s="183" t="n"/>
      <c r="V412" s="183" t="n"/>
      <c r="W412" s="183" t="n"/>
      <c r="X412" s="183" t="n"/>
      <c r="Y412" s="183" t="n"/>
      <c r="Z412" s="183" t="n"/>
      <c r="AA412" s="183" t="n"/>
    </row>
    <row r="413" ht="45.75" customHeight="1" s="222">
      <c r="A413" s="205" t="n"/>
      <c r="B413" s="205" t="n"/>
      <c r="C413" s="205" t="n"/>
      <c r="D413" s="205" t="n"/>
      <c r="E413" s="205" t="n"/>
      <c r="F413" s="205" t="n"/>
      <c r="G413" s="206" t="n"/>
      <c r="H413" s="205" t="n"/>
      <c r="I413" s="28" t="n"/>
      <c r="J413" s="205" t="n"/>
      <c r="K413" s="205" t="n"/>
      <c r="L413" s="205" t="n"/>
      <c r="M413" s="205" t="n"/>
      <c r="N413" s="205" t="n"/>
      <c r="O413" s="183" t="n"/>
      <c r="P413" s="183" t="n"/>
      <c r="Q413" s="183" t="n"/>
      <c r="R413" s="183" t="n"/>
      <c r="S413" s="183" t="n"/>
      <c r="T413" s="183" t="n"/>
      <c r="U413" s="183" t="n"/>
      <c r="V413" s="183" t="n"/>
      <c r="W413" s="183" t="n"/>
      <c r="X413" s="183" t="n"/>
      <c r="Y413" s="183" t="n"/>
      <c r="Z413" s="183" t="n"/>
      <c r="AA413" s="183" t="n"/>
    </row>
    <row r="414" ht="45.75" customHeight="1" s="222">
      <c r="A414" s="205" t="n"/>
      <c r="B414" s="205" t="n"/>
      <c r="C414" s="205" t="n"/>
      <c r="D414" s="205" t="n"/>
      <c r="E414" s="205" t="n"/>
      <c r="F414" s="205" t="n"/>
      <c r="G414" s="206" t="n"/>
      <c r="H414" s="205" t="n"/>
      <c r="I414" s="28" t="n"/>
      <c r="J414" s="205" t="n"/>
      <c r="K414" s="205" t="n"/>
      <c r="L414" s="205" t="n"/>
      <c r="M414" s="205" t="n"/>
      <c r="N414" s="205" t="n"/>
      <c r="O414" s="183" t="n"/>
      <c r="P414" s="183" t="n"/>
      <c r="Q414" s="183" t="n"/>
      <c r="R414" s="183" t="n"/>
      <c r="S414" s="183" t="n"/>
      <c r="T414" s="183" t="n"/>
      <c r="U414" s="183" t="n"/>
      <c r="V414" s="183" t="n"/>
      <c r="W414" s="183" t="n"/>
      <c r="X414" s="183" t="n"/>
      <c r="Y414" s="183" t="n"/>
      <c r="Z414" s="183" t="n"/>
      <c r="AA414" s="183" t="n"/>
    </row>
    <row r="415" ht="45.75" customHeight="1" s="222">
      <c r="A415" s="205" t="n"/>
      <c r="B415" s="205" t="n"/>
      <c r="C415" s="205" t="n"/>
      <c r="D415" s="205" t="n"/>
      <c r="E415" s="205" t="n"/>
      <c r="F415" s="205" t="n"/>
      <c r="G415" s="206" t="n"/>
      <c r="H415" s="205" t="n"/>
      <c r="I415" s="28" t="n"/>
      <c r="J415" s="205" t="n"/>
      <c r="K415" s="205" t="n"/>
      <c r="L415" s="205" t="n"/>
      <c r="M415" s="205" t="n"/>
      <c r="N415" s="205" t="n"/>
      <c r="O415" s="183" t="n"/>
      <c r="P415" s="183" t="n"/>
      <c r="Q415" s="183" t="n"/>
      <c r="R415" s="183" t="n"/>
      <c r="S415" s="183" t="n"/>
      <c r="T415" s="183" t="n"/>
      <c r="U415" s="183" t="n"/>
      <c r="V415" s="183" t="n"/>
      <c r="W415" s="183" t="n"/>
      <c r="X415" s="183" t="n"/>
      <c r="Y415" s="183" t="n"/>
      <c r="Z415" s="183" t="n"/>
      <c r="AA415" s="183" t="n"/>
    </row>
    <row r="416" ht="45.75" customHeight="1" s="222">
      <c r="A416" s="205" t="n"/>
      <c r="B416" s="205" t="n"/>
      <c r="C416" s="205" t="n"/>
      <c r="D416" s="205" t="n"/>
      <c r="E416" s="205" t="n"/>
      <c r="F416" s="205" t="n"/>
      <c r="G416" s="206" t="n"/>
      <c r="H416" s="205" t="n"/>
      <c r="I416" s="28" t="n"/>
      <c r="J416" s="205" t="n"/>
      <c r="K416" s="205" t="n"/>
      <c r="L416" s="205" t="n"/>
      <c r="M416" s="205" t="n"/>
      <c r="N416" s="205" t="n"/>
      <c r="O416" s="183" t="n"/>
      <c r="P416" s="183" t="n"/>
      <c r="Q416" s="183" t="n"/>
      <c r="R416" s="183" t="n"/>
      <c r="S416" s="183" t="n"/>
      <c r="T416" s="183" t="n"/>
      <c r="U416" s="183" t="n"/>
      <c r="V416" s="183" t="n"/>
      <c r="W416" s="183" t="n"/>
      <c r="X416" s="183" t="n"/>
      <c r="Y416" s="183" t="n"/>
      <c r="Z416" s="183" t="n"/>
      <c r="AA416" s="183" t="n"/>
    </row>
    <row r="417" ht="45.75" customHeight="1" s="222">
      <c r="A417" s="205" t="n"/>
      <c r="B417" s="205" t="n"/>
      <c r="C417" s="205" t="n"/>
      <c r="D417" s="205" t="n"/>
      <c r="E417" s="205" t="n"/>
      <c r="F417" s="205" t="n"/>
      <c r="G417" s="206" t="n"/>
      <c r="H417" s="205" t="n"/>
      <c r="I417" s="28" t="n"/>
      <c r="J417" s="205" t="n"/>
      <c r="K417" s="205" t="n"/>
      <c r="L417" s="205" t="n"/>
      <c r="M417" s="205" t="n"/>
      <c r="N417" s="205" t="n"/>
      <c r="O417" s="183" t="n"/>
      <c r="P417" s="183" t="n"/>
      <c r="Q417" s="183" t="n"/>
      <c r="R417" s="183" t="n"/>
      <c r="S417" s="183" t="n"/>
      <c r="T417" s="183" t="n"/>
      <c r="U417" s="183" t="n"/>
      <c r="V417" s="183" t="n"/>
      <c r="W417" s="183" t="n"/>
      <c r="X417" s="183" t="n"/>
      <c r="Y417" s="183" t="n"/>
      <c r="Z417" s="183" t="n"/>
      <c r="AA417" s="183" t="n"/>
    </row>
    <row r="418" ht="45.75" customHeight="1" s="222">
      <c r="A418" s="205" t="n"/>
      <c r="B418" s="205" t="n"/>
      <c r="C418" s="205" t="n"/>
      <c r="D418" s="205" t="n"/>
      <c r="E418" s="205" t="n"/>
      <c r="F418" s="205" t="n"/>
      <c r="G418" s="206" t="n"/>
      <c r="H418" s="205" t="n"/>
      <c r="I418" s="28" t="n"/>
      <c r="J418" s="205" t="n"/>
      <c r="K418" s="205" t="n"/>
      <c r="L418" s="205" t="n"/>
      <c r="M418" s="205" t="n"/>
      <c r="N418" s="205" t="n"/>
      <c r="O418" s="183" t="n"/>
      <c r="P418" s="183" t="n"/>
      <c r="Q418" s="183" t="n"/>
      <c r="R418" s="183" t="n"/>
      <c r="S418" s="183" t="n"/>
      <c r="T418" s="183" t="n"/>
      <c r="U418" s="183" t="n"/>
      <c r="V418" s="183" t="n"/>
      <c r="W418" s="183" t="n"/>
      <c r="X418" s="183" t="n"/>
      <c r="Y418" s="183" t="n"/>
      <c r="Z418" s="183" t="n"/>
      <c r="AA418" s="183" t="n"/>
    </row>
    <row r="419" ht="45.75" customHeight="1" s="222">
      <c r="A419" s="205" t="n"/>
      <c r="B419" s="205" t="n"/>
      <c r="C419" s="205" t="n"/>
      <c r="D419" s="205" t="n"/>
      <c r="E419" s="205" t="n"/>
      <c r="F419" s="205" t="n"/>
      <c r="G419" s="206" t="n"/>
      <c r="H419" s="205" t="n"/>
      <c r="I419" s="28" t="n"/>
      <c r="J419" s="205" t="n"/>
      <c r="K419" s="205" t="n"/>
      <c r="L419" s="205" t="n"/>
      <c r="M419" s="205" t="n"/>
      <c r="N419" s="205" t="n"/>
      <c r="O419" s="183" t="n"/>
      <c r="P419" s="183" t="n"/>
      <c r="Q419" s="183" t="n"/>
      <c r="R419" s="183" t="n"/>
      <c r="S419" s="183" t="n"/>
      <c r="T419" s="183" t="n"/>
      <c r="U419" s="183" t="n"/>
      <c r="V419" s="183" t="n"/>
      <c r="W419" s="183" t="n"/>
      <c r="X419" s="183" t="n"/>
      <c r="Y419" s="183" t="n"/>
      <c r="Z419" s="183" t="n"/>
      <c r="AA419" s="183" t="n"/>
    </row>
    <row r="420" ht="45.75" customHeight="1" s="222">
      <c r="A420" s="205" t="n"/>
      <c r="B420" s="205" t="n"/>
      <c r="C420" s="205" t="n"/>
      <c r="D420" s="205" t="n"/>
      <c r="E420" s="205" t="n"/>
      <c r="F420" s="205" t="n"/>
      <c r="G420" s="206" t="n"/>
      <c r="H420" s="205" t="n"/>
      <c r="I420" s="28" t="n"/>
      <c r="J420" s="205" t="n"/>
      <c r="K420" s="205" t="n"/>
      <c r="L420" s="205" t="n"/>
      <c r="M420" s="205" t="n"/>
      <c r="N420" s="205" t="n"/>
      <c r="O420" s="183" t="n"/>
      <c r="P420" s="183" t="n"/>
      <c r="Q420" s="183" t="n"/>
      <c r="R420" s="183" t="n"/>
      <c r="S420" s="183" t="n"/>
      <c r="T420" s="183" t="n"/>
      <c r="U420" s="183" t="n"/>
      <c r="V420" s="183" t="n"/>
      <c r="W420" s="183" t="n"/>
      <c r="X420" s="183" t="n"/>
      <c r="Y420" s="183" t="n"/>
      <c r="Z420" s="183" t="n"/>
      <c r="AA420" s="183" t="n"/>
    </row>
    <row r="421" ht="45.75" customHeight="1" s="222">
      <c r="A421" s="205" t="n"/>
      <c r="B421" s="205" t="n"/>
      <c r="C421" s="205" t="n"/>
      <c r="D421" s="205" t="n"/>
      <c r="E421" s="205" t="n"/>
      <c r="F421" s="205" t="n"/>
      <c r="G421" s="206" t="n"/>
      <c r="H421" s="205" t="n"/>
      <c r="I421" s="28" t="n"/>
      <c r="J421" s="205" t="n"/>
      <c r="K421" s="205" t="n"/>
      <c r="L421" s="205" t="n"/>
      <c r="M421" s="205" t="n"/>
      <c r="N421" s="205" t="n"/>
      <c r="O421" s="183" t="n"/>
      <c r="P421" s="183" t="n"/>
      <c r="Q421" s="183" t="n"/>
      <c r="R421" s="183" t="n"/>
      <c r="S421" s="183" t="n"/>
      <c r="T421" s="183" t="n"/>
      <c r="U421" s="183" t="n"/>
      <c r="V421" s="183" t="n"/>
      <c r="W421" s="183" t="n"/>
      <c r="X421" s="183" t="n"/>
      <c r="Y421" s="183" t="n"/>
      <c r="Z421" s="183" t="n"/>
      <c r="AA421" s="183" t="n"/>
    </row>
    <row r="422" ht="45.75" customHeight="1" s="222">
      <c r="A422" s="205" t="n"/>
      <c r="B422" s="205" t="n"/>
      <c r="C422" s="205" t="n"/>
      <c r="D422" s="205" t="n"/>
      <c r="E422" s="205" t="n"/>
      <c r="F422" s="205" t="n"/>
      <c r="G422" s="206" t="n"/>
      <c r="H422" s="205" t="n"/>
      <c r="I422" s="28" t="n"/>
      <c r="J422" s="205" t="n"/>
      <c r="K422" s="205" t="n"/>
      <c r="L422" s="205" t="n"/>
      <c r="M422" s="205" t="n"/>
      <c r="N422" s="205" t="n"/>
      <c r="O422" s="183" t="n"/>
      <c r="P422" s="183" t="n"/>
      <c r="Q422" s="183" t="n"/>
      <c r="R422" s="183" t="n"/>
      <c r="S422" s="183" t="n"/>
      <c r="T422" s="183" t="n"/>
      <c r="U422" s="183" t="n"/>
      <c r="V422" s="183" t="n"/>
      <c r="W422" s="183" t="n"/>
      <c r="X422" s="183" t="n"/>
      <c r="Y422" s="183" t="n"/>
      <c r="Z422" s="183" t="n"/>
      <c r="AA422" s="183" t="n"/>
    </row>
    <row r="423" ht="45.75" customHeight="1" s="222">
      <c r="A423" s="205" t="n"/>
      <c r="B423" s="205" t="n"/>
      <c r="C423" s="205" t="n"/>
      <c r="D423" s="205" t="n"/>
      <c r="E423" s="205" t="n"/>
      <c r="F423" s="205" t="n"/>
      <c r="G423" s="206" t="n"/>
      <c r="H423" s="205" t="n"/>
      <c r="I423" s="28" t="n"/>
      <c r="J423" s="205" t="n"/>
      <c r="K423" s="205" t="n"/>
      <c r="L423" s="205" t="n"/>
      <c r="M423" s="205" t="n"/>
      <c r="N423" s="205" t="n"/>
      <c r="O423" s="183" t="n"/>
      <c r="P423" s="183" t="n"/>
      <c r="Q423" s="183" t="n"/>
      <c r="R423" s="183" t="n"/>
      <c r="S423" s="183" t="n"/>
      <c r="T423" s="183" t="n"/>
      <c r="U423" s="183" t="n"/>
      <c r="V423" s="183" t="n"/>
      <c r="W423" s="183" t="n"/>
      <c r="X423" s="183" t="n"/>
      <c r="Y423" s="183" t="n"/>
      <c r="Z423" s="183" t="n"/>
      <c r="AA423" s="183" t="n"/>
    </row>
    <row r="424" ht="45.75" customHeight="1" s="222">
      <c r="A424" s="205" t="n"/>
      <c r="B424" s="205" t="n"/>
      <c r="C424" s="205" t="n"/>
      <c r="D424" s="205" t="n"/>
      <c r="E424" s="205" t="n"/>
      <c r="F424" s="205" t="n"/>
      <c r="G424" s="206" t="n"/>
      <c r="H424" s="205" t="n"/>
      <c r="I424" s="28" t="n"/>
      <c r="J424" s="205" t="n"/>
      <c r="K424" s="205" t="n"/>
      <c r="L424" s="205" t="n"/>
      <c r="M424" s="205" t="n"/>
      <c r="N424" s="205" t="n"/>
      <c r="O424" s="183" t="n"/>
      <c r="P424" s="183" t="n"/>
      <c r="Q424" s="183" t="n"/>
      <c r="R424" s="183" t="n"/>
      <c r="S424" s="183" t="n"/>
      <c r="T424" s="183" t="n"/>
      <c r="U424" s="183" t="n"/>
      <c r="V424" s="183" t="n"/>
      <c r="W424" s="183" t="n"/>
      <c r="X424" s="183" t="n"/>
      <c r="Y424" s="183" t="n"/>
      <c r="Z424" s="183" t="n"/>
      <c r="AA424" s="183" t="n"/>
    </row>
    <row r="425" ht="45.75" customHeight="1" s="222">
      <c r="A425" s="205" t="n"/>
      <c r="B425" s="205" t="n"/>
      <c r="C425" s="205" t="n"/>
      <c r="D425" s="205" t="n"/>
      <c r="E425" s="205" t="n"/>
      <c r="F425" s="205" t="n"/>
      <c r="G425" s="206" t="n"/>
      <c r="H425" s="205" t="n"/>
      <c r="I425" s="28" t="n"/>
      <c r="J425" s="205" t="n"/>
      <c r="K425" s="205" t="n"/>
      <c r="L425" s="205" t="n"/>
      <c r="M425" s="205" t="n"/>
      <c r="N425" s="205" t="n"/>
      <c r="O425" s="183" t="n"/>
      <c r="P425" s="183" t="n"/>
      <c r="Q425" s="183" t="n"/>
      <c r="R425" s="183" t="n"/>
      <c r="S425" s="183" t="n"/>
      <c r="T425" s="183" t="n"/>
      <c r="U425" s="183" t="n"/>
      <c r="V425" s="183" t="n"/>
      <c r="W425" s="183" t="n"/>
      <c r="X425" s="183" t="n"/>
      <c r="Y425" s="183" t="n"/>
      <c r="Z425" s="183" t="n"/>
      <c r="AA425" s="183" t="n"/>
    </row>
    <row r="426" ht="45.75" customHeight="1" s="222">
      <c r="A426" s="205" t="n"/>
      <c r="B426" s="205" t="n"/>
      <c r="C426" s="205" t="n"/>
      <c r="D426" s="205" t="n"/>
      <c r="E426" s="205" t="n"/>
      <c r="F426" s="205" t="n"/>
      <c r="G426" s="206" t="n"/>
      <c r="H426" s="205" t="n"/>
      <c r="I426" s="28" t="n"/>
      <c r="J426" s="205" t="n"/>
      <c r="K426" s="205" t="n"/>
      <c r="L426" s="205" t="n"/>
      <c r="M426" s="205" t="n"/>
      <c r="N426" s="205" t="n"/>
      <c r="O426" s="183" t="n"/>
      <c r="P426" s="183" t="n"/>
      <c r="Q426" s="183" t="n"/>
      <c r="R426" s="183" t="n"/>
      <c r="S426" s="183" t="n"/>
      <c r="T426" s="183" t="n"/>
      <c r="U426" s="183" t="n"/>
      <c r="V426" s="183" t="n"/>
      <c r="W426" s="183" t="n"/>
      <c r="X426" s="183" t="n"/>
      <c r="Y426" s="183" t="n"/>
      <c r="Z426" s="183" t="n"/>
      <c r="AA426" s="183" t="n"/>
    </row>
    <row r="427" ht="45.75" customHeight="1" s="222">
      <c r="A427" s="205" t="n"/>
      <c r="B427" s="205" t="n"/>
      <c r="C427" s="205" t="n"/>
      <c r="D427" s="205" t="n"/>
      <c r="E427" s="205" t="n"/>
      <c r="F427" s="205" t="n"/>
      <c r="G427" s="206" t="n"/>
      <c r="H427" s="205" t="n"/>
      <c r="I427" s="28" t="n"/>
      <c r="J427" s="205" t="n"/>
      <c r="K427" s="205" t="n"/>
      <c r="L427" s="205" t="n"/>
      <c r="M427" s="205" t="n"/>
      <c r="N427" s="205" t="n"/>
      <c r="O427" s="183" t="n"/>
      <c r="P427" s="183" t="n"/>
      <c r="Q427" s="183" t="n"/>
      <c r="R427" s="183" t="n"/>
      <c r="S427" s="183" t="n"/>
      <c r="T427" s="183" t="n"/>
      <c r="U427" s="183" t="n"/>
      <c r="V427" s="183" t="n"/>
      <c r="W427" s="183" t="n"/>
      <c r="X427" s="183" t="n"/>
      <c r="Y427" s="183" t="n"/>
      <c r="Z427" s="183" t="n"/>
      <c r="AA427" s="183" t="n"/>
    </row>
    <row r="428" ht="45.75" customHeight="1" s="222">
      <c r="A428" s="205" t="n"/>
      <c r="B428" s="205" t="n"/>
      <c r="C428" s="205" t="n"/>
      <c r="D428" s="205" t="n"/>
      <c r="E428" s="205" t="n"/>
      <c r="F428" s="205" t="n"/>
      <c r="G428" s="206" t="n"/>
      <c r="H428" s="205" t="n"/>
      <c r="I428" s="28" t="n"/>
      <c r="J428" s="205" t="n"/>
      <c r="K428" s="205" t="n"/>
      <c r="L428" s="205" t="n"/>
      <c r="M428" s="205" t="n"/>
      <c r="N428" s="205" t="n"/>
      <c r="O428" s="183" t="n"/>
      <c r="P428" s="183" t="n"/>
      <c r="Q428" s="183" t="n"/>
      <c r="R428" s="183" t="n"/>
      <c r="S428" s="183" t="n"/>
      <c r="T428" s="183" t="n"/>
      <c r="U428" s="183" t="n"/>
      <c r="V428" s="183" t="n"/>
      <c r="W428" s="183" t="n"/>
      <c r="X428" s="183" t="n"/>
      <c r="Y428" s="183" t="n"/>
      <c r="Z428" s="183" t="n"/>
      <c r="AA428" s="183" t="n"/>
    </row>
    <row r="429" ht="45.75" customHeight="1" s="222">
      <c r="A429" s="205" t="n"/>
      <c r="B429" s="205" t="n"/>
      <c r="C429" s="205" t="n"/>
      <c r="D429" s="205" t="n"/>
      <c r="E429" s="205" t="n"/>
      <c r="F429" s="205" t="n"/>
      <c r="G429" s="206" t="n"/>
      <c r="H429" s="205" t="n"/>
      <c r="I429" s="28" t="n"/>
      <c r="J429" s="205" t="n"/>
      <c r="K429" s="205" t="n"/>
      <c r="L429" s="205" t="n"/>
      <c r="M429" s="205" t="n"/>
      <c r="N429" s="205" t="n"/>
      <c r="O429" s="183" t="n"/>
      <c r="P429" s="183" t="n"/>
      <c r="Q429" s="183" t="n"/>
      <c r="R429" s="183" t="n"/>
      <c r="S429" s="183" t="n"/>
      <c r="T429" s="183" t="n"/>
      <c r="U429" s="183" t="n"/>
      <c r="V429" s="183" t="n"/>
      <c r="W429" s="183" t="n"/>
      <c r="X429" s="183" t="n"/>
      <c r="Y429" s="183" t="n"/>
      <c r="Z429" s="183" t="n"/>
      <c r="AA429" s="183" t="n"/>
    </row>
    <row r="430" ht="45.75" customHeight="1" s="222">
      <c r="A430" s="205" t="n"/>
      <c r="B430" s="205" t="n"/>
      <c r="C430" s="205" t="n"/>
      <c r="D430" s="205" t="n"/>
      <c r="E430" s="205" t="n"/>
      <c r="F430" s="205" t="n"/>
      <c r="G430" s="206" t="n"/>
      <c r="H430" s="205" t="n"/>
      <c r="I430" s="28" t="n"/>
      <c r="J430" s="205" t="n"/>
      <c r="K430" s="205" t="n"/>
      <c r="L430" s="205" t="n"/>
      <c r="M430" s="205" t="n"/>
      <c r="N430" s="205" t="n"/>
      <c r="O430" s="183" t="n"/>
      <c r="P430" s="183" t="n"/>
      <c r="Q430" s="183" t="n"/>
      <c r="R430" s="183" t="n"/>
      <c r="S430" s="183" t="n"/>
      <c r="T430" s="183" t="n"/>
      <c r="U430" s="183" t="n"/>
      <c r="V430" s="183" t="n"/>
      <c r="W430" s="183" t="n"/>
      <c r="X430" s="183" t="n"/>
      <c r="Y430" s="183" t="n"/>
      <c r="Z430" s="183" t="n"/>
      <c r="AA430" s="183" t="n"/>
    </row>
    <row r="431" ht="45.75" customHeight="1" s="222">
      <c r="A431" s="205" t="n"/>
      <c r="B431" s="205" t="n"/>
      <c r="C431" s="205" t="n"/>
      <c r="D431" s="205" t="n"/>
      <c r="E431" s="205" t="n"/>
      <c r="F431" s="205" t="n"/>
      <c r="G431" s="206" t="n"/>
      <c r="H431" s="205" t="n"/>
      <c r="I431" s="28" t="n"/>
      <c r="J431" s="205" t="n"/>
      <c r="K431" s="205" t="n"/>
      <c r="L431" s="205" t="n"/>
      <c r="M431" s="205" t="n"/>
      <c r="N431" s="205" t="n"/>
      <c r="O431" s="183" t="n"/>
      <c r="P431" s="183" t="n"/>
      <c r="Q431" s="183" t="n"/>
      <c r="R431" s="183" t="n"/>
      <c r="S431" s="183" t="n"/>
      <c r="T431" s="183" t="n"/>
      <c r="U431" s="183" t="n"/>
      <c r="V431" s="183" t="n"/>
      <c r="W431" s="183" t="n"/>
      <c r="X431" s="183" t="n"/>
      <c r="Y431" s="183" t="n"/>
      <c r="Z431" s="183" t="n"/>
      <c r="AA431" s="183" t="n"/>
    </row>
    <row r="432" ht="45.75" customHeight="1" s="222">
      <c r="A432" s="205" t="n"/>
      <c r="B432" s="205" t="n"/>
      <c r="C432" s="205" t="n"/>
      <c r="D432" s="205" t="n"/>
      <c r="E432" s="205" t="n"/>
      <c r="F432" s="205" t="n"/>
      <c r="G432" s="206" t="n"/>
      <c r="H432" s="205" t="n"/>
      <c r="I432" s="28" t="n"/>
      <c r="J432" s="205" t="n"/>
      <c r="K432" s="205" t="n"/>
      <c r="L432" s="205" t="n"/>
      <c r="M432" s="205" t="n"/>
      <c r="N432" s="205" t="n"/>
      <c r="O432" s="183" t="n"/>
      <c r="P432" s="183" t="n"/>
      <c r="Q432" s="183" t="n"/>
      <c r="R432" s="183" t="n"/>
      <c r="S432" s="183" t="n"/>
      <c r="T432" s="183" t="n"/>
      <c r="U432" s="183" t="n"/>
      <c r="V432" s="183" t="n"/>
      <c r="W432" s="183" t="n"/>
      <c r="X432" s="183" t="n"/>
      <c r="Y432" s="183" t="n"/>
      <c r="Z432" s="183" t="n"/>
      <c r="AA432" s="183" t="n"/>
    </row>
    <row r="433" ht="45.75" customHeight="1" s="222">
      <c r="A433" s="205" t="n"/>
      <c r="B433" s="205" t="n"/>
      <c r="C433" s="205" t="n"/>
      <c r="D433" s="205" t="n"/>
      <c r="E433" s="205" t="n"/>
      <c r="F433" s="205" t="n"/>
      <c r="G433" s="206" t="n"/>
      <c r="H433" s="205" t="n"/>
      <c r="I433" s="28" t="n"/>
      <c r="J433" s="205" t="n"/>
      <c r="K433" s="205" t="n"/>
      <c r="L433" s="205" t="n"/>
      <c r="M433" s="205" t="n"/>
      <c r="N433" s="205" t="n"/>
      <c r="O433" s="183" t="n"/>
      <c r="P433" s="183" t="n"/>
      <c r="Q433" s="183" t="n"/>
      <c r="R433" s="183" t="n"/>
      <c r="S433" s="183" t="n"/>
      <c r="T433" s="183" t="n"/>
      <c r="U433" s="183" t="n"/>
      <c r="V433" s="183" t="n"/>
      <c r="W433" s="183" t="n"/>
      <c r="X433" s="183" t="n"/>
      <c r="Y433" s="183" t="n"/>
      <c r="Z433" s="183" t="n"/>
      <c r="AA433" s="183" t="n"/>
    </row>
    <row r="434" ht="45.75" customHeight="1" s="222">
      <c r="A434" s="205" t="n"/>
      <c r="B434" s="205" t="n"/>
      <c r="C434" s="205" t="n"/>
      <c r="D434" s="205" t="n"/>
      <c r="E434" s="205" t="n"/>
      <c r="F434" s="205" t="n"/>
      <c r="G434" s="206" t="n"/>
      <c r="H434" s="205" t="n"/>
      <c r="I434" s="28" t="n"/>
      <c r="J434" s="205" t="n"/>
      <c r="K434" s="205" t="n"/>
      <c r="L434" s="205" t="n"/>
      <c r="M434" s="205" t="n"/>
      <c r="N434" s="205" t="n"/>
      <c r="O434" s="183" t="n"/>
      <c r="P434" s="183" t="n"/>
      <c r="Q434" s="183" t="n"/>
      <c r="R434" s="183" t="n"/>
      <c r="S434" s="183" t="n"/>
      <c r="T434" s="183" t="n"/>
      <c r="U434" s="183" t="n"/>
      <c r="V434" s="183" t="n"/>
      <c r="W434" s="183" t="n"/>
      <c r="X434" s="183" t="n"/>
      <c r="Y434" s="183" t="n"/>
      <c r="Z434" s="183" t="n"/>
      <c r="AA434" s="183" t="n"/>
    </row>
    <row r="435" ht="45.75" customHeight="1" s="222">
      <c r="A435" s="205" t="n"/>
      <c r="B435" s="205" t="n"/>
      <c r="C435" s="205" t="n"/>
      <c r="D435" s="205" t="n"/>
      <c r="E435" s="205" t="n"/>
      <c r="F435" s="205" t="n"/>
      <c r="G435" s="206" t="n"/>
      <c r="H435" s="205" t="n"/>
      <c r="I435" s="28" t="n"/>
      <c r="J435" s="205" t="n"/>
      <c r="K435" s="205" t="n"/>
      <c r="L435" s="205" t="n"/>
      <c r="M435" s="205" t="n"/>
      <c r="N435" s="205" t="n"/>
      <c r="O435" s="183" t="n"/>
      <c r="P435" s="183" t="n"/>
      <c r="Q435" s="183" t="n"/>
      <c r="R435" s="183" t="n"/>
      <c r="S435" s="183" t="n"/>
      <c r="T435" s="183" t="n"/>
      <c r="U435" s="183" t="n"/>
      <c r="V435" s="183" t="n"/>
      <c r="W435" s="183" t="n"/>
      <c r="X435" s="183" t="n"/>
      <c r="Y435" s="183" t="n"/>
      <c r="Z435" s="183" t="n"/>
      <c r="AA435" s="183" t="n"/>
    </row>
    <row r="436" ht="45.75" customHeight="1" s="222">
      <c r="A436" s="205" t="n"/>
      <c r="B436" s="205" t="n"/>
      <c r="C436" s="205" t="n"/>
      <c r="D436" s="205" t="n"/>
      <c r="E436" s="205" t="n"/>
      <c r="F436" s="205" t="n"/>
      <c r="G436" s="206" t="n"/>
      <c r="H436" s="205" t="n"/>
      <c r="I436" s="28" t="n"/>
      <c r="J436" s="205" t="n"/>
      <c r="K436" s="205" t="n"/>
      <c r="L436" s="205" t="n"/>
      <c r="M436" s="205" t="n"/>
      <c r="N436" s="205" t="n"/>
      <c r="O436" s="183" t="n"/>
      <c r="P436" s="183" t="n"/>
      <c r="Q436" s="183" t="n"/>
      <c r="R436" s="183" t="n"/>
      <c r="S436" s="183" t="n"/>
      <c r="T436" s="183" t="n"/>
      <c r="U436" s="183" t="n"/>
      <c r="V436" s="183" t="n"/>
      <c r="W436" s="183" t="n"/>
      <c r="X436" s="183" t="n"/>
      <c r="Y436" s="183" t="n"/>
      <c r="Z436" s="183" t="n"/>
      <c r="AA436" s="183" t="n"/>
    </row>
    <row r="437" ht="45.75" customHeight="1" s="222">
      <c r="A437" s="205" t="n"/>
      <c r="B437" s="205" t="n"/>
      <c r="C437" s="205" t="n"/>
      <c r="D437" s="205" t="n"/>
      <c r="E437" s="205" t="n"/>
      <c r="F437" s="205" t="n"/>
      <c r="G437" s="206" t="n"/>
      <c r="H437" s="205" t="n"/>
      <c r="I437" s="28" t="n"/>
      <c r="J437" s="205" t="n"/>
      <c r="K437" s="205" t="n"/>
      <c r="L437" s="205" t="n"/>
      <c r="M437" s="205" t="n"/>
      <c r="N437" s="205" t="n"/>
      <c r="O437" s="183" t="n"/>
      <c r="P437" s="183" t="n"/>
      <c r="Q437" s="183" t="n"/>
      <c r="R437" s="183" t="n"/>
      <c r="S437" s="183" t="n"/>
      <c r="T437" s="183" t="n"/>
      <c r="U437" s="183" t="n"/>
      <c r="V437" s="183" t="n"/>
      <c r="W437" s="183" t="n"/>
      <c r="X437" s="183" t="n"/>
      <c r="Y437" s="183" t="n"/>
      <c r="Z437" s="183" t="n"/>
      <c r="AA437" s="183" t="n"/>
    </row>
    <row r="438" ht="45.75" customHeight="1" s="222">
      <c r="A438" s="205" t="n"/>
      <c r="B438" s="205" t="n"/>
      <c r="C438" s="205" t="n"/>
      <c r="D438" s="205" t="n"/>
      <c r="E438" s="205" t="n"/>
      <c r="F438" s="205" t="n"/>
      <c r="G438" s="206" t="n"/>
      <c r="H438" s="205" t="n"/>
      <c r="I438" s="28" t="n"/>
      <c r="J438" s="205" t="n"/>
      <c r="K438" s="205" t="n"/>
      <c r="L438" s="205" t="n"/>
      <c r="M438" s="205" t="n"/>
      <c r="N438" s="205" t="n"/>
      <c r="O438" s="183" t="n"/>
      <c r="P438" s="183" t="n"/>
      <c r="Q438" s="183" t="n"/>
      <c r="R438" s="183" t="n"/>
      <c r="S438" s="183" t="n"/>
      <c r="T438" s="183" t="n"/>
      <c r="U438" s="183" t="n"/>
      <c r="V438" s="183" t="n"/>
      <c r="W438" s="183" t="n"/>
      <c r="X438" s="183" t="n"/>
      <c r="Y438" s="183" t="n"/>
      <c r="Z438" s="183" t="n"/>
      <c r="AA438" s="183" t="n"/>
    </row>
    <row r="439" ht="45.75" customHeight="1" s="222">
      <c r="A439" s="205" t="n"/>
      <c r="B439" s="205" t="n"/>
      <c r="C439" s="205" t="n"/>
      <c r="D439" s="205" t="n"/>
      <c r="E439" s="205" t="n"/>
      <c r="F439" s="205" t="n"/>
      <c r="G439" s="206" t="n"/>
      <c r="H439" s="205" t="n"/>
      <c r="I439" s="28" t="n"/>
      <c r="J439" s="205" t="n"/>
      <c r="K439" s="205" t="n"/>
      <c r="L439" s="205" t="n"/>
      <c r="M439" s="205" t="n"/>
      <c r="N439" s="205" t="n"/>
      <c r="O439" s="183" t="n"/>
      <c r="P439" s="183" t="n"/>
      <c r="Q439" s="183" t="n"/>
      <c r="R439" s="183" t="n"/>
      <c r="S439" s="183" t="n"/>
      <c r="T439" s="183" t="n"/>
      <c r="U439" s="183" t="n"/>
      <c r="V439" s="183" t="n"/>
      <c r="W439" s="183" t="n"/>
      <c r="X439" s="183" t="n"/>
      <c r="Y439" s="183" t="n"/>
      <c r="Z439" s="183" t="n"/>
      <c r="AA439" s="183" t="n"/>
    </row>
    <row r="440" ht="45.75" customHeight="1" s="222">
      <c r="A440" s="205" t="n"/>
      <c r="B440" s="205" t="n"/>
      <c r="C440" s="205" t="n"/>
      <c r="D440" s="205" t="n"/>
      <c r="E440" s="205" t="n"/>
      <c r="F440" s="205" t="n"/>
      <c r="G440" s="206" t="n"/>
      <c r="H440" s="205" t="n"/>
      <c r="I440" s="28" t="n"/>
      <c r="J440" s="205" t="n"/>
      <c r="K440" s="205" t="n"/>
      <c r="L440" s="205" t="n"/>
      <c r="M440" s="205" t="n"/>
      <c r="N440" s="205" t="n"/>
      <c r="O440" s="183" t="n"/>
      <c r="P440" s="183" t="n"/>
      <c r="Q440" s="183" t="n"/>
      <c r="R440" s="183" t="n"/>
      <c r="S440" s="183" t="n"/>
      <c r="T440" s="183" t="n"/>
      <c r="U440" s="183" t="n"/>
      <c r="V440" s="183" t="n"/>
      <c r="W440" s="183" t="n"/>
      <c r="X440" s="183" t="n"/>
      <c r="Y440" s="183" t="n"/>
      <c r="Z440" s="183" t="n"/>
      <c r="AA440" s="183" t="n"/>
    </row>
    <row r="441" ht="45.75" customHeight="1" s="222">
      <c r="A441" s="205" t="n"/>
      <c r="B441" s="205" t="n"/>
      <c r="C441" s="205" t="n"/>
      <c r="D441" s="205" t="n"/>
      <c r="E441" s="205" t="n"/>
      <c r="F441" s="205" t="n"/>
      <c r="G441" s="206" t="n"/>
      <c r="H441" s="205" t="n"/>
      <c r="I441" s="28" t="n"/>
      <c r="J441" s="205" t="n"/>
      <c r="K441" s="205" t="n"/>
      <c r="L441" s="205" t="n"/>
      <c r="M441" s="205" t="n"/>
      <c r="N441" s="205" t="n"/>
      <c r="O441" s="183" t="n"/>
      <c r="P441" s="183" t="n"/>
      <c r="Q441" s="183" t="n"/>
      <c r="R441" s="183" t="n"/>
      <c r="S441" s="183" t="n"/>
      <c r="T441" s="183" t="n"/>
      <c r="U441" s="183" t="n"/>
      <c r="V441" s="183" t="n"/>
      <c r="W441" s="183" t="n"/>
      <c r="X441" s="183" t="n"/>
      <c r="Y441" s="183" t="n"/>
      <c r="Z441" s="183" t="n"/>
      <c r="AA441" s="183" t="n"/>
    </row>
    <row r="442" ht="45.75" customHeight="1" s="222">
      <c r="A442" s="205" t="n"/>
      <c r="B442" s="205" t="n"/>
      <c r="C442" s="205" t="n"/>
      <c r="D442" s="205" t="n"/>
      <c r="E442" s="205" t="n"/>
      <c r="F442" s="205" t="n"/>
      <c r="G442" s="206" t="n"/>
      <c r="H442" s="205" t="n"/>
      <c r="I442" s="28" t="n"/>
      <c r="J442" s="205" t="n"/>
      <c r="K442" s="205" t="n"/>
      <c r="L442" s="205" t="n"/>
      <c r="M442" s="205" t="n"/>
      <c r="N442" s="205" t="n"/>
      <c r="O442" s="183" t="n"/>
      <c r="P442" s="183" t="n"/>
      <c r="Q442" s="183" t="n"/>
      <c r="R442" s="183" t="n"/>
      <c r="S442" s="183" t="n"/>
      <c r="T442" s="183" t="n"/>
      <c r="U442" s="183" t="n"/>
      <c r="V442" s="183" t="n"/>
      <c r="W442" s="183" t="n"/>
      <c r="X442" s="183" t="n"/>
      <c r="Y442" s="183" t="n"/>
      <c r="Z442" s="183" t="n"/>
      <c r="AA442" s="183" t="n"/>
    </row>
    <row r="443" ht="45.75" customHeight="1" s="222">
      <c r="A443" s="205" t="n"/>
      <c r="B443" s="205" t="n"/>
      <c r="C443" s="205" t="n"/>
      <c r="D443" s="205" t="n"/>
      <c r="E443" s="205" t="n"/>
      <c r="F443" s="205" t="n"/>
      <c r="G443" s="206" t="n"/>
      <c r="H443" s="205" t="n"/>
      <c r="I443" s="28" t="n"/>
      <c r="J443" s="205" t="n"/>
      <c r="K443" s="205" t="n"/>
      <c r="L443" s="205" t="n"/>
      <c r="M443" s="205" t="n"/>
      <c r="N443" s="205" t="n"/>
      <c r="O443" s="183" t="n"/>
      <c r="P443" s="183" t="n"/>
      <c r="Q443" s="183" t="n"/>
      <c r="R443" s="183" t="n"/>
      <c r="S443" s="183" t="n"/>
      <c r="T443" s="183" t="n"/>
      <c r="U443" s="183" t="n"/>
      <c r="V443" s="183" t="n"/>
      <c r="W443" s="183" t="n"/>
      <c r="X443" s="183" t="n"/>
      <c r="Y443" s="183" t="n"/>
      <c r="Z443" s="183" t="n"/>
      <c r="AA443" s="183" t="n"/>
    </row>
    <row r="444" ht="45.75" customHeight="1" s="222">
      <c r="A444" s="205" t="n"/>
      <c r="B444" s="205" t="n"/>
      <c r="C444" s="205" t="n"/>
      <c r="D444" s="205" t="n"/>
      <c r="E444" s="205" t="n"/>
      <c r="F444" s="205" t="n"/>
      <c r="G444" s="206" t="n"/>
      <c r="H444" s="205" t="n"/>
      <c r="I444" s="28" t="n"/>
      <c r="J444" s="205" t="n"/>
      <c r="K444" s="205" t="n"/>
      <c r="L444" s="205" t="n"/>
      <c r="M444" s="205" t="n"/>
      <c r="N444" s="205" t="n"/>
      <c r="O444" s="183" t="n"/>
      <c r="P444" s="183" t="n"/>
      <c r="Q444" s="183" t="n"/>
      <c r="R444" s="183" t="n"/>
      <c r="S444" s="183" t="n"/>
      <c r="T444" s="183" t="n"/>
      <c r="U444" s="183" t="n"/>
      <c r="V444" s="183" t="n"/>
      <c r="W444" s="183" t="n"/>
      <c r="X444" s="183" t="n"/>
      <c r="Y444" s="183" t="n"/>
      <c r="Z444" s="183" t="n"/>
      <c r="AA444" s="183" t="n"/>
    </row>
    <row r="445" ht="45.75" customHeight="1" s="222">
      <c r="A445" s="205" t="n"/>
      <c r="B445" s="205" t="n"/>
      <c r="C445" s="205" t="n"/>
      <c r="D445" s="205" t="n"/>
      <c r="E445" s="205" t="n"/>
      <c r="F445" s="205" t="n"/>
      <c r="G445" s="206" t="n"/>
      <c r="H445" s="205" t="n"/>
      <c r="I445" s="28" t="n"/>
      <c r="J445" s="205" t="n"/>
      <c r="K445" s="205" t="n"/>
      <c r="L445" s="205" t="n"/>
      <c r="M445" s="205" t="n"/>
      <c r="N445" s="205" t="n"/>
      <c r="O445" s="183" t="n"/>
      <c r="P445" s="183" t="n"/>
      <c r="Q445" s="183" t="n"/>
      <c r="R445" s="183" t="n"/>
      <c r="S445" s="183" t="n"/>
      <c r="T445" s="183" t="n"/>
      <c r="U445" s="183" t="n"/>
      <c r="V445" s="183" t="n"/>
      <c r="W445" s="183" t="n"/>
      <c r="X445" s="183" t="n"/>
      <c r="Y445" s="183" t="n"/>
      <c r="Z445" s="183" t="n"/>
      <c r="AA445" s="183" t="n"/>
    </row>
    <row r="446" ht="45.75" customHeight="1" s="222">
      <c r="A446" s="205" t="n"/>
      <c r="B446" s="205" t="n"/>
      <c r="C446" s="205" t="n"/>
      <c r="D446" s="205" t="n"/>
      <c r="E446" s="205" t="n"/>
      <c r="F446" s="205" t="n"/>
      <c r="G446" s="206" t="n"/>
      <c r="H446" s="205" t="n"/>
      <c r="I446" s="28" t="n"/>
      <c r="J446" s="205" t="n"/>
      <c r="K446" s="205" t="n"/>
      <c r="L446" s="205" t="n"/>
      <c r="M446" s="205" t="n"/>
      <c r="N446" s="205" t="n"/>
      <c r="O446" s="183" t="n"/>
      <c r="P446" s="183" t="n"/>
      <c r="Q446" s="183" t="n"/>
      <c r="R446" s="183" t="n"/>
      <c r="S446" s="183" t="n"/>
      <c r="T446" s="183" t="n"/>
      <c r="U446" s="183" t="n"/>
      <c r="V446" s="183" t="n"/>
      <c r="W446" s="183" t="n"/>
      <c r="X446" s="183" t="n"/>
      <c r="Y446" s="183" t="n"/>
      <c r="Z446" s="183" t="n"/>
      <c r="AA446" s="183" t="n"/>
    </row>
    <row r="447" ht="45.75" customHeight="1" s="222">
      <c r="A447" s="205" t="n"/>
      <c r="B447" s="205" t="n"/>
      <c r="C447" s="205" t="n"/>
      <c r="D447" s="205" t="n"/>
      <c r="E447" s="205" t="n"/>
      <c r="F447" s="205" t="n"/>
      <c r="G447" s="206" t="n"/>
      <c r="H447" s="205" t="n"/>
      <c r="I447" s="28" t="n"/>
      <c r="J447" s="205" t="n"/>
      <c r="K447" s="205" t="n"/>
      <c r="L447" s="205" t="n"/>
      <c r="M447" s="205" t="n"/>
      <c r="N447" s="205" t="n"/>
      <c r="O447" s="183" t="n"/>
      <c r="P447" s="183" t="n"/>
      <c r="Q447" s="183" t="n"/>
      <c r="R447" s="183" t="n"/>
      <c r="S447" s="183" t="n"/>
      <c r="T447" s="183" t="n"/>
      <c r="U447" s="183" t="n"/>
      <c r="V447" s="183" t="n"/>
      <c r="W447" s="183" t="n"/>
      <c r="X447" s="183" t="n"/>
      <c r="Y447" s="183" t="n"/>
      <c r="Z447" s="183" t="n"/>
      <c r="AA447" s="183" t="n"/>
    </row>
    <row r="448" ht="45.75" customHeight="1" s="222">
      <c r="A448" s="205" t="n"/>
      <c r="B448" s="205" t="n"/>
      <c r="C448" s="205" t="n"/>
      <c r="D448" s="205" t="n"/>
      <c r="E448" s="205" t="n"/>
      <c r="F448" s="205" t="n"/>
      <c r="G448" s="206" t="n"/>
      <c r="H448" s="205" t="n"/>
      <c r="I448" s="28" t="n"/>
      <c r="J448" s="205" t="n"/>
      <c r="K448" s="205" t="n"/>
      <c r="L448" s="205" t="n"/>
      <c r="M448" s="205" t="n"/>
      <c r="N448" s="205" t="n"/>
      <c r="O448" s="183" t="n"/>
      <c r="P448" s="183" t="n"/>
      <c r="Q448" s="183" t="n"/>
      <c r="R448" s="183" t="n"/>
      <c r="S448" s="183" t="n"/>
      <c r="T448" s="183" t="n"/>
      <c r="U448" s="183" t="n"/>
      <c r="V448" s="183" t="n"/>
      <c r="W448" s="183" t="n"/>
      <c r="X448" s="183" t="n"/>
      <c r="Y448" s="183" t="n"/>
      <c r="Z448" s="183" t="n"/>
      <c r="AA448" s="183" t="n"/>
    </row>
    <row r="449" ht="45.75" customHeight="1" s="222">
      <c r="A449" s="205" t="n"/>
      <c r="B449" s="205" t="n"/>
      <c r="C449" s="205" t="n"/>
      <c r="D449" s="205" t="n"/>
      <c r="E449" s="205" t="n"/>
      <c r="F449" s="205" t="n"/>
      <c r="G449" s="206" t="n"/>
      <c r="H449" s="205" t="n"/>
      <c r="I449" s="28" t="n"/>
      <c r="J449" s="205" t="n"/>
      <c r="K449" s="205" t="n"/>
      <c r="L449" s="205" t="n"/>
      <c r="M449" s="205" t="n"/>
      <c r="N449" s="205" t="n"/>
      <c r="O449" s="183" t="n"/>
      <c r="P449" s="183" t="n"/>
      <c r="Q449" s="183" t="n"/>
      <c r="R449" s="183" t="n"/>
      <c r="S449" s="183" t="n"/>
      <c r="T449" s="183" t="n"/>
      <c r="U449" s="183" t="n"/>
      <c r="V449" s="183" t="n"/>
      <c r="W449" s="183" t="n"/>
      <c r="X449" s="183" t="n"/>
      <c r="Y449" s="183" t="n"/>
      <c r="Z449" s="183" t="n"/>
      <c r="AA449" s="183" t="n"/>
    </row>
    <row r="450" ht="45.75" customHeight="1" s="222">
      <c r="A450" s="205" t="n"/>
      <c r="B450" s="205" t="n"/>
      <c r="C450" s="205" t="n"/>
      <c r="D450" s="205" t="n"/>
      <c r="E450" s="205" t="n"/>
      <c r="F450" s="205" t="n"/>
      <c r="G450" s="206" t="n"/>
      <c r="H450" s="205" t="n"/>
      <c r="I450" s="28" t="n"/>
      <c r="J450" s="205" t="n"/>
      <c r="K450" s="205" t="n"/>
      <c r="L450" s="205" t="n"/>
      <c r="M450" s="205" t="n"/>
      <c r="N450" s="205" t="n"/>
      <c r="O450" s="183" t="n"/>
      <c r="P450" s="183" t="n"/>
      <c r="Q450" s="183" t="n"/>
      <c r="R450" s="183" t="n"/>
      <c r="S450" s="183" t="n"/>
      <c r="T450" s="183" t="n"/>
      <c r="U450" s="183" t="n"/>
      <c r="V450" s="183" t="n"/>
      <c r="W450" s="183" t="n"/>
      <c r="X450" s="183" t="n"/>
      <c r="Y450" s="183" t="n"/>
      <c r="Z450" s="183" t="n"/>
      <c r="AA450" s="183" t="n"/>
    </row>
    <row r="451" ht="45.75" customHeight="1" s="222">
      <c r="A451" s="205" t="n"/>
      <c r="B451" s="205" t="n"/>
      <c r="C451" s="205" t="n"/>
      <c r="D451" s="205" t="n"/>
      <c r="E451" s="205" t="n"/>
      <c r="F451" s="205" t="n"/>
      <c r="G451" s="206" t="n"/>
      <c r="H451" s="205" t="n"/>
      <c r="I451" s="28" t="n"/>
      <c r="J451" s="205" t="n"/>
      <c r="K451" s="205" t="n"/>
      <c r="L451" s="205" t="n"/>
      <c r="M451" s="205" t="n"/>
      <c r="N451" s="205" t="n"/>
      <c r="O451" s="183" t="n"/>
      <c r="P451" s="183" t="n"/>
      <c r="Q451" s="183" t="n"/>
      <c r="R451" s="183" t="n"/>
      <c r="S451" s="183" t="n"/>
      <c r="T451" s="183" t="n"/>
      <c r="U451" s="183" t="n"/>
      <c r="V451" s="183" t="n"/>
      <c r="W451" s="183" t="n"/>
      <c r="X451" s="183" t="n"/>
      <c r="Y451" s="183" t="n"/>
      <c r="Z451" s="183" t="n"/>
      <c r="AA451" s="183" t="n"/>
    </row>
    <row r="452" ht="45.75" customHeight="1" s="222">
      <c r="A452" s="205" t="n"/>
      <c r="B452" s="205" t="n"/>
      <c r="C452" s="205" t="n"/>
      <c r="D452" s="205" t="n"/>
      <c r="E452" s="205" t="n"/>
      <c r="F452" s="205" t="n"/>
      <c r="G452" s="206" t="n"/>
      <c r="H452" s="205" t="n"/>
      <c r="I452" s="28" t="n"/>
      <c r="J452" s="205" t="n"/>
      <c r="K452" s="205" t="n"/>
      <c r="L452" s="205" t="n"/>
      <c r="M452" s="205" t="n"/>
      <c r="N452" s="205" t="n"/>
      <c r="O452" s="183" t="n"/>
      <c r="P452" s="183" t="n"/>
      <c r="Q452" s="183" t="n"/>
      <c r="R452" s="183" t="n"/>
      <c r="S452" s="183" t="n"/>
      <c r="T452" s="183" t="n"/>
      <c r="U452" s="183" t="n"/>
      <c r="V452" s="183" t="n"/>
      <c r="W452" s="183" t="n"/>
      <c r="X452" s="183" t="n"/>
      <c r="Y452" s="183" t="n"/>
      <c r="Z452" s="183" t="n"/>
      <c r="AA452" s="183" t="n"/>
    </row>
    <row r="453" ht="45.75" customHeight="1" s="222">
      <c r="A453" s="205" t="n"/>
      <c r="B453" s="205" t="n"/>
      <c r="C453" s="205" t="n"/>
      <c r="D453" s="205" t="n"/>
      <c r="E453" s="205" t="n"/>
      <c r="F453" s="205" t="n"/>
      <c r="G453" s="206" t="n"/>
      <c r="H453" s="205" t="n"/>
      <c r="I453" s="28" t="n"/>
      <c r="J453" s="205" t="n"/>
      <c r="K453" s="205" t="n"/>
      <c r="L453" s="205" t="n"/>
      <c r="M453" s="205" t="n"/>
      <c r="N453" s="205" t="n"/>
      <c r="O453" s="183" t="n"/>
      <c r="P453" s="183" t="n"/>
      <c r="Q453" s="183" t="n"/>
      <c r="R453" s="183" t="n"/>
      <c r="S453" s="183" t="n"/>
      <c r="T453" s="183" t="n"/>
      <c r="U453" s="183" t="n"/>
      <c r="V453" s="183" t="n"/>
      <c r="W453" s="183" t="n"/>
      <c r="X453" s="183" t="n"/>
      <c r="Y453" s="183" t="n"/>
      <c r="Z453" s="183" t="n"/>
      <c r="AA453" s="183" t="n"/>
    </row>
    <row r="454" ht="45.75" customHeight="1" s="222">
      <c r="A454" s="205" t="n"/>
      <c r="B454" s="205" t="n"/>
      <c r="C454" s="205" t="n"/>
      <c r="D454" s="205" t="n"/>
      <c r="E454" s="205" t="n"/>
      <c r="F454" s="205" t="n"/>
      <c r="G454" s="206" t="n"/>
      <c r="H454" s="205" t="n"/>
      <c r="I454" s="28" t="n"/>
      <c r="J454" s="205" t="n"/>
      <c r="K454" s="205" t="n"/>
      <c r="L454" s="205" t="n"/>
      <c r="M454" s="205" t="n"/>
      <c r="N454" s="205" t="n"/>
      <c r="O454" s="183" t="n"/>
      <c r="P454" s="183" t="n"/>
      <c r="Q454" s="183" t="n"/>
      <c r="R454" s="183" t="n"/>
      <c r="S454" s="183" t="n"/>
      <c r="T454" s="183" t="n"/>
      <c r="U454" s="183" t="n"/>
      <c r="V454" s="183" t="n"/>
      <c r="W454" s="183" t="n"/>
      <c r="X454" s="183" t="n"/>
      <c r="Y454" s="183" t="n"/>
      <c r="Z454" s="183" t="n"/>
      <c r="AA454" s="183" t="n"/>
    </row>
    <row r="455" ht="45.75" customHeight="1" s="222">
      <c r="A455" s="205" t="n"/>
      <c r="B455" s="205" t="n"/>
      <c r="C455" s="205" t="n"/>
      <c r="D455" s="205" t="n"/>
      <c r="E455" s="205" t="n"/>
      <c r="F455" s="205" t="n"/>
      <c r="G455" s="206" t="n"/>
      <c r="H455" s="205" t="n"/>
      <c r="I455" s="28" t="n"/>
      <c r="J455" s="205" t="n"/>
      <c r="K455" s="205" t="n"/>
      <c r="L455" s="205" t="n"/>
      <c r="M455" s="205" t="n"/>
      <c r="N455" s="205" t="n"/>
      <c r="O455" s="183" t="n"/>
      <c r="P455" s="183" t="n"/>
      <c r="Q455" s="183" t="n"/>
      <c r="R455" s="183" t="n"/>
      <c r="S455" s="183" t="n"/>
      <c r="T455" s="183" t="n"/>
      <c r="U455" s="183" t="n"/>
      <c r="V455" s="183" t="n"/>
      <c r="W455" s="183" t="n"/>
      <c r="X455" s="183" t="n"/>
      <c r="Y455" s="183" t="n"/>
      <c r="Z455" s="183" t="n"/>
      <c r="AA455" s="183" t="n"/>
    </row>
    <row r="456" ht="45.75" customHeight="1" s="222">
      <c r="A456" s="205" t="n"/>
      <c r="B456" s="205" t="n"/>
      <c r="C456" s="205" t="n"/>
      <c r="D456" s="205" t="n"/>
      <c r="E456" s="205" t="n"/>
      <c r="F456" s="205" t="n"/>
      <c r="G456" s="206" t="n"/>
      <c r="H456" s="205" t="n"/>
      <c r="I456" s="28" t="n"/>
      <c r="J456" s="205" t="n"/>
      <c r="K456" s="205" t="n"/>
      <c r="L456" s="205" t="n"/>
      <c r="M456" s="205" t="n"/>
      <c r="N456" s="205" t="n"/>
      <c r="O456" s="183" t="n"/>
      <c r="P456" s="183" t="n"/>
      <c r="Q456" s="183" t="n"/>
      <c r="R456" s="183" t="n"/>
      <c r="S456" s="183" t="n"/>
      <c r="T456" s="183" t="n"/>
      <c r="U456" s="183" t="n"/>
      <c r="V456" s="183" t="n"/>
      <c r="W456" s="183" t="n"/>
      <c r="X456" s="183" t="n"/>
      <c r="Y456" s="183" t="n"/>
      <c r="Z456" s="183" t="n"/>
      <c r="AA456" s="183" t="n"/>
    </row>
    <row r="457" ht="45.75" customHeight="1" s="222">
      <c r="A457" s="205" t="n"/>
      <c r="B457" s="205" t="n"/>
      <c r="C457" s="205" t="n"/>
      <c r="D457" s="205" t="n"/>
      <c r="E457" s="205" t="n"/>
      <c r="F457" s="205" t="n"/>
      <c r="G457" s="206" t="n"/>
      <c r="H457" s="205" t="n"/>
      <c r="I457" s="28" t="n"/>
      <c r="J457" s="205" t="n"/>
      <c r="K457" s="205" t="n"/>
      <c r="L457" s="205" t="n"/>
      <c r="M457" s="205" t="n"/>
      <c r="N457" s="205" t="n"/>
      <c r="O457" s="183" t="n"/>
      <c r="P457" s="183" t="n"/>
      <c r="Q457" s="183" t="n"/>
      <c r="R457" s="183" t="n"/>
      <c r="S457" s="183" t="n"/>
      <c r="T457" s="183" t="n"/>
      <c r="U457" s="183" t="n"/>
      <c r="V457" s="183" t="n"/>
      <c r="W457" s="183" t="n"/>
      <c r="X457" s="183" t="n"/>
      <c r="Y457" s="183" t="n"/>
      <c r="Z457" s="183" t="n"/>
      <c r="AA457" s="183" t="n"/>
    </row>
    <row r="458" ht="45.75" customHeight="1" s="222">
      <c r="A458" s="205" t="n"/>
      <c r="B458" s="205" t="n"/>
      <c r="C458" s="205" t="n"/>
      <c r="D458" s="205" t="n"/>
      <c r="E458" s="205" t="n"/>
      <c r="F458" s="205" t="n"/>
      <c r="G458" s="206" t="n"/>
      <c r="H458" s="205" t="n"/>
      <c r="I458" s="28" t="n"/>
      <c r="J458" s="205" t="n"/>
      <c r="K458" s="205" t="n"/>
      <c r="L458" s="205" t="n"/>
      <c r="M458" s="205" t="n"/>
      <c r="N458" s="205" t="n"/>
      <c r="O458" s="183" t="n"/>
      <c r="P458" s="183" t="n"/>
      <c r="Q458" s="183" t="n"/>
      <c r="R458" s="183" t="n"/>
      <c r="S458" s="183" t="n"/>
      <c r="T458" s="183" t="n"/>
      <c r="U458" s="183" t="n"/>
      <c r="V458" s="183" t="n"/>
      <c r="W458" s="183" t="n"/>
      <c r="X458" s="183" t="n"/>
      <c r="Y458" s="183" t="n"/>
      <c r="Z458" s="183" t="n"/>
      <c r="AA458" s="183" t="n"/>
    </row>
    <row r="459" ht="45.75" customHeight="1" s="222">
      <c r="A459" s="205" t="n"/>
      <c r="B459" s="205" t="n"/>
      <c r="C459" s="205" t="n"/>
      <c r="D459" s="205" t="n"/>
      <c r="E459" s="205" t="n"/>
      <c r="F459" s="205" t="n"/>
      <c r="G459" s="206" t="n"/>
      <c r="H459" s="205" t="n"/>
      <c r="I459" s="28" t="n"/>
      <c r="J459" s="205" t="n"/>
      <c r="K459" s="205" t="n"/>
      <c r="L459" s="205" t="n"/>
      <c r="M459" s="205" t="n"/>
      <c r="N459" s="205" t="n"/>
      <c r="O459" s="183" t="n"/>
      <c r="P459" s="183" t="n"/>
      <c r="Q459" s="183" t="n"/>
      <c r="R459" s="183" t="n"/>
      <c r="S459" s="183" t="n"/>
      <c r="T459" s="183" t="n"/>
      <c r="U459" s="183" t="n"/>
      <c r="V459" s="183" t="n"/>
      <c r="W459" s="183" t="n"/>
      <c r="X459" s="183" t="n"/>
      <c r="Y459" s="183" t="n"/>
      <c r="Z459" s="183" t="n"/>
      <c r="AA459" s="183" t="n"/>
    </row>
    <row r="460" ht="45.75" customHeight="1" s="222">
      <c r="A460" s="205" t="n"/>
      <c r="B460" s="205" t="n"/>
      <c r="C460" s="205" t="n"/>
      <c r="D460" s="205" t="n"/>
      <c r="E460" s="205" t="n"/>
      <c r="F460" s="205" t="n"/>
      <c r="G460" s="206" t="n"/>
      <c r="H460" s="205" t="n"/>
      <c r="I460" s="28" t="n"/>
      <c r="J460" s="205" t="n"/>
      <c r="K460" s="205" t="n"/>
      <c r="L460" s="205" t="n"/>
      <c r="M460" s="205" t="n"/>
      <c r="N460" s="205" t="n"/>
      <c r="O460" s="183" t="n"/>
      <c r="P460" s="183" t="n"/>
      <c r="Q460" s="183" t="n"/>
      <c r="R460" s="183" t="n"/>
      <c r="S460" s="183" t="n"/>
      <c r="T460" s="183" t="n"/>
      <c r="U460" s="183" t="n"/>
      <c r="V460" s="183" t="n"/>
      <c r="W460" s="183" t="n"/>
      <c r="X460" s="183" t="n"/>
      <c r="Y460" s="183" t="n"/>
      <c r="Z460" s="183" t="n"/>
      <c r="AA460" s="183" t="n"/>
    </row>
    <row r="461" ht="45.75" customHeight="1" s="222">
      <c r="A461" s="205" t="n"/>
      <c r="B461" s="205" t="n"/>
      <c r="C461" s="205" t="n"/>
      <c r="D461" s="205" t="n"/>
      <c r="E461" s="205" t="n"/>
      <c r="F461" s="205" t="n"/>
      <c r="G461" s="206" t="n"/>
      <c r="H461" s="205" t="n"/>
      <c r="I461" s="28" t="n"/>
      <c r="J461" s="205" t="n"/>
      <c r="K461" s="205" t="n"/>
      <c r="L461" s="205" t="n"/>
      <c r="M461" s="205" t="n"/>
      <c r="N461" s="205" t="n"/>
      <c r="O461" s="183" t="n"/>
      <c r="P461" s="183" t="n"/>
      <c r="Q461" s="183" t="n"/>
      <c r="R461" s="183" t="n"/>
      <c r="S461" s="183" t="n"/>
      <c r="T461" s="183" t="n"/>
      <c r="U461" s="183" t="n"/>
      <c r="V461" s="183" t="n"/>
      <c r="W461" s="183" t="n"/>
      <c r="X461" s="183" t="n"/>
      <c r="Y461" s="183" t="n"/>
      <c r="Z461" s="183" t="n"/>
      <c r="AA461" s="183" t="n"/>
    </row>
    <row r="462" ht="45.75" customHeight="1" s="222">
      <c r="A462" s="205" t="n"/>
      <c r="B462" s="205" t="n"/>
      <c r="C462" s="205" t="n"/>
      <c r="D462" s="205" t="n"/>
      <c r="E462" s="205" t="n"/>
      <c r="F462" s="205" t="n"/>
      <c r="G462" s="206" t="n"/>
      <c r="H462" s="205" t="n"/>
      <c r="I462" s="28" t="n"/>
      <c r="J462" s="205" t="n"/>
      <c r="K462" s="205" t="n"/>
      <c r="L462" s="205" t="n"/>
      <c r="M462" s="205" t="n"/>
      <c r="N462" s="205" t="n"/>
      <c r="O462" s="183" t="n"/>
      <c r="P462" s="183" t="n"/>
      <c r="Q462" s="183" t="n"/>
      <c r="R462" s="183" t="n"/>
      <c r="S462" s="183" t="n"/>
      <c r="T462" s="183" t="n"/>
      <c r="U462" s="183" t="n"/>
      <c r="V462" s="183" t="n"/>
      <c r="W462" s="183" t="n"/>
      <c r="X462" s="183" t="n"/>
      <c r="Y462" s="183" t="n"/>
      <c r="Z462" s="183" t="n"/>
      <c r="AA462" s="183" t="n"/>
    </row>
    <row r="463" ht="45.75" customHeight="1" s="222">
      <c r="A463" s="205" t="n"/>
      <c r="B463" s="205" t="n"/>
      <c r="C463" s="205" t="n"/>
      <c r="D463" s="205" t="n"/>
      <c r="E463" s="205" t="n"/>
      <c r="F463" s="205" t="n"/>
      <c r="G463" s="206" t="n"/>
      <c r="H463" s="205" t="n"/>
      <c r="I463" s="28" t="n"/>
      <c r="J463" s="205" t="n"/>
      <c r="K463" s="205" t="n"/>
      <c r="L463" s="205" t="n"/>
      <c r="M463" s="205" t="n"/>
      <c r="N463" s="205" t="n"/>
      <c r="O463" s="183" t="n"/>
      <c r="P463" s="183" t="n"/>
      <c r="Q463" s="183" t="n"/>
      <c r="R463" s="183" t="n"/>
      <c r="S463" s="183" t="n"/>
      <c r="T463" s="183" t="n"/>
      <c r="U463" s="183" t="n"/>
      <c r="V463" s="183" t="n"/>
      <c r="W463" s="183" t="n"/>
      <c r="X463" s="183" t="n"/>
      <c r="Y463" s="183" t="n"/>
      <c r="Z463" s="183" t="n"/>
      <c r="AA463" s="183" t="n"/>
    </row>
    <row r="464" ht="45.75" customHeight="1" s="222">
      <c r="A464" s="205" t="n"/>
      <c r="B464" s="205" t="n"/>
      <c r="C464" s="205" t="n"/>
      <c r="D464" s="205" t="n"/>
      <c r="E464" s="205" t="n"/>
      <c r="F464" s="205" t="n"/>
      <c r="G464" s="206" t="n"/>
      <c r="H464" s="205" t="n"/>
      <c r="I464" s="28" t="n"/>
      <c r="J464" s="205" t="n"/>
      <c r="K464" s="205" t="n"/>
      <c r="L464" s="205" t="n"/>
      <c r="M464" s="205" t="n"/>
      <c r="N464" s="205" t="n"/>
      <c r="O464" s="183" t="n"/>
      <c r="P464" s="183" t="n"/>
      <c r="Q464" s="183" t="n"/>
      <c r="R464" s="183" t="n"/>
      <c r="S464" s="183" t="n"/>
      <c r="T464" s="183" t="n"/>
      <c r="U464" s="183" t="n"/>
      <c r="V464" s="183" t="n"/>
      <c r="W464" s="183" t="n"/>
      <c r="X464" s="183" t="n"/>
      <c r="Y464" s="183" t="n"/>
      <c r="Z464" s="183" t="n"/>
      <c r="AA464" s="183" t="n"/>
    </row>
    <row r="465" ht="45.75" customHeight="1" s="222">
      <c r="A465" s="205" t="n"/>
      <c r="B465" s="205" t="n"/>
      <c r="C465" s="205" t="n"/>
      <c r="D465" s="205" t="n"/>
      <c r="E465" s="205" t="n"/>
      <c r="F465" s="205" t="n"/>
      <c r="G465" s="206" t="n"/>
      <c r="H465" s="205" t="n"/>
      <c r="I465" s="28" t="n"/>
      <c r="J465" s="205" t="n"/>
      <c r="K465" s="205" t="n"/>
      <c r="L465" s="205" t="n"/>
      <c r="M465" s="205" t="n"/>
      <c r="N465" s="205" t="n"/>
      <c r="O465" s="183" t="n"/>
      <c r="P465" s="183" t="n"/>
      <c r="Q465" s="183" t="n"/>
      <c r="R465" s="183" t="n"/>
      <c r="S465" s="183" t="n"/>
      <c r="T465" s="183" t="n"/>
      <c r="U465" s="183" t="n"/>
      <c r="V465" s="183" t="n"/>
      <c r="W465" s="183" t="n"/>
      <c r="X465" s="183" t="n"/>
      <c r="Y465" s="183" t="n"/>
      <c r="Z465" s="183" t="n"/>
      <c r="AA465" s="183" t="n"/>
    </row>
    <row r="466" ht="45.75" customHeight="1" s="222">
      <c r="A466" s="205" t="n"/>
      <c r="B466" s="205" t="n"/>
      <c r="C466" s="205" t="n"/>
      <c r="D466" s="205" t="n"/>
      <c r="E466" s="205" t="n"/>
      <c r="F466" s="205" t="n"/>
      <c r="G466" s="206" t="n"/>
      <c r="H466" s="205" t="n"/>
      <c r="I466" s="28" t="n"/>
      <c r="J466" s="205" t="n"/>
      <c r="K466" s="205" t="n"/>
      <c r="L466" s="205" t="n"/>
      <c r="M466" s="205" t="n"/>
      <c r="N466" s="205" t="n"/>
      <c r="O466" s="183" t="n"/>
      <c r="P466" s="183" t="n"/>
      <c r="Q466" s="183" t="n"/>
      <c r="R466" s="183" t="n"/>
      <c r="S466" s="183" t="n"/>
      <c r="T466" s="183" t="n"/>
      <c r="U466" s="183" t="n"/>
      <c r="V466" s="183" t="n"/>
      <c r="W466" s="183" t="n"/>
      <c r="X466" s="183" t="n"/>
      <c r="Y466" s="183" t="n"/>
      <c r="Z466" s="183" t="n"/>
      <c r="AA466" s="183" t="n"/>
    </row>
    <row r="467" ht="45.75" customHeight="1" s="222">
      <c r="A467" s="205" t="n"/>
      <c r="B467" s="205" t="n"/>
      <c r="C467" s="205" t="n"/>
      <c r="D467" s="205" t="n"/>
      <c r="E467" s="205" t="n"/>
      <c r="F467" s="205" t="n"/>
      <c r="G467" s="206" t="n"/>
      <c r="H467" s="205" t="n"/>
      <c r="I467" s="28" t="n"/>
      <c r="J467" s="205" t="n"/>
      <c r="K467" s="205" t="n"/>
      <c r="L467" s="205" t="n"/>
      <c r="M467" s="205" t="n"/>
      <c r="N467" s="205" t="n"/>
      <c r="O467" s="183" t="n"/>
      <c r="P467" s="183" t="n"/>
      <c r="Q467" s="183" t="n"/>
      <c r="R467" s="183" t="n"/>
      <c r="S467" s="183" t="n"/>
      <c r="T467" s="183" t="n"/>
      <c r="U467" s="183" t="n"/>
      <c r="V467" s="183" t="n"/>
      <c r="W467" s="183" t="n"/>
      <c r="X467" s="183" t="n"/>
      <c r="Y467" s="183" t="n"/>
      <c r="Z467" s="183" t="n"/>
      <c r="AA467" s="183" t="n"/>
    </row>
    <row r="468" ht="45.75" customHeight="1" s="222">
      <c r="A468" s="205" t="n"/>
      <c r="B468" s="205" t="n"/>
      <c r="C468" s="205" t="n"/>
      <c r="D468" s="205" t="n"/>
      <c r="E468" s="205" t="n"/>
      <c r="F468" s="205" t="n"/>
      <c r="G468" s="206" t="n"/>
      <c r="H468" s="205" t="n"/>
      <c r="I468" s="28" t="n"/>
      <c r="J468" s="205" t="n"/>
      <c r="K468" s="205" t="n"/>
      <c r="L468" s="205" t="n"/>
      <c r="M468" s="205" t="n"/>
      <c r="N468" s="205" t="n"/>
      <c r="O468" s="183" t="n"/>
      <c r="P468" s="183" t="n"/>
      <c r="Q468" s="183" t="n"/>
      <c r="R468" s="183" t="n"/>
      <c r="S468" s="183" t="n"/>
      <c r="T468" s="183" t="n"/>
      <c r="U468" s="183" t="n"/>
      <c r="V468" s="183" t="n"/>
      <c r="W468" s="183" t="n"/>
      <c r="X468" s="183" t="n"/>
      <c r="Y468" s="183" t="n"/>
      <c r="Z468" s="183" t="n"/>
      <c r="AA468" s="183" t="n"/>
    </row>
    <row r="469" ht="45.75" customHeight="1" s="222">
      <c r="A469" s="205" t="n"/>
      <c r="B469" s="205" t="n"/>
      <c r="C469" s="205" t="n"/>
      <c r="D469" s="205" t="n"/>
      <c r="E469" s="205" t="n"/>
      <c r="F469" s="205" t="n"/>
      <c r="G469" s="206" t="n"/>
      <c r="H469" s="205" t="n"/>
      <c r="I469" s="28" t="n"/>
      <c r="J469" s="205" t="n"/>
      <c r="K469" s="205" t="n"/>
      <c r="L469" s="205" t="n"/>
      <c r="M469" s="205" t="n"/>
      <c r="N469" s="205" t="n"/>
      <c r="O469" s="183" t="n"/>
      <c r="P469" s="183" t="n"/>
      <c r="Q469" s="183" t="n"/>
      <c r="R469" s="183" t="n"/>
      <c r="S469" s="183" t="n"/>
      <c r="T469" s="183" t="n"/>
      <c r="U469" s="183" t="n"/>
      <c r="V469" s="183" t="n"/>
      <c r="W469" s="183" t="n"/>
      <c r="X469" s="183" t="n"/>
      <c r="Y469" s="183" t="n"/>
      <c r="Z469" s="183" t="n"/>
      <c r="AA469" s="183" t="n"/>
    </row>
    <row r="470" ht="45.75" customHeight="1" s="222">
      <c r="A470" s="205" t="n"/>
      <c r="B470" s="205" t="n"/>
      <c r="C470" s="205" t="n"/>
      <c r="D470" s="205" t="n"/>
      <c r="E470" s="205" t="n"/>
      <c r="F470" s="205" t="n"/>
      <c r="G470" s="206" t="n"/>
      <c r="H470" s="205" t="n"/>
      <c r="I470" s="28" t="n"/>
      <c r="J470" s="205" t="n"/>
      <c r="K470" s="205" t="n"/>
      <c r="L470" s="205" t="n"/>
      <c r="M470" s="205" t="n"/>
      <c r="N470" s="205" t="n"/>
      <c r="O470" s="183" t="n"/>
      <c r="P470" s="183" t="n"/>
      <c r="Q470" s="183" t="n"/>
      <c r="R470" s="183" t="n"/>
      <c r="S470" s="183" t="n"/>
      <c r="T470" s="183" t="n"/>
      <c r="U470" s="183" t="n"/>
      <c r="V470" s="183" t="n"/>
      <c r="W470" s="183" t="n"/>
      <c r="X470" s="183" t="n"/>
      <c r="Y470" s="183" t="n"/>
      <c r="Z470" s="183" t="n"/>
      <c r="AA470" s="183" t="n"/>
    </row>
    <row r="471" ht="45.75" customHeight="1" s="222">
      <c r="A471" s="205" t="n"/>
      <c r="B471" s="205" t="n"/>
      <c r="C471" s="205" t="n"/>
      <c r="D471" s="205" t="n"/>
      <c r="E471" s="205" t="n"/>
      <c r="F471" s="205" t="n"/>
      <c r="G471" s="206" t="n"/>
      <c r="H471" s="205" t="n"/>
      <c r="I471" s="28" t="n"/>
      <c r="J471" s="205" t="n"/>
      <c r="K471" s="205" t="n"/>
      <c r="L471" s="205" t="n"/>
      <c r="M471" s="205" t="n"/>
      <c r="N471" s="205" t="n"/>
      <c r="O471" s="183" t="n"/>
      <c r="P471" s="183" t="n"/>
      <c r="Q471" s="183" t="n"/>
      <c r="R471" s="183" t="n"/>
      <c r="S471" s="183" t="n"/>
      <c r="T471" s="183" t="n"/>
      <c r="U471" s="183" t="n"/>
      <c r="V471" s="183" t="n"/>
      <c r="W471" s="183" t="n"/>
      <c r="X471" s="183" t="n"/>
      <c r="Y471" s="183" t="n"/>
      <c r="Z471" s="183" t="n"/>
      <c r="AA471" s="183" t="n"/>
    </row>
    <row r="472" ht="45.75" customHeight="1" s="222">
      <c r="A472" s="205" t="n"/>
      <c r="B472" s="205" t="n"/>
      <c r="C472" s="205" t="n"/>
      <c r="D472" s="205" t="n"/>
      <c r="E472" s="205" t="n"/>
      <c r="F472" s="205" t="n"/>
      <c r="G472" s="206" t="n"/>
      <c r="H472" s="205" t="n"/>
      <c r="I472" s="28" t="n"/>
      <c r="J472" s="205" t="n"/>
      <c r="K472" s="205" t="n"/>
      <c r="L472" s="205" t="n"/>
      <c r="M472" s="205" t="n"/>
      <c r="N472" s="205" t="n"/>
      <c r="O472" s="183" t="n"/>
      <c r="P472" s="183" t="n"/>
      <c r="Q472" s="183" t="n"/>
      <c r="R472" s="183" t="n"/>
      <c r="S472" s="183" t="n"/>
      <c r="T472" s="183" t="n"/>
      <c r="U472" s="183" t="n"/>
      <c r="V472" s="183" t="n"/>
      <c r="W472" s="183" t="n"/>
      <c r="X472" s="183" t="n"/>
      <c r="Y472" s="183" t="n"/>
      <c r="Z472" s="183" t="n"/>
      <c r="AA472" s="183" t="n"/>
    </row>
    <row r="473" ht="45.75" customHeight="1" s="222">
      <c r="A473" s="205" t="n"/>
      <c r="B473" s="205" t="n"/>
      <c r="C473" s="205" t="n"/>
      <c r="D473" s="205" t="n"/>
      <c r="E473" s="205" t="n"/>
      <c r="F473" s="205" t="n"/>
      <c r="G473" s="206" t="n"/>
      <c r="H473" s="205" t="n"/>
      <c r="I473" s="28" t="n"/>
      <c r="J473" s="205" t="n"/>
      <c r="K473" s="205" t="n"/>
      <c r="L473" s="205" t="n"/>
      <c r="M473" s="205" t="n"/>
      <c r="N473" s="205" t="n"/>
      <c r="O473" s="183" t="n"/>
      <c r="P473" s="183" t="n"/>
      <c r="Q473" s="183" t="n"/>
      <c r="R473" s="183" t="n"/>
      <c r="S473" s="183" t="n"/>
      <c r="T473" s="183" t="n"/>
      <c r="U473" s="183" t="n"/>
      <c r="V473" s="183" t="n"/>
      <c r="W473" s="183" t="n"/>
      <c r="X473" s="183" t="n"/>
      <c r="Y473" s="183" t="n"/>
      <c r="Z473" s="183" t="n"/>
      <c r="AA473" s="183" t="n"/>
    </row>
    <row r="474" ht="45.75" customHeight="1" s="222">
      <c r="A474" s="205" t="n"/>
      <c r="B474" s="205" t="n"/>
      <c r="C474" s="205" t="n"/>
      <c r="D474" s="205" t="n"/>
      <c r="E474" s="205" t="n"/>
      <c r="F474" s="205" t="n"/>
      <c r="G474" s="206" t="n"/>
      <c r="H474" s="205" t="n"/>
      <c r="I474" s="28" t="n"/>
      <c r="J474" s="205" t="n"/>
      <c r="K474" s="205" t="n"/>
      <c r="L474" s="205" t="n"/>
      <c r="M474" s="205" t="n"/>
      <c r="N474" s="205" t="n"/>
      <c r="O474" s="183" t="n"/>
      <c r="P474" s="183" t="n"/>
      <c r="Q474" s="183" t="n"/>
      <c r="R474" s="183" t="n"/>
      <c r="S474" s="183" t="n"/>
      <c r="T474" s="183" t="n"/>
      <c r="U474" s="183" t="n"/>
      <c r="V474" s="183" t="n"/>
      <c r="W474" s="183" t="n"/>
      <c r="X474" s="183" t="n"/>
      <c r="Y474" s="183" t="n"/>
      <c r="Z474" s="183" t="n"/>
      <c r="AA474" s="183" t="n"/>
    </row>
    <row r="475" ht="45.75" customHeight="1" s="222">
      <c r="A475" s="205" t="n"/>
      <c r="B475" s="205" t="n"/>
      <c r="C475" s="205" t="n"/>
      <c r="D475" s="205" t="n"/>
      <c r="E475" s="205" t="n"/>
      <c r="F475" s="205" t="n"/>
      <c r="G475" s="206" t="n"/>
      <c r="H475" s="205" t="n"/>
      <c r="I475" s="28" t="n"/>
      <c r="J475" s="205" t="n"/>
      <c r="K475" s="205" t="n"/>
      <c r="L475" s="205" t="n"/>
      <c r="M475" s="205" t="n"/>
      <c r="N475" s="205" t="n"/>
      <c r="O475" s="183" t="n"/>
      <c r="P475" s="183" t="n"/>
      <c r="Q475" s="183" t="n"/>
      <c r="R475" s="183" t="n"/>
      <c r="S475" s="183" t="n"/>
      <c r="T475" s="183" t="n"/>
      <c r="U475" s="183" t="n"/>
      <c r="V475" s="183" t="n"/>
      <c r="W475" s="183" t="n"/>
      <c r="X475" s="183" t="n"/>
      <c r="Y475" s="183" t="n"/>
      <c r="Z475" s="183" t="n"/>
      <c r="AA475" s="183" t="n"/>
    </row>
    <row r="476" ht="45.75" customHeight="1" s="222">
      <c r="A476" s="205" t="n"/>
      <c r="B476" s="205" t="n"/>
      <c r="C476" s="205" t="n"/>
      <c r="D476" s="205" t="n"/>
      <c r="E476" s="205" t="n"/>
      <c r="F476" s="205" t="n"/>
      <c r="G476" s="206" t="n"/>
      <c r="H476" s="205" t="n"/>
      <c r="I476" s="28" t="n"/>
      <c r="J476" s="205" t="n"/>
      <c r="K476" s="205" t="n"/>
      <c r="L476" s="205" t="n"/>
      <c r="M476" s="205" t="n"/>
      <c r="N476" s="205" t="n"/>
      <c r="O476" s="183" t="n"/>
      <c r="P476" s="183" t="n"/>
      <c r="Q476" s="183" t="n"/>
      <c r="R476" s="183" t="n"/>
      <c r="S476" s="183" t="n"/>
      <c r="T476" s="183" t="n"/>
      <c r="U476" s="183" t="n"/>
      <c r="V476" s="183" t="n"/>
      <c r="W476" s="183" t="n"/>
      <c r="X476" s="183" t="n"/>
      <c r="Y476" s="183" t="n"/>
      <c r="Z476" s="183" t="n"/>
      <c r="AA476" s="183" t="n"/>
    </row>
    <row r="477" ht="45.75" customHeight="1" s="222">
      <c r="A477" s="205" t="n"/>
      <c r="B477" s="205" t="n"/>
      <c r="C477" s="205" t="n"/>
      <c r="D477" s="205" t="n"/>
      <c r="E477" s="205" t="n"/>
      <c r="F477" s="205" t="n"/>
      <c r="G477" s="206" t="n"/>
      <c r="H477" s="205" t="n"/>
      <c r="I477" s="28" t="n"/>
      <c r="J477" s="205" t="n"/>
      <c r="K477" s="205" t="n"/>
      <c r="L477" s="205" t="n"/>
      <c r="M477" s="205" t="n"/>
      <c r="N477" s="205" t="n"/>
      <c r="O477" s="183" t="n"/>
      <c r="P477" s="183" t="n"/>
      <c r="Q477" s="183" t="n"/>
      <c r="R477" s="183" t="n"/>
      <c r="S477" s="183" t="n"/>
      <c r="T477" s="183" t="n"/>
      <c r="U477" s="183" t="n"/>
      <c r="V477" s="183" t="n"/>
      <c r="W477" s="183" t="n"/>
      <c r="X477" s="183" t="n"/>
      <c r="Y477" s="183" t="n"/>
      <c r="Z477" s="183" t="n"/>
      <c r="AA477" s="183" t="n"/>
    </row>
    <row r="478" ht="45.75" customHeight="1" s="222">
      <c r="A478" s="205" t="n"/>
      <c r="B478" s="205" t="n"/>
      <c r="C478" s="205" t="n"/>
      <c r="D478" s="205" t="n"/>
      <c r="E478" s="205" t="n"/>
      <c r="F478" s="205" t="n"/>
      <c r="G478" s="206" t="n"/>
      <c r="H478" s="205" t="n"/>
      <c r="I478" s="28" t="n"/>
      <c r="J478" s="205" t="n"/>
      <c r="K478" s="205" t="n"/>
      <c r="L478" s="205" t="n"/>
      <c r="M478" s="205" t="n"/>
      <c r="N478" s="205" t="n"/>
      <c r="O478" s="183" t="n"/>
      <c r="P478" s="183" t="n"/>
      <c r="Q478" s="183" t="n"/>
      <c r="R478" s="183" t="n"/>
      <c r="S478" s="183" t="n"/>
      <c r="T478" s="183" t="n"/>
      <c r="U478" s="183" t="n"/>
      <c r="V478" s="183" t="n"/>
      <c r="W478" s="183" t="n"/>
      <c r="X478" s="183" t="n"/>
      <c r="Y478" s="183" t="n"/>
      <c r="Z478" s="183" t="n"/>
      <c r="AA478" s="183" t="n"/>
    </row>
    <row r="479" ht="45.75" customHeight="1" s="222">
      <c r="A479" s="205" t="n"/>
      <c r="B479" s="205" t="n"/>
      <c r="C479" s="205" t="n"/>
      <c r="D479" s="205" t="n"/>
      <c r="E479" s="205" t="n"/>
      <c r="F479" s="205" t="n"/>
      <c r="G479" s="206" t="n"/>
      <c r="H479" s="205" t="n"/>
      <c r="I479" s="28" t="n"/>
      <c r="J479" s="205" t="n"/>
      <c r="K479" s="205" t="n"/>
      <c r="L479" s="205" t="n"/>
      <c r="M479" s="205" t="n"/>
      <c r="N479" s="205" t="n"/>
      <c r="O479" s="183" t="n"/>
      <c r="P479" s="183" t="n"/>
      <c r="Q479" s="183" t="n"/>
      <c r="R479" s="183" t="n"/>
      <c r="S479" s="183" t="n"/>
      <c r="T479" s="183" t="n"/>
      <c r="U479" s="183" t="n"/>
      <c r="V479" s="183" t="n"/>
      <c r="W479" s="183" t="n"/>
      <c r="X479" s="183" t="n"/>
      <c r="Y479" s="183" t="n"/>
      <c r="Z479" s="183" t="n"/>
      <c r="AA479" s="183" t="n"/>
    </row>
    <row r="480" ht="45.75" customHeight="1" s="222">
      <c r="A480" s="205" t="n"/>
      <c r="B480" s="205" t="n"/>
      <c r="C480" s="205" t="n"/>
      <c r="D480" s="205" t="n"/>
      <c r="E480" s="205" t="n"/>
      <c r="F480" s="205" t="n"/>
      <c r="G480" s="206" t="n"/>
      <c r="H480" s="205" t="n"/>
      <c r="I480" s="28" t="n"/>
      <c r="J480" s="205" t="n"/>
      <c r="K480" s="205" t="n"/>
      <c r="L480" s="205" t="n"/>
      <c r="M480" s="205" t="n"/>
      <c r="N480" s="205" t="n"/>
      <c r="O480" s="183" t="n"/>
      <c r="P480" s="183" t="n"/>
      <c r="Q480" s="183" t="n"/>
      <c r="R480" s="183" t="n"/>
      <c r="S480" s="183" t="n"/>
      <c r="T480" s="183" t="n"/>
      <c r="U480" s="183" t="n"/>
      <c r="V480" s="183" t="n"/>
      <c r="W480" s="183" t="n"/>
      <c r="X480" s="183" t="n"/>
      <c r="Y480" s="183" t="n"/>
      <c r="Z480" s="183" t="n"/>
      <c r="AA480" s="183" t="n"/>
    </row>
    <row r="481" ht="45.75" customHeight="1" s="222">
      <c r="A481" s="205" t="n"/>
      <c r="B481" s="205" t="n"/>
      <c r="C481" s="205" t="n"/>
      <c r="D481" s="205" t="n"/>
      <c r="E481" s="205" t="n"/>
      <c r="F481" s="205" t="n"/>
      <c r="G481" s="206" t="n"/>
      <c r="H481" s="205" t="n"/>
      <c r="I481" s="28" t="n"/>
      <c r="J481" s="205" t="n"/>
      <c r="K481" s="205" t="n"/>
      <c r="L481" s="205" t="n"/>
      <c r="M481" s="205" t="n"/>
      <c r="N481" s="205" t="n"/>
      <c r="O481" s="183" t="n"/>
      <c r="P481" s="183" t="n"/>
      <c r="Q481" s="183" t="n"/>
      <c r="R481" s="183" t="n"/>
      <c r="S481" s="183" t="n"/>
      <c r="T481" s="183" t="n"/>
      <c r="U481" s="183" t="n"/>
      <c r="V481" s="183" t="n"/>
      <c r="W481" s="183" t="n"/>
      <c r="X481" s="183" t="n"/>
      <c r="Y481" s="183" t="n"/>
      <c r="Z481" s="183" t="n"/>
      <c r="AA481" s="183" t="n"/>
    </row>
    <row r="482" ht="45.75" customHeight="1" s="222">
      <c r="A482" s="205" t="n"/>
      <c r="B482" s="205" t="n"/>
      <c r="C482" s="205" t="n"/>
      <c r="D482" s="205" t="n"/>
      <c r="E482" s="205" t="n"/>
      <c r="F482" s="205" t="n"/>
      <c r="G482" s="206" t="n"/>
      <c r="H482" s="205" t="n"/>
      <c r="I482" s="28" t="n"/>
      <c r="J482" s="205" t="n"/>
      <c r="K482" s="205" t="n"/>
      <c r="L482" s="205" t="n"/>
      <c r="M482" s="205" t="n"/>
      <c r="N482" s="205" t="n"/>
      <c r="O482" s="183" t="n"/>
      <c r="P482" s="183" t="n"/>
      <c r="Q482" s="183" t="n"/>
      <c r="R482" s="183" t="n"/>
      <c r="S482" s="183" t="n"/>
      <c r="T482" s="183" t="n"/>
      <c r="U482" s="183" t="n"/>
      <c r="V482" s="183" t="n"/>
      <c r="W482" s="183" t="n"/>
      <c r="X482" s="183" t="n"/>
      <c r="Y482" s="183" t="n"/>
      <c r="Z482" s="183" t="n"/>
      <c r="AA482" s="183" t="n"/>
    </row>
    <row r="483" ht="45.75" customHeight="1" s="222">
      <c r="A483" s="205" t="n"/>
      <c r="B483" s="205" t="n"/>
      <c r="C483" s="205" t="n"/>
      <c r="D483" s="205" t="n"/>
      <c r="E483" s="205" t="n"/>
      <c r="F483" s="205" t="n"/>
      <c r="G483" s="206" t="n"/>
      <c r="H483" s="205" t="n"/>
      <c r="I483" s="28" t="n"/>
      <c r="J483" s="205" t="n"/>
      <c r="K483" s="205" t="n"/>
      <c r="L483" s="205" t="n"/>
      <c r="M483" s="205" t="n"/>
      <c r="N483" s="205" t="n"/>
      <c r="O483" s="183" t="n"/>
      <c r="P483" s="183" t="n"/>
      <c r="Q483" s="183" t="n"/>
      <c r="R483" s="183" t="n"/>
      <c r="S483" s="183" t="n"/>
      <c r="T483" s="183" t="n"/>
      <c r="U483" s="183" t="n"/>
      <c r="V483" s="183" t="n"/>
      <c r="W483" s="183" t="n"/>
      <c r="X483" s="183" t="n"/>
      <c r="Y483" s="183" t="n"/>
      <c r="Z483" s="183" t="n"/>
      <c r="AA483" s="183" t="n"/>
    </row>
    <row r="484" ht="45.75" customHeight="1" s="222">
      <c r="A484" s="205" t="n"/>
      <c r="B484" s="205" t="n"/>
      <c r="C484" s="205" t="n"/>
      <c r="D484" s="205" t="n"/>
      <c r="E484" s="205" t="n"/>
      <c r="F484" s="205" t="n"/>
      <c r="G484" s="206" t="n"/>
      <c r="H484" s="205" t="n"/>
      <c r="I484" s="28" t="n"/>
      <c r="J484" s="205" t="n"/>
      <c r="K484" s="205" t="n"/>
      <c r="L484" s="205" t="n"/>
      <c r="M484" s="205" t="n"/>
      <c r="N484" s="205" t="n"/>
      <c r="O484" s="183" t="n"/>
      <c r="P484" s="183" t="n"/>
      <c r="Q484" s="183" t="n"/>
      <c r="R484" s="183" t="n"/>
      <c r="S484" s="183" t="n"/>
      <c r="T484" s="183" t="n"/>
      <c r="U484" s="183" t="n"/>
      <c r="V484" s="183" t="n"/>
      <c r="W484" s="183" t="n"/>
      <c r="X484" s="183" t="n"/>
      <c r="Y484" s="183" t="n"/>
      <c r="Z484" s="183" t="n"/>
      <c r="AA484" s="183" t="n"/>
    </row>
    <row r="485" ht="45.75" customHeight="1" s="222">
      <c r="A485" s="205" t="n"/>
      <c r="B485" s="205" t="n"/>
      <c r="C485" s="205" t="n"/>
      <c r="D485" s="205" t="n"/>
      <c r="E485" s="205" t="n"/>
      <c r="F485" s="205" t="n"/>
      <c r="G485" s="206" t="n"/>
      <c r="H485" s="205" t="n"/>
      <c r="I485" s="28" t="n"/>
      <c r="J485" s="205" t="n"/>
      <c r="K485" s="205" t="n"/>
      <c r="L485" s="205" t="n"/>
      <c r="M485" s="205" t="n"/>
      <c r="N485" s="205" t="n"/>
      <c r="O485" s="183" t="n"/>
      <c r="P485" s="183" t="n"/>
      <c r="Q485" s="183" t="n"/>
      <c r="R485" s="183" t="n"/>
      <c r="S485" s="183" t="n"/>
      <c r="T485" s="183" t="n"/>
      <c r="U485" s="183" t="n"/>
      <c r="V485" s="183" t="n"/>
      <c r="W485" s="183" t="n"/>
      <c r="X485" s="183" t="n"/>
      <c r="Y485" s="183" t="n"/>
      <c r="Z485" s="183" t="n"/>
      <c r="AA485" s="183" t="n"/>
    </row>
    <row r="486" ht="45.75" customHeight="1" s="222">
      <c r="A486" s="205" t="n"/>
      <c r="B486" s="205" t="n"/>
      <c r="C486" s="205" t="n"/>
      <c r="D486" s="205" t="n"/>
      <c r="E486" s="205" t="n"/>
      <c r="F486" s="205" t="n"/>
      <c r="G486" s="206" t="n"/>
      <c r="H486" s="205" t="n"/>
      <c r="I486" s="28" t="n"/>
      <c r="J486" s="205" t="n"/>
      <c r="K486" s="205" t="n"/>
      <c r="L486" s="205" t="n"/>
      <c r="M486" s="205" t="n"/>
      <c r="N486" s="205" t="n"/>
      <c r="O486" s="183" t="n"/>
      <c r="P486" s="183" t="n"/>
      <c r="Q486" s="183" t="n"/>
      <c r="R486" s="183" t="n"/>
      <c r="S486" s="183" t="n"/>
      <c r="T486" s="183" t="n"/>
      <c r="U486" s="183" t="n"/>
      <c r="V486" s="183" t="n"/>
      <c r="W486" s="183" t="n"/>
      <c r="X486" s="183" t="n"/>
      <c r="Y486" s="183" t="n"/>
      <c r="Z486" s="183" t="n"/>
      <c r="AA486" s="183" t="n"/>
    </row>
    <row r="487" ht="45.75" customHeight="1" s="222">
      <c r="A487" s="205" t="n"/>
      <c r="B487" s="205" t="n"/>
      <c r="C487" s="205" t="n"/>
      <c r="D487" s="205" t="n"/>
      <c r="E487" s="205" t="n"/>
      <c r="F487" s="205" t="n"/>
      <c r="G487" s="206" t="n"/>
      <c r="H487" s="205" t="n"/>
      <c r="I487" s="28" t="n"/>
      <c r="J487" s="205" t="n"/>
      <c r="K487" s="205" t="n"/>
      <c r="L487" s="205" t="n"/>
      <c r="M487" s="205" t="n"/>
      <c r="N487" s="205" t="n"/>
      <c r="O487" s="183" t="n"/>
      <c r="P487" s="183" t="n"/>
      <c r="Q487" s="183" t="n"/>
      <c r="R487" s="183" t="n"/>
      <c r="S487" s="183" t="n"/>
      <c r="T487" s="183" t="n"/>
      <c r="U487" s="183" t="n"/>
      <c r="V487" s="183" t="n"/>
      <c r="W487" s="183" t="n"/>
      <c r="X487" s="183" t="n"/>
      <c r="Y487" s="183" t="n"/>
      <c r="Z487" s="183" t="n"/>
      <c r="AA487" s="183" t="n"/>
    </row>
    <row r="488" ht="45.75" customHeight="1" s="222">
      <c r="A488" s="205" t="n"/>
      <c r="B488" s="205" t="n"/>
      <c r="C488" s="205" t="n"/>
      <c r="D488" s="205" t="n"/>
      <c r="E488" s="205" t="n"/>
      <c r="F488" s="205" t="n"/>
      <c r="G488" s="206" t="n"/>
      <c r="H488" s="205" t="n"/>
      <c r="I488" s="28" t="n"/>
      <c r="J488" s="205" t="n"/>
      <c r="K488" s="205" t="n"/>
      <c r="L488" s="205" t="n"/>
      <c r="M488" s="205" t="n"/>
      <c r="N488" s="205" t="n"/>
      <c r="O488" s="183" t="n"/>
      <c r="P488" s="183" t="n"/>
      <c r="Q488" s="183" t="n"/>
      <c r="R488" s="183" t="n"/>
      <c r="S488" s="183" t="n"/>
      <c r="T488" s="183" t="n"/>
      <c r="U488" s="183" t="n"/>
      <c r="V488" s="183" t="n"/>
      <c r="W488" s="183" t="n"/>
      <c r="X488" s="183" t="n"/>
      <c r="Y488" s="183" t="n"/>
      <c r="Z488" s="183" t="n"/>
      <c r="AA488" s="183" t="n"/>
    </row>
    <row r="489" ht="45.75" customHeight="1" s="222">
      <c r="A489" s="205" t="n"/>
      <c r="B489" s="205" t="n"/>
      <c r="C489" s="205" t="n"/>
      <c r="D489" s="205" t="n"/>
      <c r="E489" s="205" t="n"/>
      <c r="F489" s="205" t="n"/>
      <c r="G489" s="206" t="n"/>
      <c r="H489" s="205" t="n"/>
      <c r="I489" s="28" t="n"/>
      <c r="J489" s="205" t="n"/>
      <c r="K489" s="205" t="n"/>
      <c r="L489" s="205" t="n"/>
      <c r="M489" s="205" t="n"/>
      <c r="N489" s="205" t="n"/>
      <c r="O489" s="183" t="n"/>
      <c r="P489" s="183" t="n"/>
      <c r="Q489" s="183" t="n"/>
      <c r="R489" s="183" t="n"/>
      <c r="S489" s="183" t="n"/>
      <c r="T489" s="183" t="n"/>
      <c r="U489" s="183" t="n"/>
      <c r="V489" s="183" t="n"/>
      <c r="W489" s="183" t="n"/>
      <c r="X489" s="183" t="n"/>
      <c r="Y489" s="183" t="n"/>
      <c r="Z489" s="183" t="n"/>
      <c r="AA489" s="183" t="n"/>
    </row>
    <row r="490" ht="45.75" customHeight="1" s="222">
      <c r="A490" s="205" t="n"/>
      <c r="B490" s="205" t="n"/>
      <c r="C490" s="205" t="n"/>
      <c r="D490" s="205" t="n"/>
      <c r="E490" s="205" t="n"/>
      <c r="F490" s="205" t="n"/>
      <c r="G490" s="206" t="n"/>
      <c r="H490" s="205" t="n"/>
      <c r="I490" s="28" t="n"/>
      <c r="J490" s="205" t="n"/>
      <c r="K490" s="205" t="n"/>
      <c r="L490" s="205" t="n"/>
      <c r="M490" s="205" t="n"/>
      <c r="N490" s="205" t="n"/>
      <c r="O490" s="183" t="n"/>
      <c r="P490" s="183" t="n"/>
      <c r="Q490" s="183" t="n"/>
      <c r="R490" s="183" t="n"/>
      <c r="S490" s="183" t="n"/>
      <c r="T490" s="183" t="n"/>
      <c r="U490" s="183" t="n"/>
      <c r="V490" s="183" t="n"/>
      <c r="W490" s="183" t="n"/>
      <c r="X490" s="183" t="n"/>
      <c r="Y490" s="183" t="n"/>
      <c r="Z490" s="183" t="n"/>
      <c r="AA490" s="183" t="n"/>
    </row>
    <row r="491" ht="45.75" customHeight="1" s="222">
      <c r="A491" s="205" t="n"/>
      <c r="B491" s="205" t="n"/>
      <c r="C491" s="205" t="n"/>
      <c r="D491" s="205" t="n"/>
      <c r="E491" s="205" t="n"/>
      <c r="F491" s="205" t="n"/>
      <c r="G491" s="206" t="n"/>
      <c r="H491" s="205" t="n"/>
      <c r="I491" s="28" t="n"/>
      <c r="J491" s="205" t="n"/>
      <c r="K491" s="205" t="n"/>
      <c r="L491" s="205" t="n"/>
      <c r="M491" s="205" t="n"/>
      <c r="N491" s="205" t="n"/>
      <c r="O491" s="183" t="n"/>
      <c r="P491" s="183" t="n"/>
      <c r="Q491" s="183" t="n"/>
      <c r="R491" s="183" t="n"/>
      <c r="S491" s="183" t="n"/>
      <c r="T491" s="183" t="n"/>
      <c r="U491" s="183" t="n"/>
      <c r="V491" s="183" t="n"/>
      <c r="W491" s="183" t="n"/>
      <c r="X491" s="183" t="n"/>
      <c r="Y491" s="183" t="n"/>
      <c r="Z491" s="183" t="n"/>
      <c r="AA491" s="183" t="n"/>
    </row>
    <row r="492" ht="45.75" customHeight="1" s="222">
      <c r="A492" s="205" t="n"/>
      <c r="B492" s="205" t="n"/>
      <c r="C492" s="205" t="n"/>
      <c r="D492" s="205" t="n"/>
      <c r="E492" s="205" t="n"/>
      <c r="F492" s="205" t="n"/>
      <c r="G492" s="206" t="n"/>
      <c r="H492" s="205" t="n"/>
      <c r="I492" s="28" t="n"/>
      <c r="J492" s="205" t="n"/>
      <c r="K492" s="205" t="n"/>
      <c r="L492" s="205" t="n"/>
      <c r="M492" s="205" t="n"/>
      <c r="N492" s="205" t="n"/>
      <c r="O492" s="183" t="n"/>
      <c r="P492" s="183" t="n"/>
      <c r="Q492" s="183" t="n"/>
      <c r="R492" s="183" t="n"/>
      <c r="S492" s="183" t="n"/>
      <c r="T492" s="183" t="n"/>
      <c r="U492" s="183" t="n"/>
      <c r="V492" s="183" t="n"/>
      <c r="W492" s="183" t="n"/>
      <c r="X492" s="183" t="n"/>
      <c r="Y492" s="183" t="n"/>
      <c r="Z492" s="183" t="n"/>
      <c r="AA492" s="183" t="n"/>
    </row>
    <row r="493" ht="45.75" customHeight="1" s="222">
      <c r="A493" s="205" t="n"/>
      <c r="B493" s="205" t="n"/>
      <c r="C493" s="205" t="n"/>
      <c r="D493" s="205" t="n"/>
      <c r="E493" s="205" t="n"/>
      <c r="F493" s="205" t="n"/>
      <c r="G493" s="206" t="n"/>
      <c r="H493" s="205" t="n"/>
      <c r="I493" s="28" t="n"/>
      <c r="J493" s="205" t="n"/>
      <c r="K493" s="205" t="n"/>
      <c r="L493" s="205" t="n"/>
      <c r="M493" s="205" t="n"/>
      <c r="N493" s="205" t="n"/>
      <c r="O493" s="183" t="n"/>
      <c r="P493" s="183" t="n"/>
      <c r="Q493" s="183" t="n"/>
      <c r="R493" s="183" t="n"/>
      <c r="S493" s="183" t="n"/>
      <c r="T493" s="183" t="n"/>
      <c r="U493" s="183" t="n"/>
      <c r="V493" s="183" t="n"/>
      <c r="W493" s="183" t="n"/>
      <c r="X493" s="183" t="n"/>
      <c r="Y493" s="183" t="n"/>
      <c r="Z493" s="183" t="n"/>
      <c r="AA493" s="183" t="n"/>
    </row>
    <row r="494" ht="45.75" customHeight="1" s="222">
      <c r="A494" s="205" t="n"/>
      <c r="B494" s="205" t="n"/>
      <c r="C494" s="205" t="n"/>
      <c r="D494" s="205" t="n"/>
      <c r="E494" s="205" t="n"/>
      <c r="F494" s="205" t="n"/>
      <c r="G494" s="206" t="n"/>
      <c r="H494" s="205" t="n"/>
      <c r="I494" s="28" t="n"/>
      <c r="J494" s="205" t="n"/>
      <c r="K494" s="205" t="n"/>
      <c r="L494" s="205" t="n"/>
      <c r="M494" s="205" t="n"/>
      <c r="N494" s="205" t="n"/>
      <c r="O494" s="183" t="n"/>
      <c r="P494" s="183" t="n"/>
      <c r="Q494" s="183" t="n"/>
      <c r="R494" s="183" t="n"/>
      <c r="S494" s="183" t="n"/>
      <c r="T494" s="183" t="n"/>
      <c r="U494" s="183" t="n"/>
      <c r="V494" s="183" t="n"/>
      <c r="W494" s="183" t="n"/>
      <c r="X494" s="183" t="n"/>
      <c r="Y494" s="183" t="n"/>
      <c r="Z494" s="183" t="n"/>
      <c r="AA494" s="183" t="n"/>
    </row>
    <row r="495" ht="45.75" customHeight="1" s="222">
      <c r="A495" s="205" t="n"/>
      <c r="B495" s="205" t="n"/>
      <c r="C495" s="205" t="n"/>
      <c r="D495" s="205" t="n"/>
      <c r="E495" s="205" t="n"/>
      <c r="F495" s="205" t="n"/>
      <c r="G495" s="206" t="n"/>
      <c r="H495" s="205" t="n"/>
      <c r="I495" s="28" t="n"/>
      <c r="J495" s="205" t="n"/>
      <c r="K495" s="205" t="n"/>
      <c r="L495" s="205" t="n"/>
      <c r="M495" s="205" t="n"/>
      <c r="N495" s="205" t="n"/>
      <c r="O495" s="183" t="n"/>
      <c r="P495" s="183" t="n"/>
      <c r="Q495" s="183" t="n"/>
      <c r="R495" s="183" t="n"/>
      <c r="S495" s="183" t="n"/>
      <c r="T495" s="183" t="n"/>
      <c r="U495" s="183" t="n"/>
      <c r="V495" s="183" t="n"/>
      <c r="W495" s="183" t="n"/>
      <c r="X495" s="183" t="n"/>
      <c r="Y495" s="183" t="n"/>
      <c r="Z495" s="183" t="n"/>
      <c r="AA495" s="183" t="n"/>
    </row>
    <row r="496" ht="45.75" customHeight="1" s="222">
      <c r="A496" s="205" t="n"/>
      <c r="B496" s="205" t="n"/>
      <c r="C496" s="205" t="n"/>
      <c r="D496" s="205" t="n"/>
      <c r="E496" s="205" t="n"/>
      <c r="F496" s="205" t="n"/>
      <c r="G496" s="206" t="n"/>
      <c r="H496" s="205" t="n"/>
      <c r="I496" s="28" t="n"/>
      <c r="J496" s="205" t="n"/>
      <c r="K496" s="205" t="n"/>
      <c r="L496" s="205" t="n"/>
      <c r="M496" s="205" t="n"/>
      <c r="N496" s="205" t="n"/>
      <c r="O496" s="183" t="n"/>
      <c r="P496" s="183" t="n"/>
      <c r="Q496" s="183" t="n"/>
      <c r="R496" s="183" t="n"/>
      <c r="S496" s="183" t="n"/>
      <c r="T496" s="183" t="n"/>
      <c r="U496" s="183" t="n"/>
      <c r="V496" s="183" t="n"/>
      <c r="W496" s="183" t="n"/>
      <c r="X496" s="183" t="n"/>
      <c r="Y496" s="183" t="n"/>
      <c r="Z496" s="183" t="n"/>
      <c r="AA496" s="183" t="n"/>
    </row>
    <row r="497" ht="45.75" customHeight="1" s="222">
      <c r="A497" s="205" t="n"/>
      <c r="B497" s="205" t="n"/>
      <c r="C497" s="205" t="n"/>
      <c r="D497" s="205" t="n"/>
      <c r="E497" s="205" t="n"/>
      <c r="F497" s="205" t="n"/>
      <c r="G497" s="206" t="n"/>
      <c r="H497" s="205" t="n"/>
      <c r="I497" s="28" t="n"/>
      <c r="J497" s="205" t="n"/>
      <c r="K497" s="205" t="n"/>
      <c r="L497" s="205" t="n"/>
      <c r="M497" s="205" t="n"/>
      <c r="N497" s="205" t="n"/>
      <c r="O497" s="183" t="n"/>
      <c r="P497" s="183" t="n"/>
      <c r="Q497" s="183" t="n"/>
      <c r="R497" s="183" t="n"/>
      <c r="S497" s="183" t="n"/>
      <c r="T497" s="183" t="n"/>
      <c r="U497" s="183" t="n"/>
      <c r="V497" s="183" t="n"/>
      <c r="W497" s="183" t="n"/>
      <c r="X497" s="183" t="n"/>
      <c r="Y497" s="183" t="n"/>
      <c r="Z497" s="183" t="n"/>
      <c r="AA497" s="183" t="n"/>
    </row>
    <row r="498" ht="45.75" customHeight="1" s="222">
      <c r="A498" s="205" t="n"/>
      <c r="B498" s="205" t="n"/>
      <c r="C498" s="205" t="n"/>
      <c r="D498" s="205" t="n"/>
      <c r="E498" s="205" t="n"/>
      <c r="F498" s="205" t="n"/>
      <c r="G498" s="206" t="n"/>
      <c r="H498" s="205" t="n"/>
      <c r="I498" s="28" t="n"/>
      <c r="J498" s="205" t="n"/>
      <c r="K498" s="205" t="n"/>
      <c r="L498" s="205" t="n"/>
      <c r="M498" s="205" t="n"/>
      <c r="N498" s="205" t="n"/>
      <c r="O498" s="183" t="n"/>
      <c r="P498" s="183" t="n"/>
      <c r="Q498" s="183" t="n"/>
      <c r="R498" s="183" t="n"/>
      <c r="S498" s="183" t="n"/>
      <c r="T498" s="183" t="n"/>
      <c r="U498" s="183" t="n"/>
      <c r="V498" s="183" t="n"/>
      <c r="W498" s="183" t="n"/>
      <c r="X498" s="183" t="n"/>
      <c r="Y498" s="183" t="n"/>
      <c r="Z498" s="183" t="n"/>
      <c r="AA498" s="183" t="n"/>
    </row>
    <row r="499" ht="45.75" customHeight="1" s="222">
      <c r="A499" s="205" t="n"/>
      <c r="B499" s="205" t="n"/>
      <c r="C499" s="205" t="n"/>
      <c r="D499" s="205" t="n"/>
      <c r="E499" s="205" t="n"/>
      <c r="F499" s="205" t="n"/>
      <c r="G499" s="206" t="n"/>
      <c r="H499" s="205" t="n"/>
      <c r="I499" s="28" t="n"/>
      <c r="J499" s="205" t="n"/>
      <c r="K499" s="205" t="n"/>
      <c r="L499" s="205" t="n"/>
      <c r="M499" s="205" t="n"/>
      <c r="N499" s="205" t="n"/>
      <c r="O499" s="183" t="n"/>
      <c r="P499" s="183" t="n"/>
      <c r="Q499" s="183" t="n"/>
      <c r="R499" s="183" t="n"/>
      <c r="S499" s="183" t="n"/>
      <c r="T499" s="183" t="n"/>
      <c r="U499" s="183" t="n"/>
      <c r="V499" s="183" t="n"/>
      <c r="W499" s="183" t="n"/>
      <c r="X499" s="183" t="n"/>
      <c r="Y499" s="183" t="n"/>
      <c r="Z499" s="183" t="n"/>
      <c r="AA499" s="183" t="n"/>
    </row>
    <row r="500" ht="45.75" customHeight="1" s="222">
      <c r="A500" s="205" t="n"/>
      <c r="B500" s="205" t="n"/>
      <c r="C500" s="205" t="n"/>
      <c r="D500" s="205" t="n"/>
      <c r="E500" s="205" t="n"/>
      <c r="F500" s="205" t="n"/>
      <c r="G500" s="206" t="n"/>
      <c r="H500" s="205" t="n"/>
      <c r="I500" s="28" t="n"/>
      <c r="J500" s="205" t="n"/>
      <c r="K500" s="205" t="n"/>
      <c r="L500" s="205" t="n"/>
      <c r="M500" s="205" t="n"/>
      <c r="N500" s="205" t="n"/>
      <c r="O500" s="183" t="n"/>
      <c r="P500" s="183" t="n"/>
      <c r="Q500" s="183" t="n"/>
      <c r="R500" s="183" t="n"/>
      <c r="S500" s="183" t="n"/>
      <c r="T500" s="183" t="n"/>
      <c r="U500" s="183" t="n"/>
      <c r="V500" s="183" t="n"/>
      <c r="W500" s="183" t="n"/>
      <c r="X500" s="183" t="n"/>
      <c r="Y500" s="183" t="n"/>
      <c r="Z500" s="183" t="n"/>
      <c r="AA500" s="183" t="n"/>
    </row>
    <row r="501" ht="45.75" customHeight="1" s="222">
      <c r="A501" s="205" t="n"/>
      <c r="B501" s="205" t="n"/>
      <c r="C501" s="205" t="n"/>
      <c r="D501" s="205" t="n"/>
      <c r="E501" s="205" t="n"/>
      <c r="F501" s="205" t="n"/>
      <c r="G501" s="206" t="n"/>
      <c r="H501" s="205" t="n"/>
      <c r="I501" s="28" t="n"/>
      <c r="J501" s="205" t="n"/>
      <c r="K501" s="205" t="n"/>
      <c r="L501" s="205" t="n"/>
      <c r="M501" s="205" t="n"/>
      <c r="N501" s="205" t="n"/>
      <c r="O501" s="183" t="n"/>
      <c r="P501" s="183" t="n"/>
      <c r="Q501" s="183" t="n"/>
      <c r="R501" s="183" t="n"/>
      <c r="S501" s="183" t="n"/>
      <c r="T501" s="183" t="n"/>
      <c r="U501" s="183" t="n"/>
      <c r="V501" s="183" t="n"/>
      <c r="W501" s="183" t="n"/>
      <c r="X501" s="183" t="n"/>
      <c r="Y501" s="183" t="n"/>
      <c r="Z501" s="183" t="n"/>
      <c r="AA501" s="183" t="n"/>
    </row>
    <row r="502" ht="45.75" customHeight="1" s="222">
      <c r="A502" s="205" t="n"/>
      <c r="B502" s="205" t="n"/>
      <c r="C502" s="205" t="n"/>
      <c r="D502" s="205" t="n"/>
      <c r="E502" s="205" t="n"/>
      <c r="F502" s="205" t="n"/>
      <c r="G502" s="206" t="n"/>
      <c r="H502" s="205" t="n"/>
      <c r="I502" s="28" t="n"/>
      <c r="J502" s="205" t="n"/>
      <c r="K502" s="205" t="n"/>
      <c r="L502" s="205" t="n"/>
      <c r="M502" s="205" t="n"/>
      <c r="N502" s="205" t="n"/>
      <c r="O502" s="183" t="n"/>
      <c r="P502" s="183" t="n"/>
      <c r="Q502" s="183" t="n"/>
      <c r="R502" s="183" t="n"/>
      <c r="S502" s="183" t="n"/>
      <c r="T502" s="183" t="n"/>
      <c r="U502" s="183" t="n"/>
      <c r="V502" s="183" t="n"/>
      <c r="W502" s="183" t="n"/>
      <c r="X502" s="183" t="n"/>
      <c r="Y502" s="183" t="n"/>
      <c r="Z502" s="183" t="n"/>
      <c r="AA502" s="183" t="n"/>
    </row>
    <row r="503" ht="45.75" customHeight="1" s="222">
      <c r="A503" s="205" t="n"/>
      <c r="B503" s="205" t="n"/>
      <c r="C503" s="205" t="n"/>
      <c r="D503" s="205" t="n"/>
      <c r="E503" s="205" t="n"/>
      <c r="F503" s="205" t="n"/>
      <c r="G503" s="206" t="n"/>
      <c r="H503" s="205" t="n"/>
      <c r="I503" s="28" t="n"/>
      <c r="J503" s="205" t="n"/>
      <c r="K503" s="205" t="n"/>
      <c r="L503" s="205" t="n"/>
      <c r="M503" s="205" t="n"/>
      <c r="N503" s="205" t="n"/>
      <c r="O503" s="183" t="n"/>
      <c r="P503" s="183" t="n"/>
      <c r="Q503" s="183" t="n"/>
      <c r="R503" s="183" t="n"/>
      <c r="S503" s="183" t="n"/>
      <c r="T503" s="183" t="n"/>
      <c r="U503" s="183" t="n"/>
      <c r="V503" s="183" t="n"/>
      <c r="W503" s="183" t="n"/>
      <c r="X503" s="183" t="n"/>
      <c r="Y503" s="183" t="n"/>
      <c r="Z503" s="183" t="n"/>
      <c r="AA503" s="183" t="n"/>
    </row>
    <row r="504" ht="45.75" customHeight="1" s="222">
      <c r="A504" s="205" t="n"/>
      <c r="B504" s="205" t="n"/>
      <c r="C504" s="205" t="n"/>
      <c r="D504" s="205" t="n"/>
      <c r="E504" s="205" t="n"/>
      <c r="F504" s="205" t="n"/>
      <c r="G504" s="206" t="n"/>
      <c r="H504" s="205" t="n"/>
      <c r="I504" s="28" t="n"/>
      <c r="J504" s="205" t="n"/>
      <c r="K504" s="205" t="n"/>
      <c r="L504" s="205" t="n"/>
      <c r="M504" s="205" t="n"/>
      <c r="N504" s="205" t="n"/>
      <c r="O504" s="183" t="n"/>
      <c r="P504" s="183" t="n"/>
      <c r="Q504" s="183" t="n"/>
      <c r="R504" s="183" t="n"/>
      <c r="S504" s="183" t="n"/>
      <c r="T504" s="183" t="n"/>
      <c r="U504" s="183" t="n"/>
      <c r="V504" s="183" t="n"/>
      <c r="W504" s="183" t="n"/>
      <c r="X504" s="183" t="n"/>
      <c r="Y504" s="183" t="n"/>
      <c r="Z504" s="183" t="n"/>
      <c r="AA504" s="183" t="n"/>
    </row>
    <row r="505" ht="45.75" customHeight="1" s="222">
      <c r="A505" s="205" t="n"/>
      <c r="B505" s="205" t="n"/>
      <c r="C505" s="205" t="n"/>
      <c r="D505" s="205" t="n"/>
      <c r="E505" s="205" t="n"/>
      <c r="F505" s="205" t="n"/>
      <c r="G505" s="206" t="n"/>
      <c r="H505" s="205" t="n"/>
      <c r="I505" s="28" t="n"/>
      <c r="J505" s="205" t="n"/>
      <c r="K505" s="205" t="n"/>
      <c r="L505" s="205" t="n"/>
      <c r="M505" s="205" t="n"/>
      <c r="N505" s="205" t="n"/>
      <c r="O505" s="183" t="n"/>
      <c r="P505" s="183" t="n"/>
      <c r="Q505" s="183" t="n"/>
      <c r="R505" s="183" t="n"/>
      <c r="S505" s="183" t="n"/>
      <c r="T505" s="183" t="n"/>
      <c r="U505" s="183" t="n"/>
      <c r="V505" s="183" t="n"/>
      <c r="W505" s="183" t="n"/>
      <c r="X505" s="183" t="n"/>
      <c r="Y505" s="183" t="n"/>
      <c r="Z505" s="183" t="n"/>
      <c r="AA505" s="183" t="n"/>
    </row>
    <row r="506" ht="45.75" customHeight="1" s="222">
      <c r="A506" s="205" t="n"/>
      <c r="B506" s="205" t="n"/>
      <c r="C506" s="205" t="n"/>
      <c r="D506" s="205" t="n"/>
      <c r="E506" s="205" t="n"/>
      <c r="F506" s="205" t="n"/>
      <c r="G506" s="206" t="n"/>
      <c r="H506" s="205" t="n"/>
      <c r="I506" s="28" t="n"/>
      <c r="J506" s="205" t="n"/>
      <c r="K506" s="205" t="n"/>
      <c r="L506" s="205" t="n"/>
      <c r="M506" s="205" t="n"/>
      <c r="N506" s="205" t="n"/>
      <c r="O506" s="183" t="n"/>
      <c r="P506" s="183" t="n"/>
      <c r="Q506" s="183" t="n"/>
      <c r="R506" s="183" t="n"/>
      <c r="S506" s="183" t="n"/>
      <c r="T506" s="183" t="n"/>
      <c r="U506" s="183" t="n"/>
      <c r="V506" s="183" t="n"/>
      <c r="W506" s="183" t="n"/>
      <c r="X506" s="183" t="n"/>
      <c r="Y506" s="183" t="n"/>
      <c r="Z506" s="183" t="n"/>
      <c r="AA506" s="183" t="n"/>
    </row>
    <row r="507" ht="45.75" customHeight="1" s="222">
      <c r="A507" s="205" t="n"/>
      <c r="B507" s="205" t="n"/>
      <c r="C507" s="205" t="n"/>
      <c r="D507" s="205" t="n"/>
      <c r="E507" s="205" t="n"/>
      <c r="F507" s="205" t="n"/>
      <c r="G507" s="206" t="n"/>
      <c r="H507" s="205" t="n"/>
      <c r="I507" s="28" t="n"/>
      <c r="J507" s="205" t="n"/>
      <c r="K507" s="205" t="n"/>
      <c r="L507" s="205" t="n"/>
      <c r="M507" s="205" t="n"/>
      <c r="N507" s="205" t="n"/>
      <c r="O507" s="183" t="n"/>
      <c r="P507" s="183" t="n"/>
      <c r="Q507" s="183" t="n"/>
      <c r="R507" s="183" t="n"/>
      <c r="S507" s="183" t="n"/>
      <c r="T507" s="183" t="n"/>
      <c r="U507" s="183" t="n"/>
      <c r="V507" s="183" t="n"/>
      <c r="W507" s="183" t="n"/>
      <c r="X507" s="183" t="n"/>
      <c r="Y507" s="183" t="n"/>
      <c r="Z507" s="183" t="n"/>
      <c r="AA507" s="183" t="n"/>
    </row>
    <row r="508" ht="45.75" customHeight="1" s="222">
      <c r="A508" s="205" t="n"/>
      <c r="B508" s="205" t="n"/>
      <c r="C508" s="205" t="n"/>
      <c r="D508" s="205" t="n"/>
      <c r="E508" s="205" t="n"/>
      <c r="F508" s="205" t="n"/>
      <c r="G508" s="206" t="n"/>
      <c r="H508" s="205" t="n"/>
      <c r="I508" s="28" t="n"/>
      <c r="J508" s="205" t="n"/>
      <c r="K508" s="205" t="n"/>
      <c r="L508" s="205" t="n"/>
      <c r="M508" s="205" t="n"/>
      <c r="N508" s="205" t="n"/>
      <c r="O508" s="183" t="n"/>
      <c r="P508" s="183" t="n"/>
      <c r="Q508" s="183" t="n"/>
      <c r="R508" s="183" t="n"/>
      <c r="S508" s="183" t="n"/>
      <c r="T508" s="183" t="n"/>
      <c r="U508" s="183" t="n"/>
      <c r="V508" s="183" t="n"/>
      <c r="W508" s="183" t="n"/>
      <c r="X508" s="183" t="n"/>
      <c r="Y508" s="183" t="n"/>
      <c r="Z508" s="183" t="n"/>
      <c r="AA508" s="183" t="n"/>
    </row>
    <row r="509" ht="45.75" customHeight="1" s="222">
      <c r="A509" s="205" t="n"/>
      <c r="B509" s="205" t="n"/>
      <c r="C509" s="205" t="n"/>
      <c r="D509" s="205" t="n"/>
      <c r="E509" s="205" t="n"/>
      <c r="F509" s="205" t="n"/>
      <c r="G509" s="206" t="n"/>
      <c r="H509" s="205" t="n"/>
      <c r="I509" s="28" t="n"/>
      <c r="J509" s="205" t="n"/>
      <c r="K509" s="205" t="n"/>
      <c r="L509" s="205" t="n"/>
      <c r="M509" s="205" t="n"/>
      <c r="N509" s="205" t="n"/>
      <c r="O509" s="183" t="n"/>
      <c r="P509" s="183" t="n"/>
      <c r="Q509" s="183" t="n"/>
      <c r="R509" s="183" t="n"/>
      <c r="S509" s="183" t="n"/>
      <c r="T509" s="183" t="n"/>
      <c r="U509" s="183" t="n"/>
      <c r="V509" s="183" t="n"/>
      <c r="W509" s="183" t="n"/>
      <c r="X509" s="183" t="n"/>
      <c r="Y509" s="183" t="n"/>
      <c r="Z509" s="183" t="n"/>
      <c r="AA509" s="183" t="n"/>
    </row>
    <row r="510" ht="45.75" customHeight="1" s="222">
      <c r="A510" s="205" t="n"/>
      <c r="B510" s="205" t="n"/>
      <c r="C510" s="205" t="n"/>
      <c r="D510" s="205" t="n"/>
      <c r="E510" s="205" t="n"/>
      <c r="F510" s="205" t="n"/>
      <c r="G510" s="206" t="n"/>
      <c r="H510" s="205" t="n"/>
      <c r="I510" s="28" t="n"/>
      <c r="J510" s="205" t="n"/>
      <c r="K510" s="205" t="n"/>
      <c r="L510" s="205" t="n"/>
      <c r="M510" s="205" t="n"/>
      <c r="N510" s="205" t="n"/>
      <c r="O510" s="183" t="n"/>
      <c r="P510" s="183" t="n"/>
      <c r="Q510" s="183" t="n"/>
      <c r="R510" s="183" t="n"/>
      <c r="S510" s="183" t="n"/>
      <c r="T510" s="183" t="n"/>
      <c r="U510" s="183" t="n"/>
      <c r="V510" s="183" t="n"/>
      <c r="W510" s="183" t="n"/>
      <c r="X510" s="183" t="n"/>
      <c r="Y510" s="183" t="n"/>
      <c r="Z510" s="183" t="n"/>
      <c r="AA510" s="183" t="n"/>
    </row>
    <row r="511" ht="45.75" customHeight="1" s="222">
      <c r="A511" s="205" t="n"/>
      <c r="B511" s="205" t="n"/>
      <c r="C511" s="205" t="n"/>
      <c r="D511" s="205" t="n"/>
      <c r="E511" s="205" t="n"/>
      <c r="F511" s="205" t="n"/>
      <c r="G511" s="206" t="n"/>
      <c r="H511" s="205" t="n"/>
      <c r="I511" s="28" t="n"/>
      <c r="J511" s="205" t="n"/>
      <c r="K511" s="205" t="n"/>
      <c r="L511" s="205" t="n"/>
      <c r="M511" s="205" t="n"/>
      <c r="N511" s="205" t="n"/>
      <c r="O511" s="183" t="n"/>
      <c r="P511" s="183" t="n"/>
      <c r="Q511" s="183" t="n"/>
      <c r="R511" s="183" t="n"/>
      <c r="S511" s="183" t="n"/>
      <c r="T511" s="183" t="n"/>
      <c r="U511" s="183" t="n"/>
      <c r="V511" s="183" t="n"/>
      <c r="W511" s="183" t="n"/>
      <c r="X511" s="183" t="n"/>
      <c r="Y511" s="183" t="n"/>
      <c r="Z511" s="183" t="n"/>
      <c r="AA511" s="183" t="n"/>
    </row>
    <row r="512" ht="45.75" customHeight="1" s="222">
      <c r="A512" s="205" t="n"/>
      <c r="B512" s="205" t="n"/>
      <c r="C512" s="205" t="n"/>
      <c r="D512" s="205" t="n"/>
      <c r="E512" s="205" t="n"/>
      <c r="F512" s="205" t="n"/>
      <c r="G512" s="206" t="n"/>
      <c r="H512" s="205" t="n"/>
      <c r="I512" s="28" t="n"/>
      <c r="J512" s="205" t="n"/>
      <c r="K512" s="205" t="n"/>
      <c r="L512" s="205" t="n"/>
      <c r="M512" s="205" t="n"/>
      <c r="N512" s="205" t="n"/>
      <c r="O512" s="183" t="n"/>
      <c r="P512" s="183" t="n"/>
      <c r="Q512" s="183" t="n"/>
      <c r="R512" s="183" t="n"/>
      <c r="S512" s="183" t="n"/>
      <c r="T512" s="183" t="n"/>
      <c r="U512" s="183" t="n"/>
      <c r="V512" s="183" t="n"/>
      <c r="W512" s="183" t="n"/>
      <c r="X512" s="183" t="n"/>
      <c r="Y512" s="183" t="n"/>
      <c r="Z512" s="183" t="n"/>
      <c r="AA512" s="183" t="n"/>
    </row>
    <row r="513" ht="45.75" customHeight="1" s="222">
      <c r="A513" s="205" t="n"/>
      <c r="B513" s="205" t="n"/>
      <c r="C513" s="205" t="n"/>
      <c r="D513" s="205" t="n"/>
      <c r="E513" s="205" t="n"/>
      <c r="F513" s="205" t="n"/>
      <c r="G513" s="206" t="n"/>
      <c r="H513" s="205" t="n"/>
      <c r="I513" s="28" t="n"/>
      <c r="J513" s="205" t="n"/>
      <c r="K513" s="205" t="n"/>
      <c r="L513" s="205" t="n"/>
      <c r="M513" s="205" t="n"/>
      <c r="N513" s="205" t="n"/>
      <c r="O513" s="183" t="n"/>
      <c r="P513" s="183" t="n"/>
      <c r="Q513" s="183" t="n"/>
      <c r="R513" s="183" t="n"/>
      <c r="S513" s="183" t="n"/>
      <c r="T513" s="183" t="n"/>
      <c r="U513" s="183" t="n"/>
      <c r="V513" s="183" t="n"/>
      <c r="W513" s="183" t="n"/>
      <c r="X513" s="183" t="n"/>
      <c r="Y513" s="183" t="n"/>
      <c r="Z513" s="183" t="n"/>
      <c r="AA513" s="183" t="n"/>
    </row>
    <row r="514" ht="45.75" customHeight="1" s="222">
      <c r="A514" s="205" t="n"/>
      <c r="B514" s="205" t="n"/>
      <c r="C514" s="205" t="n"/>
      <c r="D514" s="205" t="n"/>
      <c r="E514" s="205" t="n"/>
      <c r="F514" s="205" t="n"/>
      <c r="G514" s="206" t="n"/>
      <c r="H514" s="205" t="n"/>
      <c r="I514" s="28" t="n"/>
      <c r="J514" s="205" t="n"/>
      <c r="K514" s="205" t="n"/>
      <c r="L514" s="205" t="n"/>
      <c r="M514" s="205" t="n"/>
      <c r="N514" s="205" t="n"/>
      <c r="O514" s="183" t="n"/>
      <c r="P514" s="183" t="n"/>
      <c r="Q514" s="183" t="n"/>
      <c r="R514" s="183" t="n"/>
      <c r="S514" s="183" t="n"/>
      <c r="T514" s="183" t="n"/>
      <c r="U514" s="183" t="n"/>
      <c r="V514" s="183" t="n"/>
      <c r="W514" s="183" t="n"/>
      <c r="X514" s="183" t="n"/>
      <c r="Y514" s="183" t="n"/>
      <c r="Z514" s="183" t="n"/>
      <c r="AA514" s="183" t="n"/>
    </row>
    <row r="515" ht="45.75" customHeight="1" s="222">
      <c r="A515" s="205" t="n"/>
      <c r="B515" s="205" t="n"/>
      <c r="C515" s="205" t="n"/>
      <c r="D515" s="205" t="n"/>
      <c r="E515" s="205" t="n"/>
      <c r="F515" s="205" t="n"/>
      <c r="G515" s="206" t="n"/>
      <c r="H515" s="205" t="n"/>
      <c r="I515" s="28" t="n"/>
      <c r="J515" s="205" t="n"/>
      <c r="K515" s="205" t="n"/>
      <c r="L515" s="205" t="n"/>
      <c r="M515" s="205" t="n"/>
      <c r="N515" s="205" t="n"/>
      <c r="O515" s="183" t="n"/>
      <c r="P515" s="183" t="n"/>
      <c r="Q515" s="183" t="n"/>
      <c r="R515" s="183" t="n"/>
      <c r="S515" s="183" t="n"/>
      <c r="T515" s="183" t="n"/>
      <c r="U515" s="183" t="n"/>
      <c r="V515" s="183" t="n"/>
      <c r="W515" s="183" t="n"/>
      <c r="X515" s="183" t="n"/>
      <c r="Y515" s="183" t="n"/>
      <c r="Z515" s="183" t="n"/>
      <c r="AA515" s="183" t="n"/>
    </row>
    <row r="516" ht="45.75" customHeight="1" s="222">
      <c r="A516" s="205" t="n"/>
      <c r="B516" s="205" t="n"/>
      <c r="C516" s="205" t="n"/>
      <c r="D516" s="205" t="n"/>
      <c r="E516" s="205" t="n"/>
      <c r="F516" s="205" t="n"/>
      <c r="G516" s="206" t="n"/>
      <c r="H516" s="205" t="n"/>
      <c r="I516" s="28" t="n"/>
      <c r="J516" s="205" t="n"/>
      <c r="K516" s="205" t="n"/>
      <c r="L516" s="205" t="n"/>
      <c r="M516" s="205" t="n"/>
      <c r="N516" s="205" t="n"/>
      <c r="O516" s="183" t="n"/>
      <c r="P516" s="183" t="n"/>
      <c r="Q516" s="183" t="n"/>
      <c r="R516" s="183" t="n"/>
      <c r="S516" s="183" t="n"/>
      <c r="T516" s="183" t="n"/>
      <c r="U516" s="183" t="n"/>
      <c r="V516" s="183" t="n"/>
      <c r="W516" s="183" t="n"/>
      <c r="X516" s="183" t="n"/>
      <c r="Y516" s="183" t="n"/>
      <c r="Z516" s="183" t="n"/>
      <c r="AA516" s="183" t="n"/>
    </row>
    <row r="517" ht="45.75" customHeight="1" s="222">
      <c r="A517" s="205" t="n"/>
      <c r="B517" s="205" t="n"/>
      <c r="C517" s="205" t="n"/>
      <c r="D517" s="205" t="n"/>
      <c r="E517" s="205" t="n"/>
      <c r="F517" s="205" t="n"/>
      <c r="G517" s="206" t="n"/>
      <c r="H517" s="205" t="n"/>
      <c r="I517" s="28" t="n"/>
      <c r="J517" s="205" t="n"/>
      <c r="K517" s="205" t="n"/>
      <c r="L517" s="205" t="n"/>
      <c r="M517" s="205" t="n"/>
      <c r="N517" s="205" t="n"/>
      <c r="O517" s="183" t="n"/>
      <c r="P517" s="183" t="n"/>
      <c r="Q517" s="183" t="n"/>
      <c r="R517" s="183" t="n"/>
      <c r="S517" s="183" t="n"/>
      <c r="T517" s="183" t="n"/>
      <c r="U517" s="183" t="n"/>
      <c r="V517" s="183" t="n"/>
      <c r="W517" s="183" t="n"/>
      <c r="X517" s="183" t="n"/>
      <c r="Y517" s="183" t="n"/>
      <c r="Z517" s="183" t="n"/>
      <c r="AA517" s="183" t="n"/>
    </row>
    <row r="518" ht="45.75" customHeight="1" s="222">
      <c r="A518" s="205" t="n"/>
      <c r="B518" s="205" t="n"/>
      <c r="C518" s="205" t="n"/>
      <c r="D518" s="205" t="n"/>
      <c r="E518" s="205" t="n"/>
      <c r="F518" s="205" t="n"/>
      <c r="G518" s="206" t="n"/>
      <c r="H518" s="205" t="n"/>
      <c r="I518" s="28" t="n"/>
      <c r="J518" s="205" t="n"/>
      <c r="K518" s="205" t="n"/>
      <c r="L518" s="205" t="n"/>
      <c r="M518" s="205" t="n"/>
      <c r="N518" s="205" t="n"/>
      <c r="O518" s="183" t="n"/>
      <c r="P518" s="183" t="n"/>
      <c r="Q518" s="183" t="n"/>
      <c r="R518" s="183" t="n"/>
      <c r="S518" s="183" t="n"/>
      <c r="T518" s="183" t="n"/>
      <c r="U518" s="183" t="n"/>
      <c r="V518" s="183" t="n"/>
      <c r="W518" s="183" t="n"/>
      <c r="X518" s="183" t="n"/>
      <c r="Y518" s="183" t="n"/>
      <c r="Z518" s="183" t="n"/>
      <c r="AA518" s="183" t="n"/>
    </row>
    <row r="519" ht="45.75" customHeight="1" s="222">
      <c r="A519" s="205" t="n"/>
      <c r="B519" s="205" t="n"/>
      <c r="C519" s="205" t="n"/>
      <c r="D519" s="205" t="n"/>
      <c r="E519" s="205" t="n"/>
      <c r="F519" s="205" t="n"/>
      <c r="G519" s="206" t="n"/>
      <c r="H519" s="205" t="n"/>
      <c r="I519" s="28" t="n"/>
      <c r="J519" s="205" t="n"/>
      <c r="K519" s="205" t="n"/>
      <c r="L519" s="205" t="n"/>
      <c r="M519" s="205" t="n"/>
      <c r="N519" s="205" t="n"/>
      <c r="O519" s="183" t="n"/>
      <c r="P519" s="183" t="n"/>
      <c r="Q519" s="183" t="n"/>
      <c r="R519" s="183" t="n"/>
      <c r="S519" s="183" t="n"/>
      <c r="T519" s="183" t="n"/>
      <c r="U519" s="183" t="n"/>
      <c r="V519" s="183" t="n"/>
      <c r="W519" s="183" t="n"/>
      <c r="X519" s="183" t="n"/>
      <c r="Y519" s="183" t="n"/>
      <c r="Z519" s="183" t="n"/>
      <c r="AA519" s="183" t="n"/>
    </row>
    <row r="520" ht="45.75" customHeight="1" s="222">
      <c r="A520" s="205" t="n"/>
      <c r="B520" s="205" t="n"/>
      <c r="C520" s="205" t="n"/>
      <c r="D520" s="205" t="n"/>
      <c r="E520" s="205" t="n"/>
      <c r="F520" s="205" t="n"/>
      <c r="G520" s="206" t="n"/>
      <c r="H520" s="205" t="n"/>
      <c r="I520" s="28" t="n"/>
      <c r="J520" s="205" t="n"/>
      <c r="K520" s="205" t="n"/>
      <c r="L520" s="205" t="n"/>
      <c r="M520" s="205" t="n"/>
      <c r="N520" s="205" t="n"/>
      <c r="O520" s="183" t="n"/>
      <c r="P520" s="183" t="n"/>
      <c r="Q520" s="183" t="n"/>
      <c r="R520" s="183" t="n"/>
      <c r="S520" s="183" t="n"/>
      <c r="T520" s="183" t="n"/>
      <c r="U520" s="183" t="n"/>
      <c r="V520" s="183" t="n"/>
      <c r="W520" s="183" t="n"/>
      <c r="X520" s="183" t="n"/>
      <c r="Y520" s="183" t="n"/>
      <c r="Z520" s="183" t="n"/>
      <c r="AA520" s="183" t="n"/>
    </row>
    <row r="521" ht="45.75" customHeight="1" s="222">
      <c r="A521" s="205" t="n"/>
      <c r="B521" s="205" t="n"/>
      <c r="C521" s="205" t="n"/>
      <c r="D521" s="205" t="n"/>
      <c r="E521" s="205" t="n"/>
      <c r="F521" s="205" t="n"/>
      <c r="G521" s="206" t="n"/>
      <c r="H521" s="205" t="n"/>
      <c r="I521" s="28" t="n"/>
      <c r="J521" s="205" t="n"/>
      <c r="K521" s="205" t="n"/>
      <c r="L521" s="205" t="n"/>
      <c r="M521" s="205" t="n"/>
      <c r="N521" s="205" t="n"/>
      <c r="O521" s="183" t="n"/>
      <c r="P521" s="183" t="n"/>
      <c r="Q521" s="183" t="n"/>
      <c r="R521" s="183" t="n"/>
      <c r="S521" s="183" t="n"/>
      <c r="T521" s="183" t="n"/>
      <c r="U521" s="183" t="n"/>
      <c r="V521" s="183" t="n"/>
      <c r="W521" s="183" t="n"/>
      <c r="X521" s="183" t="n"/>
      <c r="Y521" s="183" t="n"/>
      <c r="Z521" s="183" t="n"/>
      <c r="AA521" s="183" t="n"/>
    </row>
    <row r="522" ht="45.75" customHeight="1" s="222">
      <c r="A522" s="205" t="n"/>
      <c r="B522" s="205" t="n"/>
      <c r="C522" s="205" t="n"/>
      <c r="D522" s="205" t="n"/>
      <c r="E522" s="205" t="n"/>
      <c r="F522" s="205" t="n"/>
      <c r="G522" s="206" t="n"/>
      <c r="H522" s="205" t="n"/>
      <c r="I522" s="28" t="n"/>
      <c r="J522" s="205" t="n"/>
      <c r="K522" s="205" t="n"/>
      <c r="L522" s="205" t="n"/>
      <c r="M522" s="205" t="n"/>
      <c r="N522" s="205" t="n"/>
      <c r="O522" s="183" t="n"/>
      <c r="P522" s="183" t="n"/>
      <c r="Q522" s="183" t="n"/>
      <c r="R522" s="183" t="n"/>
      <c r="S522" s="183" t="n"/>
      <c r="T522" s="183" t="n"/>
      <c r="U522" s="183" t="n"/>
      <c r="V522" s="183" t="n"/>
      <c r="W522" s="183" t="n"/>
      <c r="X522" s="183" t="n"/>
      <c r="Y522" s="183" t="n"/>
      <c r="Z522" s="183" t="n"/>
      <c r="AA522" s="183" t="n"/>
    </row>
    <row r="523" ht="45.75" customHeight="1" s="222">
      <c r="A523" s="205" t="n"/>
      <c r="B523" s="205" t="n"/>
      <c r="C523" s="205" t="n"/>
      <c r="D523" s="205" t="n"/>
      <c r="E523" s="205" t="n"/>
      <c r="F523" s="205" t="n"/>
      <c r="G523" s="206" t="n"/>
      <c r="H523" s="205" t="n"/>
      <c r="I523" s="28" t="n"/>
      <c r="J523" s="205" t="n"/>
      <c r="K523" s="205" t="n"/>
      <c r="L523" s="205" t="n"/>
      <c r="M523" s="205" t="n"/>
      <c r="N523" s="205" t="n"/>
      <c r="O523" s="183" t="n"/>
      <c r="P523" s="183" t="n"/>
      <c r="Q523" s="183" t="n"/>
      <c r="R523" s="183" t="n"/>
      <c r="S523" s="183" t="n"/>
      <c r="T523" s="183" t="n"/>
      <c r="U523" s="183" t="n"/>
      <c r="V523" s="183" t="n"/>
      <c r="W523" s="183" t="n"/>
      <c r="X523" s="183" t="n"/>
      <c r="Y523" s="183" t="n"/>
      <c r="Z523" s="183" t="n"/>
      <c r="AA523" s="183" t="n"/>
    </row>
    <row r="524" ht="45.75" customHeight="1" s="222">
      <c r="A524" s="205" t="n"/>
      <c r="B524" s="205" t="n"/>
      <c r="C524" s="205" t="n"/>
      <c r="D524" s="205" t="n"/>
      <c r="E524" s="205" t="n"/>
      <c r="F524" s="205" t="n"/>
      <c r="G524" s="206" t="n"/>
      <c r="H524" s="205" t="n"/>
      <c r="I524" s="28" t="n"/>
      <c r="J524" s="205" t="n"/>
      <c r="K524" s="205" t="n"/>
      <c r="L524" s="205" t="n"/>
      <c r="M524" s="205" t="n"/>
      <c r="N524" s="205" t="n"/>
      <c r="O524" s="183" t="n"/>
      <c r="P524" s="183" t="n"/>
      <c r="Q524" s="183" t="n"/>
      <c r="R524" s="183" t="n"/>
      <c r="S524" s="183" t="n"/>
      <c r="T524" s="183" t="n"/>
      <c r="U524" s="183" t="n"/>
      <c r="V524" s="183" t="n"/>
      <c r="W524" s="183" t="n"/>
      <c r="X524" s="183" t="n"/>
      <c r="Y524" s="183" t="n"/>
      <c r="Z524" s="183" t="n"/>
      <c r="AA524" s="183" t="n"/>
    </row>
    <row r="525" ht="45.75" customHeight="1" s="222">
      <c r="A525" s="205" t="n"/>
      <c r="B525" s="205" t="n"/>
      <c r="C525" s="205" t="n"/>
      <c r="D525" s="205" t="n"/>
      <c r="E525" s="205" t="n"/>
      <c r="F525" s="205" t="n"/>
      <c r="G525" s="206" t="n"/>
      <c r="H525" s="205" t="n"/>
      <c r="I525" s="28" t="n"/>
      <c r="J525" s="205" t="n"/>
      <c r="K525" s="205" t="n"/>
      <c r="L525" s="205" t="n"/>
      <c r="M525" s="205" t="n"/>
      <c r="N525" s="205" t="n"/>
      <c r="O525" s="183" t="n"/>
      <c r="P525" s="183" t="n"/>
      <c r="Q525" s="183" t="n"/>
      <c r="R525" s="183" t="n"/>
      <c r="S525" s="183" t="n"/>
      <c r="T525" s="183" t="n"/>
      <c r="U525" s="183" t="n"/>
      <c r="V525" s="183" t="n"/>
      <c r="W525" s="183" t="n"/>
      <c r="X525" s="183" t="n"/>
      <c r="Y525" s="183" t="n"/>
      <c r="Z525" s="183" t="n"/>
      <c r="AA525" s="183" t="n"/>
    </row>
    <row r="526" ht="45.75" customHeight="1" s="222">
      <c r="A526" s="205" t="n"/>
      <c r="B526" s="205" t="n"/>
      <c r="C526" s="205" t="n"/>
      <c r="D526" s="205" t="n"/>
      <c r="E526" s="205" t="n"/>
      <c r="F526" s="205" t="n"/>
      <c r="G526" s="206" t="n"/>
      <c r="H526" s="205" t="n"/>
      <c r="I526" s="28" t="n"/>
      <c r="J526" s="205" t="n"/>
      <c r="K526" s="205" t="n"/>
      <c r="L526" s="205" t="n"/>
      <c r="M526" s="205" t="n"/>
      <c r="N526" s="205" t="n"/>
      <c r="O526" s="183" t="n"/>
      <c r="P526" s="183" t="n"/>
      <c r="Q526" s="183" t="n"/>
      <c r="R526" s="183" t="n"/>
      <c r="S526" s="183" t="n"/>
      <c r="T526" s="183" t="n"/>
      <c r="U526" s="183" t="n"/>
      <c r="V526" s="183" t="n"/>
      <c r="W526" s="183" t="n"/>
      <c r="X526" s="183" t="n"/>
      <c r="Y526" s="183" t="n"/>
      <c r="Z526" s="183" t="n"/>
      <c r="AA526" s="183" t="n"/>
    </row>
    <row r="527" ht="45.75" customHeight="1" s="222">
      <c r="A527" s="205" t="n"/>
      <c r="B527" s="205" t="n"/>
      <c r="C527" s="205" t="n"/>
      <c r="D527" s="205" t="n"/>
      <c r="E527" s="205" t="n"/>
      <c r="F527" s="205" t="n"/>
      <c r="G527" s="206" t="n"/>
      <c r="H527" s="205" t="n"/>
      <c r="I527" s="28" t="n"/>
      <c r="J527" s="205" t="n"/>
      <c r="K527" s="205" t="n"/>
      <c r="L527" s="205" t="n"/>
      <c r="M527" s="205" t="n"/>
      <c r="N527" s="205" t="n"/>
      <c r="O527" s="183" t="n"/>
      <c r="P527" s="183" t="n"/>
      <c r="Q527" s="183" t="n"/>
      <c r="R527" s="183" t="n"/>
      <c r="S527" s="183" t="n"/>
      <c r="T527" s="183" t="n"/>
      <c r="U527" s="183" t="n"/>
      <c r="V527" s="183" t="n"/>
      <c r="W527" s="183" t="n"/>
      <c r="X527" s="183" t="n"/>
      <c r="Y527" s="183" t="n"/>
      <c r="Z527" s="183" t="n"/>
      <c r="AA527" s="183" t="n"/>
    </row>
    <row r="528" ht="45.75" customHeight="1" s="222">
      <c r="A528" s="205" t="n"/>
      <c r="B528" s="205" t="n"/>
      <c r="C528" s="205" t="n"/>
      <c r="D528" s="205" t="n"/>
      <c r="E528" s="205" t="n"/>
      <c r="F528" s="205" t="n"/>
      <c r="G528" s="206" t="n"/>
      <c r="H528" s="205" t="n"/>
      <c r="I528" s="28" t="n"/>
      <c r="J528" s="205" t="n"/>
      <c r="K528" s="205" t="n"/>
      <c r="L528" s="205" t="n"/>
      <c r="M528" s="205" t="n"/>
      <c r="N528" s="205" t="n"/>
      <c r="O528" s="183" t="n"/>
      <c r="P528" s="183" t="n"/>
      <c r="Q528" s="183" t="n"/>
      <c r="R528" s="183" t="n"/>
      <c r="S528" s="183" t="n"/>
      <c r="T528" s="183" t="n"/>
      <c r="U528" s="183" t="n"/>
      <c r="V528" s="183" t="n"/>
      <c r="W528" s="183" t="n"/>
      <c r="X528" s="183" t="n"/>
      <c r="Y528" s="183" t="n"/>
      <c r="Z528" s="183" t="n"/>
      <c r="AA528" s="183" t="n"/>
    </row>
    <row r="529" ht="45.75" customHeight="1" s="222">
      <c r="A529" s="205" t="n"/>
      <c r="B529" s="205" t="n"/>
      <c r="C529" s="205" t="n"/>
      <c r="D529" s="205" t="n"/>
      <c r="E529" s="205" t="n"/>
      <c r="F529" s="205" t="n"/>
      <c r="G529" s="206" t="n"/>
      <c r="H529" s="205" t="n"/>
      <c r="I529" s="28" t="n"/>
      <c r="J529" s="205" t="n"/>
      <c r="K529" s="205" t="n"/>
      <c r="L529" s="205" t="n"/>
      <c r="M529" s="205" t="n"/>
      <c r="N529" s="205" t="n"/>
      <c r="O529" s="183" t="n"/>
      <c r="P529" s="183" t="n"/>
      <c r="Q529" s="183" t="n"/>
      <c r="R529" s="183" t="n"/>
      <c r="S529" s="183" t="n"/>
      <c r="T529" s="183" t="n"/>
      <c r="U529" s="183" t="n"/>
      <c r="V529" s="183" t="n"/>
      <c r="W529" s="183" t="n"/>
      <c r="X529" s="183" t="n"/>
      <c r="Y529" s="183" t="n"/>
      <c r="Z529" s="183" t="n"/>
      <c r="AA529" s="183" t="n"/>
    </row>
    <row r="530" ht="45.75" customHeight="1" s="222">
      <c r="A530" s="205" t="n"/>
      <c r="B530" s="205" t="n"/>
      <c r="C530" s="205" t="n"/>
      <c r="D530" s="205" t="n"/>
      <c r="E530" s="205" t="n"/>
      <c r="F530" s="205" t="n"/>
      <c r="G530" s="206" t="n"/>
      <c r="H530" s="205" t="n"/>
      <c r="I530" s="28" t="n"/>
      <c r="J530" s="205" t="n"/>
      <c r="K530" s="205" t="n"/>
      <c r="L530" s="205" t="n"/>
      <c r="M530" s="205" t="n"/>
      <c r="N530" s="205" t="n"/>
      <c r="O530" s="183" t="n"/>
      <c r="P530" s="183" t="n"/>
      <c r="Q530" s="183" t="n"/>
      <c r="R530" s="183" t="n"/>
      <c r="S530" s="183" t="n"/>
      <c r="T530" s="183" t="n"/>
      <c r="U530" s="183" t="n"/>
      <c r="V530" s="183" t="n"/>
      <c r="W530" s="183" t="n"/>
      <c r="X530" s="183" t="n"/>
      <c r="Y530" s="183" t="n"/>
      <c r="Z530" s="183" t="n"/>
      <c r="AA530" s="183" t="n"/>
    </row>
    <row r="531" ht="45.75" customHeight="1" s="222">
      <c r="A531" s="205" t="n"/>
      <c r="B531" s="205" t="n"/>
      <c r="C531" s="205" t="n"/>
      <c r="D531" s="205" t="n"/>
      <c r="E531" s="205" t="n"/>
      <c r="F531" s="205" t="n"/>
      <c r="G531" s="206" t="n"/>
      <c r="H531" s="205" t="n"/>
      <c r="I531" s="28" t="n"/>
      <c r="J531" s="205" t="n"/>
      <c r="K531" s="205" t="n"/>
      <c r="L531" s="205" t="n"/>
      <c r="M531" s="205" t="n"/>
      <c r="N531" s="205" t="n"/>
      <c r="O531" s="183" t="n"/>
      <c r="P531" s="183" t="n"/>
      <c r="Q531" s="183" t="n"/>
      <c r="R531" s="183" t="n"/>
      <c r="S531" s="183" t="n"/>
      <c r="T531" s="183" t="n"/>
      <c r="U531" s="183" t="n"/>
      <c r="V531" s="183" t="n"/>
      <c r="W531" s="183" t="n"/>
      <c r="X531" s="183" t="n"/>
      <c r="Y531" s="183" t="n"/>
      <c r="Z531" s="183" t="n"/>
      <c r="AA531" s="183" t="n"/>
    </row>
    <row r="532" ht="45.75" customHeight="1" s="222">
      <c r="A532" s="205" t="n"/>
      <c r="B532" s="205" t="n"/>
      <c r="C532" s="205" t="n"/>
      <c r="D532" s="205" t="n"/>
      <c r="E532" s="205" t="n"/>
      <c r="F532" s="205" t="n"/>
      <c r="G532" s="206" t="n"/>
      <c r="H532" s="205" t="n"/>
      <c r="I532" s="28" t="n"/>
      <c r="J532" s="205" t="n"/>
      <c r="K532" s="205" t="n"/>
      <c r="L532" s="205" t="n"/>
      <c r="M532" s="205" t="n"/>
      <c r="N532" s="205" t="n"/>
      <c r="O532" s="183" t="n"/>
      <c r="P532" s="183" t="n"/>
      <c r="Q532" s="183" t="n"/>
      <c r="R532" s="183" t="n"/>
      <c r="S532" s="183" t="n"/>
      <c r="T532" s="183" t="n"/>
      <c r="U532" s="183" t="n"/>
      <c r="V532" s="183" t="n"/>
      <c r="W532" s="183" t="n"/>
      <c r="X532" s="183" t="n"/>
      <c r="Y532" s="183" t="n"/>
      <c r="Z532" s="183" t="n"/>
      <c r="AA532" s="183" t="n"/>
    </row>
    <row r="533" ht="45.75" customHeight="1" s="222">
      <c r="A533" s="205" t="n"/>
      <c r="B533" s="205" t="n"/>
      <c r="C533" s="205" t="n"/>
      <c r="D533" s="205" t="n"/>
      <c r="E533" s="205" t="n"/>
      <c r="F533" s="205" t="n"/>
      <c r="G533" s="206" t="n"/>
      <c r="H533" s="205" t="n"/>
      <c r="I533" s="28" t="n"/>
      <c r="J533" s="205" t="n"/>
      <c r="K533" s="205" t="n"/>
      <c r="L533" s="205" t="n"/>
      <c r="M533" s="205" t="n"/>
      <c r="N533" s="205" t="n"/>
      <c r="O533" s="183" t="n"/>
      <c r="P533" s="183" t="n"/>
      <c r="Q533" s="183" t="n"/>
      <c r="R533" s="183" t="n"/>
      <c r="S533" s="183" t="n"/>
      <c r="T533" s="183" t="n"/>
      <c r="U533" s="183" t="n"/>
      <c r="V533" s="183" t="n"/>
      <c r="W533" s="183" t="n"/>
      <c r="X533" s="183" t="n"/>
      <c r="Y533" s="183" t="n"/>
      <c r="Z533" s="183" t="n"/>
      <c r="AA533" s="183" t="n"/>
    </row>
    <row r="534" ht="45.75" customHeight="1" s="222">
      <c r="A534" s="205" t="n"/>
      <c r="B534" s="205" t="n"/>
      <c r="C534" s="205" t="n"/>
      <c r="D534" s="205" t="n"/>
      <c r="E534" s="205" t="n"/>
      <c r="F534" s="205" t="n"/>
      <c r="G534" s="206" t="n"/>
      <c r="H534" s="205" t="n"/>
      <c r="I534" s="28" t="n"/>
      <c r="J534" s="205" t="n"/>
      <c r="K534" s="205" t="n"/>
      <c r="L534" s="205" t="n"/>
      <c r="M534" s="205" t="n"/>
      <c r="N534" s="205" t="n"/>
      <c r="O534" s="183" t="n"/>
      <c r="P534" s="183" t="n"/>
      <c r="Q534" s="183" t="n"/>
      <c r="R534" s="183" t="n"/>
      <c r="S534" s="183" t="n"/>
      <c r="T534" s="183" t="n"/>
      <c r="U534" s="183" t="n"/>
      <c r="V534" s="183" t="n"/>
      <c r="W534" s="183" t="n"/>
      <c r="X534" s="183" t="n"/>
      <c r="Y534" s="183" t="n"/>
      <c r="Z534" s="183" t="n"/>
      <c r="AA534" s="183" t="n"/>
    </row>
    <row r="535" ht="45.75" customHeight="1" s="222">
      <c r="A535" s="205" t="n"/>
      <c r="B535" s="205" t="n"/>
      <c r="C535" s="205" t="n"/>
      <c r="D535" s="205" t="n"/>
      <c r="E535" s="205" t="n"/>
      <c r="F535" s="205" t="n"/>
      <c r="G535" s="206" t="n"/>
      <c r="H535" s="205" t="n"/>
      <c r="I535" s="28" t="n"/>
      <c r="J535" s="205" t="n"/>
      <c r="K535" s="205" t="n"/>
      <c r="L535" s="205" t="n"/>
      <c r="M535" s="205" t="n"/>
      <c r="N535" s="205" t="n"/>
      <c r="O535" s="183" t="n"/>
      <c r="P535" s="183" t="n"/>
      <c r="Q535" s="183" t="n"/>
      <c r="R535" s="183" t="n"/>
      <c r="S535" s="183" t="n"/>
      <c r="T535" s="183" t="n"/>
      <c r="U535" s="183" t="n"/>
      <c r="V535" s="183" t="n"/>
      <c r="W535" s="183" t="n"/>
      <c r="X535" s="183" t="n"/>
      <c r="Y535" s="183" t="n"/>
      <c r="Z535" s="183" t="n"/>
      <c r="AA535" s="183" t="n"/>
    </row>
    <row r="536" ht="45.75" customHeight="1" s="222">
      <c r="A536" s="205" t="n"/>
      <c r="B536" s="205" t="n"/>
      <c r="C536" s="205" t="n"/>
      <c r="D536" s="205" t="n"/>
      <c r="E536" s="205" t="n"/>
      <c r="F536" s="205" t="n"/>
      <c r="G536" s="206" t="n"/>
      <c r="H536" s="205" t="n"/>
      <c r="I536" s="28" t="n"/>
      <c r="J536" s="205" t="n"/>
      <c r="K536" s="205" t="n"/>
      <c r="L536" s="205" t="n"/>
      <c r="M536" s="205" t="n"/>
      <c r="N536" s="205" t="n"/>
      <c r="O536" s="183" t="n"/>
      <c r="P536" s="183" t="n"/>
      <c r="Q536" s="183" t="n"/>
      <c r="R536" s="183" t="n"/>
      <c r="S536" s="183" t="n"/>
      <c r="T536" s="183" t="n"/>
      <c r="U536" s="183" t="n"/>
      <c r="V536" s="183" t="n"/>
      <c r="W536" s="183" t="n"/>
      <c r="X536" s="183" t="n"/>
      <c r="Y536" s="183" t="n"/>
      <c r="Z536" s="183" t="n"/>
      <c r="AA536" s="183" t="n"/>
    </row>
    <row r="537" ht="45.75" customHeight="1" s="222">
      <c r="A537" s="205" t="n"/>
      <c r="B537" s="205" t="n"/>
      <c r="C537" s="205" t="n"/>
      <c r="D537" s="205" t="n"/>
      <c r="E537" s="205" t="n"/>
      <c r="F537" s="205" t="n"/>
      <c r="G537" s="206" t="n"/>
      <c r="H537" s="205" t="n"/>
      <c r="I537" s="28" t="n"/>
      <c r="J537" s="205" t="n"/>
      <c r="K537" s="205" t="n"/>
      <c r="L537" s="205" t="n"/>
      <c r="M537" s="205" t="n"/>
      <c r="N537" s="205" t="n"/>
      <c r="O537" s="183" t="n"/>
      <c r="P537" s="183" t="n"/>
      <c r="Q537" s="183" t="n"/>
      <c r="R537" s="183" t="n"/>
      <c r="S537" s="183" t="n"/>
      <c r="T537" s="183" t="n"/>
      <c r="U537" s="183" t="n"/>
      <c r="V537" s="183" t="n"/>
      <c r="W537" s="183" t="n"/>
      <c r="X537" s="183" t="n"/>
      <c r="Y537" s="183" t="n"/>
      <c r="Z537" s="183" t="n"/>
      <c r="AA537" s="183" t="n"/>
    </row>
    <row r="538" ht="45.75" customHeight="1" s="222">
      <c r="A538" s="205" t="n"/>
      <c r="B538" s="205" t="n"/>
      <c r="C538" s="205" t="n"/>
      <c r="D538" s="205" t="n"/>
      <c r="E538" s="205" t="n"/>
      <c r="F538" s="205" t="n"/>
      <c r="G538" s="206" t="n"/>
      <c r="H538" s="205" t="n"/>
      <c r="I538" s="28" t="n"/>
      <c r="J538" s="205" t="n"/>
      <c r="K538" s="205" t="n"/>
      <c r="L538" s="205" t="n"/>
      <c r="M538" s="205" t="n"/>
      <c r="N538" s="205" t="n"/>
      <c r="O538" s="183" t="n"/>
      <c r="P538" s="183" t="n"/>
      <c r="Q538" s="183" t="n"/>
      <c r="R538" s="183" t="n"/>
      <c r="S538" s="183" t="n"/>
      <c r="T538" s="183" t="n"/>
      <c r="U538" s="183" t="n"/>
      <c r="V538" s="183" t="n"/>
      <c r="W538" s="183" t="n"/>
      <c r="X538" s="183" t="n"/>
      <c r="Y538" s="183" t="n"/>
      <c r="Z538" s="183" t="n"/>
      <c r="AA538" s="183" t="n"/>
    </row>
    <row r="539" ht="45.75" customHeight="1" s="222">
      <c r="A539" s="205" t="n"/>
      <c r="B539" s="205" t="n"/>
      <c r="C539" s="205" t="n"/>
      <c r="D539" s="205" t="n"/>
      <c r="E539" s="205" t="n"/>
      <c r="F539" s="205" t="n"/>
      <c r="G539" s="206" t="n"/>
      <c r="H539" s="205" t="n"/>
      <c r="I539" s="28" t="n"/>
      <c r="J539" s="205" t="n"/>
      <c r="K539" s="205" t="n"/>
      <c r="L539" s="205" t="n"/>
      <c r="M539" s="205" t="n"/>
      <c r="N539" s="205" t="n"/>
      <c r="O539" s="183" t="n"/>
      <c r="P539" s="183" t="n"/>
      <c r="Q539" s="183" t="n"/>
      <c r="R539" s="183" t="n"/>
      <c r="S539" s="183" t="n"/>
      <c r="T539" s="183" t="n"/>
      <c r="U539" s="183" t="n"/>
      <c r="V539" s="183" t="n"/>
      <c r="W539" s="183" t="n"/>
      <c r="X539" s="183" t="n"/>
      <c r="Y539" s="183" t="n"/>
      <c r="Z539" s="183" t="n"/>
      <c r="AA539" s="183" t="n"/>
    </row>
    <row r="540" ht="45.75" customHeight="1" s="222">
      <c r="A540" s="205" t="n"/>
      <c r="B540" s="205" t="n"/>
      <c r="C540" s="205" t="n"/>
      <c r="D540" s="205" t="n"/>
      <c r="E540" s="205" t="n"/>
      <c r="F540" s="205" t="n"/>
      <c r="G540" s="206" t="n"/>
      <c r="H540" s="205" t="n"/>
      <c r="I540" s="28" t="n"/>
      <c r="J540" s="205" t="n"/>
      <c r="K540" s="205" t="n"/>
      <c r="L540" s="205" t="n"/>
      <c r="M540" s="205" t="n"/>
      <c r="N540" s="205" t="n"/>
      <c r="O540" s="183" t="n"/>
      <c r="P540" s="183" t="n"/>
      <c r="Q540" s="183" t="n"/>
      <c r="R540" s="183" t="n"/>
      <c r="S540" s="183" t="n"/>
      <c r="T540" s="183" t="n"/>
      <c r="U540" s="183" t="n"/>
      <c r="V540" s="183" t="n"/>
      <c r="W540" s="183" t="n"/>
      <c r="X540" s="183" t="n"/>
      <c r="Y540" s="183" t="n"/>
      <c r="Z540" s="183" t="n"/>
      <c r="AA540" s="183" t="n"/>
    </row>
    <row r="541" ht="45.75" customHeight="1" s="222">
      <c r="A541" s="205" t="n"/>
      <c r="B541" s="205" t="n"/>
      <c r="C541" s="205" t="n"/>
      <c r="D541" s="205" t="n"/>
      <c r="E541" s="205" t="n"/>
      <c r="F541" s="205" t="n"/>
      <c r="G541" s="206" t="n"/>
      <c r="H541" s="205" t="n"/>
      <c r="I541" s="28" t="n"/>
      <c r="J541" s="205" t="n"/>
      <c r="K541" s="205" t="n"/>
      <c r="L541" s="205" t="n"/>
      <c r="M541" s="205" t="n"/>
      <c r="N541" s="205" t="n"/>
      <c r="O541" s="183" t="n"/>
      <c r="P541" s="183" t="n"/>
      <c r="Q541" s="183" t="n"/>
      <c r="R541" s="183" t="n"/>
      <c r="S541" s="183" t="n"/>
      <c r="T541" s="183" t="n"/>
      <c r="U541" s="183" t="n"/>
      <c r="V541" s="183" t="n"/>
      <c r="W541" s="183" t="n"/>
      <c r="X541" s="183" t="n"/>
      <c r="Y541" s="183" t="n"/>
      <c r="Z541" s="183" t="n"/>
      <c r="AA541" s="183" t="n"/>
    </row>
    <row r="542" ht="45.75" customHeight="1" s="222">
      <c r="A542" s="205" t="n"/>
      <c r="B542" s="205" t="n"/>
      <c r="C542" s="205" t="n"/>
      <c r="D542" s="205" t="n"/>
      <c r="E542" s="205" t="n"/>
      <c r="F542" s="205" t="n"/>
      <c r="G542" s="206" t="n"/>
      <c r="H542" s="205" t="n"/>
      <c r="I542" s="28" t="n"/>
      <c r="J542" s="205" t="n"/>
      <c r="K542" s="205" t="n"/>
      <c r="L542" s="205" t="n"/>
      <c r="M542" s="205" t="n"/>
      <c r="N542" s="205" t="n"/>
      <c r="O542" s="183" t="n"/>
      <c r="P542" s="183" t="n"/>
      <c r="Q542" s="183" t="n"/>
      <c r="R542" s="183" t="n"/>
      <c r="S542" s="183" t="n"/>
      <c r="T542" s="183" t="n"/>
      <c r="U542" s="183" t="n"/>
      <c r="V542" s="183" t="n"/>
      <c r="W542" s="183" t="n"/>
      <c r="X542" s="183" t="n"/>
      <c r="Y542" s="183" t="n"/>
      <c r="Z542" s="183" t="n"/>
      <c r="AA542" s="183" t="n"/>
    </row>
    <row r="543" ht="45.75" customHeight="1" s="222">
      <c r="A543" s="205" t="n"/>
      <c r="B543" s="205" t="n"/>
      <c r="C543" s="205" t="n"/>
      <c r="D543" s="205" t="n"/>
      <c r="E543" s="205" t="n"/>
      <c r="F543" s="205" t="n"/>
      <c r="G543" s="206" t="n"/>
      <c r="H543" s="205" t="n"/>
      <c r="I543" s="28" t="n"/>
      <c r="J543" s="205" t="n"/>
      <c r="K543" s="205" t="n"/>
      <c r="L543" s="205" t="n"/>
      <c r="M543" s="205" t="n"/>
      <c r="N543" s="205" t="n"/>
      <c r="O543" s="183" t="n"/>
      <c r="P543" s="183" t="n"/>
      <c r="Q543" s="183" t="n"/>
      <c r="R543" s="183" t="n"/>
      <c r="S543" s="183" t="n"/>
      <c r="T543" s="183" t="n"/>
      <c r="U543" s="183" t="n"/>
      <c r="V543" s="183" t="n"/>
      <c r="W543" s="183" t="n"/>
      <c r="X543" s="183" t="n"/>
      <c r="Y543" s="183" t="n"/>
      <c r="Z543" s="183" t="n"/>
      <c r="AA543" s="183" t="n"/>
    </row>
    <row r="544" ht="45.75" customHeight="1" s="222">
      <c r="A544" s="205" t="n"/>
      <c r="B544" s="205" t="n"/>
      <c r="C544" s="205" t="n"/>
      <c r="D544" s="205" t="n"/>
      <c r="E544" s="205" t="n"/>
      <c r="F544" s="205" t="n"/>
      <c r="G544" s="206" t="n"/>
      <c r="H544" s="205" t="n"/>
      <c r="I544" s="28" t="n"/>
      <c r="J544" s="205" t="n"/>
      <c r="K544" s="205" t="n"/>
      <c r="L544" s="205" t="n"/>
      <c r="M544" s="205" t="n"/>
      <c r="N544" s="205" t="n"/>
      <c r="O544" s="183" t="n"/>
      <c r="P544" s="183" t="n"/>
      <c r="Q544" s="183" t="n"/>
      <c r="R544" s="183" t="n"/>
      <c r="S544" s="183" t="n"/>
      <c r="T544" s="183" t="n"/>
      <c r="U544" s="183" t="n"/>
      <c r="V544" s="183" t="n"/>
      <c r="W544" s="183" t="n"/>
      <c r="X544" s="183" t="n"/>
      <c r="Y544" s="183" t="n"/>
      <c r="Z544" s="183" t="n"/>
      <c r="AA544" s="183" t="n"/>
    </row>
    <row r="545" ht="45.75" customHeight="1" s="222">
      <c r="A545" s="205" t="n"/>
      <c r="B545" s="205" t="n"/>
      <c r="C545" s="205" t="n"/>
      <c r="D545" s="205" t="n"/>
      <c r="E545" s="205" t="n"/>
      <c r="F545" s="205" t="n"/>
      <c r="G545" s="206" t="n"/>
      <c r="H545" s="205" t="n"/>
      <c r="I545" s="28" t="n"/>
      <c r="J545" s="205" t="n"/>
      <c r="K545" s="205" t="n"/>
      <c r="L545" s="205" t="n"/>
      <c r="M545" s="205" t="n"/>
      <c r="N545" s="205" t="n"/>
      <c r="O545" s="183" t="n"/>
      <c r="P545" s="183" t="n"/>
      <c r="Q545" s="183" t="n"/>
      <c r="R545" s="183" t="n"/>
      <c r="S545" s="183" t="n"/>
      <c r="T545" s="183" t="n"/>
      <c r="U545" s="183" t="n"/>
      <c r="V545" s="183" t="n"/>
      <c r="W545" s="183" t="n"/>
      <c r="X545" s="183" t="n"/>
      <c r="Y545" s="183" t="n"/>
      <c r="Z545" s="183" t="n"/>
      <c r="AA545" s="183" t="n"/>
    </row>
    <row r="546" ht="45.75" customHeight="1" s="222">
      <c r="A546" s="205" t="n"/>
      <c r="B546" s="205" t="n"/>
      <c r="C546" s="205" t="n"/>
      <c r="D546" s="205" t="n"/>
      <c r="E546" s="205" t="n"/>
      <c r="F546" s="205" t="n"/>
      <c r="G546" s="206" t="n"/>
      <c r="H546" s="205" t="n"/>
      <c r="I546" s="28" t="n"/>
      <c r="J546" s="205" t="n"/>
      <c r="K546" s="205" t="n"/>
      <c r="L546" s="205" t="n"/>
      <c r="M546" s="205" t="n"/>
      <c r="N546" s="205" t="n"/>
      <c r="O546" s="183" t="n"/>
      <c r="P546" s="183" t="n"/>
      <c r="Q546" s="183" t="n"/>
      <c r="R546" s="183" t="n"/>
      <c r="S546" s="183" t="n"/>
      <c r="T546" s="183" t="n"/>
      <c r="U546" s="183" t="n"/>
      <c r="V546" s="183" t="n"/>
      <c r="W546" s="183" t="n"/>
      <c r="X546" s="183" t="n"/>
      <c r="Y546" s="183" t="n"/>
      <c r="Z546" s="183" t="n"/>
      <c r="AA546" s="183" t="n"/>
    </row>
    <row r="547" ht="45.75" customHeight="1" s="222">
      <c r="A547" s="205" t="n"/>
      <c r="B547" s="205" t="n"/>
      <c r="C547" s="205" t="n"/>
      <c r="D547" s="205" t="n"/>
      <c r="E547" s="205" t="n"/>
      <c r="F547" s="205" t="n"/>
      <c r="G547" s="206" t="n"/>
      <c r="H547" s="205" t="n"/>
      <c r="I547" s="28" t="n"/>
      <c r="J547" s="205" t="n"/>
      <c r="K547" s="205" t="n"/>
      <c r="L547" s="205" t="n"/>
      <c r="M547" s="205" t="n"/>
      <c r="N547" s="205" t="n"/>
      <c r="O547" s="183" t="n"/>
      <c r="P547" s="183" t="n"/>
      <c r="Q547" s="183" t="n"/>
      <c r="R547" s="183" t="n"/>
      <c r="S547" s="183" t="n"/>
      <c r="T547" s="183" t="n"/>
      <c r="U547" s="183" t="n"/>
      <c r="V547" s="183" t="n"/>
      <c r="W547" s="183" t="n"/>
      <c r="X547" s="183" t="n"/>
      <c r="Y547" s="183" t="n"/>
      <c r="Z547" s="183" t="n"/>
      <c r="AA547" s="183" t="n"/>
    </row>
    <row r="548" ht="45.75" customHeight="1" s="222">
      <c r="A548" s="205" t="n"/>
      <c r="B548" s="205" t="n"/>
      <c r="C548" s="205" t="n"/>
      <c r="D548" s="205" t="n"/>
      <c r="E548" s="205" t="n"/>
      <c r="F548" s="205" t="n"/>
      <c r="G548" s="206" t="n"/>
      <c r="H548" s="205" t="n"/>
      <c r="I548" s="28" t="n"/>
      <c r="J548" s="205" t="n"/>
      <c r="K548" s="205" t="n"/>
      <c r="L548" s="205" t="n"/>
      <c r="M548" s="205" t="n"/>
      <c r="N548" s="205" t="n"/>
      <c r="O548" s="183" t="n"/>
      <c r="P548" s="183" t="n"/>
      <c r="Q548" s="183" t="n"/>
      <c r="R548" s="183" t="n"/>
      <c r="S548" s="183" t="n"/>
      <c r="T548" s="183" t="n"/>
      <c r="U548" s="183" t="n"/>
      <c r="V548" s="183" t="n"/>
      <c r="W548" s="183" t="n"/>
      <c r="X548" s="183" t="n"/>
      <c r="Y548" s="183" t="n"/>
      <c r="Z548" s="183" t="n"/>
      <c r="AA548" s="183" t="n"/>
    </row>
    <row r="549" ht="45.75" customHeight="1" s="222">
      <c r="A549" s="205" t="n"/>
      <c r="B549" s="205" t="n"/>
      <c r="C549" s="205" t="n"/>
      <c r="D549" s="205" t="n"/>
      <c r="E549" s="205" t="n"/>
      <c r="F549" s="205" t="n"/>
      <c r="G549" s="206" t="n"/>
      <c r="H549" s="205" t="n"/>
      <c r="I549" s="28" t="n"/>
      <c r="J549" s="205" t="n"/>
      <c r="K549" s="205" t="n"/>
      <c r="L549" s="205" t="n"/>
      <c r="M549" s="205" t="n"/>
      <c r="N549" s="205" t="n"/>
      <c r="O549" s="183" t="n"/>
      <c r="P549" s="183" t="n"/>
      <c r="Q549" s="183" t="n"/>
      <c r="R549" s="183" t="n"/>
      <c r="S549" s="183" t="n"/>
      <c r="T549" s="183" t="n"/>
      <c r="U549" s="183" t="n"/>
      <c r="V549" s="183" t="n"/>
      <c r="W549" s="183" t="n"/>
      <c r="X549" s="183" t="n"/>
      <c r="Y549" s="183" t="n"/>
      <c r="Z549" s="183" t="n"/>
      <c r="AA549" s="183" t="n"/>
    </row>
    <row r="550" ht="45.75" customHeight="1" s="222">
      <c r="A550" s="205" t="n"/>
      <c r="B550" s="205" t="n"/>
      <c r="C550" s="205" t="n"/>
      <c r="D550" s="205" t="n"/>
      <c r="E550" s="205" t="n"/>
      <c r="F550" s="205" t="n"/>
      <c r="G550" s="206" t="n"/>
      <c r="H550" s="205" t="n"/>
      <c r="I550" s="28" t="n"/>
      <c r="J550" s="205" t="n"/>
      <c r="K550" s="205" t="n"/>
      <c r="L550" s="205" t="n"/>
      <c r="M550" s="205" t="n"/>
      <c r="N550" s="205" t="n"/>
      <c r="O550" s="183" t="n"/>
      <c r="P550" s="183" t="n"/>
      <c r="Q550" s="183" t="n"/>
      <c r="R550" s="183" t="n"/>
      <c r="S550" s="183" t="n"/>
      <c r="T550" s="183" t="n"/>
      <c r="U550" s="183" t="n"/>
      <c r="V550" s="183" t="n"/>
      <c r="W550" s="183" t="n"/>
      <c r="X550" s="183" t="n"/>
      <c r="Y550" s="183" t="n"/>
      <c r="Z550" s="183" t="n"/>
      <c r="AA550" s="183" t="n"/>
    </row>
    <row r="551" ht="45.75" customHeight="1" s="222">
      <c r="A551" s="205" t="n"/>
      <c r="B551" s="205" t="n"/>
      <c r="C551" s="205" t="n"/>
      <c r="D551" s="205" t="n"/>
      <c r="E551" s="205" t="n"/>
      <c r="F551" s="205" t="n"/>
      <c r="G551" s="206" t="n"/>
      <c r="H551" s="205" t="n"/>
      <c r="I551" s="28" t="n"/>
      <c r="J551" s="205" t="n"/>
      <c r="K551" s="205" t="n"/>
      <c r="L551" s="205" t="n"/>
      <c r="M551" s="205" t="n"/>
      <c r="N551" s="205" t="n"/>
      <c r="O551" s="183" t="n"/>
      <c r="P551" s="183" t="n"/>
      <c r="Q551" s="183" t="n"/>
      <c r="R551" s="183" t="n"/>
      <c r="S551" s="183" t="n"/>
      <c r="T551" s="183" t="n"/>
      <c r="U551" s="183" t="n"/>
      <c r="V551" s="183" t="n"/>
      <c r="W551" s="183" t="n"/>
      <c r="X551" s="183" t="n"/>
      <c r="Y551" s="183" t="n"/>
      <c r="Z551" s="183" t="n"/>
      <c r="AA551" s="183" t="n"/>
    </row>
    <row r="552" ht="45.75" customHeight="1" s="222">
      <c r="A552" s="205" t="n"/>
      <c r="B552" s="205" t="n"/>
      <c r="C552" s="205" t="n"/>
      <c r="D552" s="205" t="n"/>
      <c r="E552" s="205" t="n"/>
      <c r="F552" s="205" t="n"/>
      <c r="G552" s="206" t="n"/>
      <c r="H552" s="205" t="n"/>
      <c r="I552" s="28" t="n"/>
      <c r="J552" s="205" t="n"/>
      <c r="K552" s="205" t="n"/>
      <c r="L552" s="205" t="n"/>
      <c r="M552" s="205" t="n"/>
      <c r="N552" s="205" t="n"/>
      <c r="O552" s="183" t="n"/>
      <c r="P552" s="183" t="n"/>
      <c r="Q552" s="183" t="n"/>
      <c r="R552" s="183" t="n"/>
      <c r="S552" s="183" t="n"/>
      <c r="T552" s="183" t="n"/>
      <c r="U552" s="183" t="n"/>
      <c r="V552" s="183" t="n"/>
      <c r="W552" s="183" t="n"/>
      <c r="X552" s="183" t="n"/>
      <c r="Y552" s="183" t="n"/>
      <c r="Z552" s="183" t="n"/>
      <c r="AA552" s="183" t="n"/>
    </row>
    <row r="553" ht="45.75" customHeight="1" s="222">
      <c r="A553" s="205" t="n"/>
      <c r="B553" s="205" t="n"/>
      <c r="C553" s="205" t="n"/>
      <c r="D553" s="205" t="n"/>
      <c r="E553" s="205" t="n"/>
      <c r="F553" s="205" t="n"/>
      <c r="G553" s="206" t="n"/>
      <c r="H553" s="205" t="n"/>
      <c r="I553" s="28" t="n"/>
      <c r="J553" s="205" t="n"/>
      <c r="K553" s="205" t="n"/>
      <c r="L553" s="205" t="n"/>
      <c r="M553" s="205" t="n"/>
      <c r="N553" s="205" t="n"/>
      <c r="O553" s="183" t="n"/>
      <c r="P553" s="183" t="n"/>
      <c r="Q553" s="183" t="n"/>
      <c r="R553" s="183" t="n"/>
      <c r="S553" s="183" t="n"/>
      <c r="T553" s="183" t="n"/>
      <c r="U553" s="183" t="n"/>
      <c r="V553" s="183" t="n"/>
      <c r="W553" s="183" t="n"/>
      <c r="X553" s="183" t="n"/>
      <c r="Y553" s="183" t="n"/>
      <c r="Z553" s="183" t="n"/>
      <c r="AA553" s="183" t="n"/>
    </row>
    <row r="554" ht="45.75" customHeight="1" s="222">
      <c r="A554" s="205" t="n"/>
      <c r="B554" s="205" t="n"/>
      <c r="C554" s="205" t="n"/>
      <c r="D554" s="205" t="n"/>
      <c r="E554" s="205" t="n"/>
      <c r="F554" s="205" t="n"/>
      <c r="G554" s="206" t="n"/>
      <c r="H554" s="205" t="n"/>
      <c r="I554" s="28" t="n"/>
      <c r="J554" s="205" t="n"/>
      <c r="K554" s="205" t="n"/>
      <c r="L554" s="205" t="n"/>
      <c r="M554" s="205" t="n"/>
      <c r="N554" s="205" t="n"/>
      <c r="O554" s="183" t="n"/>
      <c r="P554" s="183" t="n"/>
      <c r="Q554" s="183" t="n"/>
      <c r="R554" s="183" t="n"/>
      <c r="S554" s="183" t="n"/>
      <c r="T554" s="183" t="n"/>
      <c r="U554" s="183" t="n"/>
      <c r="V554" s="183" t="n"/>
      <c r="W554" s="183" t="n"/>
      <c r="X554" s="183" t="n"/>
      <c r="Y554" s="183" t="n"/>
      <c r="Z554" s="183" t="n"/>
      <c r="AA554" s="183" t="n"/>
    </row>
    <row r="555" ht="45.75" customHeight="1" s="222">
      <c r="A555" s="205" t="n"/>
      <c r="B555" s="205" t="n"/>
      <c r="C555" s="205" t="n"/>
      <c r="D555" s="205" t="n"/>
      <c r="E555" s="205" t="n"/>
      <c r="F555" s="205" t="n"/>
      <c r="G555" s="206" t="n"/>
      <c r="H555" s="205" t="n"/>
      <c r="I555" s="28" t="n"/>
      <c r="J555" s="205" t="n"/>
      <c r="K555" s="205" t="n"/>
      <c r="L555" s="205" t="n"/>
      <c r="M555" s="205" t="n"/>
      <c r="N555" s="205" t="n"/>
      <c r="O555" s="183" t="n"/>
      <c r="P555" s="183" t="n"/>
      <c r="Q555" s="183" t="n"/>
      <c r="R555" s="183" t="n"/>
      <c r="S555" s="183" t="n"/>
      <c r="T555" s="183" t="n"/>
      <c r="U555" s="183" t="n"/>
      <c r="V555" s="183" t="n"/>
      <c r="W555" s="183" t="n"/>
      <c r="X555" s="183" t="n"/>
      <c r="Y555" s="183" t="n"/>
      <c r="Z555" s="183" t="n"/>
      <c r="AA555" s="183" t="n"/>
    </row>
    <row r="556" ht="45.75" customHeight="1" s="222">
      <c r="A556" s="205" t="n"/>
      <c r="B556" s="205" t="n"/>
      <c r="C556" s="205" t="n"/>
      <c r="D556" s="205" t="n"/>
      <c r="E556" s="205" t="n"/>
      <c r="F556" s="205" t="n"/>
      <c r="G556" s="206" t="n"/>
      <c r="H556" s="205" t="n"/>
      <c r="I556" s="28" t="n"/>
      <c r="J556" s="205" t="n"/>
      <c r="K556" s="205" t="n"/>
      <c r="L556" s="205" t="n"/>
      <c r="M556" s="205" t="n"/>
      <c r="N556" s="205" t="n"/>
      <c r="O556" s="183" t="n"/>
      <c r="P556" s="183" t="n"/>
      <c r="Q556" s="183" t="n"/>
      <c r="R556" s="183" t="n"/>
      <c r="S556" s="183" t="n"/>
      <c r="T556" s="183" t="n"/>
      <c r="U556" s="183" t="n"/>
      <c r="V556" s="183" t="n"/>
      <c r="W556" s="183" t="n"/>
      <c r="X556" s="183" t="n"/>
      <c r="Y556" s="183" t="n"/>
      <c r="Z556" s="183" t="n"/>
      <c r="AA556" s="183" t="n"/>
    </row>
    <row r="557" ht="45.75" customHeight="1" s="222">
      <c r="A557" s="205" t="n"/>
      <c r="B557" s="205" t="n"/>
      <c r="C557" s="205" t="n"/>
      <c r="D557" s="205" t="n"/>
      <c r="E557" s="205" t="n"/>
      <c r="F557" s="205" t="n"/>
      <c r="G557" s="206" t="n"/>
      <c r="H557" s="205" t="n"/>
      <c r="I557" s="28" t="n"/>
      <c r="J557" s="205" t="n"/>
      <c r="K557" s="205" t="n"/>
      <c r="L557" s="205" t="n"/>
      <c r="M557" s="205" t="n"/>
      <c r="N557" s="205" t="n"/>
      <c r="O557" s="183" t="n"/>
      <c r="P557" s="183" t="n"/>
      <c r="Q557" s="183" t="n"/>
      <c r="R557" s="183" t="n"/>
      <c r="S557" s="183" t="n"/>
      <c r="T557" s="183" t="n"/>
      <c r="U557" s="183" t="n"/>
      <c r="V557" s="183" t="n"/>
      <c r="W557" s="183" t="n"/>
      <c r="X557" s="183" t="n"/>
      <c r="Y557" s="183" t="n"/>
      <c r="Z557" s="183" t="n"/>
      <c r="AA557" s="183" t="n"/>
    </row>
    <row r="558" ht="45.75" customHeight="1" s="222">
      <c r="A558" s="205" t="n"/>
      <c r="B558" s="205" t="n"/>
      <c r="C558" s="205" t="n"/>
      <c r="D558" s="205" t="n"/>
      <c r="E558" s="205" t="n"/>
      <c r="F558" s="205" t="n"/>
      <c r="G558" s="206" t="n"/>
      <c r="H558" s="205" t="n"/>
      <c r="I558" s="28" t="n"/>
      <c r="J558" s="205" t="n"/>
      <c r="K558" s="205" t="n"/>
      <c r="L558" s="205" t="n"/>
      <c r="M558" s="205" t="n"/>
      <c r="N558" s="205" t="n"/>
      <c r="O558" s="183" t="n"/>
      <c r="P558" s="183" t="n"/>
      <c r="Q558" s="183" t="n"/>
      <c r="R558" s="183" t="n"/>
      <c r="S558" s="183" t="n"/>
      <c r="T558" s="183" t="n"/>
      <c r="U558" s="183" t="n"/>
      <c r="V558" s="183" t="n"/>
      <c r="W558" s="183" t="n"/>
      <c r="X558" s="183" t="n"/>
      <c r="Y558" s="183" t="n"/>
      <c r="Z558" s="183" t="n"/>
      <c r="AA558" s="183" t="n"/>
    </row>
    <row r="559" ht="45.75" customHeight="1" s="222">
      <c r="A559" s="205" t="n"/>
      <c r="B559" s="205" t="n"/>
      <c r="C559" s="205" t="n"/>
      <c r="D559" s="205" t="n"/>
      <c r="E559" s="205" t="n"/>
      <c r="F559" s="205" t="n"/>
      <c r="G559" s="206" t="n"/>
      <c r="H559" s="205" t="n"/>
      <c r="I559" s="28" t="n"/>
      <c r="J559" s="205" t="n"/>
      <c r="K559" s="205" t="n"/>
      <c r="L559" s="205" t="n"/>
      <c r="M559" s="205" t="n"/>
      <c r="N559" s="205" t="n"/>
      <c r="O559" s="183" t="n"/>
      <c r="P559" s="183" t="n"/>
      <c r="Q559" s="183" t="n"/>
      <c r="R559" s="183" t="n"/>
      <c r="S559" s="183" t="n"/>
      <c r="T559" s="183" t="n"/>
      <c r="U559" s="183" t="n"/>
      <c r="V559" s="183" t="n"/>
      <c r="W559" s="183" t="n"/>
      <c r="X559" s="183" t="n"/>
      <c r="Y559" s="183" t="n"/>
      <c r="Z559" s="183" t="n"/>
      <c r="AA559" s="183" t="n"/>
    </row>
    <row r="560" ht="45.75" customHeight="1" s="222">
      <c r="A560" s="205" t="n"/>
      <c r="B560" s="205" t="n"/>
      <c r="C560" s="205" t="n"/>
      <c r="D560" s="205" t="n"/>
      <c r="E560" s="205" t="n"/>
      <c r="F560" s="205" t="n"/>
      <c r="G560" s="206" t="n"/>
      <c r="H560" s="205" t="n"/>
      <c r="I560" s="28" t="n"/>
      <c r="J560" s="205" t="n"/>
      <c r="K560" s="205" t="n"/>
      <c r="L560" s="205" t="n"/>
      <c r="M560" s="205" t="n"/>
      <c r="N560" s="205" t="n"/>
      <c r="O560" s="183" t="n"/>
      <c r="P560" s="183" t="n"/>
      <c r="Q560" s="183" t="n"/>
      <c r="R560" s="183" t="n"/>
      <c r="S560" s="183" t="n"/>
      <c r="T560" s="183" t="n"/>
      <c r="U560" s="183" t="n"/>
      <c r="V560" s="183" t="n"/>
      <c r="W560" s="183" t="n"/>
      <c r="X560" s="183" t="n"/>
      <c r="Y560" s="183" t="n"/>
      <c r="Z560" s="183" t="n"/>
      <c r="AA560" s="183" t="n"/>
    </row>
    <row r="561" ht="45.75" customHeight="1" s="222">
      <c r="A561" s="205" t="n"/>
      <c r="B561" s="205" t="n"/>
      <c r="C561" s="205" t="n"/>
      <c r="D561" s="205" t="n"/>
      <c r="E561" s="205" t="n"/>
      <c r="F561" s="205" t="n"/>
      <c r="G561" s="206" t="n"/>
      <c r="H561" s="205" t="n"/>
      <c r="I561" s="28" t="n"/>
      <c r="J561" s="205" t="n"/>
      <c r="K561" s="205" t="n"/>
      <c r="L561" s="205" t="n"/>
      <c r="M561" s="205" t="n"/>
      <c r="N561" s="205" t="n"/>
      <c r="O561" s="183" t="n"/>
      <c r="P561" s="183" t="n"/>
      <c r="Q561" s="183" t="n"/>
      <c r="R561" s="183" t="n"/>
      <c r="S561" s="183" t="n"/>
      <c r="T561" s="183" t="n"/>
      <c r="U561" s="183" t="n"/>
      <c r="V561" s="183" t="n"/>
      <c r="W561" s="183" t="n"/>
      <c r="X561" s="183" t="n"/>
      <c r="Y561" s="183" t="n"/>
      <c r="Z561" s="183" t="n"/>
      <c r="AA561" s="183" t="n"/>
    </row>
    <row r="562" ht="45.75" customHeight="1" s="222">
      <c r="A562" s="205" t="n"/>
      <c r="B562" s="205" t="n"/>
      <c r="C562" s="205" t="n"/>
      <c r="D562" s="205" t="n"/>
      <c r="E562" s="205" t="n"/>
      <c r="F562" s="205" t="n"/>
      <c r="G562" s="206" t="n"/>
      <c r="H562" s="205" t="n"/>
      <c r="I562" s="28" t="n"/>
      <c r="J562" s="205" t="n"/>
      <c r="K562" s="205" t="n"/>
      <c r="L562" s="205" t="n"/>
      <c r="M562" s="205" t="n"/>
      <c r="N562" s="205" t="n"/>
      <c r="O562" s="183" t="n"/>
      <c r="P562" s="183" t="n"/>
      <c r="Q562" s="183" t="n"/>
      <c r="R562" s="183" t="n"/>
      <c r="S562" s="183" t="n"/>
      <c r="T562" s="183" t="n"/>
      <c r="U562" s="183" t="n"/>
      <c r="V562" s="183" t="n"/>
      <c r="W562" s="183" t="n"/>
      <c r="X562" s="183" t="n"/>
      <c r="Y562" s="183" t="n"/>
      <c r="Z562" s="183" t="n"/>
      <c r="AA562" s="183" t="n"/>
    </row>
    <row r="563" ht="45.75" customHeight="1" s="222">
      <c r="A563" s="205" t="n"/>
      <c r="B563" s="205" t="n"/>
      <c r="C563" s="205" t="n"/>
      <c r="D563" s="205" t="n"/>
      <c r="E563" s="205" t="n"/>
      <c r="F563" s="205" t="n"/>
      <c r="G563" s="206" t="n"/>
      <c r="H563" s="205" t="n"/>
      <c r="I563" s="28" t="n"/>
      <c r="J563" s="205" t="n"/>
      <c r="K563" s="205" t="n"/>
      <c r="L563" s="205" t="n"/>
      <c r="M563" s="205" t="n"/>
      <c r="N563" s="205" t="n"/>
      <c r="O563" s="183" t="n"/>
      <c r="P563" s="183" t="n"/>
      <c r="Q563" s="183" t="n"/>
      <c r="R563" s="183" t="n"/>
      <c r="S563" s="183" t="n"/>
      <c r="T563" s="183" t="n"/>
      <c r="U563" s="183" t="n"/>
      <c r="V563" s="183" t="n"/>
      <c r="W563" s="183" t="n"/>
      <c r="X563" s="183" t="n"/>
      <c r="Y563" s="183" t="n"/>
      <c r="Z563" s="183" t="n"/>
      <c r="AA563" s="183" t="n"/>
    </row>
    <row r="564" ht="45.75" customHeight="1" s="222">
      <c r="A564" s="205" t="n"/>
      <c r="B564" s="205" t="n"/>
      <c r="C564" s="205" t="n"/>
      <c r="D564" s="205" t="n"/>
      <c r="E564" s="205" t="n"/>
      <c r="F564" s="205" t="n"/>
      <c r="G564" s="206" t="n"/>
      <c r="H564" s="205" t="n"/>
      <c r="I564" s="28" t="n"/>
      <c r="J564" s="205" t="n"/>
      <c r="K564" s="205" t="n"/>
      <c r="L564" s="205" t="n"/>
      <c r="M564" s="205" t="n"/>
      <c r="N564" s="205" t="n"/>
      <c r="O564" s="183" t="n"/>
      <c r="P564" s="183" t="n"/>
      <c r="Q564" s="183" t="n"/>
      <c r="R564" s="183" t="n"/>
      <c r="S564" s="183" t="n"/>
      <c r="T564" s="183" t="n"/>
      <c r="U564" s="183" t="n"/>
      <c r="V564" s="183" t="n"/>
      <c r="W564" s="183" t="n"/>
      <c r="X564" s="183" t="n"/>
      <c r="Y564" s="183" t="n"/>
      <c r="Z564" s="183" t="n"/>
      <c r="AA564" s="183" t="n"/>
    </row>
    <row r="565" ht="45.75" customHeight="1" s="222">
      <c r="A565" s="205" t="n"/>
      <c r="B565" s="205" t="n"/>
      <c r="C565" s="205" t="n"/>
      <c r="D565" s="205" t="n"/>
      <c r="E565" s="205" t="n"/>
      <c r="F565" s="205" t="n"/>
      <c r="G565" s="206" t="n"/>
      <c r="H565" s="205" t="n"/>
      <c r="I565" s="28" t="n"/>
      <c r="J565" s="205" t="n"/>
      <c r="K565" s="205" t="n"/>
      <c r="L565" s="205" t="n"/>
      <c r="M565" s="205" t="n"/>
      <c r="N565" s="205" t="n"/>
      <c r="O565" s="183" t="n"/>
      <c r="P565" s="183" t="n"/>
      <c r="Q565" s="183" t="n"/>
      <c r="R565" s="183" t="n"/>
      <c r="S565" s="183" t="n"/>
      <c r="T565" s="183" t="n"/>
      <c r="U565" s="183" t="n"/>
      <c r="V565" s="183" t="n"/>
      <c r="W565" s="183" t="n"/>
      <c r="X565" s="183" t="n"/>
      <c r="Y565" s="183" t="n"/>
      <c r="Z565" s="183" t="n"/>
      <c r="AA565" s="183" t="n"/>
    </row>
    <row r="566" ht="45.75" customHeight="1" s="222">
      <c r="A566" s="205" t="n"/>
      <c r="B566" s="205" t="n"/>
      <c r="C566" s="205" t="n"/>
      <c r="D566" s="205" t="n"/>
      <c r="E566" s="205" t="n"/>
      <c r="F566" s="205" t="n"/>
      <c r="G566" s="206" t="n"/>
      <c r="H566" s="205" t="n"/>
      <c r="I566" s="28" t="n"/>
      <c r="J566" s="205" t="n"/>
      <c r="K566" s="205" t="n"/>
      <c r="L566" s="205" t="n"/>
      <c r="M566" s="205" t="n"/>
      <c r="N566" s="205" t="n"/>
      <c r="O566" s="183" t="n"/>
      <c r="P566" s="183" t="n"/>
      <c r="Q566" s="183" t="n"/>
      <c r="R566" s="183" t="n"/>
      <c r="S566" s="183" t="n"/>
      <c r="T566" s="183" t="n"/>
      <c r="U566" s="183" t="n"/>
      <c r="V566" s="183" t="n"/>
      <c r="W566" s="183" t="n"/>
      <c r="X566" s="183" t="n"/>
      <c r="Y566" s="183" t="n"/>
      <c r="Z566" s="183" t="n"/>
      <c r="AA566" s="183" t="n"/>
    </row>
    <row r="567" ht="45.75" customHeight="1" s="222">
      <c r="A567" s="205" t="n"/>
      <c r="B567" s="205" t="n"/>
      <c r="C567" s="205" t="n"/>
      <c r="D567" s="205" t="n"/>
      <c r="E567" s="205" t="n"/>
      <c r="F567" s="205" t="n"/>
      <c r="G567" s="206" t="n"/>
      <c r="H567" s="205" t="n"/>
      <c r="I567" s="28" t="n"/>
      <c r="J567" s="205" t="n"/>
      <c r="K567" s="205" t="n"/>
      <c r="L567" s="205" t="n"/>
      <c r="M567" s="205" t="n"/>
      <c r="N567" s="205" t="n"/>
      <c r="O567" s="183" t="n"/>
      <c r="P567" s="183" t="n"/>
      <c r="Q567" s="183" t="n"/>
      <c r="R567" s="183" t="n"/>
      <c r="S567" s="183" t="n"/>
      <c r="T567" s="183" t="n"/>
      <c r="U567" s="183" t="n"/>
      <c r="V567" s="183" t="n"/>
      <c r="W567" s="183" t="n"/>
      <c r="X567" s="183" t="n"/>
      <c r="Y567" s="183" t="n"/>
      <c r="Z567" s="183" t="n"/>
      <c r="AA567" s="183" t="n"/>
    </row>
    <row r="568" ht="45.75" customHeight="1" s="222">
      <c r="A568" s="205" t="n"/>
      <c r="B568" s="205" t="n"/>
      <c r="C568" s="205" t="n"/>
      <c r="D568" s="205" t="n"/>
      <c r="E568" s="205" t="n"/>
      <c r="F568" s="205" t="n"/>
      <c r="G568" s="206" t="n"/>
      <c r="H568" s="205" t="n"/>
      <c r="I568" s="28" t="n"/>
      <c r="J568" s="205" t="n"/>
      <c r="K568" s="205" t="n"/>
      <c r="L568" s="205" t="n"/>
      <c r="M568" s="205" t="n"/>
      <c r="N568" s="205" t="n"/>
      <c r="O568" s="183" t="n"/>
      <c r="P568" s="183" t="n"/>
      <c r="Q568" s="183" t="n"/>
      <c r="R568" s="183" t="n"/>
      <c r="S568" s="183" t="n"/>
      <c r="T568" s="183" t="n"/>
      <c r="U568" s="183" t="n"/>
      <c r="V568" s="183" t="n"/>
      <c r="W568" s="183" t="n"/>
      <c r="X568" s="183" t="n"/>
      <c r="Y568" s="183" t="n"/>
      <c r="Z568" s="183" t="n"/>
      <c r="AA568" s="183" t="n"/>
    </row>
    <row r="569" ht="45.75" customHeight="1" s="222">
      <c r="A569" s="205" t="n"/>
      <c r="B569" s="205" t="n"/>
      <c r="C569" s="205" t="n"/>
      <c r="D569" s="205" t="n"/>
      <c r="E569" s="205" t="n"/>
      <c r="F569" s="205" t="n"/>
      <c r="G569" s="206" t="n"/>
      <c r="H569" s="205" t="n"/>
      <c r="I569" s="28" t="n"/>
      <c r="J569" s="205" t="n"/>
      <c r="K569" s="205" t="n"/>
      <c r="L569" s="205" t="n"/>
      <c r="M569" s="205" t="n"/>
      <c r="N569" s="205" t="n"/>
      <c r="O569" s="183" t="n"/>
      <c r="P569" s="183" t="n"/>
      <c r="Q569" s="183" t="n"/>
      <c r="R569" s="183" t="n"/>
      <c r="S569" s="183" t="n"/>
      <c r="T569" s="183" t="n"/>
      <c r="U569" s="183" t="n"/>
      <c r="V569" s="183" t="n"/>
      <c r="W569" s="183" t="n"/>
      <c r="X569" s="183" t="n"/>
      <c r="Y569" s="183" t="n"/>
      <c r="Z569" s="183" t="n"/>
      <c r="AA569" s="183" t="n"/>
    </row>
    <row r="570" ht="45.75" customHeight="1" s="222">
      <c r="A570" s="205" t="n"/>
      <c r="B570" s="205" t="n"/>
      <c r="C570" s="205" t="n"/>
      <c r="D570" s="205" t="n"/>
      <c r="E570" s="205" t="n"/>
      <c r="F570" s="205" t="n"/>
      <c r="G570" s="206" t="n"/>
      <c r="H570" s="205" t="n"/>
      <c r="I570" s="28" t="n"/>
      <c r="J570" s="205" t="n"/>
      <c r="K570" s="205" t="n"/>
      <c r="L570" s="205" t="n"/>
      <c r="M570" s="205" t="n"/>
      <c r="N570" s="205" t="n"/>
      <c r="O570" s="183" t="n"/>
      <c r="P570" s="183" t="n"/>
      <c r="Q570" s="183" t="n"/>
      <c r="R570" s="183" t="n"/>
      <c r="S570" s="183" t="n"/>
      <c r="T570" s="183" t="n"/>
      <c r="U570" s="183" t="n"/>
      <c r="V570" s="183" t="n"/>
      <c r="W570" s="183" t="n"/>
      <c r="X570" s="183" t="n"/>
      <c r="Y570" s="183" t="n"/>
      <c r="Z570" s="183" t="n"/>
      <c r="AA570" s="183" t="n"/>
    </row>
    <row r="571" ht="45.75" customHeight="1" s="222">
      <c r="A571" s="205" t="n"/>
      <c r="B571" s="205" t="n"/>
      <c r="C571" s="205" t="n"/>
      <c r="D571" s="205" t="n"/>
      <c r="E571" s="205" t="n"/>
      <c r="F571" s="205" t="n"/>
      <c r="G571" s="206" t="n"/>
      <c r="H571" s="205" t="n"/>
      <c r="I571" s="28" t="n"/>
      <c r="J571" s="205" t="n"/>
      <c r="K571" s="205" t="n"/>
      <c r="L571" s="205" t="n"/>
      <c r="M571" s="205" t="n"/>
      <c r="N571" s="205" t="n"/>
      <c r="O571" s="183" t="n"/>
      <c r="P571" s="183" t="n"/>
      <c r="Q571" s="183" t="n"/>
      <c r="R571" s="183" t="n"/>
      <c r="S571" s="183" t="n"/>
      <c r="T571" s="183" t="n"/>
      <c r="U571" s="183" t="n"/>
      <c r="V571" s="183" t="n"/>
      <c r="W571" s="183" t="n"/>
      <c r="X571" s="183" t="n"/>
      <c r="Y571" s="183" t="n"/>
      <c r="Z571" s="183" t="n"/>
      <c r="AA571" s="183" t="n"/>
    </row>
    <row r="572" ht="45.75" customHeight="1" s="222">
      <c r="A572" s="205" t="n"/>
      <c r="B572" s="205" t="n"/>
      <c r="C572" s="205" t="n"/>
      <c r="D572" s="205" t="n"/>
      <c r="E572" s="205" t="n"/>
      <c r="F572" s="205" t="n"/>
      <c r="G572" s="206" t="n"/>
      <c r="H572" s="205" t="n"/>
      <c r="I572" s="28" t="n"/>
      <c r="J572" s="205" t="n"/>
      <c r="K572" s="205" t="n"/>
      <c r="L572" s="205" t="n"/>
      <c r="M572" s="205" t="n"/>
      <c r="N572" s="205" t="n"/>
      <c r="O572" s="183" t="n"/>
      <c r="P572" s="183" t="n"/>
      <c r="Q572" s="183" t="n"/>
      <c r="R572" s="183" t="n"/>
      <c r="S572" s="183" t="n"/>
      <c r="T572" s="183" t="n"/>
      <c r="U572" s="183" t="n"/>
      <c r="V572" s="183" t="n"/>
      <c r="W572" s="183" t="n"/>
      <c r="X572" s="183" t="n"/>
      <c r="Y572" s="183" t="n"/>
      <c r="Z572" s="183" t="n"/>
      <c r="AA572" s="183" t="n"/>
    </row>
    <row r="573" ht="45.75" customHeight="1" s="222">
      <c r="A573" s="205" t="n"/>
      <c r="B573" s="205" t="n"/>
      <c r="C573" s="205" t="n"/>
      <c r="D573" s="205" t="n"/>
      <c r="E573" s="205" t="n"/>
      <c r="F573" s="205" t="n"/>
      <c r="G573" s="206" t="n"/>
      <c r="H573" s="205" t="n"/>
      <c r="I573" s="28" t="n"/>
      <c r="J573" s="205" t="n"/>
      <c r="K573" s="205" t="n"/>
      <c r="L573" s="205" t="n"/>
      <c r="M573" s="205" t="n"/>
      <c r="N573" s="205" t="n"/>
      <c r="O573" s="183" t="n"/>
      <c r="P573" s="183" t="n"/>
      <c r="Q573" s="183" t="n"/>
      <c r="R573" s="183" t="n"/>
      <c r="S573" s="183" t="n"/>
      <c r="T573" s="183" t="n"/>
      <c r="U573" s="183" t="n"/>
      <c r="V573" s="183" t="n"/>
      <c r="W573" s="183" t="n"/>
      <c r="X573" s="183" t="n"/>
      <c r="Y573" s="183" t="n"/>
      <c r="Z573" s="183" t="n"/>
      <c r="AA573" s="183" t="n"/>
    </row>
    <row r="574" ht="45.75" customHeight="1" s="222">
      <c r="A574" s="205" t="n"/>
      <c r="B574" s="205" t="n"/>
      <c r="C574" s="205" t="n"/>
      <c r="D574" s="205" t="n"/>
      <c r="E574" s="205" t="n"/>
      <c r="F574" s="205" t="n"/>
      <c r="G574" s="206" t="n"/>
      <c r="H574" s="205" t="n"/>
      <c r="I574" s="28" t="n"/>
      <c r="J574" s="205" t="n"/>
      <c r="K574" s="205" t="n"/>
      <c r="L574" s="205" t="n"/>
      <c r="M574" s="205" t="n"/>
      <c r="N574" s="205" t="n"/>
      <c r="O574" s="183" t="n"/>
      <c r="P574" s="183" t="n"/>
      <c r="Q574" s="183" t="n"/>
      <c r="R574" s="183" t="n"/>
      <c r="S574" s="183" t="n"/>
      <c r="T574" s="183" t="n"/>
      <c r="U574" s="183" t="n"/>
      <c r="V574" s="183" t="n"/>
      <c r="W574" s="183" t="n"/>
      <c r="X574" s="183" t="n"/>
      <c r="Y574" s="183" t="n"/>
      <c r="Z574" s="183" t="n"/>
      <c r="AA574" s="183" t="n"/>
    </row>
    <row r="575" ht="45.75" customHeight="1" s="222">
      <c r="A575" s="205" t="n"/>
      <c r="B575" s="205" t="n"/>
      <c r="C575" s="205" t="n"/>
      <c r="D575" s="205" t="n"/>
      <c r="E575" s="205" t="n"/>
      <c r="F575" s="205" t="n"/>
      <c r="G575" s="206" t="n"/>
      <c r="H575" s="205" t="n"/>
      <c r="I575" s="28" t="n"/>
      <c r="J575" s="205" t="n"/>
      <c r="K575" s="205" t="n"/>
      <c r="L575" s="205" t="n"/>
      <c r="M575" s="205" t="n"/>
      <c r="N575" s="205" t="n"/>
      <c r="O575" s="183" t="n"/>
      <c r="P575" s="183" t="n"/>
      <c r="Q575" s="183" t="n"/>
      <c r="R575" s="183" t="n"/>
      <c r="S575" s="183" t="n"/>
      <c r="T575" s="183" t="n"/>
      <c r="U575" s="183" t="n"/>
      <c r="V575" s="183" t="n"/>
      <c r="W575" s="183" t="n"/>
      <c r="X575" s="183" t="n"/>
      <c r="Y575" s="183" t="n"/>
      <c r="Z575" s="183" t="n"/>
      <c r="AA575" s="183" t="n"/>
    </row>
    <row r="576" ht="45.75" customHeight="1" s="222">
      <c r="A576" s="205" t="n"/>
      <c r="B576" s="205" t="n"/>
      <c r="C576" s="205" t="n"/>
      <c r="D576" s="205" t="n"/>
      <c r="E576" s="205" t="n"/>
      <c r="F576" s="205" t="n"/>
      <c r="G576" s="206" t="n"/>
      <c r="H576" s="205" t="n"/>
      <c r="I576" s="28" t="n"/>
      <c r="J576" s="205" t="n"/>
      <c r="K576" s="205" t="n"/>
      <c r="L576" s="205" t="n"/>
      <c r="M576" s="205" t="n"/>
      <c r="N576" s="205" t="n"/>
      <c r="O576" s="183" t="n"/>
      <c r="P576" s="183" t="n"/>
      <c r="Q576" s="183" t="n"/>
      <c r="R576" s="183" t="n"/>
      <c r="S576" s="183" t="n"/>
      <c r="T576" s="183" t="n"/>
      <c r="U576" s="183" t="n"/>
      <c r="V576" s="183" t="n"/>
      <c r="W576" s="183" t="n"/>
      <c r="X576" s="183" t="n"/>
      <c r="Y576" s="183" t="n"/>
      <c r="Z576" s="183" t="n"/>
      <c r="AA576" s="183" t="n"/>
    </row>
    <row r="577" ht="45.75" customHeight="1" s="222">
      <c r="A577" s="205" t="n"/>
      <c r="B577" s="205" t="n"/>
      <c r="C577" s="205" t="n"/>
      <c r="D577" s="205" t="n"/>
      <c r="E577" s="205" t="n"/>
      <c r="F577" s="205" t="n"/>
      <c r="G577" s="206" t="n"/>
      <c r="H577" s="205" t="n"/>
      <c r="I577" s="28" t="n"/>
      <c r="J577" s="205" t="n"/>
      <c r="K577" s="205" t="n"/>
      <c r="L577" s="205" t="n"/>
      <c r="M577" s="205" t="n"/>
      <c r="N577" s="205" t="n"/>
      <c r="O577" s="183" t="n"/>
      <c r="P577" s="183" t="n"/>
      <c r="Q577" s="183" t="n"/>
      <c r="R577" s="183" t="n"/>
      <c r="S577" s="183" t="n"/>
      <c r="T577" s="183" t="n"/>
      <c r="U577" s="183" t="n"/>
      <c r="V577" s="183" t="n"/>
      <c r="W577" s="183" t="n"/>
      <c r="X577" s="183" t="n"/>
      <c r="Y577" s="183" t="n"/>
      <c r="Z577" s="183" t="n"/>
      <c r="AA577" s="183" t="n"/>
    </row>
    <row r="578" ht="45.75" customHeight="1" s="222">
      <c r="A578" s="205" t="n"/>
      <c r="B578" s="205" t="n"/>
      <c r="C578" s="205" t="n"/>
      <c r="D578" s="205" t="n"/>
      <c r="E578" s="205" t="n"/>
      <c r="F578" s="205" t="n"/>
      <c r="G578" s="206" t="n"/>
      <c r="H578" s="205" t="n"/>
      <c r="I578" s="28" t="n"/>
      <c r="J578" s="205" t="n"/>
      <c r="K578" s="205" t="n"/>
      <c r="L578" s="205" t="n"/>
      <c r="M578" s="205" t="n"/>
      <c r="N578" s="205" t="n"/>
      <c r="O578" s="183" t="n"/>
      <c r="P578" s="183" t="n"/>
      <c r="Q578" s="183" t="n"/>
      <c r="R578" s="183" t="n"/>
      <c r="S578" s="183" t="n"/>
      <c r="T578" s="183" t="n"/>
      <c r="U578" s="183" t="n"/>
      <c r="V578" s="183" t="n"/>
      <c r="W578" s="183" t="n"/>
      <c r="X578" s="183" t="n"/>
      <c r="Y578" s="183" t="n"/>
      <c r="Z578" s="183" t="n"/>
      <c r="AA578" s="183" t="n"/>
    </row>
    <row r="579" ht="45.75" customHeight="1" s="222">
      <c r="A579" s="205" t="n"/>
      <c r="B579" s="205" t="n"/>
      <c r="C579" s="205" t="n"/>
      <c r="D579" s="205" t="n"/>
      <c r="E579" s="205" t="n"/>
      <c r="F579" s="205" t="n"/>
      <c r="G579" s="206" t="n"/>
      <c r="H579" s="205" t="n"/>
      <c r="I579" s="28" t="n"/>
      <c r="J579" s="205" t="n"/>
      <c r="K579" s="205" t="n"/>
      <c r="L579" s="205" t="n"/>
      <c r="M579" s="205" t="n"/>
      <c r="N579" s="205" t="n"/>
      <c r="O579" s="183" t="n"/>
      <c r="P579" s="183" t="n"/>
      <c r="Q579" s="183" t="n"/>
      <c r="R579" s="183" t="n"/>
      <c r="S579" s="183" t="n"/>
      <c r="T579" s="183" t="n"/>
      <c r="U579" s="183" t="n"/>
      <c r="V579" s="183" t="n"/>
      <c r="W579" s="183" t="n"/>
      <c r="X579" s="183" t="n"/>
      <c r="Y579" s="183" t="n"/>
      <c r="Z579" s="183" t="n"/>
      <c r="AA579" s="183" t="n"/>
    </row>
    <row r="580" ht="45.75" customHeight="1" s="222">
      <c r="A580" s="205" t="n"/>
      <c r="B580" s="205" t="n"/>
      <c r="C580" s="205" t="n"/>
      <c r="D580" s="205" t="n"/>
      <c r="E580" s="205" t="n"/>
      <c r="F580" s="205" t="n"/>
      <c r="G580" s="206" t="n"/>
      <c r="H580" s="205" t="n"/>
      <c r="I580" s="28" t="n"/>
      <c r="J580" s="205" t="n"/>
      <c r="K580" s="205" t="n"/>
      <c r="L580" s="205" t="n"/>
      <c r="M580" s="205" t="n"/>
      <c r="N580" s="205" t="n"/>
      <c r="O580" s="183" t="n"/>
      <c r="P580" s="183" t="n"/>
      <c r="Q580" s="183" t="n"/>
      <c r="R580" s="183" t="n"/>
      <c r="S580" s="183" t="n"/>
      <c r="T580" s="183" t="n"/>
      <c r="U580" s="183" t="n"/>
      <c r="V580" s="183" t="n"/>
      <c r="W580" s="183" t="n"/>
      <c r="X580" s="183" t="n"/>
      <c r="Y580" s="183" t="n"/>
      <c r="Z580" s="183" t="n"/>
      <c r="AA580" s="183" t="n"/>
    </row>
    <row r="581" ht="45.75" customHeight="1" s="222">
      <c r="A581" s="205" t="n"/>
      <c r="B581" s="205" t="n"/>
      <c r="C581" s="205" t="n"/>
      <c r="D581" s="205" t="n"/>
      <c r="E581" s="205" t="n"/>
      <c r="F581" s="205" t="n"/>
      <c r="G581" s="206" t="n"/>
      <c r="H581" s="205" t="n"/>
      <c r="I581" s="28" t="n"/>
      <c r="J581" s="205" t="n"/>
      <c r="K581" s="205" t="n"/>
      <c r="L581" s="205" t="n"/>
      <c r="M581" s="205" t="n"/>
      <c r="N581" s="205" t="n"/>
      <c r="O581" s="183" t="n"/>
      <c r="P581" s="183" t="n"/>
      <c r="Q581" s="183" t="n"/>
      <c r="R581" s="183" t="n"/>
      <c r="S581" s="183" t="n"/>
      <c r="T581" s="183" t="n"/>
      <c r="U581" s="183" t="n"/>
      <c r="V581" s="183" t="n"/>
      <c r="W581" s="183" t="n"/>
      <c r="X581" s="183" t="n"/>
      <c r="Y581" s="183" t="n"/>
      <c r="Z581" s="183" t="n"/>
      <c r="AA581" s="183" t="n"/>
    </row>
    <row r="582" ht="45.75" customHeight="1" s="222">
      <c r="A582" s="205" t="n"/>
      <c r="B582" s="205" t="n"/>
      <c r="C582" s="205" t="n"/>
      <c r="D582" s="205" t="n"/>
      <c r="E582" s="205" t="n"/>
      <c r="F582" s="205" t="n"/>
      <c r="G582" s="206" t="n"/>
      <c r="H582" s="205" t="n"/>
      <c r="I582" s="28" t="n"/>
      <c r="J582" s="205" t="n"/>
      <c r="K582" s="205" t="n"/>
      <c r="L582" s="205" t="n"/>
      <c r="M582" s="205" t="n"/>
      <c r="N582" s="205" t="n"/>
      <c r="O582" s="183" t="n"/>
      <c r="P582" s="183" t="n"/>
      <c r="Q582" s="183" t="n"/>
      <c r="R582" s="183" t="n"/>
      <c r="S582" s="183" t="n"/>
      <c r="T582" s="183" t="n"/>
      <c r="U582" s="183" t="n"/>
      <c r="V582" s="183" t="n"/>
      <c r="W582" s="183" t="n"/>
      <c r="X582" s="183" t="n"/>
      <c r="Y582" s="183" t="n"/>
      <c r="Z582" s="183" t="n"/>
      <c r="AA582" s="183" t="n"/>
    </row>
    <row r="583" ht="45.75" customHeight="1" s="222">
      <c r="A583" s="205" t="n"/>
      <c r="B583" s="205" t="n"/>
      <c r="C583" s="205" t="n"/>
      <c r="D583" s="205" t="n"/>
      <c r="E583" s="205" t="n"/>
      <c r="F583" s="205" t="n"/>
      <c r="G583" s="206" t="n"/>
      <c r="H583" s="205" t="n"/>
      <c r="I583" s="28" t="n"/>
      <c r="J583" s="205" t="n"/>
      <c r="K583" s="205" t="n"/>
      <c r="L583" s="205" t="n"/>
      <c r="M583" s="205" t="n"/>
      <c r="N583" s="205" t="n"/>
      <c r="O583" s="183" t="n"/>
      <c r="P583" s="183" t="n"/>
      <c r="Q583" s="183" t="n"/>
      <c r="R583" s="183" t="n"/>
      <c r="S583" s="183" t="n"/>
      <c r="T583" s="183" t="n"/>
      <c r="U583" s="183" t="n"/>
      <c r="V583" s="183" t="n"/>
      <c r="W583" s="183" t="n"/>
      <c r="X583" s="183" t="n"/>
      <c r="Y583" s="183" t="n"/>
      <c r="Z583" s="183" t="n"/>
      <c r="AA583" s="183" t="n"/>
    </row>
    <row r="584" ht="45.75" customHeight="1" s="222">
      <c r="A584" s="205" t="n"/>
      <c r="B584" s="205" t="n"/>
      <c r="C584" s="205" t="n"/>
      <c r="D584" s="205" t="n"/>
      <c r="E584" s="205" t="n"/>
      <c r="F584" s="205" t="n"/>
      <c r="G584" s="206" t="n"/>
      <c r="H584" s="205" t="n"/>
      <c r="I584" s="28" t="n"/>
      <c r="J584" s="205" t="n"/>
      <c r="K584" s="205" t="n"/>
      <c r="L584" s="205" t="n"/>
      <c r="M584" s="205" t="n"/>
      <c r="N584" s="205" t="n"/>
      <c r="O584" s="183" t="n"/>
      <c r="P584" s="183" t="n"/>
      <c r="Q584" s="183" t="n"/>
      <c r="R584" s="183" t="n"/>
      <c r="S584" s="183" t="n"/>
      <c r="T584" s="183" t="n"/>
      <c r="U584" s="183" t="n"/>
      <c r="V584" s="183" t="n"/>
      <c r="W584" s="183" t="n"/>
      <c r="X584" s="183" t="n"/>
      <c r="Y584" s="183" t="n"/>
      <c r="Z584" s="183" t="n"/>
      <c r="AA584" s="183" t="n"/>
    </row>
    <row r="585" ht="45.75" customHeight="1" s="222">
      <c r="A585" s="205" t="n"/>
      <c r="B585" s="205" t="n"/>
      <c r="C585" s="205" t="n"/>
      <c r="D585" s="205" t="n"/>
      <c r="E585" s="205" t="n"/>
      <c r="F585" s="205" t="n"/>
      <c r="G585" s="206" t="n"/>
      <c r="H585" s="205" t="n"/>
      <c r="I585" s="28" t="n"/>
      <c r="J585" s="205" t="n"/>
      <c r="K585" s="205" t="n"/>
      <c r="L585" s="205" t="n"/>
      <c r="M585" s="205" t="n"/>
      <c r="N585" s="205" t="n"/>
      <c r="O585" s="183" t="n"/>
      <c r="P585" s="183" t="n"/>
      <c r="Q585" s="183" t="n"/>
      <c r="R585" s="183" t="n"/>
      <c r="S585" s="183" t="n"/>
      <c r="T585" s="183" t="n"/>
      <c r="U585" s="183" t="n"/>
      <c r="V585" s="183" t="n"/>
      <c r="W585" s="183" t="n"/>
      <c r="X585" s="183" t="n"/>
      <c r="Y585" s="183" t="n"/>
      <c r="Z585" s="183" t="n"/>
      <c r="AA585" s="183" t="n"/>
    </row>
    <row r="586" ht="45.75" customHeight="1" s="222">
      <c r="A586" s="205" t="n"/>
      <c r="B586" s="205" t="n"/>
      <c r="C586" s="205" t="n"/>
      <c r="D586" s="205" t="n"/>
      <c r="E586" s="205" t="n"/>
      <c r="F586" s="205" t="n"/>
      <c r="G586" s="206" t="n"/>
      <c r="H586" s="205" t="n"/>
      <c r="I586" s="28" t="n"/>
      <c r="J586" s="205" t="n"/>
      <c r="K586" s="205" t="n"/>
      <c r="L586" s="205" t="n"/>
      <c r="M586" s="205" t="n"/>
      <c r="N586" s="205" t="n"/>
      <c r="O586" s="183" t="n"/>
      <c r="P586" s="183" t="n"/>
      <c r="Q586" s="183" t="n"/>
      <c r="R586" s="183" t="n"/>
      <c r="S586" s="183" t="n"/>
      <c r="T586" s="183" t="n"/>
      <c r="U586" s="183" t="n"/>
      <c r="V586" s="183" t="n"/>
      <c r="W586" s="183" t="n"/>
      <c r="X586" s="183" t="n"/>
      <c r="Y586" s="183" t="n"/>
      <c r="Z586" s="183" t="n"/>
      <c r="AA586" s="183" t="n"/>
    </row>
    <row r="587" ht="45.75" customHeight="1" s="222">
      <c r="A587" s="205" t="n"/>
      <c r="B587" s="205" t="n"/>
      <c r="C587" s="205" t="n"/>
      <c r="D587" s="205" t="n"/>
      <c r="E587" s="205" t="n"/>
      <c r="F587" s="205" t="n"/>
      <c r="G587" s="206" t="n"/>
      <c r="H587" s="205" t="n"/>
      <c r="I587" s="28" t="n"/>
      <c r="J587" s="205" t="n"/>
      <c r="K587" s="205" t="n"/>
      <c r="L587" s="205" t="n"/>
      <c r="M587" s="205" t="n"/>
      <c r="N587" s="205" t="n"/>
      <c r="O587" s="183" t="n"/>
      <c r="P587" s="183" t="n"/>
      <c r="Q587" s="183" t="n"/>
      <c r="R587" s="183" t="n"/>
      <c r="S587" s="183" t="n"/>
      <c r="T587" s="183" t="n"/>
      <c r="U587" s="183" t="n"/>
      <c r="V587" s="183" t="n"/>
      <c r="W587" s="183" t="n"/>
      <c r="X587" s="183" t="n"/>
      <c r="Y587" s="183" t="n"/>
      <c r="Z587" s="183" t="n"/>
      <c r="AA587" s="183" t="n"/>
    </row>
    <row r="588" ht="45.75" customHeight="1" s="222">
      <c r="A588" s="205" t="n"/>
      <c r="B588" s="205" t="n"/>
      <c r="C588" s="205" t="n"/>
      <c r="D588" s="205" t="n"/>
      <c r="E588" s="205" t="n"/>
      <c r="F588" s="205" t="n"/>
      <c r="G588" s="206" t="n"/>
      <c r="H588" s="205" t="n"/>
      <c r="I588" s="28" t="n"/>
      <c r="J588" s="205" t="n"/>
      <c r="K588" s="205" t="n"/>
      <c r="L588" s="205" t="n"/>
      <c r="M588" s="205" t="n"/>
      <c r="N588" s="205" t="n"/>
      <c r="O588" s="183" t="n"/>
      <c r="P588" s="183" t="n"/>
      <c r="Q588" s="183" t="n"/>
      <c r="R588" s="183" t="n"/>
      <c r="S588" s="183" t="n"/>
      <c r="T588" s="183" t="n"/>
      <c r="U588" s="183" t="n"/>
      <c r="V588" s="183" t="n"/>
      <c r="W588" s="183" t="n"/>
      <c r="X588" s="183" t="n"/>
      <c r="Y588" s="183" t="n"/>
      <c r="Z588" s="183" t="n"/>
      <c r="AA588" s="183" t="n"/>
    </row>
    <row r="589" ht="45.75" customHeight="1" s="222">
      <c r="A589" s="205" t="n"/>
      <c r="B589" s="205" t="n"/>
      <c r="C589" s="205" t="n"/>
      <c r="D589" s="205" t="n"/>
      <c r="E589" s="205" t="n"/>
      <c r="F589" s="205" t="n"/>
      <c r="G589" s="206" t="n"/>
      <c r="H589" s="205" t="n"/>
      <c r="I589" s="28" t="n"/>
      <c r="J589" s="205" t="n"/>
      <c r="K589" s="205" t="n"/>
      <c r="L589" s="205" t="n"/>
      <c r="M589" s="205" t="n"/>
      <c r="N589" s="205" t="n"/>
      <c r="O589" s="183" t="n"/>
      <c r="P589" s="183" t="n"/>
      <c r="Q589" s="183" t="n"/>
      <c r="R589" s="183" t="n"/>
      <c r="S589" s="183" t="n"/>
      <c r="T589" s="183" t="n"/>
      <c r="U589" s="183" t="n"/>
      <c r="V589" s="183" t="n"/>
      <c r="W589" s="183" t="n"/>
      <c r="X589" s="183" t="n"/>
      <c r="Y589" s="183" t="n"/>
      <c r="Z589" s="183" t="n"/>
      <c r="AA589" s="183" t="n"/>
    </row>
    <row r="590" ht="45.75" customHeight="1" s="222">
      <c r="A590" s="205" t="n"/>
      <c r="B590" s="205" t="n"/>
      <c r="C590" s="205" t="n"/>
      <c r="D590" s="205" t="n"/>
      <c r="E590" s="205" t="n"/>
      <c r="F590" s="205" t="n"/>
      <c r="G590" s="206" t="n"/>
      <c r="H590" s="205" t="n"/>
      <c r="I590" s="28" t="n"/>
      <c r="J590" s="205" t="n"/>
      <c r="K590" s="205" t="n"/>
      <c r="L590" s="205" t="n"/>
      <c r="M590" s="205" t="n"/>
      <c r="N590" s="205" t="n"/>
      <c r="O590" s="183" t="n"/>
      <c r="P590" s="183" t="n"/>
      <c r="Q590" s="183" t="n"/>
      <c r="R590" s="183" t="n"/>
      <c r="S590" s="183" t="n"/>
      <c r="T590" s="183" t="n"/>
      <c r="U590" s="183" t="n"/>
      <c r="V590" s="183" t="n"/>
      <c r="W590" s="183" t="n"/>
      <c r="X590" s="183" t="n"/>
      <c r="Y590" s="183" t="n"/>
      <c r="Z590" s="183" t="n"/>
      <c r="AA590" s="183" t="n"/>
    </row>
    <row r="591" ht="45.75" customHeight="1" s="222">
      <c r="A591" s="205" t="n"/>
      <c r="B591" s="205" t="n"/>
      <c r="C591" s="205" t="n"/>
      <c r="D591" s="205" t="n"/>
      <c r="E591" s="205" t="n"/>
      <c r="F591" s="205" t="n"/>
      <c r="G591" s="206" t="n"/>
      <c r="H591" s="205" t="n"/>
      <c r="I591" s="28" t="n"/>
      <c r="J591" s="205" t="n"/>
      <c r="K591" s="205" t="n"/>
      <c r="L591" s="205" t="n"/>
      <c r="M591" s="205" t="n"/>
      <c r="N591" s="205" t="n"/>
      <c r="O591" s="183" t="n"/>
      <c r="P591" s="183" t="n"/>
      <c r="Q591" s="183" t="n"/>
      <c r="R591" s="183" t="n"/>
      <c r="S591" s="183" t="n"/>
      <c r="T591" s="183" t="n"/>
      <c r="U591" s="183" t="n"/>
      <c r="V591" s="183" t="n"/>
      <c r="W591" s="183" t="n"/>
      <c r="X591" s="183" t="n"/>
      <c r="Y591" s="183" t="n"/>
      <c r="Z591" s="183" t="n"/>
      <c r="AA591" s="183" t="n"/>
    </row>
    <row r="592" ht="45.75" customHeight="1" s="222">
      <c r="A592" s="205" t="n"/>
      <c r="B592" s="205" t="n"/>
      <c r="C592" s="205" t="n"/>
      <c r="D592" s="205" t="n"/>
      <c r="E592" s="205" t="n"/>
      <c r="F592" s="205" t="n"/>
      <c r="G592" s="206" t="n"/>
      <c r="H592" s="205" t="n"/>
      <c r="I592" s="28" t="n"/>
      <c r="J592" s="205" t="n"/>
      <c r="K592" s="205" t="n"/>
      <c r="L592" s="205" t="n"/>
      <c r="M592" s="205" t="n"/>
      <c r="N592" s="205" t="n"/>
      <c r="O592" s="183" t="n"/>
      <c r="P592" s="183" t="n"/>
      <c r="Q592" s="183" t="n"/>
      <c r="R592" s="183" t="n"/>
      <c r="S592" s="183" t="n"/>
      <c r="T592" s="183" t="n"/>
      <c r="U592" s="183" t="n"/>
      <c r="V592" s="183" t="n"/>
      <c r="W592" s="183" t="n"/>
      <c r="X592" s="183" t="n"/>
      <c r="Y592" s="183" t="n"/>
      <c r="Z592" s="183" t="n"/>
      <c r="AA592" s="183" t="n"/>
    </row>
    <row r="593" ht="45.75" customHeight="1" s="222">
      <c r="A593" s="205" t="n"/>
      <c r="B593" s="205" t="n"/>
      <c r="C593" s="205" t="n"/>
      <c r="D593" s="205" t="n"/>
      <c r="E593" s="205" t="n"/>
      <c r="F593" s="205" t="n"/>
      <c r="G593" s="206" t="n"/>
      <c r="H593" s="205" t="n"/>
      <c r="I593" s="28" t="n"/>
      <c r="J593" s="205" t="n"/>
      <c r="K593" s="205" t="n"/>
      <c r="L593" s="205" t="n"/>
      <c r="M593" s="205" t="n"/>
      <c r="N593" s="205" t="n"/>
      <c r="O593" s="183" t="n"/>
      <c r="P593" s="183" t="n"/>
      <c r="Q593" s="183" t="n"/>
      <c r="R593" s="183" t="n"/>
      <c r="S593" s="183" t="n"/>
      <c r="T593" s="183" t="n"/>
      <c r="U593" s="183" t="n"/>
      <c r="V593" s="183" t="n"/>
      <c r="W593" s="183" t="n"/>
      <c r="X593" s="183" t="n"/>
      <c r="Y593" s="183" t="n"/>
      <c r="Z593" s="183" t="n"/>
      <c r="AA593" s="183" t="n"/>
    </row>
    <row r="594" ht="45.75" customHeight="1" s="222">
      <c r="A594" s="205" t="n"/>
      <c r="B594" s="205" t="n"/>
      <c r="C594" s="205" t="n"/>
      <c r="D594" s="205" t="n"/>
      <c r="E594" s="205" t="n"/>
      <c r="F594" s="205" t="n"/>
      <c r="G594" s="206" t="n"/>
      <c r="H594" s="205" t="n"/>
      <c r="I594" s="28" t="n"/>
      <c r="J594" s="205" t="n"/>
      <c r="K594" s="205" t="n"/>
      <c r="L594" s="205" t="n"/>
      <c r="M594" s="205" t="n"/>
      <c r="N594" s="205" t="n"/>
      <c r="O594" s="183" t="n"/>
      <c r="P594" s="183" t="n"/>
      <c r="Q594" s="183" t="n"/>
      <c r="R594" s="183" t="n"/>
      <c r="S594" s="183" t="n"/>
      <c r="T594" s="183" t="n"/>
      <c r="U594" s="183" t="n"/>
      <c r="V594" s="183" t="n"/>
      <c r="W594" s="183" t="n"/>
      <c r="X594" s="183" t="n"/>
      <c r="Y594" s="183" t="n"/>
      <c r="Z594" s="183" t="n"/>
      <c r="AA594" s="183" t="n"/>
    </row>
    <row r="595" ht="45.75" customHeight="1" s="222">
      <c r="A595" s="205" t="n"/>
      <c r="B595" s="205" t="n"/>
      <c r="C595" s="205" t="n"/>
      <c r="D595" s="205" t="n"/>
      <c r="E595" s="205" t="n"/>
      <c r="F595" s="205" t="n"/>
      <c r="G595" s="206" t="n"/>
      <c r="H595" s="205" t="n"/>
      <c r="I595" s="28" t="n"/>
      <c r="J595" s="205" t="n"/>
      <c r="K595" s="205" t="n"/>
      <c r="L595" s="205" t="n"/>
      <c r="M595" s="205" t="n"/>
      <c r="N595" s="205" t="n"/>
      <c r="O595" s="183" t="n"/>
      <c r="P595" s="183" t="n"/>
      <c r="Q595" s="183" t="n"/>
      <c r="R595" s="183" t="n"/>
      <c r="S595" s="183" t="n"/>
      <c r="T595" s="183" t="n"/>
      <c r="U595" s="183" t="n"/>
      <c r="V595" s="183" t="n"/>
      <c r="W595" s="183" t="n"/>
      <c r="X595" s="183" t="n"/>
      <c r="Y595" s="183" t="n"/>
      <c r="Z595" s="183" t="n"/>
      <c r="AA595" s="183" t="n"/>
    </row>
    <row r="596" ht="45.75" customHeight="1" s="222">
      <c r="A596" s="205" t="n"/>
      <c r="B596" s="205" t="n"/>
      <c r="C596" s="205" t="n"/>
      <c r="D596" s="205" t="n"/>
      <c r="E596" s="205" t="n"/>
      <c r="F596" s="205" t="n"/>
      <c r="G596" s="206" t="n"/>
      <c r="H596" s="205" t="n"/>
      <c r="I596" s="28" t="n"/>
      <c r="J596" s="205" t="n"/>
      <c r="K596" s="205" t="n"/>
      <c r="L596" s="205" t="n"/>
      <c r="M596" s="205" t="n"/>
      <c r="N596" s="205" t="n"/>
      <c r="O596" s="183" t="n"/>
      <c r="P596" s="183" t="n"/>
      <c r="Q596" s="183" t="n"/>
      <c r="R596" s="183" t="n"/>
      <c r="S596" s="183" t="n"/>
      <c r="T596" s="183" t="n"/>
      <c r="U596" s="183" t="n"/>
      <c r="V596" s="183" t="n"/>
      <c r="W596" s="183" t="n"/>
      <c r="X596" s="183" t="n"/>
      <c r="Y596" s="183" t="n"/>
      <c r="Z596" s="183" t="n"/>
      <c r="AA596" s="183" t="n"/>
    </row>
    <row r="597" ht="45.75" customHeight="1" s="222">
      <c r="A597" s="205" t="n"/>
      <c r="B597" s="205" t="n"/>
      <c r="C597" s="205" t="n"/>
      <c r="D597" s="205" t="n"/>
      <c r="E597" s="205" t="n"/>
      <c r="F597" s="205" t="n"/>
      <c r="G597" s="206" t="n"/>
      <c r="H597" s="205" t="n"/>
      <c r="I597" s="28" t="n"/>
      <c r="J597" s="205" t="n"/>
      <c r="K597" s="205" t="n"/>
      <c r="L597" s="205" t="n"/>
      <c r="M597" s="205" t="n"/>
      <c r="N597" s="205" t="n"/>
      <c r="O597" s="183" t="n"/>
      <c r="P597" s="183" t="n"/>
      <c r="Q597" s="183" t="n"/>
      <c r="R597" s="183" t="n"/>
      <c r="S597" s="183" t="n"/>
      <c r="T597" s="183" t="n"/>
      <c r="U597" s="183" t="n"/>
      <c r="V597" s="183" t="n"/>
      <c r="W597" s="183" t="n"/>
      <c r="X597" s="183" t="n"/>
      <c r="Y597" s="183" t="n"/>
      <c r="Z597" s="183" t="n"/>
      <c r="AA597" s="183" t="n"/>
    </row>
    <row r="598" ht="45.75" customHeight="1" s="222">
      <c r="A598" s="205" t="n"/>
      <c r="B598" s="205" t="n"/>
      <c r="C598" s="205" t="n"/>
      <c r="D598" s="205" t="n"/>
      <c r="E598" s="205" t="n"/>
      <c r="F598" s="205" t="n"/>
      <c r="G598" s="206" t="n"/>
      <c r="H598" s="205" t="n"/>
      <c r="I598" s="28" t="n"/>
      <c r="J598" s="205" t="n"/>
      <c r="K598" s="205" t="n"/>
      <c r="L598" s="205" t="n"/>
      <c r="M598" s="205" t="n"/>
      <c r="N598" s="205" t="n"/>
      <c r="O598" s="183" t="n"/>
      <c r="P598" s="183" t="n"/>
      <c r="Q598" s="183" t="n"/>
      <c r="R598" s="183" t="n"/>
      <c r="S598" s="183" t="n"/>
      <c r="T598" s="183" t="n"/>
      <c r="U598" s="183" t="n"/>
      <c r="V598" s="183" t="n"/>
      <c r="W598" s="183" t="n"/>
      <c r="X598" s="183" t="n"/>
      <c r="Y598" s="183" t="n"/>
      <c r="Z598" s="183" t="n"/>
      <c r="AA598" s="183" t="n"/>
    </row>
    <row r="599" ht="45.75" customHeight="1" s="222">
      <c r="A599" s="205" t="n"/>
      <c r="B599" s="205" t="n"/>
      <c r="C599" s="205" t="n"/>
      <c r="D599" s="205" t="n"/>
      <c r="E599" s="205" t="n"/>
      <c r="F599" s="205" t="n"/>
      <c r="G599" s="206" t="n"/>
      <c r="H599" s="205" t="n"/>
      <c r="I599" s="28" t="n"/>
      <c r="J599" s="205" t="n"/>
      <c r="K599" s="205" t="n"/>
      <c r="L599" s="205" t="n"/>
      <c r="M599" s="205" t="n"/>
      <c r="N599" s="205" t="n"/>
      <c r="O599" s="183" t="n"/>
      <c r="P599" s="183" t="n"/>
      <c r="Q599" s="183" t="n"/>
      <c r="R599" s="183" t="n"/>
      <c r="S599" s="183" t="n"/>
      <c r="T599" s="183" t="n"/>
      <c r="U599" s="183" t="n"/>
      <c r="V599" s="183" t="n"/>
      <c r="W599" s="183" t="n"/>
      <c r="X599" s="183" t="n"/>
      <c r="Y599" s="183" t="n"/>
      <c r="Z599" s="183" t="n"/>
      <c r="AA599" s="183" t="n"/>
    </row>
    <row r="600" ht="45.75" customHeight="1" s="222">
      <c r="A600" s="205" t="n"/>
      <c r="B600" s="205" t="n"/>
      <c r="C600" s="205" t="n"/>
      <c r="D600" s="205" t="n"/>
      <c r="E600" s="205" t="n"/>
      <c r="F600" s="205" t="n"/>
      <c r="G600" s="206" t="n"/>
      <c r="H600" s="205" t="n"/>
      <c r="I600" s="28" t="n"/>
      <c r="J600" s="205" t="n"/>
      <c r="K600" s="205" t="n"/>
      <c r="L600" s="205" t="n"/>
      <c r="M600" s="205" t="n"/>
      <c r="N600" s="205" t="n"/>
      <c r="O600" s="183" t="n"/>
      <c r="P600" s="183" t="n"/>
      <c r="Q600" s="183" t="n"/>
      <c r="R600" s="183" t="n"/>
      <c r="S600" s="183" t="n"/>
      <c r="T600" s="183" t="n"/>
      <c r="U600" s="183" t="n"/>
      <c r="V600" s="183" t="n"/>
      <c r="W600" s="183" t="n"/>
      <c r="X600" s="183" t="n"/>
      <c r="Y600" s="183" t="n"/>
      <c r="Z600" s="183" t="n"/>
      <c r="AA600" s="183" t="n"/>
    </row>
    <row r="601" ht="45.75" customHeight="1" s="222">
      <c r="A601" s="205" t="n"/>
      <c r="B601" s="205" t="n"/>
      <c r="C601" s="205" t="n"/>
      <c r="D601" s="205" t="n"/>
      <c r="E601" s="205" t="n"/>
      <c r="F601" s="205" t="n"/>
      <c r="G601" s="206" t="n"/>
      <c r="H601" s="205" t="n"/>
      <c r="I601" s="28" t="n"/>
      <c r="J601" s="205" t="n"/>
      <c r="K601" s="205" t="n"/>
      <c r="L601" s="205" t="n"/>
      <c r="M601" s="205" t="n"/>
      <c r="N601" s="205" t="n"/>
      <c r="O601" s="183" t="n"/>
      <c r="P601" s="183" t="n"/>
      <c r="Q601" s="183" t="n"/>
      <c r="R601" s="183" t="n"/>
      <c r="S601" s="183" t="n"/>
      <c r="T601" s="183" t="n"/>
      <c r="U601" s="183" t="n"/>
      <c r="V601" s="183" t="n"/>
      <c r="W601" s="183" t="n"/>
      <c r="X601" s="183" t="n"/>
      <c r="Y601" s="183" t="n"/>
      <c r="Z601" s="183" t="n"/>
      <c r="AA601" s="183" t="n"/>
    </row>
    <row r="602" ht="45.75" customHeight="1" s="222">
      <c r="A602" s="205" t="n"/>
      <c r="B602" s="205" t="n"/>
      <c r="C602" s="205" t="n"/>
      <c r="D602" s="205" t="n"/>
      <c r="E602" s="205" t="n"/>
      <c r="F602" s="205" t="n"/>
      <c r="G602" s="206" t="n"/>
      <c r="H602" s="205" t="n"/>
      <c r="I602" s="28" t="n"/>
      <c r="J602" s="205" t="n"/>
      <c r="K602" s="205" t="n"/>
      <c r="L602" s="205" t="n"/>
      <c r="M602" s="205" t="n"/>
      <c r="N602" s="205" t="n"/>
      <c r="O602" s="183" t="n"/>
      <c r="P602" s="183" t="n"/>
      <c r="Q602" s="183" t="n"/>
      <c r="R602" s="183" t="n"/>
      <c r="S602" s="183" t="n"/>
      <c r="T602" s="183" t="n"/>
      <c r="U602" s="183" t="n"/>
      <c r="V602" s="183" t="n"/>
      <c r="W602" s="183" t="n"/>
      <c r="X602" s="183" t="n"/>
      <c r="Y602" s="183" t="n"/>
      <c r="Z602" s="183" t="n"/>
      <c r="AA602" s="183" t="n"/>
    </row>
    <row r="603" ht="45.75" customHeight="1" s="222">
      <c r="A603" s="205" t="n"/>
      <c r="B603" s="205" t="n"/>
      <c r="C603" s="205" t="n"/>
      <c r="D603" s="205" t="n"/>
      <c r="E603" s="205" t="n"/>
      <c r="F603" s="205" t="n"/>
      <c r="G603" s="206" t="n"/>
      <c r="H603" s="205" t="n"/>
      <c r="I603" s="28" t="n"/>
      <c r="J603" s="205" t="n"/>
      <c r="K603" s="205" t="n"/>
      <c r="L603" s="205" t="n"/>
      <c r="M603" s="205" t="n"/>
      <c r="N603" s="205" t="n"/>
      <c r="O603" s="183" t="n"/>
      <c r="P603" s="183" t="n"/>
      <c r="Q603" s="183" t="n"/>
      <c r="R603" s="183" t="n"/>
      <c r="S603" s="183" t="n"/>
      <c r="T603" s="183" t="n"/>
      <c r="U603" s="183" t="n"/>
      <c r="V603" s="183" t="n"/>
      <c r="W603" s="183" t="n"/>
      <c r="X603" s="183" t="n"/>
      <c r="Y603" s="183" t="n"/>
      <c r="Z603" s="183" t="n"/>
      <c r="AA603" s="183" t="n"/>
    </row>
    <row r="604" ht="45.75" customHeight="1" s="222">
      <c r="A604" s="205" t="n"/>
      <c r="B604" s="205" t="n"/>
      <c r="C604" s="205" t="n"/>
      <c r="D604" s="205" t="n"/>
      <c r="E604" s="205" t="n"/>
      <c r="F604" s="205" t="n"/>
      <c r="G604" s="206" t="n"/>
      <c r="H604" s="205" t="n"/>
      <c r="I604" s="28" t="n"/>
      <c r="J604" s="205" t="n"/>
      <c r="K604" s="205" t="n"/>
      <c r="L604" s="205" t="n"/>
      <c r="M604" s="205" t="n"/>
      <c r="N604" s="205" t="n"/>
      <c r="O604" s="183" t="n"/>
      <c r="P604" s="183" t="n"/>
      <c r="Q604" s="183" t="n"/>
      <c r="R604" s="183" t="n"/>
      <c r="S604" s="183" t="n"/>
      <c r="T604" s="183" t="n"/>
      <c r="U604" s="183" t="n"/>
      <c r="V604" s="183" t="n"/>
      <c r="W604" s="183" t="n"/>
      <c r="X604" s="183" t="n"/>
      <c r="Y604" s="183" t="n"/>
      <c r="Z604" s="183" t="n"/>
      <c r="AA604" s="183" t="n"/>
    </row>
    <row r="605" ht="45.75" customHeight="1" s="222">
      <c r="A605" s="205" t="n"/>
      <c r="B605" s="205" t="n"/>
      <c r="C605" s="205" t="n"/>
      <c r="D605" s="205" t="n"/>
      <c r="E605" s="205" t="n"/>
      <c r="F605" s="205" t="n"/>
      <c r="G605" s="206" t="n"/>
      <c r="H605" s="205" t="n"/>
      <c r="I605" s="28" t="n"/>
      <c r="J605" s="205" t="n"/>
      <c r="K605" s="205" t="n"/>
      <c r="L605" s="205" t="n"/>
      <c r="M605" s="205" t="n"/>
      <c r="N605" s="205" t="n"/>
      <c r="O605" s="183" t="n"/>
      <c r="P605" s="183" t="n"/>
      <c r="Q605" s="183" t="n"/>
      <c r="R605" s="183" t="n"/>
      <c r="S605" s="183" t="n"/>
      <c r="T605" s="183" t="n"/>
      <c r="U605" s="183" t="n"/>
      <c r="V605" s="183" t="n"/>
      <c r="W605" s="183" t="n"/>
      <c r="X605" s="183" t="n"/>
      <c r="Y605" s="183" t="n"/>
      <c r="Z605" s="183" t="n"/>
      <c r="AA605" s="183" t="n"/>
    </row>
    <row r="606" ht="45.75" customHeight="1" s="222">
      <c r="A606" s="205" t="n"/>
      <c r="B606" s="205" t="n"/>
      <c r="C606" s="205" t="n"/>
      <c r="D606" s="205" t="n"/>
      <c r="E606" s="205" t="n"/>
      <c r="F606" s="205" t="n"/>
      <c r="G606" s="206" t="n"/>
      <c r="H606" s="205" t="n"/>
      <c r="I606" s="28" t="n"/>
      <c r="J606" s="205" t="n"/>
      <c r="K606" s="205" t="n"/>
      <c r="L606" s="205" t="n"/>
      <c r="M606" s="205" t="n"/>
      <c r="N606" s="205" t="n"/>
      <c r="O606" s="183" t="n"/>
      <c r="P606" s="183" t="n"/>
      <c r="Q606" s="183" t="n"/>
      <c r="R606" s="183" t="n"/>
      <c r="S606" s="183" t="n"/>
      <c r="T606" s="183" t="n"/>
      <c r="U606" s="183" t="n"/>
      <c r="V606" s="183" t="n"/>
      <c r="W606" s="183" t="n"/>
      <c r="X606" s="183" t="n"/>
      <c r="Y606" s="183" t="n"/>
      <c r="Z606" s="183" t="n"/>
      <c r="AA606" s="183" t="n"/>
    </row>
    <row r="607" ht="45.75" customHeight="1" s="222">
      <c r="A607" s="205" t="n"/>
      <c r="B607" s="205" t="n"/>
      <c r="C607" s="205" t="n"/>
      <c r="D607" s="205" t="n"/>
      <c r="E607" s="205" t="n"/>
      <c r="F607" s="205" t="n"/>
      <c r="G607" s="206" t="n"/>
      <c r="H607" s="205" t="n"/>
      <c r="I607" s="28" t="n"/>
      <c r="J607" s="205" t="n"/>
      <c r="K607" s="205" t="n"/>
      <c r="L607" s="205" t="n"/>
      <c r="M607" s="205" t="n"/>
      <c r="N607" s="205" t="n"/>
      <c r="O607" s="183" t="n"/>
      <c r="P607" s="183" t="n"/>
      <c r="Q607" s="183" t="n"/>
      <c r="R607" s="183" t="n"/>
      <c r="S607" s="183" t="n"/>
      <c r="T607" s="183" t="n"/>
      <c r="U607" s="183" t="n"/>
      <c r="V607" s="183" t="n"/>
      <c r="W607" s="183" t="n"/>
      <c r="X607" s="183" t="n"/>
      <c r="Y607" s="183" t="n"/>
      <c r="Z607" s="183" t="n"/>
      <c r="AA607" s="183" t="n"/>
    </row>
    <row r="608" ht="45.75" customHeight="1" s="222">
      <c r="A608" s="205" t="n"/>
      <c r="B608" s="205" t="n"/>
      <c r="C608" s="205" t="n"/>
      <c r="D608" s="205" t="n"/>
      <c r="E608" s="205" t="n"/>
      <c r="F608" s="205" t="n"/>
      <c r="G608" s="206" t="n"/>
      <c r="H608" s="205" t="n"/>
      <c r="I608" s="28" t="n"/>
      <c r="J608" s="205" t="n"/>
      <c r="K608" s="205" t="n"/>
      <c r="L608" s="205" t="n"/>
      <c r="M608" s="205" t="n"/>
      <c r="N608" s="205" t="n"/>
      <c r="O608" s="183" t="n"/>
      <c r="P608" s="183" t="n"/>
      <c r="Q608" s="183" t="n"/>
      <c r="R608" s="183" t="n"/>
      <c r="S608" s="183" t="n"/>
      <c r="T608" s="183" t="n"/>
      <c r="U608" s="183" t="n"/>
      <c r="V608" s="183" t="n"/>
      <c r="W608" s="183" t="n"/>
      <c r="X608" s="183" t="n"/>
      <c r="Y608" s="183" t="n"/>
      <c r="Z608" s="183" t="n"/>
      <c r="AA608" s="183" t="n"/>
    </row>
    <row r="609" ht="45.75" customHeight="1" s="222">
      <c r="A609" s="205" t="n"/>
      <c r="B609" s="205" t="n"/>
      <c r="C609" s="205" t="n"/>
      <c r="D609" s="205" t="n"/>
      <c r="E609" s="205" t="n"/>
      <c r="F609" s="205" t="n"/>
      <c r="G609" s="206" t="n"/>
      <c r="H609" s="205" t="n"/>
      <c r="I609" s="28" t="n"/>
      <c r="J609" s="205" t="n"/>
      <c r="K609" s="205" t="n"/>
      <c r="L609" s="205" t="n"/>
      <c r="M609" s="205" t="n"/>
      <c r="N609" s="205" t="n"/>
      <c r="O609" s="183" t="n"/>
      <c r="P609" s="183" t="n"/>
      <c r="Q609" s="183" t="n"/>
      <c r="R609" s="183" t="n"/>
      <c r="S609" s="183" t="n"/>
      <c r="T609" s="183" t="n"/>
      <c r="U609" s="183" t="n"/>
      <c r="V609" s="183" t="n"/>
      <c r="W609" s="183" t="n"/>
      <c r="X609" s="183" t="n"/>
      <c r="Y609" s="183" t="n"/>
      <c r="Z609" s="183" t="n"/>
      <c r="AA609" s="183" t="n"/>
    </row>
    <row r="610" ht="45.75" customHeight="1" s="222">
      <c r="A610" s="205" t="n"/>
      <c r="B610" s="205" t="n"/>
      <c r="C610" s="205" t="n"/>
      <c r="D610" s="205" t="n"/>
      <c r="E610" s="205" t="n"/>
      <c r="F610" s="205" t="n"/>
      <c r="G610" s="206" t="n"/>
      <c r="H610" s="205" t="n"/>
      <c r="I610" s="28" t="n"/>
      <c r="J610" s="205" t="n"/>
      <c r="K610" s="205" t="n"/>
      <c r="L610" s="205" t="n"/>
      <c r="M610" s="205" t="n"/>
      <c r="N610" s="205" t="n"/>
      <c r="O610" s="183" t="n"/>
      <c r="P610" s="183" t="n"/>
      <c r="Q610" s="183" t="n"/>
      <c r="R610" s="183" t="n"/>
      <c r="S610" s="183" t="n"/>
      <c r="T610" s="183" t="n"/>
      <c r="U610" s="183" t="n"/>
      <c r="V610" s="183" t="n"/>
      <c r="W610" s="183" t="n"/>
      <c r="X610" s="183" t="n"/>
      <c r="Y610" s="183" t="n"/>
      <c r="Z610" s="183" t="n"/>
      <c r="AA610" s="183" t="n"/>
    </row>
    <row r="611" ht="45.75" customHeight="1" s="222">
      <c r="A611" s="205" t="n"/>
      <c r="B611" s="205" t="n"/>
      <c r="C611" s="205" t="n"/>
      <c r="D611" s="205" t="n"/>
      <c r="E611" s="205" t="n"/>
      <c r="F611" s="205" t="n"/>
      <c r="G611" s="206" t="n"/>
      <c r="H611" s="205" t="n"/>
      <c r="I611" s="28" t="n"/>
      <c r="J611" s="205" t="n"/>
      <c r="K611" s="205" t="n"/>
      <c r="L611" s="205" t="n"/>
      <c r="M611" s="205" t="n"/>
      <c r="N611" s="205" t="n"/>
      <c r="O611" s="183" t="n"/>
      <c r="P611" s="183" t="n"/>
      <c r="Q611" s="183" t="n"/>
      <c r="R611" s="183" t="n"/>
      <c r="S611" s="183" t="n"/>
      <c r="T611" s="183" t="n"/>
      <c r="U611" s="183" t="n"/>
      <c r="V611" s="183" t="n"/>
      <c r="W611" s="183" t="n"/>
      <c r="X611" s="183" t="n"/>
      <c r="Y611" s="183" t="n"/>
      <c r="Z611" s="183" t="n"/>
      <c r="AA611" s="183" t="n"/>
    </row>
    <row r="612" ht="45.75" customHeight="1" s="222">
      <c r="A612" s="205" t="n"/>
      <c r="B612" s="205" t="n"/>
      <c r="C612" s="205" t="n"/>
      <c r="D612" s="205" t="n"/>
      <c r="E612" s="205" t="n"/>
      <c r="F612" s="205" t="n"/>
      <c r="G612" s="206" t="n"/>
      <c r="H612" s="205" t="n"/>
      <c r="I612" s="28" t="n"/>
      <c r="J612" s="205" t="n"/>
      <c r="K612" s="205" t="n"/>
      <c r="L612" s="205" t="n"/>
      <c r="M612" s="205" t="n"/>
      <c r="N612" s="205" t="n"/>
      <c r="O612" s="183" t="n"/>
      <c r="P612" s="183" t="n"/>
      <c r="Q612" s="183" t="n"/>
      <c r="R612" s="183" t="n"/>
      <c r="S612" s="183" t="n"/>
      <c r="T612" s="183" t="n"/>
      <c r="U612" s="183" t="n"/>
      <c r="V612" s="183" t="n"/>
      <c r="W612" s="183" t="n"/>
      <c r="X612" s="183" t="n"/>
      <c r="Y612" s="183" t="n"/>
      <c r="Z612" s="183" t="n"/>
      <c r="AA612" s="183" t="n"/>
    </row>
    <row r="613" ht="45.75" customHeight="1" s="222">
      <c r="A613" s="205" t="n"/>
      <c r="B613" s="205" t="n"/>
      <c r="C613" s="205" t="n"/>
      <c r="D613" s="205" t="n"/>
      <c r="E613" s="205" t="n"/>
      <c r="F613" s="205" t="n"/>
      <c r="G613" s="206" t="n"/>
      <c r="H613" s="205" t="n"/>
      <c r="I613" s="28" t="n"/>
      <c r="J613" s="205" t="n"/>
      <c r="K613" s="205" t="n"/>
      <c r="L613" s="205" t="n"/>
      <c r="M613" s="205" t="n"/>
      <c r="N613" s="205" t="n"/>
      <c r="O613" s="183" t="n"/>
      <c r="P613" s="183" t="n"/>
      <c r="Q613" s="183" t="n"/>
      <c r="R613" s="183" t="n"/>
      <c r="S613" s="183" t="n"/>
      <c r="T613" s="183" t="n"/>
      <c r="U613" s="183" t="n"/>
      <c r="V613" s="183" t="n"/>
      <c r="W613" s="183" t="n"/>
      <c r="X613" s="183" t="n"/>
      <c r="Y613" s="183" t="n"/>
      <c r="Z613" s="183" t="n"/>
      <c r="AA613" s="183" t="n"/>
    </row>
    <row r="614" ht="45.75" customHeight="1" s="222">
      <c r="A614" s="205" t="n"/>
      <c r="B614" s="205" t="n"/>
      <c r="C614" s="205" t="n"/>
      <c r="D614" s="205" t="n"/>
      <c r="E614" s="205" t="n"/>
      <c r="F614" s="205" t="n"/>
      <c r="G614" s="206" t="n"/>
      <c r="H614" s="205" t="n"/>
      <c r="I614" s="28" t="n"/>
      <c r="J614" s="205" t="n"/>
      <c r="K614" s="205" t="n"/>
      <c r="L614" s="205" t="n"/>
      <c r="M614" s="205" t="n"/>
      <c r="N614" s="205" t="n"/>
      <c r="O614" s="183" t="n"/>
      <c r="P614" s="183" t="n"/>
      <c r="Q614" s="183" t="n"/>
      <c r="R614" s="183" t="n"/>
      <c r="S614" s="183" t="n"/>
      <c r="T614" s="183" t="n"/>
      <c r="U614" s="183" t="n"/>
      <c r="V614" s="183" t="n"/>
      <c r="W614" s="183" t="n"/>
      <c r="X614" s="183" t="n"/>
      <c r="Y614" s="183" t="n"/>
      <c r="Z614" s="183" t="n"/>
      <c r="AA614" s="183" t="n"/>
    </row>
    <row r="615" ht="45.75" customHeight="1" s="222">
      <c r="A615" s="205" t="n"/>
      <c r="B615" s="205" t="n"/>
      <c r="C615" s="205" t="n"/>
      <c r="D615" s="205" t="n"/>
      <c r="E615" s="205" t="n"/>
      <c r="F615" s="205" t="n"/>
      <c r="G615" s="206" t="n"/>
      <c r="H615" s="205" t="n"/>
      <c r="I615" s="28" t="n"/>
      <c r="J615" s="205" t="n"/>
      <c r="K615" s="205" t="n"/>
      <c r="L615" s="205" t="n"/>
      <c r="M615" s="205" t="n"/>
      <c r="N615" s="205" t="n"/>
      <c r="O615" s="183" t="n"/>
      <c r="P615" s="183" t="n"/>
      <c r="Q615" s="183" t="n"/>
      <c r="R615" s="183" t="n"/>
      <c r="S615" s="183" t="n"/>
      <c r="T615" s="183" t="n"/>
      <c r="U615" s="183" t="n"/>
      <c r="V615" s="183" t="n"/>
      <c r="W615" s="183" t="n"/>
      <c r="X615" s="183" t="n"/>
      <c r="Y615" s="183" t="n"/>
      <c r="Z615" s="183" t="n"/>
      <c r="AA615" s="183" t="n"/>
    </row>
    <row r="616" ht="45.75" customHeight="1" s="222">
      <c r="A616" s="205" t="n"/>
      <c r="B616" s="205" t="n"/>
      <c r="C616" s="205" t="n"/>
      <c r="D616" s="205" t="n"/>
      <c r="E616" s="205" t="n"/>
      <c r="F616" s="205" t="n"/>
      <c r="G616" s="206" t="n"/>
      <c r="H616" s="205" t="n"/>
      <c r="I616" s="28" t="n"/>
      <c r="J616" s="205" t="n"/>
      <c r="K616" s="205" t="n"/>
      <c r="L616" s="205" t="n"/>
      <c r="M616" s="205" t="n"/>
      <c r="N616" s="205" t="n"/>
      <c r="O616" s="183" t="n"/>
      <c r="P616" s="183" t="n"/>
      <c r="Q616" s="183" t="n"/>
      <c r="R616" s="183" t="n"/>
      <c r="S616" s="183" t="n"/>
      <c r="T616" s="183" t="n"/>
      <c r="U616" s="183" t="n"/>
      <c r="V616" s="183" t="n"/>
      <c r="W616" s="183" t="n"/>
      <c r="X616" s="183" t="n"/>
      <c r="Y616" s="183" t="n"/>
      <c r="Z616" s="183" t="n"/>
      <c r="AA616" s="183" t="n"/>
    </row>
    <row r="617" ht="45.75" customHeight="1" s="222">
      <c r="A617" s="205" t="n"/>
      <c r="B617" s="205" t="n"/>
      <c r="C617" s="205" t="n"/>
      <c r="D617" s="205" t="n"/>
      <c r="E617" s="205" t="n"/>
      <c r="F617" s="205" t="n"/>
      <c r="G617" s="206" t="n"/>
      <c r="H617" s="205" t="n"/>
      <c r="I617" s="28" t="n"/>
      <c r="J617" s="205" t="n"/>
      <c r="K617" s="205" t="n"/>
      <c r="L617" s="205" t="n"/>
      <c r="M617" s="205" t="n"/>
      <c r="N617" s="205" t="n"/>
      <c r="O617" s="183" t="n"/>
      <c r="P617" s="183" t="n"/>
      <c r="Q617" s="183" t="n"/>
      <c r="R617" s="183" t="n"/>
      <c r="S617" s="183" t="n"/>
      <c r="T617" s="183" t="n"/>
      <c r="U617" s="183" t="n"/>
      <c r="V617" s="183" t="n"/>
      <c r="W617" s="183" t="n"/>
      <c r="X617" s="183" t="n"/>
      <c r="Y617" s="183" t="n"/>
      <c r="Z617" s="183" t="n"/>
      <c r="AA617" s="183" t="n"/>
    </row>
    <row r="618" ht="45.75" customHeight="1" s="222">
      <c r="A618" s="205" t="n"/>
      <c r="B618" s="205" t="n"/>
      <c r="C618" s="205" t="n"/>
      <c r="D618" s="205" t="n"/>
      <c r="E618" s="205" t="n"/>
      <c r="F618" s="205" t="n"/>
      <c r="G618" s="206" t="n"/>
      <c r="H618" s="205" t="n"/>
      <c r="I618" s="28" t="n"/>
      <c r="J618" s="205" t="n"/>
      <c r="K618" s="205" t="n"/>
      <c r="L618" s="205" t="n"/>
      <c r="M618" s="205" t="n"/>
      <c r="N618" s="205" t="n"/>
      <c r="O618" s="183" t="n"/>
      <c r="P618" s="183" t="n"/>
      <c r="Q618" s="183" t="n"/>
      <c r="R618" s="183" t="n"/>
      <c r="S618" s="183" t="n"/>
      <c r="T618" s="183" t="n"/>
      <c r="U618" s="183" t="n"/>
      <c r="V618" s="183" t="n"/>
      <c r="W618" s="183" t="n"/>
      <c r="X618" s="183" t="n"/>
      <c r="Y618" s="183" t="n"/>
      <c r="Z618" s="183" t="n"/>
      <c r="AA618" s="183" t="n"/>
    </row>
    <row r="619" ht="45.75" customHeight="1" s="222">
      <c r="A619" s="205" t="n"/>
      <c r="B619" s="205" t="n"/>
      <c r="C619" s="205" t="n"/>
      <c r="D619" s="205" t="n"/>
      <c r="E619" s="205" t="n"/>
      <c r="F619" s="205" t="n"/>
      <c r="G619" s="206" t="n"/>
      <c r="H619" s="205" t="n"/>
      <c r="I619" s="28" t="n"/>
      <c r="J619" s="205" t="n"/>
      <c r="K619" s="205" t="n"/>
      <c r="L619" s="205" t="n"/>
      <c r="M619" s="205" t="n"/>
      <c r="N619" s="205" t="n"/>
      <c r="O619" s="183" t="n"/>
      <c r="P619" s="183" t="n"/>
      <c r="Q619" s="183" t="n"/>
      <c r="R619" s="183" t="n"/>
      <c r="S619" s="183" t="n"/>
      <c r="T619" s="183" t="n"/>
      <c r="U619" s="183" t="n"/>
      <c r="V619" s="183" t="n"/>
      <c r="W619" s="183" t="n"/>
      <c r="X619" s="183" t="n"/>
      <c r="Y619" s="183" t="n"/>
      <c r="Z619" s="183" t="n"/>
      <c r="AA619" s="183" t="n"/>
    </row>
    <row r="620" ht="45.75" customHeight="1" s="222">
      <c r="A620" s="205" t="n"/>
      <c r="B620" s="205" t="n"/>
      <c r="C620" s="205" t="n"/>
      <c r="D620" s="205" t="n"/>
      <c r="E620" s="205" t="n"/>
      <c r="F620" s="205" t="n"/>
      <c r="G620" s="206" t="n"/>
      <c r="H620" s="205" t="n"/>
      <c r="I620" s="28" t="n"/>
      <c r="J620" s="205" t="n"/>
      <c r="K620" s="205" t="n"/>
      <c r="L620" s="205" t="n"/>
      <c r="M620" s="205" t="n"/>
      <c r="N620" s="205" t="n"/>
      <c r="O620" s="183" t="n"/>
      <c r="P620" s="183" t="n"/>
      <c r="Q620" s="183" t="n"/>
      <c r="R620" s="183" t="n"/>
      <c r="S620" s="183" t="n"/>
      <c r="T620" s="183" t="n"/>
      <c r="U620" s="183" t="n"/>
      <c r="V620" s="183" t="n"/>
      <c r="W620" s="183" t="n"/>
      <c r="X620" s="183" t="n"/>
      <c r="Y620" s="183" t="n"/>
      <c r="Z620" s="183" t="n"/>
      <c r="AA620" s="183" t="n"/>
    </row>
    <row r="621" ht="45.75" customHeight="1" s="222">
      <c r="A621" s="205" t="n"/>
      <c r="B621" s="205" t="n"/>
      <c r="C621" s="205" t="n"/>
      <c r="D621" s="205" t="n"/>
      <c r="E621" s="205" t="n"/>
      <c r="F621" s="205" t="n"/>
      <c r="G621" s="206" t="n"/>
      <c r="H621" s="205" t="n"/>
      <c r="I621" s="28" t="n"/>
      <c r="J621" s="205" t="n"/>
      <c r="K621" s="205" t="n"/>
      <c r="L621" s="205" t="n"/>
      <c r="M621" s="205" t="n"/>
      <c r="N621" s="205" t="n"/>
      <c r="O621" s="183" t="n"/>
      <c r="P621" s="183" t="n"/>
      <c r="Q621" s="183" t="n"/>
      <c r="R621" s="183" t="n"/>
      <c r="S621" s="183" t="n"/>
      <c r="T621" s="183" t="n"/>
      <c r="U621" s="183" t="n"/>
      <c r="V621" s="183" t="n"/>
      <c r="W621" s="183" t="n"/>
      <c r="X621" s="183" t="n"/>
      <c r="Y621" s="183" t="n"/>
      <c r="Z621" s="183" t="n"/>
      <c r="AA621" s="183" t="n"/>
    </row>
    <row r="622" ht="45.75" customHeight="1" s="222">
      <c r="A622" s="205" t="n"/>
      <c r="B622" s="205" t="n"/>
      <c r="C622" s="205" t="n"/>
      <c r="D622" s="205" t="n"/>
      <c r="E622" s="205" t="n"/>
      <c r="F622" s="205" t="n"/>
      <c r="G622" s="206" t="n"/>
      <c r="H622" s="205" t="n"/>
      <c r="I622" s="28" t="n"/>
      <c r="J622" s="205" t="n"/>
      <c r="K622" s="205" t="n"/>
      <c r="L622" s="205" t="n"/>
      <c r="M622" s="205" t="n"/>
      <c r="N622" s="205" t="n"/>
      <c r="O622" s="183" t="n"/>
      <c r="P622" s="183" t="n"/>
      <c r="Q622" s="183" t="n"/>
      <c r="R622" s="183" t="n"/>
      <c r="S622" s="183" t="n"/>
      <c r="T622" s="183" t="n"/>
      <c r="U622" s="183" t="n"/>
      <c r="V622" s="183" t="n"/>
      <c r="W622" s="183" t="n"/>
      <c r="X622" s="183" t="n"/>
      <c r="Y622" s="183" t="n"/>
      <c r="Z622" s="183" t="n"/>
      <c r="AA622" s="183" t="n"/>
    </row>
    <row r="623" ht="45.75" customHeight="1" s="222">
      <c r="A623" s="205" t="n"/>
      <c r="B623" s="205" t="n"/>
      <c r="C623" s="205" t="n"/>
      <c r="D623" s="205" t="n"/>
      <c r="E623" s="205" t="n"/>
      <c r="F623" s="205" t="n"/>
      <c r="G623" s="206" t="n"/>
      <c r="H623" s="205" t="n"/>
      <c r="I623" s="28" t="n"/>
      <c r="J623" s="205" t="n"/>
      <c r="K623" s="205" t="n"/>
      <c r="L623" s="205" t="n"/>
      <c r="M623" s="205" t="n"/>
      <c r="N623" s="205" t="n"/>
      <c r="O623" s="183" t="n"/>
      <c r="P623" s="183" t="n"/>
      <c r="Q623" s="183" t="n"/>
      <c r="R623" s="183" t="n"/>
      <c r="S623" s="183" t="n"/>
      <c r="T623" s="183" t="n"/>
      <c r="U623" s="183" t="n"/>
      <c r="V623" s="183" t="n"/>
      <c r="W623" s="183" t="n"/>
      <c r="X623" s="183" t="n"/>
      <c r="Y623" s="183" t="n"/>
      <c r="Z623" s="183" t="n"/>
      <c r="AA623" s="183" t="n"/>
    </row>
    <row r="624" ht="45.75" customHeight="1" s="222">
      <c r="A624" s="205" t="n"/>
      <c r="B624" s="205" t="n"/>
      <c r="C624" s="205" t="n"/>
      <c r="D624" s="205" t="n"/>
      <c r="E624" s="205" t="n"/>
      <c r="F624" s="205" t="n"/>
      <c r="G624" s="206" t="n"/>
      <c r="H624" s="205" t="n"/>
      <c r="I624" s="28" t="n"/>
      <c r="J624" s="205" t="n"/>
      <c r="K624" s="205" t="n"/>
      <c r="L624" s="205" t="n"/>
      <c r="M624" s="205" t="n"/>
      <c r="N624" s="205" t="n"/>
      <c r="O624" s="183" t="n"/>
      <c r="P624" s="183" t="n"/>
      <c r="Q624" s="183" t="n"/>
      <c r="R624" s="183" t="n"/>
      <c r="S624" s="183" t="n"/>
      <c r="T624" s="183" t="n"/>
      <c r="U624" s="183" t="n"/>
      <c r="V624" s="183" t="n"/>
      <c r="W624" s="183" t="n"/>
      <c r="X624" s="183" t="n"/>
      <c r="Y624" s="183" t="n"/>
      <c r="Z624" s="183" t="n"/>
      <c r="AA624" s="183" t="n"/>
    </row>
    <row r="625" ht="45.75" customHeight="1" s="222">
      <c r="A625" s="205" t="n"/>
      <c r="B625" s="205" t="n"/>
      <c r="C625" s="205" t="n"/>
      <c r="D625" s="205" t="n"/>
      <c r="E625" s="205" t="n"/>
      <c r="F625" s="205" t="n"/>
      <c r="G625" s="206" t="n"/>
      <c r="H625" s="205" t="n"/>
      <c r="I625" s="28" t="n"/>
      <c r="J625" s="205" t="n"/>
      <c r="K625" s="205" t="n"/>
      <c r="L625" s="205" t="n"/>
      <c r="M625" s="205" t="n"/>
      <c r="N625" s="205" t="n"/>
      <c r="O625" s="183" t="n"/>
      <c r="P625" s="183" t="n"/>
      <c r="Q625" s="183" t="n"/>
      <c r="R625" s="183" t="n"/>
      <c r="S625" s="183" t="n"/>
      <c r="T625" s="183" t="n"/>
      <c r="U625" s="183" t="n"/>
      <c r="V625" s="183" t="n"/>
      <c r="W625" s="183" t="n"/>
      <c r="X625" s="183" t="n"/>
      <c r="Y625" s="183" t="n"/>
      <c r="Z625" s="183" t="n"/>
      <c r="AA625" s="183" t="n"/>
    </row>
    <row r="626" ht="45.75" customHeight="1" s="222">
      <c r="A626" s="205" t="n"/>
      <c r="B626" s="205" t="n"/>
      <c r="C626" s="205" t="n"/>
      <c r="D626" s="205" t="n"/>
      <c r="E626" s="205" t="n"/>
      <c r="F626" s="205" t="n"/>
      <c r="G626" s="206" t="n"/>
      <c r="H626" s="205" t="n"/>
      <c r="I626" s="28" t="n"/>
      <c r="J626" s="205" t="n"/>
      <c r="K626" s="205" t="n"/>
      <c r="L626" s="205" t="n"/>
      <c r="M626" s="205" t="n"/>
      <c r="N626" s="205" t="n"/>
      <c r="O626" s="183" t="n"/>
      <c r="P626" s="183" t="n"/>
      <c r="Q626" s="183" t="n"/>
      <c r="R626" s="183" t="n"/>
      <c r="S626" s="183" t="n"/>
      <c r="T626" s="183" t="n"/>
      <c r="U626" s="183" t="n"/>
      <c r="V626" s="183" t="n"/>
      <c r="W626" s="183" t="n"/>
      <c r="X626" s="183" t="n"/>
      <c r="Y626" s="183" t="n"/>
      <c r="Z626" s="183" t="n"/>
      <c r="AA626" s="183" t="n"/>
    </row>
    <row r="627" ht="45.75" customHeight="1" s="222">
      <c r="A627" s="205" t="n"/>
      <c r="B627" s="205" t="n"/>
      <c r="C627" s="205" t="n"/>
      <c r="D627" s="205" t="n"/>
      <c r="E627" s="205" t="n"/>
      <c r="F627" s="205" t="n"/>
      <c r="G627" s="206" t="n"/>
      <c r="H627" s="205" t="n"/>
      <c r="I627" s="28" t="n"/>
      <c r="J627" s="205" t="n"/>
      <c r="K627" s="205" t="n"/>
      <c r="L627" s="205" t="n"/>
      <c r="M627" s="205" t="n"/>
      <c r="N627" s="205" t="n"/>
      <c r="O627" s="183" t="n"/>
      <c r="P627" s="183" t="n"/>
      <c r="Q627" s="183" t="n"/>
      <c r="R627" s="183" t="n"/>
      <c r="S627" s="183" t="n"/>
      <c r="T627" s="183" t="n"/>
      <c r="U627" s="183" t="n"/>
      <c r="V627" s="183" t="n"/>
      <c r="W627" s="183" t="n"/>
      <c r="X627" s="183" t="n"/>
      <c r="Y627" s="183" t="n"/>
      <c r="Z627" s="183" t="n"/>
      <c r="AA627" s="183" t="n"/>
    </row>
    <row r="628" ht="45.75" customHeight="1" s="222">
      <c r="A628" s="205" t="n"/>
      <c r="B628" s="205" t="n"/>
      <c r="C628" s="205" t="n"/>
      <c r="D628" s="205" t="n"/>
      <c r="E628" s="205" t="n"/>
      <c r="F628" s="205" t="n"/>
      <c r="G628" s="206" t="n"/>
      <c r="H628" s="205" t="n"/>
      <c r="I628" s="28" t="n"/>
      <c r="J628" s="205" t="n"/>
      <c r="K628" s="205" t="n"/>
      <c r="L628" s="205" t="n"/>
      <c r="M628" s="205" t="n"/>
      <c r="N628" s="205" t="n"/>
      <c r="O628" s="183" t="n"/>
      <c r="P628" s="183" t="n"/>
      <c r="Q628" s="183" t="n"/>
      <c r="R628" s="183" t="n"/>
      <c r="S628" s="183" t="n"/>
      <c r="T628" s="183" t="n"/>
      <c r="U628" s="183" t="n"/>
      <c r="V628" s="183" t="n"/>
      <c r="W628" s="183" t="n"/>
      <c r="X628" s="183" t="n"/>
      <c r="Y628" s="183" t="n"/>
      <c r="Z628" s="183" t="n"/>
      <c r="AA628" s="183" t="n"/>
    </row>
    <row r="629" ht="45.75" customHeight="1" s="222">
      <c r="A629" s="205" t="n"/>
      <c r="B629" s="205" t="n"/>
      <c r="C629" s="205" t="n"/>
      <c r="D629" s="205" t="n"/>
      <c r="E629" s="205" t="n"/>
      <c r="F629" s="205" t="n"/>
      <c r="G629" s="206" t="n"/>
      <c r="H629" s="205" t="n"/>
      <c r="I629" s="28" t="n"/>
      <c r="J629" s="205" t="n"/>
      <c r="K629" s="205" t="n"/>
      <c r="L629" s="205" t="n"/>
      <c r="M629" s="205" t="n"/>
      <c r="N629" s="205" t="n"/>
      <c r="O629" s="183" t="n"/>
      <c r="P629" s="183" t="n"/>
      <c r="Q629" s="183" t="n"/>
      <c r="R629" s="183" t="n"/>
      <c r="S629" s="183" t="n"/>
      <c r="T629" s="183" t="n"/>
      <c r="U629" s="183" t="n"/>
      <c r="V629" s="183" t="n"/>
      <c r="W629" s="183" t="n"/>
      <c r="X629" s="183" t="n"/>
      <c r="Y629" s="183" t="n"/>
      <c r="Z629" s="183" t="n"/>
      <c r="AA629" s="183" t="n"/>
    </row>
    <row r="630" ht="45.75" customHeight="1" s="222">
      <c r="A630" s="205" t="n"/>
      <c r="B630" s="205" t="n"/>
      <c r="C630" s="205" t="n"/>
      <c r="D630" s="205" t="n"/>
      <c r="E630" s="205" t="n"/>
      <c r="F630" s="205" t="n"/>
      <c r="G630" s="206" t="n"/>
      <c r="H630" s="205" t="n"/>
      <c r="I630" s="28" t="n"/>
      <c r="J630" s="205" t="n"/>
      <c r="K630" s="205" t="n"/>
      <c r="L630" s="205" t="n"/>
      <c r="M630" s="205" t="n"/>
      <c r="N630" s="205" t="n"/>
      <c r="O630" s="183" t="n"/>
      <c r="P630" s="183" t="n"/>
      <c r="Q630" s="183" t="n"/>
      <c r="R630" s="183" t="n"/>
      <c r="S630" s="183" t="n"/>
      <c r="T630" s="183" t="n"/>
      <c r="U630" s="183" t="n"/>
      <c r="V630" s="183" t="n"/>
      <c r="W630" s="183" t="n"/>
      <c r="X630" s="183" t="n"/>
      <c r="Y630" s="183" t="n"/>
      <c r="Z630" s="183" t="n"/>
      <c r="AA630" s="183" t="n"/>
    </row>
    <row r="631" ht="45.75" customHeight="1" s="222">
      <c r="A631" s="205" t="n"/>
      <c r="B631" s="205" t="n"/>
      <c r="C631" s="205" t="n"/>
      <c r="D631" s="205" t="n"/>
      <c r="E631" s="205" t="n"/>
      <c r="F631" s="205" t="n"/>
      <c r="G631" s="206" t="n"/>
      <c r="H631" s="205" t="n"/>
      <c r="I631" s="28" t="n"/>
      <c r="J631" s="205" t="n"/>
      <c r="K631" s="205" t="n"/>
      <c r="L631" s="205" t="n"/>
      <c r="M631" s="205" t="n"/>
      <c r="N631" s="205" t="n"/>
      <c r="O631" s="183" t="n"/>
      <c r="P631" s="183" t="n"/>
      <c r="Q631" s="183" t="n"/>
      <c r="R631" s="183" t="n"/>
      <c r="S631" s="183" t="n"/>
      <c r="T631" s="183" t="n"/>
      <c r="U631" s="183" t="n"/>
      <c r="V631" s="183" t="n"/>
      <c r="W631" s="183" t="n"/>
      <c r="X631" s="183" t="n"/>
      <c r="Y631" s="183" t="n"/>
      <c r="Z631" s="183" t="n"/>
      <c r="AA631" s="183" t="n"/>
    </row>
    <row r="632" ht="45.75" customHeight="1" s="222">
      <c r="A632" s="205" t="n"/>
      <c r="B632" s="205" t="n"/>
      <c r="C632" s="205" t="n"/>
      <c r="D632" s="205" t="n"/>
      <c r="E632" s="205" t="n"/>
      <c r="F632" s="205" t="n"/>
      <c r="G632" s="206" t="n"/>
      <c r="H632" s="205" t="n"/>
      <c r="I632" s="28" t="n"/>
      <c r="J632" s="205" t="n"/>
      <c r="K632" s="205" t="n"/>
      <c r="L632" s="205" t="n"/>
      <c r="M632" s="205" t="n"/>
      <c r="N632" s="205" t="n"/>
      <c r="O632" s="183" t="n"/>
      <c r="P632" s="183" t="n"/>
      <c r="Q632" s="183" t="n"/>
      <c r="R632" s="183" t="n"/>
      <c r="S632" s="183" t="n"/>
      <c r="T632" s="183" t="n"/>
      <c r="U632" s="183" t="n"/>
      <c r="V632" s="183" t="n"/>
      <c r="W632" s="183" t="n"/>
      <c r="X632" s="183" t="n"/>
      <c r="Y632" s="183" t="n"/>
      <c r="Z632" s="183" t="n"/>
      <c r="AA632" s="183" t="n"/>
    </row>
    <row r="633" ht="45.75" customHeight="1" s="222">
      <c r="A633" s="205" t="n"/>
      <c r="B633" s="205" t="n"/>
      <c r="C633" s="205" t="n"/>
      <c r="D633" s="205" t="n"/>
      <c r="E633" s="205" t="n"/>
      <c r="F633" s="205" t="n"/>
      <c r="G633" s="206" t="n"/>
      <c r="H633" s="205" t="n"/>
      <c r="I633" s="28" t="n"/>
      <c r="J633" s="205" t="n"/>
      <c r="K633" s="205" t="n"/>
      <c r="L633" s="205" t="n"/>
      <c r="M633" s="205" t="n"/>
      <c r="N633" s="205" t="n"/>
      <c r="O633" s="183" t="n"/>
      <c r="P633" s="183" t="n"/>
      <c r="Q633" s="183" t="n"/>
      <c r="R633" s="183" t="n"/>
      <c r="S633" s="183" t="n"/>
      <c r="T633" s="183" t="n"/>
      <c r="U633" s="183" t="n"/>
      <c r="V633" s="183" t="n"/>
      <c r="W633" s="183" t="n"/>
      <c r="X633" s="183" t="n"/>
      <c r="Y633" s="183" t="n"/>
      <c r="Z633" s="183" t="n"/>
      <c r="AA633" s="183" t="n"/>
    </row>
    <row r="634" ht="45.75" customHeight="1" s="222">
      <c r="A634" s="205" t="n"/>
      <c r="B634" s="205" t="n"/>
      <c r="C634" s="205" t="n"/>
      <c r="D634" s="205" t="n"/>
      <c r="E634" s="205" t="n"/>
      <c r="F634" s="205" t="n"/>
      <c r="G634" s="206" t="n"/>
      <c r="H634" s="205" t="n"/>
      <c r="I634" s="28" t="n"/>
      <c r="J634" s="205" t="n"/>
      <c r="K634" s="205" t="n"/>
      <c r="L634" s="205" t="n"/>
      <c r="M634" s="205" t="n"/>
      <c r="N634" s="205" t="n"/>
      <c r="O634" s="183" t="n"/>
      <c r="P634" s="183" t="n"/>
      <c r="Q634" s="183" t="n"/>
      <c r="R634" s="183" t="n"/>
      <c r="S634" s="183" t="n"/>
      <c r="T634" s="183" t="n"/>
      <c r="U634" s="183" t="n"/>
      <c r="V634" s="183" t="n"/>
      <c r="W634" s="183" t="n"/>
      <c r="X634" s="183" t="n"/>
      <c r="Y634" s="183" t="n"/>
      <c r="Z634" s="183" t="n"/>
      <c r="AA634" s="183" t="n"/>
    </row>
    <row r="635" ht="45.75" customHeight="1" s="222">
      <c r="A635" s="205" t="n"/>
      <c r="B635" s="205" t="n"/>
      <c r="C635" s="205" t="n"/>
      <c r="D635" s="205" t="n"/>
      <c r="E635" s="205" t="n"/>
      <c r="F635" s="205" t="n"/>
      <c r="G635" s="206" t="n"/>
      <c r="H635" s="205" t="n"/>
      <c r="I635" s="28" t="n"/>
      <c r="J635" s="205" t="n"/>
      <c r="K635" s="205" t="n"/>
      <c r="L635" s="205" t="n"/>
      <c r="M635" s="205" t="n"/>
      <c r="N635" s="205" t="n"/>
      <c r="O635" s="183" t="n"/>
      <c r="P635" s="183" t="n"/>
      <c r="Q635" s="183" t="n"/>
      <c r="R635" s="183" t="n"/>
      <c r="S635" s="183" t="n"/>
      <c r="T635" s="183" t="n"/>
      <c r="U635" s="183" t="n"/>
      <c r="V635" s="183" t="n"/>
      <c r="W635" s="183" t="n"/>
      <c r="X635" s="183" t="n"/>
      <c r="Y635" s="183" t="n"/>
      <c r="Z635" s="183" t="n"/>
      <c r="AA635" s="183" t="n"/>
    </row>
    <row r="636" ht="45.75" customHeight="1" s="222">
      <c r="A636" s="205" t="n"/>
      <c r="B636" s="205" t="n"/>
      <c r="C636" s="205" t="n"/>
      <c r="D636" s="205" t="n"/>
      <c r="E636" s="205" t="n"/>
      <c r="F636" s="205" t="n"/>
      <c r="G636" s="206" t="n"/>
      <c r="H636" s="205" t="n"/>
      <c r="I636" s="28" t="n"/>
      <c r="J636" s="205" t="n"/>
      <c r="K636" s="205" t="n"/>
      <c r="L636" s="205" t="n"/>
      <c r="M636" s="205" t="n"/>
      <c r="N636" s="205" t="n"/>
      <c r="O636" s="183" t="n"/>
      <c r="P636" s="183" t="n"/>
      <c r="Q636" s="183" t="n"/>
      <c r="R636" s="183" t="n"/>
      <c r="S636" s="183" t="n"/>
      <c r="T636" s="183" t="n"/>
      <c r="U636" s="183" t="n"/>
      <c r="V636" s="183" t="n"/>
      <c r="W636" s="183" t="n"/>
      <c r="X636" s="183" t="n"/>
      <c r="Y636" s="183" t="n"/>
      <c r="Z636" s="183" t="n"/>
      <c r="AA636" s="183" t="n"/>
    </row>
    <row r="637" ht="45.75" customHeight="1" s="222">
      <c r="A637" s="205" t="n"/>
      <c r="B637" s="205" t="n"/>
      <c r="C637" s="205" t="n"/>
      <c r="D637" s="205" t="n"/>
      <c r="E637" s="205" t="n"/>
      <c r="F637" s="205" t="n"/>
      <c r="G637" s="206" t="n"/>
      <c r="H637" s="205" t="n"/>
      <c r="I637" s="28" t="n"/>
      <c r="J637" s="205" t="n"/>
      <c r="K637" s="205" t="n"/>
      <c r="L637" s="205" t="n"/>
      <c r="M637" s="205" t="n"/>
      <c r="N637" s="205" t="n"/>
      <c r="O637" s="183" t="n"/>
      <c r="P637" s="183" t="n"/>
      <c r="Q637" s="183" t="n"/>
      <c r="R637" s="183" t="n"/>
      <c r="S637" s="183" t="n"/>
      <c r="T637" s="183" t="n"/>
      <c r="U637" s="183" t="n"/>
      <c r="V637" s="183" t="n"/>
      <c r="W637" s="183" t="n"/>
      <c r="X637" s="183" t="n"/>
      <c r="Y637" s="183" t="n"/>
      <c r="Z637" s="183" t="n"/>
      <c r="AA637" s="183" t="n"/>
    </row>
    <row r="638" ht="45.75" customHeight="1" s="222">
      <c r="A638" s="205" t="n"/>
      <c r="B638" s="205" t="n"/>
      <c r="C638" s="205" t="n"/>
      <c r="D638" s="205" t="n"/>
      <c r="E638" s="205" t="n"/>
      <c r="F638" s="205" t="n"/>
      <c r="G638" s="206" t="n"/>
      <c r="H638" s="205" t="n"/>
      <c r="I638" s="28" t="n"/>
      <c r="J638" s="205" t="n"/>
      <c r="K638" s="205" t="n"/>
      <c r="L638" s="205" t="n"/>
      <c r="M638" s="205" t="n"/>
      <c r="N638" s="205" t="n"/>
      <c r="O638" s="183" t="n"/>
      <c r="P638" s="183" t="n"/>
      <c r="Q638" s="183" t="n"/>
      <c r="R638" s="183" t="n"/>
      <c r="S638" s="183" t="n"/>
      <c r="T638" s="183" t="n"/>
      <c r="U638" s="183" t="n"/>
      <c r="V638" s="183" t="n"/>
      <c r="W638" s="183" t="n"/>
      <c r="X638" s="183" t="n"/>
      <c r="Y638" s="183" t="n"/>
      <c r="Z638" s="183" t="n"/>
      <c r="AA638" s="183" t="n"/>
    </row>
    <row r="639" ht="45.75" customHeight="1" s="222">
      <c r="A639" s="205" t="n"/>
      <c r="B639" s="205" t="n"/>
      <c r="C639" s="205" t="n"/>
      <c r="D639" s="205" t="n"/>
      <c r="E639" s="205" t="n"/>
      <c r="F639" s="205" t="n"/>
      <c r="G639" s="206" t="n"/>
      <c r="H639" s="205" t="n"/>
      <c r="I639" s="28" t="n"/>
      <c r="J639" s="205" t="n"/>
      <c r="K639" s="205" t="n"/>
      <c r="L639" s="205" t="n"/>
      <c r="M639" s="205" t="n"/>
      <c r="N639" s="205" t="n"/>
      <c r="O639" s="183" t="n"/>
      <c r="P639" s="183" t="n"/>
      <c r="Q639" s="183" t="n"/>
      <c r="R639" s="183" t="n"/>
      <c r="S639" s="183" t="n"/>
      <c r="T639" s="183" t="n"/>
      <c r="U639" s="183" t="n"/>
      <c r="V639" s="183" t="n"/>
      <c r="W639" s="183" t="n"/>
      <c r="X639" s="183" t="n"/>
      <c r="Y639" s="183" t="n"/>
      <c r="Z639" s="183" t="n"/>
      <c r="AA639" s="183" t="n"/>
    </row>
    <row r="640" ht="45.75" customHeight="1" s="222">
      <c r="A640" s="205" t="n"/>
      <c r="B640" s="205" t="n"/>
      <c r="C640" s="205" t="n"/>
      <c r="D640" s="205" t="n"/>
      <c r="E640" s="205" t="n"/>
      <c r="F640" s="205" t="n"/>
      <c r="G640" s="206" t="n"/>
      <c r="H640" s="205" t="n"/>
      <c r="I640" s="28" t="n"/>
      <c r="J640" s="205" t="n"/>
      <c r="K640" s="205" t="n"/>
      <c r="L640" s="205" t="n"/>
      <c r="M640" s="205" t="n"/>
      <c r="N640" s="205" t="n"/>
      <c r="O640" s="183" t="n"/>
      <c r="P640" s="183" t="n"/>
      <c r="Q640" s="183" t="n"/>
      <c r="R640" s="183" t="n"/>
      <c r="S640" s="183" t="n"/>
      <c r="T640" s="183" t="n"/>
      <c r="U640" s="183" t="n"/>
      <c r="V640" s="183" t="n"/>
      <c r="W640" s="183" t="n"/>
      <c r="X640" s="183" t="n"/>
      <c r="Y640" s="183" t="n"/>
      <c r="Z640" s="183" t="n"/>
      <c r="AA640" s="183" t="n"/>
    </row>
    <row r="641" ht="45.75" customHeight="1" s="222">
      <c r="A641" s="205" t="n"/>
      <c r="B641" s="205" t="n"/>
      <c r="C641" s="205" t="n"/>
      <c r="D641" s="205" t="n"/>
      <c r="E641" s="205" t="n"/>
      <c r="F641" s="205" t="n"/>
      <c r="G641" s="206" t="n"/>
      <c r="H641" s="205" t="n"/>
      <c r="I641" s="28" t="n"/>
      <c r="J641" s="205" t="n"/>
      <c r="K641" s="205" t="n"/>
      <c r="L641" s="205" t="n"/>
      <c r="M641" s="205" t="n"/>
      <c r="N641" s="205" t="n"/>
      <c r="O641" s="183" t="n"/>
      <c r="P641" s="183" t="n"/>
      <c r="Q641" s="183" t="n"/>
      <c r="R641" s="183" t="n"/>
      <c r="S641" s="183" t="n"/>
      <c r="T641" s="183" t="n"/>
      <c r="U641" s="183" t="n"/>
      <c r="V641" s="183" t="n"/>
      <c r="W641" s="183" t="n"/>
      <c r="X641" s="183" t="n"/>
      <c r="Y641" s="183" t="n"/>
      <c r="Z641" s="183" t="n"/>
      <c r="AA641" s="183" t="n"/>
    </row>
    <row r="642" ht="45.75" customHeight="1" s="222">
      <c r="A642" s="205" t="n"/>
      <c r="B642" s="205" t="n"/>
      <c r="C642" s="205" t="n"/>
      <c r="D642" s="205" t="n"/>
      <c r="E642" s="205" t="n"/>
      <c r="F642" s="205" t="n"/>
      <c r="G642" s="206" t="n"/>
      <c r="H642" s="205" t="n"/>
      <c r="I642" s="28" t="n"/>
      <c r="J642" s="205" t="n"/>
      <c r="K642" s="205" t="n"/>
      <c r="L642" s="205" t="n"/>
      <c r="M642" s="205" t="n"/>
      <c r="N642" s="205" t="n"/>
      <c r="O642" s="183" t="n"/>
      <c r="P642" s="183" t="n"/>
      <c r="Q642" s="183" t="n"/>
      <c r="R642" s="183" t="n"/>
      <c r="S642" s="183" t="n"/>
      <c r="T642" s="183" t="n"/>
      <c r="U642" s="183" t="n"/>
      <c r="V642" s="183" t="n"/>
      <c r="W642" s="183" t="n"/>
      <c r="X642" s="183" t="n"/>
      <c r="Y642" s="183" t="n"/>
      <c r="Z642" s="183" t="n"/>
      <c r="AA642" s="183" t="n"/>
    </row>
    <row r="643" ht="45.75" customHeight="1" s="222">
      <c r="A643" s="205" t="n"/>
      <c r="B643" s="205" t="n"/>
      <c r="C643" s="205" t="n"/>
      <c r="D643" s="205" t="n"/>
      <c r="E643" s="205" t="n"/>
      <c r="F643" s="205" t="n"/>
      <c r="G643" s="206" t="n"/>
      <c r="H643" s="205" t="n"/>
      <c r="I643" s="28" t="n"/>
      <c r="J643" s="205" t="n"/>
      <c r="K643" s="205" t="n"/>
      <c r="L643" s="205" t="n"/>
      <c r="M643" s="205" t="n"/>
      <c r="N643" s="205" t="n"/>
      <c r="O643" s="183" t="n"/>
      <c r="P643" s="183" t="n"/>
      <c r="Q643" s="183" t="n"/>
      <c r="R643" s="183" t="n"/>
      <c r="S643" s="183" t="n"/>
      <c r="T643" s="183" t="n"/>
      <c r="U643" s="183" t="n"/>
      <c r="V643" s="183" t="n"/>
      <c r="W643" s="183" t="n"/>
      <c r="X643" s="183" t="n"/>
      <c r="Y643" s="183" t="n"/>
      <c r="Z643" s="183" t="n"/>
      <c r="AA643" s="183" t="n"/>
    </row>
    <row r="644" ht="45.75" customHeight="1" s="222">
      <c r="A644" s="205" t="n"/>
      <c r="B644" s="205" t="n"/>
      <c r="C644" s="205" t="n"/>
      <c r="D644" s="205" t="n"/>
      <c r="E644" s="205" t="n"/>
      <c r="F644" s="205" t="n"/>
      <c r="G644" s="206" t="n"/>
      <c r="H644" s="205" t="n"/>
      <c r="I644" s="28" t="n"/>
      <c r="J644" s="205" t="n"/>
      <c r="K644" s="205" t="n"/>
      <c r="L644" s="205" t="n"/>
      <c r="M644" s="205" t="n"/>
      <c r="N644" s="205" t="n"/>
      <c r="O644" s="183" t="n"/>
      <c r="P644" s="183" t="n"/>
      <c r="Q644" s="183" t="n"/>
      <c r="R644" s="183" t="n"/>
      <c r="S644" s="183" t="n"/>
      <c r="T644" s="183" t="n"/>
      <c r="U644" s="183" t="n"/>
      <c r="V644" s="183" t="n"/>
      <c r="W644" s="183" t="n"/>
      <c r="X644" s="183" t="n"/>
      <c r="Y644" s="183" t="n"/>
      <c r="Z644" s="183" t="n"/>
      <c r="AA644" s="183" t="n"/>
    </row>
    <row r="645" ht="45.75" customHeight="1" s="222">
      <c r="A645" s="205" t="n"/>
      <c r="B645" s="205" t="n"/>
      <c r="C645" s="205" t="n"/>
      <c r="D645" s="205" t="n"/>
      <c r="E645" s="205" t="n"/>
      <c r="F645" s="205" t="n"/>
      <c r="G645" s="206" t="n"/>
      <c r="H645" s="205" t="n"/>
      <c r="I645" s="28" t="n"/>
      <c r="J645" s="205" t="n"/>
      <c r="K645" s="205" t="n"/>
      <c r="L645" s="205" t="n"/>
      <c r="M645" s="205" t="n"/>
      <c r="N645" s="205" t="n"/>
      <c r="O645" s="183" t="n"/>
      <c r="P645" s="183" t="n"/>
      <c r="Q645" s="183" t="n"/>
      <c r="R645" s="183" t="n"/>
      <c r="S645" s="183" t="n"/>
      <c r="T645" s="183" t="n"/>
      <c r="U645" s="183" t="n"/>
      <c r="V645" s="183" t="n"/>
      <c r="W645" s="183" t="n"/>
      <c r="X645" s="183" t="n"/>
      <c r="Y645" s="183" t="n"/>
      <c r="Z645" s="183" t="n"/>
      <c r="AA645" s="183" t="n"/>
    </row>
    <row r="646" ht="45.75" customHeight="1" s="222">
      <c r="A646" s="205" t="n"/>
      <c r="B646" s="205" t="n"/>
      <c r="C646" s="205" t="n"/>
      <c r="D646" s="205" t="n"/>
      <c r="E646" s="205" t="n"/>
      <c r="F646" s="205" t="n"/>
      <c r="G646" s="206" t="n"/>
      <c r="H646" s="205" t="n"/>
      <c r="I646" s="28" t="n"/>
      <c r="J646" s="205" t="n"/>
      <c r="K646" s="205" t="n"/>
      <c r="L646" s="205" t="n"/>
      <c r="M646" s="205" t="n"/>
      <c r="N646" s="205" t="n"/>
      <c r="O646" s="183" t="n"/>
      <c r="P646" s="183" t="n"/>
      <c r="Q646" s="183" t="n"/>
      <c r="R646" s="183" t="n"/>
      <c r="S646" s="183" t="n"/>
      <c r="T646" s="183" t="n"/>
      <c r="U646" s="183" t="n"/>
      <c r="V646" s="183" t="n"/>
      <c r="W646" s="183" t="n"/>
      <c r="X646" s="183" t="n"/>
      <c r="Y646" s="183" t="n"/>
      <c r="Z646" s="183" t="n"/>
      <c r="AA646" s="183" t="n"/>
    </row>
    <row r="647" ht="45.75" customHeight="1" s="222">
      <c r="A647" s="205" t="n"/>
      <c r="B647" s="205" t="n"/>
      <c r="C647" s="205" t="n"/>
      <c r="D647" s="205" t="n"/>
      <c r="E647" s="205" t="n"/>
      <c r="F647" s="205" t="n"/>
      <c r="G647" s="206" t="n"/>
      <c r="H647" s="205" t="n"/>
      <c r="I647" s="28" t="n"/>
      <c r="J647" s="205" t="n"/>
      <c r="K647" s="205" t="n"/>
      <c r="L647" s="205" t="n"/>
      <c r="M647" s="205" t="n"/>
      <c r="N647" s="205" t="n"/>
      <c r="O647" s="183" t="n"/>
      <c r="P647" s="183" t="n"/>
      <c r="Q647" s="183" t="n"/>
      <c r="R647" s="183" t="n"/>
      <c r="S647" s="183" t="n"/>
      <c r="T647" s="183" t="n"/>
      <c r="U647" s="183" t="n"/>
      <c r="V647" s="183" t="n"/>
      <c r="W647" s="183" t="n"/>
      <c r="X647" s="183" t="n"/>
      <c r="Y647" s="183" t="n"/>
      <c r="Z647" s="183" t="n"/>
      <c r="AA647" s="183" t="n"/>
    </row>
    <row r="648" ht="45.75" customHeight="1" s="222">
      <c r="A648" s="205" t="n"/>
      <c r="B648" s="205" t="n"/>
      <c r="C648" s="205" t="n"/>
      <c r="D648" s="205" t="n"/>
      <c r="E648" s="205" t="n"/>
      <c r="F648" s="205" t="n"/>
      <c r="G648" s="206" t="n"/>
      <c r="H648" s="205" t="n"/>
      <c r="I648" s="28" t="n"/>
      <c r="J648" s="205" t="n"/>
      <c r="K648" s="205" t="n"/>
      <c r="L648" s="205" t="n"/>
      <c r="M648" s="205" t="n"/>
      <c r="N648" s="205" t="n"/>
      <c r="O648" s="183" t="n"/>
      <c r="P648" s="183" t="n"/>
      <c r="Q648" s="183" t="n"/>
      <c r="R648" s="183" t="n"/>
      <c r="S648" s="183" t="n"/>
      <c r="T648" s="183" t="n"/>
      <c r="U648" s="183" t="n"/>
      <c r="V648" s="183" t="n"/>
      <c r="W648" s="183" t="n"/>
      <c r="X648" s="183" t="n"/>
      <c r="Y648" s="183" t="n"/>
      <c r="Z648" s="183" t="n"/>
      <c r="AA648" s="183" t="n"/>
    </row>
    <row r="649" ht="45.75" customHeight="1" s="222">
      <c r="A649" s="205" t="n"/>
      <c r="B649" s="205" t="n"/>
      <c r="C649" s="205" t="n"/>
      <c r="D649" s="205" t="n"/>
      <c r="E649" s="205" t="n"/>
      <c r="F649" s="205" t="n"/>
      <c r="G649" s="206" t="n"/>
      <c r="H649" s="205" t="n"/>
      <c r="I649" s="28" t="n"/>
      <c r="J649" s="205" t="n"/>
      <c r="K649" s="205" t="n"/>
      <c r="L649" s="205" t="n"/>
      <c r="M649" s="205" t="n"/>
      <c r="N649" s="205" t="n"/>
      <c r="O649" s="183" t="n"/>
      <c r="P649" s="183" t="n"/>
      <c r="Q649" s="183" t="n"/>
      <c r="R649" s="183" t="n"/>
      <c r="S649" s="183" t="n"/>
      <c r="T649" s="183" t="n"/>
      <c r="U649" s="183" t="n"/>
      <c r="V649" s="183" t="n"/>
      <c r="W649" s="183" t="n"/>
      <c r="X649" s="183" t="n"/>
      <c r="Y649" s="183" t="n"/>
      <c r="Z649" s="183" t="n"/>
      <c r="AA649" s="183" t="n"/>
    </row>
    <row r="650" ht="45.75" customHeight="1" s="222">
      <c r="A650" s="205" t="n"/>
      <c r="B650" s="205" t="n"/>
      <c r="C650" s="205" t="n"/>
      <c r="D650" s="205" t="n"/>
      <c r="E650" s="205" t="n"/>
      <c r="F650" s="205" t="n"/>
      <c r="G650" s="206" t="n"/>
      <c r="H650" s="205" t="n"/>
      <c r="I650" s="28" t="n"/>
      <c r="J650" s="205" t="n"/>
      <c r="K650" s="205" t="n"/>
      <c r="L650" s="205" t="n"/>
      <c r="M650" s="205" t="n"/>
      <c r="N650" s="205" t="n"/>
      <c r="O650" s="183" t="n"/>
      <c r="P650" s="183" t="n"/>
      <c r="Q650" s="183" t="n"/>
      <c r="R650" s="183" t="n"/>
      <c r="S650" s="183" t="n"/>
      <c r="T650" s="183" t="n"/>
      <c r="U650" s="183" t="n"/>
      <c r="V650" s="183" t="n"/>
      <c r="W650" s="183" t="n"/>
      <c r="X650" s="183" t="n"/>
      <c r="Y650" s="183" t="n"/>
      <c r="Z650" s="183" t="n"/>
      <c r="AA650" s="183" t="n"/>
    </row>
    <row r="651" ht="45.75" customHeight="1" s="222">
      <c r="A651" s="205" t="n"/>
      <c r="B651" s="205" t="n"/>
      <c r="C651" s="205" t="n"/>
      <c r="D651" s="205" t="n"/>
      <c r="E651" s="205" t="n"/>
      <c r="F651" s="205" t="n"/>
      <c r="G651" s="206" t="n"/>
      <c r="H651" s="205" t="n"/>
      <c r="I651" s="28" t="n"/>
      <c r="J651" s="205" t="n"/>
      <c r="K651" s="205" t="n"/>
      <c r="L651" s="205" t="n"/>
      <c r="M651" s="205" t="n"/>
      <c r="N651" s="205" t="n"/>
      <c r="O651" s="183" t="n"/>
      <c r="P651" s="183" t="n"/>
      <c r="Q651" s="183" t="n"/>
      <c r="R651" s="183" t="n"/>
      <c r="S651" s="183" t="n"/>
      <c r="T651" s="183" t="n"/>
      <c r="U651" s="183" t="n"/>
      <c r="V651" s="183" t="n"/>
      <c r="W651" s="183" t="n"/>
      <c r="X651" s="183" t="n"/>
      <c r="Y651" s="183" t="n"/>
      <c r="Z651" s="183" t="n"/>
      <c r="AA651" s="183" t="n"/>
    </row>
    <row r="652" ht="45.75" customHeight="1" s="222">
      <c r="A652" s="205" t="n"/>
      <c r="B652" s="205" t="n"/>
      <c r="C652" s="205" t="n"/>
      <c r="D652" s="205" t="n"/>
      <c r="E652" s="205" t="n"/>
      <c r="F652" s="205" t="n"/>
      <c r="G652" s="206" t="n"/>
      <c r="H652" s="205" t="n"/>
      <c r="I652" s="28" t="n"/>
      <c r="J652" s="205" t="n"/>
      <c r="K652" s="205" t="n"/>
      <c r="L652" s="205" t="n"/>
      <c r="M652" s="205" t="n"/>
      <c r="N652" s="205" t="n"/>
      <c r="O652" s="183" t="n"/>
      <c r="P652" s="183" t="n"/>
      <c r="Q652" s="183" t="n"/>
      <c r="R652" s="183" t="n"/>
      <c r="S652" s="183" t="n"/>
      <c r="T652" s="183" t="n"/>
      <c r="U652" s="183" t="n"/>
      <c r="V652" s="183" t="n"/>
      <c r="W652" s="183" t="n"/>
      <c r="X652" s="183" t="n"/>
      <c r="Y652" s="183" t="n"/>
      <c r="Z652" s="183" t="n"/>
      <c r="AA652" s="183" t="n"/>
    </row>
    <row r="653" ht="45.75" customHeight="1" s="222">
      <c r="A653" s="205" t="n"/>
      <c r="B653" s="205" t="n"/>
      <c r="C653" s="205" t="n"/>
      <c r="D653" s="205" t="n"/>
      <c r="E653" s="205" t="n"/>
      <c r="F653" s="205" t="n"/>
      <c r="G653" s="206" t="n"/>
      <c r="H653" s="205" t="n"/>
      <c r="I653" s="28" t="n"/>
      <c r="J653" s="205" t="n"/>
      <c r="K653" s="205" t="n"/>
      <c r="L653" s="205" t="n"/>
      <c r="M653" s="205" t="n"/>
      <c r="N653" s="205" t="n"/>
      <c r="O653" s="183" t="n"/>
      <c r="P653" s="183" t="n"/>
      <c r="Q653" s="183" t="n"/>
      <c r="R653" s="183" t="n"/>
      <c r="S653" s="183" t="n"/>
      <c r="T653" s="183" t="n"/>
      <c r="U653" s="183" t="n"/>
      <c r="V653" s="183" t="n"/>
      <c r="W653" s="183" t="n"/>
      <c r="X653" s="183" t="n"/>
      <c r="Y653" s="183" t="n"/>
      <c r="Z653" s="183" t="n"/>
      <c r="AA653" s="183" t="n"/>
    </row>
    <row r="654" ht="45.75" customHeight="1" s="222">
      <c r="A654" s="205" t="n"/>
      <c r="B654" s="205" t="n"/>
      <c r="C654" s="205" t="n"/>
      <c r="D654" s="205" t="n"/>
      <c r="E654" s="205" t="n"/>
      <c r="F654" s="205" t="n"/>
      <c r="G654" s="206" t="n"/>
      <c r="H654" s="205" t="n"/>
      <c r="I654" s="28" t="n"/>
      <c r="J654" s="205" t="n"/>
      <c r="K654" s="205" t="n"/>
      <c r="L654" s="205" t="n"/>
      <c r="M654" s="205" t="n"/>
      <c r="N654" s="205" t="n"/>
      <c r="O654" s="183" t="n"/>
      <c r="P654" s="183" t="n"/>
      <c r="Q654" s="183" t="n"/>
      <c r="R654" s="183" t="n"/>
      <c r="S654" s="183" t="n"/>
      <c r="T654" s="183" t="n"/>
      <c r="U654" s="183" t="n"/>
      <c r="V654" s="183" t="n"/>
      <c r="W654" s="183" t="n"/>
      <c r="X654" s="183" t="n"/>
      <c r="Y654" s="183" t="n"/>
      <c r="Z654" s="183" t="n"/>
      <c r="AA654" s="183" t="n"/>
    </row>
    <row r="655" ht="45.75" customHeight="1" s="222">
      <c r="A655" s="205" t="n"/>
      <c r="B655" s="205" t="n"/>
      <c r="C655" s="205" t="n"/>
      <c r="D655" s="205" t="n"/>
      <c r="E655" s="205" t="n"/>
      <c r="F655" s="205" t="n"/>
      <c r="G655" s="206" t="n"/>
      <c r="H655" s="205" t="n"/>
      <c r="I655" s="28" t="n"/>
      <c r="J655" s="205" t="n"/>
      <c r="K655" s="205" t="n"/>
      <c r="L655" s="205" t="n"/>
      <c r="M655" s="205" t="n"/>
      <c r="N655" s="205" t="n"/>
      <c r="O655" s="183" t="n"/>
      <c r="P655" s="183" t="n"/>
      <c r="Q655" s="183" t="n"/>
      <c r="R655" s="183" t="n"/>
      <c r="S655" s="183" t="n"/>
      <c r="T655" s="183" t="n"/>
      <c r="U655" s="183" t="n"/>
      <c r="V655" s="183" t="n"/>
      <c r="W655" s="183" t="n"/>
      <c r="X655" s="183" t="n"/>
      <c r="Y655" s="183" t="n"/>
      <c r="Z655" s="183" t="n"/>
      <c r="AA655" s="183" t="n"/>
    </row>
    <row r="656" ht="45.75" customHeight="1" s="222">
      <c r="A656" s="205" t="n"/>
      <c r="B656" s="205" t="n"/>
      <c r="C656" s="205" t="n"/>
      <c r="D656" s="205" t="n"/>
      <c r="E656" s="205" t="n"/>
      <c r="F656" s="205" t="n"/>
      <c r="G656" s="206" t="n"/>
      <c r="H656" s="205" t="n"/>
      <c r="I656" s="28" t="n"/>
      <c r="J656" s="205" t="n"/>
      <c r="K656" s="205" t="n"/>
      <c r="L656" s="205" t="n"/>
      <c r="M656" s="205" t="n"/>
      <c r="N656" s="205" t="n"/>
      <c r="O656" s="183" t="n"/>
      <c r="P656" s="183" t="n"/>
      <c r="Q656" s="183" t="n"/>
      <c r="R656" s="183" t="n"/>
      <c r="S656" s="183" t="n"/>
      <c r="T656" s="183" t="n"/>
      <c r="U656" s="183" t="n"/>
      <c r="V656" s="183" t="n"/>
      <c r="W656" s="183" t="n"/>
      <c r="X656" s="183" t="n"/>
      <c r="Y656" s="183" t="n"/>
      <c r="Z656" s="183" t="n"/>
      <c r="AA656" s="183" t="n"/>
    </row>
    <row r="657" ht="45.75" customHeight="1" s="222">
      <c r="A657" s="205" t="n"/>
      <c r="B657" s="205" t="n"/>
      <c r="C657" s="205" t="n"/>
      <c r="D657" s="205" t="n"/>
      <c r="E657" s="205" t="n"/>
      <c r="F657" s="205" t="n"/>
      <c r="G657" s="206" t="n"/>
      <c r="H657" s="205" t="n"/>
      <c r="I657" s="28" t="n"/>
      <c r="J657" s="205" t="n"/>
      <c r="K657" s="205" t="n"/>
      <c r="L657" s="205" t="n"/>
      <c r="M657" s="205" t="n"/>
      <c r="N657" s="205" t="n"/>
      <c r="O657" s="183" t="n"/>
      <c r="P657" s="183" t="n"/>
      <c r="Q657" s="183" t="n"/>
      <c r="R657" s="183" t="n"/>
      <c r="S657" s="183" t="n"/>
      <c r="T657" s="183" t="n"/>
      <c r="U657" s="183" t="n"/>
      <c r="V657" s="183" t="n"/>
      <c r="W657" s="183" t="n"/>
      <c r="X657" s="183" t="n"/>
      <c r="Y657" s="183" t="n"/>
      <c r="Z657" s="183" t="n"/>
      <c r="AA657" s="183" t="n"/>
    </row>
    <row r="658" ht="45.75" customHeight="1" s="222">
      <c r="A658" s="205" t="n"/>
      <c r="B658" s="205" t="n"/>
      <c r="C658" s="205" t="n"/>
      <c r="D658" s="205" t="n"/>
      <c r="E658" s="205" t="n"/>
      <c r="F658" s="205" t="n"/>
      <c r="G658" s="206" t="n"/>
      <c r="H658" s="205" t="n"/>
      <c r="I658" s="28" t="n"/>
      <c r="J658" s="205" t="n"/>
      <c r="K658" s="205" t="n"/>
      <c r="L658" s="205" t="n"/>
      <c r="M658" s="205" t="n"/>
      <c r="N658" s="205" t="n"/>
      <c r="O658" s="183" t="n"/>
      <c r="P658" s="183" t="n"/>
      <c r="Q658" s="183" t="n"/>
      <c r="R658" s="183" t="n"/>
      <c r="S658" s="183" t="n"/>
      <c r="T658" s="183" t="n"/>
      <c r="U658" s="183" t="n"/>
      <c r="V658" s="183" t="n"/>
      <c r="W658" s="183" t="n"/>
      <c r="X658" s="183" t="n"/>
      <c r="Y658" s="183" t="n"/>
      <c r="Z658" s="183" t="n"/>
      <c r="AA658" s="183" t="n"/>
    </row>
    <row r="659" ht="45.75" customHeight="1" s="222">
      <c r="A659" s="205" t="n"/>
      <c r="B659" s="205" t="n"/>
      <c r="C659" s="205" t="n"/>
      <c r="D659" s="205" t="n"/>
      <c r="E659" s="205" t="n"/>
      <c r="F659" s="205" t="n"/>
      <c r="G659" s="206" t="n"/>
      <c r="H659" s="205" t="n"/>
      <c r="I659" s="28" t="n"/>
      <c r="J659" s="205" t="n"/>
      <c r="K659" s="205" t="n"/>
      <c r="L659" s="205" t="n"/>
      <c r="M659" s="205" t="n"/>
      <c r="N659" s="205" t="n"/>
      <c r="O659" s="183" t="n"/>
      <c r="P659" s="183" t="n"/>
      <c r="Q659" s="183" t="n"/>
      <c r="R659" s="183" t="n"/>
      <c r="S659" s="183" t="n"/>
      <c r="T659" s="183" t="n"/>
      <c r="U659" s="183" t="n"/>
      <c r="V659" s="183" t="n"/>
      <c r="W659" s="183" t="n"/>
      <c r="X659" s="183" t="n"/>
      <c r="Y659" s="183" t="n"/>
      <c r="Z659" s="183" t="n"/>
      <c r="AA659" s="183" t="n"/>
    </row>
    <row r="660" ht="45.75" customHeight="1" s="222">
      <c r="A660" s="205" t="n"/>
      <c r="B660" s="205" t="n"/>
      <c r="C660" s="205" t="n"/>
      <c r="D660" s="205" t="n"/>
      <c r="E660" s="205" t="n"/>
      <c r="F660" s="205" t="n"/>
      <c r="G660" s="206" t="n"/>
      <c r="H660" s="205" t="n"/>
      <c r="I660" s="28" t="n"/>
      <c r="J660" s="205" t="n"/>
      <c r="K660" s="205" t="n"/>
      <c r="L660" s="205" t="n"/>
      <c r="M660" s="205" t="n"/>
      <c r="N660" s="205" t="n"/>
      <c r="O660" s="183" t="n"/>
      <c r="P660" s="183" t="n"/>
      <c r="Q660" s="183" t="n"/>
      <c r="R660" s="183" t="n"/>
      <c r="S660" s="183" t="n"/>
      <c r="T660" s="183" t="n"/>
      <c r="U660" s="183" t="n"/>
      <c r="V660" s="183" t="n"/>
      <c r="W660" s="183" t="n"/>
      <c r="X660" s="183" t="n"/>
      <c r="Y660" s="183" t="n"/>
      <c r="Z660" s="183" t="n"/>
      <c r="AA660" s="183" t="n"/>
    </row>
    <row r="661" ht="45.75" customHeight="1" s="222">
      <c r="A661" s="205" t="n"/>
      <c r="B661" s="205" t="n"/>
      <c r="C661" s="205" t="n"/>
      <c r="D661" s="205" t="n"/>
      <c r="E661" s="205" t="n"/>
      <c r="F661" s="205" t="n"/>
      <c r="G661" s="206" t="n"/>
      <c r="H661" s="205" t="n"/>
      <c r="I661" s="28" t="n"/>
      <c r="J661" s="205" t="n"/>
      <c r="K661" s="205" t="n"/>
      <c r="L661" s="205" t="n"/>
      <c r="M661" s="205" t="n"/>
      <c r="N661" s="205" t="n"/>
      <c r="O661" s="183" t="n"/>
      <c r="P661" s="183" t="n"/>
      <c r="Q661" s="183" t="n"/>
      <c r="R661" s="183" t="n"/>
      <c r="S661" s="183" t="n"/>
      <c r="T661" s="183" t="n"/>
      <c r="U661" s="183" t="n"/>
      <c r="V661" s="183" t="n"/>
      <c r="W661" s="183" t="n"/>
      <c r="X661" s="183" t="n"/>
      <c r="Y661" s="183" t="n"/>
      <c r="Z661" s="183" t="n"/>
      <c r="AA661" s="183" t="n"/>
    </row>
    <row r="662" ht="45.75" customHeight="1" s="222">
      <c r="A662" s="205" t="n"/>
      <c r="B662" s="205" t="n"/>
      <c r="C662" s="205" t="n"/>
      <c r="D662" s="205" t="n"/>
      <c r="E662" s="205" t="n"/>
      <c r="F662" s="205" t="n"/>
      <c r="G662" s="206" t="n"/>
      <c r="H662" s="205" t="n"/>
      <c r="I662" s="28" t="n"/>
      <c r="J662" s="205" t="n"/>
      <c r="K662" s="205" t="n"/>
      <c r="L662" s="205" t="n"/>
      <c r="M662" s="205" t="n"/>
      <c r="N662" s="205" t="n"/>
      <c r="O662" s="183" t="n"/>
      <c r="P662" s="183" t="n"/>
      <c r="Q662" s="183" t="n"/>
      <c r="R662" s="183" t="n"/>
      <c r="S662" s="183" t="n"/>
      <c r="T662" s="183" t="n"/>
      <c r="U662" s="183" t="n"/>
      <c r="V662" s="183" t="n"/>
      <c r="W662" s="183" t="n"/>
      <c r="X662" s="183" t="n"/>
      <c r="Y662" s="183" t="n"/>
      <c r="Z662" s="183" t="n"/>
      <c r="AA662" s="183" t="n"/>
    </row>
    <row r="663" ht="45.75" customHeight="1" s="222">
      <c r="A663" s="205" t="n"/>
      <c r="B663" s="205" t="n"/>
      <c r="C663" s="205" t="n"/>
      <c r="D663" s="205" t="n"/>
      <c r="E663" s="205" t="n"/>
      <c r="F663" s="205" t="n"/>
      <c r="G663" s="206" t="n"/>
      <c r="H663" s="205" t="n"/>
      <c r="I663" s="28" t="n"/>
      <c r="J663" s="205" t="n"/>
      <c r="K663" s="205" t="n"/>
      <c r="L663" s="205" t="n"/>
      <c r="M663" s="205" t="n"/>
      <c r="N663" s="205" t="n"/>
      <c r="O663" s="183" t="n"/>
      <c r="P663" s="183" t="n"/>
      <c r="Q663" s="183" t="n"/>
      <c r="R663" s="183" t="n"/>
      <c r="S663" s="183" t="n"/>
      <c r="T663" s="183" t="n"/>
      <c r="U663" s="183" t="n"/>
      <c r="V663" s="183" t="n"/>
      <c r="W663" s="183" t="n"/>
      <c r="X663" s="183" t="n"/>
      <c r="Y663" s="183" t="n"/>
      <c r="Z663" s="183" t="n"/>
      <c r="AA663" s="183" t="n"/>
    </row>
    <row r="664" ht="45.75" customHeight="1" s="222">
      <c r="A664" s="205" t="n"/>
      <c r="B664" s="205" t="n"/>
      <c r="C664" s="205" t="n"/>
      <c r="D664" s="205" t="n"/>
      <c r="E664" s="205" t="n"/>
      <c r="F664" s="205" t="n"/>
      <c r="G664" s="206" t="n"/>
      <c r="H664" s="205" t="n"/>
      <c r="I664" s="28" t="n"/>
      <c r="J664" s="205" t="n"/>
      <c r="K664" s="205" t="n"/>
      <c r="L664" s="205" t="n"/>
      <c r="M664" s="205" t="n"/>
      <c r="N664" s="205" t="n"/>
      <c r="O664" s="183" t="n"/>
      <c r="P664" s="183" t="n"/>
      <c r="Q664" s="183" t="n"/>
      <c r="R664" s="183" t="n"/>
      <c r="S664" s="183" t="n"/>
      <c r="T664" s="183" t="n"/>
      <c r="U664" s="183" t="n"/>
      <c r="V664" s="183" t="n"/>
      <c r="W664" s="183" t="n"/>
      <c r="X664" s="183" t="n"/>
      <c r="Y664" s="183" t="n"/>
      <c r="Z664" s="183" t="n"/>
      <c r="AA664" s="183" t="n"/>
    </row>
    <row r="665" ht="45.75" customHeight="1" s="222">
      <c r="A665" s="205" t="n"/>
      <c r="B665" s="205" t="n"/>
      <c r="C665" s="205" t="n"/>
      <c r="D665" s="205" t="n"/>
      <c r="E665" s="205" t="n"/>
      <c r="F665" s="205" t="n"/>
      <c r="G665" s="206" t="n"/>
      <c r="H665" s="205" t="n"/>
      <c r="I665" s="28" t="n"/>
      <c r="J665" s="205" t="n"/>
      <c r="K665" s="205" t="n"/>
      <c r="L665" s="205" t="n"/>
      <c r="M665" s="205" t="n"/>
      <c r="N665" s="205" t="n"/>
      <c r="O665" s="183" t="n"/>
      <c r="P665" s="183" t="n"/>
      <c r="Q665" s="183" t="n"/>
      <c r="R665" s="183" t="n"/>
      <c r="S665" s="183" t="n"/>
      <c r="T665" s="183" t="n"/>
      <c r="U665" s="183" t="n"/>
      <c r="V665" s="183" t="n"/>
      <c r="W665" s="183" t="n"/>
      <c r="X665" s="183" t="n"/>
      <c r="Y665" s="183" t="n"/>
      <c r="Z665" s="183" t="n"/>
      <c r="AA665" s="183" t="n"/>
    </row>
    <row r="666" ht="45.75" customHeight="1" s="222">
      <c r="A666" s="205" t="n"/>
      <c r="B666" s="205" t="n"/>
      <c r="C666" s="205" t="n"/>
      <c r="D666" s="205" t="n"/>
      <c r="E666" s="205" t="n"/>
      <c r="F666" s="205" t="n"/>
      <c r="G666" s="206" t="n"/>
      <c r="H666" s="205" t="n"/>
      <c r="I666" s="28" t="n"/>
      <c r="J666" s="205" t="n"/>
      <c r="K666" s="205" t="n"/>
      <c r="L666" s="205" t="n"/>
      <c r="M666" s="205" t="n"/>
      <c r="N666" s="205" t="n"/>
      <c r="O666" s="183" t="n"/>
      <c r="P666" s="183" t="n"/>
      <c r="Q666" s="183" t="n"/>
      <c r="R666" s="183" t="n"/>
      <c r="S666" s="183" t="n"/>
      <c r="T666" s="183" t="n"/>
      <c r="U666" s="183" t="n"/>
      <c r="V666" s="183" t="n"/>
      <c r="W666" s="183" t="n"/>
      <c r="X666" s="183" t="n"/>
      <c r="Y666" s="183" t="n"/>
      <c r="Z666" s="183" t="n"/>
      <c r="AA666" s="183" t="n"/>
    </row>
    <row r="667" ht="45.75" customHeight="1" s="222">
      <c r="A667" s="205" t="n"/>
      <c r="B667" s="205" t="n"/>
      <c r="C667" s="205" t="n"/>
      <c r="D667" s="205" t="n"/>
      <c r="E667" s="205" t="n"/>
      <c r="F667" s="205" t="n"/>
      <c r="G667" s="206" t="n"/>
      <c r="H667" s="205" t="n"/>
      <c r="I667" s="28" t="n"/>
      <c r="J667" s="205" t="n"/>
      <c r="K667" s="205" t="n"/>
      <c r="L667" s="205" t="n"/>
      <c r="M667" s="205" t="n"/>
      <c r="N667" s="205" t="n"/>
      <c r="O667" s="183" t="n"/>
      <c r="P667" s="183" t="n"/>
      <c r="Q667" s="183" t="n"/>
      <c r="R667" s="183" t="n"/>
      <c r="S667" s="183" t="n"/>
      <c r="T667" s="183" t="n"/>
      <c r="U667" s="183" t="n"/>
      <c r="V667" s="183" t="n"/>
      <c r="W667" s="183" t="n"/>
      <c r="X667" s="183" t="n"/>
      <c r="Y667" s="183" t="n"/>
      <c r="Z667" s="183" t="n"/>
      <c r="AA667" s="183" t="n"/>
    </row>
    <row r="668" ht="45.75" customHeight="1" s="222">
      <c r="A668" s="205" t="n"/>
      <c r="B668" s="205" t="n"/>
      <c r="C668" s="205" t="n"/>
      <c r="D668" s="205" t="n"/>
      <c r="E668" s="205" t="n"/>
      <c r="F668" s="205" t="n"/>
      <c r="G668" s="206" t="n"/>
      <c r="H668" s="205" t="n"/>
      <c r="I668" s="28" t="n"/>
      <c r="J668" s="205" t="n"/>
      <c r="K668" s="205" t="n"/>
      <c r="L668" s="205" t="n"/>
      <c r="M668" s="205" t="n"/>
      <c r="N668" s="205" t="n"/>
      <c r="O668" s="183" t="n"/>
      <c r="P668" s="183" t="n"/>
      <c r="Q668" s="183" t="n"/>
      <c r="R668" s="183" t="n"/>
      <c r="S668" s="183" t="n"/>
      <c r="T668" s="183" t="n"/>
      <c r="U668" s="183" t="n"/>
      <c r="V668" s="183" t="n"/>
      <c r="W668" s="183" t="n"/>
      <c r="X668" s="183" t="n"/>
      <c r="Y668" s="183" t="n"/>
      <c r="Z668" s="183" t="n"/>
      <c r="AA668" s="183" t="n"/>
    </row>
    <row r="669" ht="45.75" customHeight="1" s="222">
      <c r="A669" s="205" t="n"/>
      <c r="B669" s="205" t="n"/>
      <c r="C669" s="205" t="n"/>
      <c r="D669" s="205" t="n"/>
      <c r="E669" s="205" t="n"/>
      <c r="F669" s="205" t="n"/>
      <c r="G669" s="206" t="n"/>
      <c r="H669" s="205" t="n"/>
      <c r="I669" s="28" t="n"/>
      <c r="J669" s="205" t="n"/>
      <c r="K669" s="205" t="n"/>
      <c r="L669" s="205" t="n"/>
      <c r="M669" s="205" t="n"/>
      <c r="N669" s="205" t="n"/>
      <c r="O669" s="183" t="n"/>
      <c r="P669" s="183" t="n"/>
      <c r="Q669" s="183" t="n"/>
      <c r="R669" s="183" t="n"/>
      <c r="S669" s="183" t="n"/>
      <c r="T669" s="183" t="n"/>
      <c r="U669" s="183" t="n"/>
      <c r="V669" s="183" t="n"/>
      <c r="W669" s="183" t="n"/>
      <c r="X669" s="183" t="n"/>
      <c r="Y669" s="183" t="n"/>
      <c r="Z669" s="183" t="n"/>
      <c r="AA669" s="183" t="n"/>
    </row>
    <row r="670" ht="45.75" customHeight="1" s="222">
      <c r="A670" s="205" t="n"/>
      <c r="B670" s="205" t="n"/>
      <c r="C670" s="205" t="n"/>
      <c r="D670" s="205" t="n"/>
      <c r="E670" s="205" t="n"/>
      <c r="F670" s="205" t="n"/>
      <c r="G670" s="206" t="n"/>
      <c r="H670" s="205" t="n"/>
      <c r="I670" s="28" t="n"/>
      <c r="J670" s="205" t="n"/>
      <c r="K670" s="205" t="n"/>
      <c r="L670" s="205" t="n"/>
      <c r="M670" s="205" t="n"/>
      <c r="N670" s="205" t="n"/>
      <c r="O670" s="183" t="n"/>
      <c r="P670" s="183" t="n"/>
      <c r="Q670" s="183" t="n"/>
      <c r="R670" s="183" t="n"/>
      <c r="S670" s="183" t="n"/>
      <c r="T670" s="183" t="n"/>
      <c r="U670" s="183" t="n"/>
      <c r="V670" s="183" t="n"/>
      <c r="W670" s="183" t="n"/>
      <c r="X670" s="183" t="n"/>
      <c r="Y670" s="183" t="n"/>
      <c r="Z670" s="183" t="n"/>
      <c r="AA670" s="183" t="n"/>
    </row>
    <row r="671" ht="45.75" customHeight="1" s="222">
      <c r="A671" s="205" t="n"/>
      <c r="B671" s="205" t="n"/>
      <c r="C671" s="205" t="n"/>
      <c r="D671" s="205" t="n"/>
      <c r="E671" s="205" t="n"/>
      <c r="F671" s="205" t="n"/>
      <c r="G671" s="206" t="n"/>
      <c r="H671" s="205" t="n"/>
      <c r="I671" s="28" t="n"/>
      <c r="J671" s="205" t="n"/>
      <c r="K671" s="205" t="n"/>
      <c r="L671" s="205" t="n"/>
      <c r="M671" s="205" t="n"/>
      <c r="N671" s="205" t="n"/>
      <c r="O671" s="183" t="n"/>
      <c r="P671" s="183" t="n"/>
      <c r="Q671" s="183" t="n"/>
      <c r="R671" s="183" t="n"/>
      <c r="S671" s="183" t="n"/>
      <c r="T671" s="183" t="n"/>
      <c r="U671" s="183" t="n"/>
      <c r="V671" s="183" t="n"/>
      <c r="W671" s="183" t="n"/>
      <c r="X671" s="183" t="n"/>
      <c r="Y671" s="183" t="n"/>
      <c r="Z671" s="183" t="n"/>
      <c r="AA671" s="183" t="n"/>
    </row>
    <row r="672" ht="45.75" customHeight="1" s="222">
      <c r="A672" s="205" t="n"/>
      <c r="B672" s="205" t="n"/>
      <c r="C672" s="205" t="n"/>
      <c r="D672" s="205" t="n"/>
      <c r="E672" s="205" t="n"/>
      <c r="F672" s="205" t="n"/>
      <c r="G672" s="206" t="n"/>
      <c r="H672" s="205" t="n"/>
      <c r="I672" s="28" t="n"/>
      <c r="J672" s="205" t="n"/>
      <c r="K672" s="205" t="n"/>
      <c r="L672" s="205" t="n"/>
      <c r="M672" s="205" t="n"/>
      <c r="N672" s="205" t="n"/>
      <c r="O672" s="183" t="n"/>
      <c r="P672" s="183" t="n"/>
      <c r="Q672" s="183" t="n"/>
      <c r="R672" s="183" t="n"/>
      <c r="S672" s="183" t="n"/>
      <c r="T672" s="183" t="n"/>
      <c r="U672" s="183" t="n"/>
      <c r="V672" s="183" t="n"/>
      <c r="W672" s="183" t="n"/>
      <c r="X672" s="183" t="n"/>
      <c r="Y672" s="183" t="n"/>
      <c r="Z672" s="183" t="n"/>
      <c r="AA672" s="183" t="n"/>
    </row>
    <row r="673" ht="45.75" customHeight="1" s="222">
      <c r="A673" s="205" t="n"/>
      <c r="B673" s="205" t="n"/>
      <c r="C673" s="205" t="n"/>
      <c r="D673" s="205" t="n"/>
      <c r="E673" s="205" t="n"/>
      <c r="F673" s="205" t="n"/>
      <c r="G673" s="206" t="n"/>
      <c r="H673" s="205" t="n"/>
      <c r="I673" s="28" t="n"/>
      <c r="J673" s="205" t="n"/>
      <c r="K673" s="205" t="n"/>
      <c r="L673" s="205" t="n"/>
      <c r="M673" s="205" t="n"/>
      <c r="N673" s="205" t="n"/>
      <c r="O673" s="183" t="n"/>
      <c r="P673" s="183" t="n"/>
      <c r="Q673" s="183" t="n"/>
      <c r="R673" s="183" t="n"/>
      <c r="S673" s="183" t="n"/>
      <c r="T673" s="183" t="n"/>
      <c r="U673" s="183" t="n"/>
      <c r="V673" s="183" t="n"/>
      <c r="W673" s="183" t="n"/>
      <c r="X673" s="183" t="n"/>
      <c r="Y673" s="183" t="n"/>
      <c r="Z673" s="183" t="n"/>
      <c r="AA673" s="183" t="n"/>
    </row>
    <row r="674" ht="45.75" customHeight="1" s="222">
      <c r="A674" s="205" t="n"/>
      <c r="B674" s="205" t="n"/>
      <c r="C674" s="205" t="n"/>
      <c r="D674" s="205" t="n"/>
      <c r="E674" s="205" t="n"/>
      <c r="F674" s="205" t="n"/>
      <c r="G674" s="206" t="n"/>
      <c r="H674" s="205" t="n"/>
      <c r="I674" s="28" t="n"/>
      <c r="J674" s="205" t="n"/>
      <c r="K674" s="205" t="n"/>
      <c r="L674" s="205" t="n"/>
      <c r="M674" s="205" t="n"/>
      <c r="N674" s="205" t="n"/>
      <c r="O674" s="183" t="n"/>
      <c r="P674" s="183" t="n"/>
      <c r="Q674" s="183" t="n"/>
      <c r="R674" s="183" t="n"/>
      <c r="S674" s="183" t="n"/>
      <c r="T674" s="183" t="n"/>
      <c r="U674" s="183" t="n"/>
      <c r="V674" s="183" t="n"/>
      <c r="W674" s="183" t="n"/>
      <c r="X674" s="183" t="n"/>
      <c r="Y674" s="183" t="n"/>
      <c r="Z674" s="183" t="n"/>
      <c r="AA674" s="183" t="n"/>
    </row>
    <row r="675" ht="45.75" customHeight="1" s="222">
      <c r="A675" s="205" t="n"/>
      <c r="B675" s="205" t="n"/>
      <c r="C675" s="205" t="n"/>
      <c r="D675" s="205" t="n"/>
      <c r="E675" s="205" t="n"/>
      <c r="F675" s="205" t="n"/>
      <c r="G675" s="206" t="n"/>
      <c r="H675" s="205" t="n"/>
      <c r="I675" s="28" t="n"/>
      <c r="J675" s="205" t="n"/>
      <c r="K675" s="205" t="n"/>
      <c r="L675" s="205" t="n"/>
      <c r="M675" s="205" t="n"/>
      <c r="N675" s="205" t="n"/>
      <c r="O675" s="183" t="n"/>
      <c r="P675" s="183" t="n"/>
      <c r="Q675" s="183" t="n"/>
      <c r="R675" s="183" t="n"/>
      <c r="S675" s="183" t="n"/>
      <c r="T675" s="183" t="n"/>
      <c r="U675" s="183" t="n"/>
      <c r="V675" s="183" t="n"/>
      <c r="W675" s="183" t="n"/>
      <c r="X675" s="183" t="n"/>
      <c r="Y675" s="183" t="n"/>
      <c r="Z675" s="183" t="n"/>
      <c r="AA675" s="183" t="n"/>
    </row>
    <row r="676" ht="45.75" customHeight="1" s="222">
      <c r="A676" s="205" t="n"/>
      <c r="B676" s="205" t="n"/>
      <c r="C676" s="205" t="n"/>
      <c r="D676" s="205" t="n"/>
      <c r="E676" s="205" t="n"/>
      <c r="F676" s="205" t="n"/>
      <c r="G676" s="206" t="n"/>
      <c r="H676" s="205" t="n"/>
      <c r="I676" s="28" t="n"/>
      <c r="J676" s="205" t="n"/>
      <c r="K676" s="205" t="n"/>
      <c r="L676" s="205" t="n"/>
      <c r="M676" s="205" t="n"/>
      <c r="N676" s="205" t="n"/>
      <c r="O676" s="183" t="n"/>
      <c r="P676" s="183" t="n"/>
      <c r="Q676" s="183" t="n"/>
      <c r="R676" s="183" t="n"/>
      <c r="S676" s="183" t="n"/>
      <c r="T676" s="183" t="n"/>
      <c r="U676" s="183" t="n"/>
      <c r="V676" s="183" t="n"/>
      <c r="W676" s="183" t="n"/>
      <c r="X676" s="183" t="n"/>
      <c r="Y676" s="183" t="n"/>
      <c r="Z676" s="183" t="n"/>
      <c r="AA676" s="183" t="n"/>
    </row>
    <row r="677" ht="45.75" customHeight="1" s="222">
      <c r="A677" s="205" t="n"/>
      <c r="B677" s="205" t="n"/>
      <c r="C677" s="205" t="n"/>
      <c r="D677" s="205" t="n"/>
      <c r="E677" s="205" t="n"/>
      <c r="F677" s="205" t="n"/>
      <c r="G677" s="206" t="n"/>
      <c r="H677" s="205" t="n"/>
      <c r="I677" s="28" t="n"/>
      <c r="J677" s="205" t="n"/>
      <c r="K677" s="205" t="n"/>
      <c r="L677" s="205" t="n"/>
      <c r="M677" s="205" t="n"/>
      <c r="N677" s="205" t="n"/>
      <c r="O677" s="183" t="n"/>
      <c r="P677" s="183" t="n"/>
      <c r="Q677" s="183" t="n"/>
      <c r="R677" s="183" t="n"/>
      <c r="S677" s="183" t="n"/>
      <c r="T677" s="183" t="n"/>
      <c r="U677" s="183" t="n"/>
      <c r="V677" s="183" t="n"/>
      <c r="W677" s="183" t="n"/>
      <c r="X677" s="183" t="n"/>
      <c r="Y677" s="183" t="n"/>
      <c r="Z677" s="183" t="n"/>
      <c r="AA677" s="183" t="n"/>
    </row>
    <row r="678" ht="45.75" customHeight="1" s="222">
      <c r="A678" s="205" t="n"/>
      <c r="B678" s="205" t="n"/>
      <c r="C678" s="205" t="n"/>
      <c r="D678" s="205" t="n"/>
      <c r="E678" s="205" t="n"/>
      <c r="F678" s="205" t="n"/>
      <c r="G678" s="206" t="n"/>
      <c r="H678" s="205" t="n"/>
      <c r="I678" s="28" t="n"/>
      <c r="J678" s="205" t="n"/>
      <c r="K678" s="205" t="n"/>
      <c r="L678" s="205" t="n"/>
      <c r="M678" s="205" t="n"/>
      <c r="N678" s="205" t="n"/>
      <c r="O678" s="183" t="n"/>
      <c r="P678" s="183" t="n"/>
      <c r="Q678" s="183" t="n"/>
      <c r="R678" s="183" t="n"/>
      <c r="S678" s="183" t="n"/>
      <c r="T678" s="183" t="n"/>
      <c r="U678" s="183" t="n"/>
      <c r="V678" s="183" t="n"/>
      <c r="W678" s="183" t="n"/>
      <c r="X678" s="183" t="n"/>
      <c r="Y678" s="183" t="n"/>
      <c r="Z678" s="183" t="n"/>
      <c r="AA678" s="183" t="n"/>
    </row>
    <row r="679" ht="45.75" customHeight="1" s="222">
      <c r="A679" s="205" t="n"/>
      <c r="B679" s="205" t="n"/>
      <c r="C679" s="205" t="n"/>
      <c r="D679" s="205" t="n"/>
      <c r="E679" s="205" t="n"/>
      <c r="F679" s="205" t="n"/>
      <c r="G679" s="206" t="n"/>
      <c r="H679" s="205" t="n"/>
      <c r="I679" s="28" t="n"/>
      <c r="J679" s="205" t="n"/>
      <c r="K679" s="205" t="n"/>
      <c r="L679" s="205" t="n"/>
      <c r="M679" s="205" t="n"/>
      <c r="N679" s="205" t="n"/>
      <c r="O679" s="183" t="n"/>
      <c r="P679" s="183" t="n"/>
      <c r="Q679" s="183" t="n"/>
      <c r="R679" s="183" t="n"/>
      <c r="S679" s="183" t="n"/>
      <c r="T679" s="183" t="n"/>
      <c r="U679" s="183" t="n"/>
      <c r="V679" s="183" t="n"/>
      <c r="W679" s="183" t="n"/>
      <c r="X679" s="183" t="n"/>
      <c r="Y679" s="183" t="n"/>
      <c r="Z679" s="183" t="n"/>
      <c r="AA679" s="183" t="n"/>
    </row>
    <row r="680" ht="45.75" customHeight="1" s="222">
      <c r="A680" s="205" t="n"/>
      <c r="B680" s="205" t="n"/>
      <c r="C680" s="205" t="n"/>
      <c r="D680" s="205" t="n"/>
      <c r="E680" s="205" t="n"/>
      <c r="F680" s="205" t="n"/>
      <c r="G680" s="206" t="n"/>
      <c r="H680" s="205" t="n"/>
      <c r="I680" s="28" t="n"/>
      <c r="J680" s="205" t="n"/>
      <c r="K680" s="205" t="n"/>
      <c r="L680" s="205" t="n"/>
      <c r="M680" s="205" t="n"/>
      <c r="N680" s="205" t="n"/>
      <c r="O680" s="183" t="n"/>
      <c r="P680" s="183" t="n"/>
      <c r="Q680" s="183" t="n"/>
      <c r="R680" s="183" t="n"/>
      <c r="S680" s="183" t="n"/>
      <c r="T680" s="183" t="n"/>
      <c r="U680" s="183" t="n"/>
      <c r="V680" s="183" t="n"/>
      <c r="W680" s="183" t="n"/>
      <c r="X680" s="183" t="n"/>
      <c r="Y680" s="183" t="n"/>
      <c r="Z680" s="183" t="n"/>
      <c r="AA680" s="183" t="n"/>
    </row>
    <row r="681" ht="45.75" customHeight="1" s="222">
      <c r="A681" s="205" t="n"/>
      <c r="B681" s="205" t="n"/>
      <c r="C681" s="205" t="n"/>
      <c r="D681" s="205" t="n"/>
      <c r="E681" s="205" t="n"/>
      <c r="F681" s="205" t="n"/>
      <c r="G681" s="206" t="n"/>
      <c r="H681" s="205" t="n"/>
      <c r="I681" s="28" t="n"/>
      <c r="J681" s="205" t="n"/>
      <c r="K681" s="205" t="n"/>
      <c r="L681" s="205" t="n"/>
      <c r="M681" s="205" t="n"/>
      <c r="N681" s="205" t="n"/>
      <c r="O681" s="183" t="n"/>
      <c r="P681" s="183" t="n"/>
      <c r="Q681" s="183" t="n"/>
      <c r="R681" s="183" t="n"/>
      <c r="S681" s="183" t="n"/>
      <c r="T681" s="183" t="n"/>
      <c r="U681" s="183" t="n"/>
      <c r="V681" s="183" t="n"/>
      <c r="W681" s="183" t="n"/>
      <c r="X681" s="183" t="n"/>
      <c r="Y681" s="183" t="n"/>
      <c r="Z681" s="183" t="n"/>
      <c r="AA681" s="183" t="n"/>
    </row>
    <row r="682" ht="45.75" customHeight="1" s="222">
      <c r="A682" s="205" t="n"/>
      <c r="B682" s="205" t="n"/>
      <c r="C682" s="205" t="n"/>
      <c r="D682" s="205" t="n"/>
      <c r="E682" s="205" t="n"/>
      <c r="F682" s="205" t="n"/>
      <c r="G682" s="206" t="n"/>
      <c r="H682" s="205" t="n"/>
      <c r="I682" s="28" t="n"/>
      <c r="J682" s="205" t="n"/>
      <c r="K682" s="205" t="n"/>
      <c r="L682" s="205" t="n"/>
      <c r="M682" s="205" t="n"/>
      <c r="N682" s="205" t="n"/>
      <c r="O682" s="183" t="n"/>
      <c r="P682" s="183" t="n"/>
      <c r="Q682" s="183" t="n"/>
      <c r="R682" s="183" t="n"/>
      <c r="S682" s="183" t="n"/>
      <c r="T682" s="183" t="n"/>
      <c r="U682" s="183" t="n"/>
      <c r="V682" s="183" t="n"/>
      <c r="W682" s="183" t="n"/>
      <c r="X682" s="183" t="n"/>
      <c r="Y682" s="183" t="n"/>
      <c r="Z682" s="183" t="n"/>
      <c r="AA682" s="183" t="n"/>
    </row>
    <row r="683" ht="45.75" customHeight="1" s="222">
      <c r="A683" s="205" t="n"/>
      <c r="B683" s="205" t="n"/>
      <c r="C683" s="205" t="n"/>
      <c r="D683" s="205" t="n"/>
      <c r="E683" s="205" t="n"/>
      <c r="F683" s="205" t="n"/>
      <c r="G683" s="206" t="n"/>
      <c r="H683" s="205" t="n"/>
      <c r="I683" s="28" t="n"/>
      <c r="J683" s="205" t="n"/>
      <c r="K683" s="205" t="n"/>
      <c r="L683" s="205" t="n"/>
      <c r="M683" s="205" t="n"/>
      <c r="N683" s="205" t="n"/>
      <c r="O683" s="183" t="n"/>
      <c r="P683" s="183" t="n"/>
      <c r="Q683" s="183" t="n"/>
      <c r="R683" s="183" t="n"/>
      <c r="S683" s="183" t="n"/>
      <c r="T683" s="183" t="n"/>
      <c r="U683" s="183" t="n"/>
      <c r="V683" s="183" t="n"/>
      <c r="W683" s="183" t="n"/>
      <c r="X683" s="183" t="n"/>
      <c r="Y683" s="183" t="n"/>
      <c r="Z683" s="183" t="n"/>
      <c r="AA683" s="183" t="n"/>
    </row>
    <row r="684" ht="45.75" customHeight="1" s="222">
      <c r="A684" s="205" t="n"/>
      <c r="B684" s="205" t="n"/>
      <c r="C684" s="205" t="n"/>
      <c r="D684" s="205" t="n"/>
      <c r="E684" s="205" t="n"/>
      <c r="F684" s="205" t="n"/>
      <c r="G684" s="206" t="n"/>
      <c r="H684" s="205" t="n"/>
      <c r="I684" s="28" t="n"/>
      <c r="J684" s="205" t="n"/>
      <c r="K684" s="205" t="n"/>
      <c r="L684" s="205" t="n"/>
      <c r="M684" s="205" t="n"/>
      <c r="N684" s="205" t="n"/>
      <c r="O684" s="183" t="n"/>
      <c r="P684" s="183" t="n"/>
      <c r="Q684" s="183" t="n"/>
      <c r="R684" s="183" t="n"/>
      <c r="S684" s="183" t="n"/>
      <c r="T684" s="183" t="n"/>
      <c r="U684" s="183" t="n"/>
      <c r="V684" s="183" t="n"/>
      <c r="W684" s="183" t="n"/>
      <c r="X684" s="183" t="n"/>
      <c r="Y684" s="183" t="n"/>
      <c r="Z684" s="183" t="n"/>
      <c r="AA684" s="183" t="n"/>
    </row>
    <row r="685" ht="45.75" customHeight="1" s="222">
      <c r="A685" s="205" t="n"/>
      <c r="B685" s="205" t="n"/>
      <c r="C685" s="205" t="n"/>
      <c r="D685" s="205" t="n"/>
      <c r="E685" s="205" t="n"/>
      <c r="F685" s="205" t="n"/>
      <c r="G685" s="206" t="n"/>
      <c r="H685" s="205" t="n"/>
      <c r="I685" s="28" t="n"/>
      <c r="J685" s="205" t="n"/>
      <c r="K685" s="205" t="n"/>
      <c r="L685" s="205" t="n"/>
      <c r="M685" s="205" t="n"/>
      <c r="N685" s="205" t="n"/>
      <c r="O685" s="183" t="n"/>
      <c r="P685" s="183" t="n"/>
      <c r="Q685" s="183" t="n"/>
      <c r="R685" s="183" t="n"/>
      <c r="S685" s="183" t="n"/>
      <c r="T685" s="183" t="n"/>
      <c r="U685" s="183" t="n"/>
      <c r="V685" s="183" t="n"/>
      <c r="W685" s="183" t="n"/>
      <c r="X685" s="183" t="n"/>
      <c r="Y685" s="183" t="n"/>
      <c r="Z685" s="183" t="n"/>
      <c r="AA685" s="183" t="n"/>
    </row>
    <row r="686" ht="45.75" customHeight="1" s="222">
      <c r="A686" s="205" t="n"/>
      <c r="B686" s="205" t="n"/>
      <c r="C686" s="205" t="n"/>
      <c r="D686" s="205" t="n"/>
      <c r="E686" s="205" t="n"/>
      <c r="F686" s="205" t="n"/>
      <c r="G686" s="206" t="n"/>
      <c r="H686" s="205" t="n"/>
      <c r="I686" s="28" t="n"/>
      <c r="J686" s="205" t="n"/>
      <c r="K686" s="205" t="n"/>
      <c r="L686" s="205" t="n"/>
      <c r="M686" s="205" t="n"/>
      <c r="N686" s="205" t="n"/>
      <c r="O686" s="183" t="n"/>
      <c r="P686" s="183" t="n"/>
      <c r="Q686" s="183" t="n"/>
      <c r="R686" s="183" t="n"/>
      <c r="S686" s="183" t="n"/>
      <c r="T686" s="183" t="n"/>
      <c r="U686" s="183" t="n"/>
      <c r="V686" s="183" t="n"/>
      <c r="W686" s="183" t="n"/>
      <c r="X686" s="183" t="n"/>
      <c r="Y686" s="183" t="n"/>
      <c r="Z686" s="183" t="n"/>
      <c r="AA686" s="183" t="n"/>
    </row>
    <row r="687" ht="45.75" customHeight="1" s="222">
      <c r="A687" s="205" t="n"/>
      <c r="B687" s="205" t="n"/>
      <c r="C687" s="205" t="n"/>
      <c r="D687" s="205" t="n"/>
      <c r="E687" s="205" t="n"/>
      <c r="F687" s="205" t="n"/>
      <c r="G687" s="206" t="n"/>
      <c r="H687" s="205" t="n"/>
      <c r="I687" s="28" t="n"/>
      <c r="J687" s="205" t="n"/>
      <c r="K687" s="205" t="n"/>
      <c r="L687" s="205" t="n"/>
      <c r="M687" s="205" t="n"/>
      <c r="N687" s="205" t="n"/>
      <c r="O687" s="183" t="n"/>
      <c r="P687" s="183" t="n"/>
      <c r="Q687" s="183" t="n"/>
      <c r="R687" s="183" t="n"/>
      <c r="S687" s="183" t="n"/>
      <c r="T687" s="183" t="n"/>
      <c r="U687" s="183" t="n"/>
      <c r="V687" s="183" t="n"/>
      <c r="W687" s="183" t="n"/>
      <c r="X687" s="183" t="n"/>
      <c r="Y687" s="183" t="n"/>
      <c r="Z687" s="183" t="n"/>
      <c r="AA687" s="183" t="n"/>
    </row>
    <row r="688" ht="45.75" customHeight="1" s="222">
      <c r="A688" s="205" t="n"/>
      <c r="B688" s="205" t="n"/>
      <c r="C688" s="205" t="n"/>
      <c r="D688" s="205" t="n"/>
      <c r="E688" s="205" t="n"/>
      <c r="F688" s="205" t="n"/>
      <c r="G688" s="206" t="n"/>
      <c r="H688" s="205" t="n"/>
      <c r="I688" s="28" t="n"/>
      <c r="J688" s="205" t="n"/>
      <c r="K688" s="205" t="n"/>
      <c r="L688" s="205" t="n"/>
      <c r="M688" s="205" t="n"/>
      <c r="N688" s="205" t="n"/>
      <c r="O688" s="183" t="n"/>
      <c r="P688" s="183" t="n"/>
      <c r="Q688" s="183" t="n"/>
      <c r="R688" s="183" t="n"/>
      <c r="S688" s="183" t="n"/>
      <c r="T688" s="183" t="n"/>
      <c r="U688" s="183" t="n"/>
      <c r="V688" s="183" t="n"/>
      <c r="W688" s="183" t="n"/>
      <c r="X688" s="183" t="n"/>
      <c r="Y688" s="183" t="n"/>
      <c r="Z688" s="183" t="n"/>
      <c r="AA688" s="183" t="n"/>
    </row>
    <row r="689" ht="45.75" customHeight="1" s="222">
      <c r="A689" s="205" t="n"/>
      <c r="B689" s="205" t="n"/>
      <c r="C689" s="205" t="n"/>
      <c r="D689" s="205" t="n"/>
      <c r="E689" s="205" t="n"/>
      <c r="F689" s="205" t="n"/>
      <c r="G689" s="206" t="n"/>
      <c r="H689" s="205" t="n"/>
      <c r="I689" s="28" t="n"/>
      <c r="J689" s="205" t="n"/>
      <c r="K689" s="205" t="n"/>
      <c r="L689" s="205" t="n"/>
      <c r="M689" s="205" t="n"/>
      <c r="N689" s="205" t="n"/>
      <c r="O689" s="183" t="n"/>
      <c r="P689" s="183" t="n"/>
      <c r="Q689" s="183" t="n"/>
      <c r="R689" s="183" t="n"/>
      <c r="S689" s="183" t="n"/>
      <c r="T689" s="183" t="n"/>
      <c r="U689" s="183" t="n"/>
      <c r="V689" s="183" t="n"/>
      <c r="W689" s="183" t="n"/>
      <c r="X689" s="183" t="n"/>
      <c r="Y689" s="183" t="n"/>
      <c r="Z689" s="183" t="n"/>
      <c r="AA689" s="183" t="n"/>
    </row>
    <row r="690" ht="45.75" customHeight="1" s="222">
      <c r="A690" s="205" t="n"/>
      <c r="B690" s="205" t="n"/>
      <c r="C690" s="205" t="n"/>
      <c r="D690" s="205" t="n"/>
      <c r="E690" s="205" t="n"/>
      <c r="F690" s="205" t="n"/>
      <c r="G690" s="206" t="n"/>
      <c r="H690" s="205" t="n"/>
      <c r="I690" s="28" t="n"/>
      <c r="J690" s="205" t="n"/>
      <c r="K690" s="205" t="n"/>
      <c r="L690" s="205" t="n"/>
      <c r="M690" s="205" t="n"/>
      <c r="N690" s="205" t="n"/>
      <c r="O690" s="183" t="n"/>
      <c r="P690" s="183" t="n"/>
      <c r="Q690" s="183" t="n"/>
      <c r="R690" s="183" t="n"/>
      <c r="S690" s="183" t="n"/>
      <c r="T690" s="183" t="n"/>
      <c r="U690" s="183" t="n"/>
      <c r="V690" s="183" t="n"/>
      <c r="W690" s="183" t="n"/>
      <c r="X690" s="183" t="n"/>
      <c r="Y690" s="183" t="n"/>
      <c r="Z690" s="183" t="n"/>
      <c r="AA690" s="183" t="n"/>
    </row>
    <row r="691" ht="45.75" customHeight="1" s="222">
      <c r="A691" s="205" t="n"/>
      <c r="B691" s="205" t="n"/>
      <c r="C691" s="205" t="n"/>
      <c r="D691" s="205" t="n"/>
      <c r="E691" s="205" t="n"/>
      <c r="F691" s="205" t="n"/>
      <c r="G691" s="206" t="n"/>
      <c r="H691" s="205" t="n"/>
      <c r="I691" s="28" t="n"/>
      <c r="J691" s="205" t="n"/>
      <c r="K691" s="205" t="n"/>
      <c r="L691" s="205" t="n"/>
      <c r="M691" s="205" t="n"/>
      <c r="N691" s="205" t="n"/>
      <c r="O691" s="183" t="n"/>
      <c r="P691" s="183" t="n"/>
      <c r="Q691" s="183" t="n"/>
      <c r="R691" s="183" t="n"/>
      <c r="S691" s="183" t="n"/>
      <c r="T691" s="183" t="n"/>
      <c r="U691" s="183" t="n"/>
      <c r="V691" s="183" t="n"/>
      <c r="W691" s="183" t="n"/>
      <c r="X691" s="183" t="n"/>
      <c r="Y691" s="183" t="n"/>
      <c r="Z691" s="183" t="n"/>
      <c r="AA691" s="183" t="n"/>
    </row>
    <row r="692" ht="45.75" customHeight="1" s="222">
      <c r="A692" s="205" t="n"/>
      <c r="B692" s="205" t="n"/>
      <c r="C692" s="205" t="n"/>
      <c r="D692" s="205" t="n"/>
      <c r="E692" s="205" t="n"/>
      <c r="F692" s="205" t="n"/>
      <c r="G692" s="206" t="n"/>
      <c r="H692" s="205" t="n"/>
      <c r="I692" s="28" t="n"/>
      <c r="J692" s="205" t="n"/>
      <c r="K692" s="205" t="n"/>
      <c r="L692" s="205" t="n"/>
      <c r="M692" s="205" t="n"/>
      <c r="N692" s="205" t="n"/>
      <c r="O692" s="183" t="n"/>
      <c r="P692" s="183" t="n"/>
      <c r="Q692" s="183" t="n"/>
      <c r="R692" s="183" t="n"/>
      <c r="S692" s="183" t="n"/>
      <c r="T692" s="183" t="n"/>
      <c r="U692" s="183" t="n"/>
      <c r="V692" s="183" t="n"/>
      <c r="W692" s="183" t="n"/>
      <c r="X692" s="183" t="n"/>
      <c r="Y692" s="183" t="n"/>
      <c r="Z692" s="183" t="n"/>
      <c r="AA692" s="183" t="n"/>
    </row>
    <row r="693" ht="45.75" customHeight="1" s="222">
      <c r="A693" s="205" t="n"/>
      <c r="B693" s="205" t="n"/>
      <c r="C693" s="205" t="n"/>
      <c r="D693" s="205" t="n"/>
      <c r="E693" s="205" t="n"/>
      <c r="F693" s="205" t="n"/>
      <c r="G693" s="206" t="n"/>
      <c r="H693" s="205" t="n"/>
      <c r="I693" s="28" t="n"/>
      <c r="J693" s="205" t="n"/>
      <c r="K693" s="205" t="n"/>
      <c r="L693" s="205" t="n"/>
      <c r="M693" s="205" t="n"/>
      <c r="N693" s="205" t="n"/>
      <c r="O693" s="183" t="n"/>
      <c r="P693" s="183" t="n"/>
      <c r="Q693" s="183" t="n"/>
      <c r="R693" s="183" t="n"/>
      <c r="S693" s="183" t="n"/>
      <c r="T693" s="183" t="n"/>
      <c r="U693" s="183" t="n"/>
      <c r="V693" s="183" t="n"/>
      <c r="W693" s="183" t="n"/>
      <c r="X693" s="183" t="n"/>
      <c r="Y693" s="183" t="n"/>
      <c r="Z693" s="183" t="n"/>
      <c r="AA693" s="183" t="n"/>
    </row>
    <row r="694" ht="45.75" customHeight="1" s="222">
      <c r="A694" s="205" t="n"/>
      <c r="B694" s="205" t="n"/>
      <c r="C694" s="205" t="n"/>
      <c r="D694" s="205" t="n"/>
      <c r="E694" s="205" t="n"/>
      <c r="F694" s="205" t="n"/>
      <c r="G694" s="206" t="n"/>
      <c r="H694" s="205" t="n"/>
      <c r="I694" s="28" t="n"/>
      <c r="J694" s="205" t="n"/>
      <c r="K694" s="205" t="n"/>
      <c r="L694" s="205" t="n"/>
      <c r="M694" s="205" t="n"/>
      <c r="N694" s="205" t="n"/>
      <c r="O694" s="183" t="n"/>
      <c r="P694" s="183" t="n"/>
      <c r="Q694" s="183" t="n"/>
      <c r="R694" s="183" t="n"/>
      <c r="S694" s="183" t="n"/>
      <c r="T694" s="183" t="n"/>
      <c r="U694" s="183" t="n"/>
      <c r="V694" s="183" t="n"/>
      <c r="W694" s="183" t="n"/>
      <c r="X694" s="183" t="n"/>
      <c r="Y694" s="183" t="n"/>
      <c r="Z694" s="183" t="n"/>
      <c r="AA694" s="183" t="n"/>
    </row>
    <row r="695" ht="45.75" customHeight="1" s="222">
      <c r="A695" s="205" t="n"/>
      <c r="B695" s="205" t="n"/>
      <c r="C695" s="205" t="n"/>
      <c r="D695" s="205" t="n"/>
      <c r="E695" s="205" t="n"/>
      <c r="F695" s="205" t="n"/>
      <c r="G695" s="206" t="n"/>
      <c r="H695" s="205" t="n"/>
      <c r="I695" s="28" t="n"/>
      <c r="J695" s="205" t="n"/>
      <c r="K695" s="205" t="n"/>
      <c r="L695" s="205" t="n"/>
      <c r="M695" s="205" t="n"/>
      <c r="N695" s="205" t="n"/>
      <c r="O695" s="183" t="n"/>
      <c r="P695" s="183" t="n"/>
      <c r="Q695" s="183" t="n"/>
      <c r="R695" s="183" t="n"/>
      <c r="S695" s="183" t="n"/>
      <c r="T695" s="183" t="n"/>
      <c r="U695" s="183" t="n"/>
      <c r="V695" s="183" t="n"/>
      <c r="W695" s="183" t="n"/>
      <c r="X695" s="183" t="n"/>
      <c r="Y695" s="183" t="n"/>
      <c r="Z695" s="183" t="n"/>
      <c r="AA695" s="183" t="n"/>
    </row>
    <row r="696" ht="45.75" customHeight="1" s="222">
      <c r="A696" s="205" t="n"/>
      <c r="B696" s="205" t="n"/>
      <c r="C696" s="205" t="n"/>
      <c r="D696" s="205" t="n"/>
      <c r="E696" s="205" t="n"/>
      <c r="F696" s="205" t="n"/>
      <c r="G696" s="206" t="n"/>
      <c r="H696" s="205" t="n"/>
      <c r="I696" s="28" t="n"/>
      <c r="J696" s="205" t="n"/>
      <c r="K696" s="205" t="n"/>
      <c r="L696" s="205" t="n"/>
      <c r="M696" s="205" t="n"/>
      <c r="N696" s="205" t="n"/>
      <c r="O696" s="183" t="n"/>
      <c r="P696" s="183" t="n"/>
      <c r="Q696" s="183" t="n"/>
      <c r="R696" s="183" t="n"/>
      <c r="S696" s="183" t="n"/>
      <c r="T696" s="183" t="n"/>
      <c r="U696" s="183" t="n"/>
      <c r="V696" s="183" t="n"/>
      <c r="W696" s="183" t="n"/>
      <c r="X696" s="183" t="n"/>
      <c r="Y696" s="183" t="n"/>
      <c r="Z696" s="183" t="n"/>
      <c r="AA696" s="183" t="n"/>
    </row>
    <row r="697" ht="45.75" customHeight="1" s="222">
      <c r="A697" s="205" t="n"/>
      <c r="B697" s="205" t="n"/>
      <c r="C697" s="205" t="n"/>
      <c r="D697" s="205" t="n"/>
      <c r="E697" s="205" t="n"/>
      <c r="F697" s="205" t="n"/>
      <c r="G697" s="206" t="n"/>
      <c r="H697" s="205" t="n"/>
      <c r="I697" s="28" t="n"/>
      <c r="J697" s="205" t="n"/>
      <c r="K697" s="205" t="n"/>
      <c r="L697" s="205" t="n"/>
      <c r="M697" s="205" t="n"/>
      <c r="N697" s="205" t="n"/>
      <c r="O697" s="183" t="n"/>
      <c r="P697" s="183" t="n"/>
      <c r="Q697" s="183" t="n"/>
      <c r="R697" s="183" t="n"/>
      <c r="S697" s="183" t="n"/>
      <c r="T697" s="183" t="n"/>
      <c r="U697" s="183" t="n"/>
      <c r="V697" s="183" t="n"/>
      <c r="W697" s="183" t="n"/>
      <c r="X697" s="183" t="n"/>
      <c r="Y697" s="183" t="n"/>
      <c r="Z697" s="183" t="n"/>
      <c r="AA697" s="183" t="n"/>
    </row>
    <row r="698" ht="45.75" customHeight="1" s="222">
      <c r="A698" s="205" t="n"/>
      <c r="B698" s="205" t="n"/>
      <c r="C698" s="205" t="n"/>
      <c r="D698" s="205" t="n"/>
      <c r="E698" s="205" t="n"/>
      <c r="F698" s="205" t="n"/>
      <c r="G698" s="206" t="n"/>
      <c r="H698" s="205" t="n"/>
      <c r="I698" s="28" t="n"/>
      <c r="J698" s="205" t="n"/>
      <c r="K698" s="205" t="n"/>
      <c r="L698" s="205" t="n"/>
      <c r="M698" s="205" t="n"/>
      <c r="N698" s="205" t="n"/>
      <c r="O698" s="183" t="n"/>
      <c r="P698" s="183" t="n"/>
      <c r="Q698" s="183" t="n"/>
      <c r="R698" s="183" t="n"/>
      <c r="S698" s="183" t="n"/>
      <c r="T698" s="183" t="n"/>
      <c r="U698" s="183" t="n"/>
      <c r="V698" s="183" t="n"/>
      <c r="W698" s="183" t="n"/>
      <c r="X698" s="183" t="n"/>
      <c r="Y698" s="183" t="n"/>
      <c r="Z698" s="183" t="n"/>
      <c r="AA698" s="183" t="n"/>
    </row>
    <row r="699" ht="45.75" customHeight="1" s="222">
      <c r="A699" s="205" t="n"/>
      <c r="B699" s="205" t="n"/>
      <c r="C699" s="205" t="n"/>
      <c r="D699" s="205" t="n"/>
      <c r="E699" s="205" t="n"/>
      <c r="F699" s="205" t="n"/>
      <c r="G699" s="206" t="n"/>
      <c r="H699" s="205" t="n"/>
      <c r="I699" s="28" t="n"/>
      <c r="J699" s="205" t="n"/>
      <c r="K699" s="205" t="n"/>
      <c r="L699" s="205" t="n"/>
      <c r="M699" s="205" t="n"/>
      <c r="N699" s="205" t="n"/>
      <c r="O699" s="183" t="n"/>
      <c r="P699" s="183" t="n"/>
      <c r="Q699" s="183" t="n"/>
      <c r="R699" s="183" t="n"/>
      <c r="S699" s="183" t="n"/>
      <c r="T699" s="183" t="n"/>
      <c r="U699" s="183" t="n"/>
      <c r="V699" s="183" t="n"/>
      <c r="W699" s="183" t="n"/>
      <c r="X699" s="183" t="n"/>
      <c r="Y699" s="183" t="n"/>
      <c r="Z699" s="183" t="n"/>
      <c r="AA699" s="183" t="n"/>
    </row>
    <row r="700" ht="45.75" customHeight="1" s="222">
      <c r="A700" s="205" t="n"/>
      <c r="B700" s="205" t="n"/>
      <c r="C700" s="205" t="n"/>
      <c r="D700" s="205" t="n"/>
      <c r="E700" s="205" t="n"/>
      <c r="F700" s="205" t="n"/>
      <c r="G700" s="206" t="n"/>
      <c r="H700" s="205" t="n"/>
      <c r="I700" s="28" t="n"/>
      <c r="J700" s="205" t="n"/>
      <c r="K700" s="205" t="n"/>
      <c r="L700" s="205" t="n"/>
      <c r="M700" s="205" t="n"/>
      <c r="N700" s="205" t="n"/>
      <c r="O700" s="183" t="n"/>
      <c r="P700" s="183" t="n"/>
      <c r="Q700" s="183" t="n"/>
      <c r="R700" s="183" t="n"/>
      <c r="S700" s="183" t="n"/>
      <c r="T700" s="183" t="n"/>
      <c r="U700" s="183" t="n"/>
      <c r="V700" s="183" t="n"/>
      <c r="W700" s="183" t="n"/>
      <c r="X700" s="183" t="n"/>
      <c r="Y700" s="183" t="n"/>
      <c r="Z700" s="183" t="n"/>
      <c r="AA700" s="183" t="n"/>
    </row>
    <row r="701" ht="45.75" customHeight="1" s="222">
      <c r="A701" s="205" t="n"/>
      <c r="B701" s="205" t="n"/>
      <c r="C701" s="205" t="n"/>
      <c r="D701" s="205" t="n"/>
      <c r="E701" s="205" t="n"/>
      <c r="F701" s="205" t="n"/>
      <c r="G701" s="206" t="n"/>
      <c r="H701" s="205" t="n"/>
      <c r="I701" s="28" t="n"/>
      <c r="J701" s="205" t="n"/>
      <c r="K701" s="205" t="n"/>
      <c r="L701" s="205" t="n"/>
      <c r="M701" s="205" t="n"/>
      <c r="N701" s="205" t="n"/>
      <c r="O701" s="183" t="n"/>
      <c r="P701" s="183" t="n"/>
      <c r="Q701" s="183" t="n"/>
      <c r="R701" s="183" t="n"/>
      <c r="S701" s="183" t="n"/>
      <c r="T701" s="183" t="n"/>
      <c r="U701" s="183" t="n"/>
      <c r="V701" s="183" t="n"/>
      <c r="W701" s="183" t="n"/>
      <c r="X701" s="183" t="n"/>
      <c r="Y701" s="183" t="n"/>
      <c r="Z701" s="183" t="n"/>
      <c r="AA701" s="183" t="n"/>
    </row>
    <row r="702" ht="45.75" customHeight="1" s="222">
      <c r="A702" s="205" t="n"/>
      <c r="B702" s="205" t="n"/>
      <c r="C702" s="205" t="n"/>
      <c r="D702" s="205" t="n"/>
      <c r="E702" s="205" t="n"/>
      <c r="F702" s="205" t="n"/>
      <c r="G702" s="206" t="n"/>
      <c r="H702" s="205" t="n"/>
      <c r="I702" s="28" t="n"/>
      <c r="J702" s="205" t="n"/>
      <c r="K702" s="205" t="n"/>
      <c r="L702" s="205" t="n"/>
      <c r="M702" s="205" t="n"/>
      <c r="N702" s="205" t="n"/>
      <c r="O702" s="183" t="n"/>
      <c r="P702" s="183" t="n"/>
      <c r="Q702" s="183" t="n"/>
      <c r="R702" s="183" t="n"/>
      <c r="S702" s="183" t="n"/>
      <c r="T702" s="183" t="n"/>
      <c r="U702" s="183" t="n"/>
      <c r="V702" s="183" t="n"/>
      <c r="W702" s="183" t="n"/>
      <c r="X702" s="183" t="n"/>
      <c r="Y702" s="183" t="n"/>
      <c r="Z702" s="183" t="n"/>
      <c r="AA702" s="183" t="n"/>
    </row>
    <row r="703" ht="45.75" customHeight="1" s="222">
      <c r="A703" s="205" t="n"/>
      <c r="B703" s="205" t="n"/>
      <c r="C703" s="205" t="n"/>
      <c r="D703" s="205" t="n"/>
      <c r="E703" s="205" t="n"/>
      <c r="F703" s="205" t="n"/>
      <c r="G703" s="206" t="n"/>
      <c r="H703" s="205" t="n"/>
      <c r="I703" s="28" t="n"/>
      <c r="J703" s="205" t="n"/>
      <c r="K703" s="205" t="n"/>
      <c r="L703" s="205" t="n"/>
      <c r="M703" s="205" t="n"/>
      <c r="N703" s="205" t="n"/>
      <c r="O703" s="183" t="n"/>
      <c r="P703" s="183" t="n"/>
      <c r="Q703" s="183" t="n"/>
      <c r="R703" s="183" t="n"/>
      <c r="S703" s="183" t="n"/>
      <c r="T703" s="183" t="n"/>
      <c r="U703" s="183" t="n"/>
      <c r="V703" s="183" t="n"/>
      <c r="W703" s="183" t="n"/>
      <c r="X703" s="183" t="n"/>
      <c r="Y703" s="183" t="n"/>
      <c r="Z703" s="183" t="n"/>
      <c r="AA703" s="183" t="n"/>
    </row>
    <row r="704" ht="45.75" customHeight="1" s="222">
      <c r="A704" s="205" t="n"/>
      <c r="B704" s="205" t="n"/>
      <c r="C704" s="205" t="n"/>
      <c r="D704" s="205" t="n"/>
      <c r="E704" s="205" t="n"/>
      <c r="F704" s="205" t="n"/>
      <c r="G704" s="206" t="n"/>
      <c r="H704" s="205" t="n"/>
      <c r="I704" s="28" t="n"/>
      <c r="J704" s="205" t="n"/>
      <c r="K704" s="205" t="n"/>
      <c r="L704" s="205" t="n"/>
      <c r="M704" s="205" t="n"/>
      <c r="N704" s="205" t="n"/>
      <c r="O704" s="183" t="n"/>
      <c r="P704" s="183" t="n"/>
      <c r="Q704" s="183" t="n"/>
      <c r="R704" s="183" t="n"/>
      <c r="S704" s="183" t="n"/>
      <c r="T704" s="183" t="n"/>
      <c r="U704" s="183" t="n"/>
      <c r="V704" s="183" t="n"/>
      <c r="W704" s="183" t="n"/>
      <c r="X704" s="183" t="n"/>
      <c r="Y704" s="183" t="n"/>
      <c r="Z704" s="183" t="n"/>
      <c r="AA704" s="183" t="n"/>
    </row>
    <row r="705" ht="45.75" customHeight="1" s="222">
      <c r="A705" s="205" t="n"/>
      <c r="B705" s="205" t="n"/>
      <c r="C705" s="205" t="n"/>
      <c r="D705" s="205" t="n"/>
      <c r="E705" s="205" t="n"/>
      <c r="F705" s="205" t="n"/>
      <c r="G705" s="206" t="n"/>
      <c r="H705" s="205" t="n"/>
      <c r="I705" s="28" t="n"/>
      <c r="J705" s="205" t="n"/>
      <c r="K705" s="205" t="n"/>
      <c r="L705" s="205" t="n"/>
      <c r="M705" s="205" t="n"/>
      <c r="N705" s="205" t="n"/>
      <c r="O705" s="183" t="n"/>
      <c r="P705" s="183" t="n"/>
      <c r="Q705" s="183" t="n"/>
      <c r="R705" s="183" t="n"/>
      <c r="S705" s="183" t="n"/>
      <c r="T705" s="183" t="n"/>
      <c r="U705" s="183" t="n"/>
      <c r="V705" s="183" t="n"/>
      <c r="W705" s="183" t="n"/>
      <c r="X705" s="183" t="n"/>
      <c r="Y705" s="183" t="n"/>
      <c r="Z705" s="183" t="n"/>
      <c r="AA705" s="183" t="n"/>
    </row>
    <row r="706" ht="45.75" customHeight="1" s="222">
      <c r="A706" s="205" t="n"/>
      <c r="B706" s="205" t="n"/>
      <c r="C706" s="205" t="n"/>
      <c r="D706" s="205" t="n"/>
      <c r="E706" s="205" t="n"/>
      <c r="F706" s="205" t="n"/>
      <c r="G706" s="206" t="n"/>
      <c r="H706" s="205" t="n"/>
      <c r="I706" s="28" t="n"/>
      <c r="J706" s="205" t="n"/>
      <c r="K706" s="205" t="n"/>
      <c r="L706" s="205" t="n"/>
      <c r="M706" s="205" t="n"/>
      <c r="N706" s="205" t="n"/>
      <c r="O706" s="183" t="n"/>
      <c r="P706" s="183" t="n"/>
      <c r="Q706" s="183" t="n"/>
      <c r="R706" s="183" t="n"/>
      <c r="S706" s="183" t="n"/>
      <c r="T706" s="183" t="n"/>
      <c r="U706" s="183" t="n"/>
      <c r="V706" s="183" t="n"/>
      <c r="W706" s="183" t="n"/>
      <c r="X706" s="183" t="n"/>
      <c r="Y706" s="183" t="n"/>
      <c r="Z706" s="183" t="n"/>
      <c r="AA706" s="183" t="n"/>
    </row>
    <row r="707" ht="45.75" customHeight="1" s="222">
      <c r="A707" s="205" t="n"/>
      <c r="B707" s="205" t="n"/>
      <c r="C707" s="205" t="n"/>
      <c r="D707" s="205" t="n"/>
      <c r="E707" s="205" t="n"/>
      <c r="F707" s="205" t="n"/>
      <c r="G707" s="206" t="n"/>
      <c r="H707" s="205" t="n"/>
      <c r="I707" s="28" t="n"/>
      <c r="J707" s="205" t="n"/>
      <c r="K707" s="205" t="n"/>
      <c r="L707" s="205" t="n"/>
      <c r="M707" s="205" t="n"/>
      <c r="N707" s="205" t="n"/>
      <c r="O707" s="183" t="n"/>
      <c r="P707" s="183" t="n"/>
      <c r="Q707" s="183" t="n"/>
      <c r="R707" s="183" t="n"/>
      <c r="S707" s="183" t="n"/>
      <c r="T707" s="183" t="n"/>
      <c r="U707" s="183" t="n"/>
      <c r="V707" s="183" t="n"/>
      <c r="W707" s="183" t="n"/>
      <c r="X707" s="183" t="n"/>
      <c r="Y707" s="183" t="n"/>
      <c r="Z707" s="183" t="n"/>
      <c r="AA707" s="183" t="n"/>
    </row>
    <row r="708" ht="45.75" customHeight="1" s="222">
      <c r="A708" s="205" t="n"/>
      <c r="B708" s="205" t="n"/>
      <c r="C708" s="205" t="n"/>
      <c r="D708" s="205" t="n"/>
      <c r="E708" s="205" t="n"/>
      <c r="F708" s="205" t="n"/>
      <c r="G708" s="206" t="n"/>
      <c r="H708" s="205" t="n"/>
      <c r="I708" s="28" t="n"/>
      <c r="J708" s="205" t="n"/>
      <c r="K708" s="205" t="n"/>
      <c r="L708" s="205" t="n"/>
      <c r="M708" s="205" t="n"/>
      <c r="N708" s="205" t="n"/>
      <c r="O708" s="183" t="n"/>
      <c r="P708" s="183" t="n"/>
      <c r="Q708" s="183" t="n"/>
      <c r="R708" s="183" t="n"/>
      <c r="S708" s="183" t="n"/>
      <c r="T708" s="183" t="n"/>
      <c r="U708" s="183" t="n"/>
      <c r="V708" s="183" t="n"/>
      <c r="W708" s="183" t="n"/>
      <c r="X708" s="183" t="n"/>
      <c r="Y708" s="183" t="n"/>
      <c r="Z708" s="183" t="n"/>
      <c r="AA708" s="183" t="n"/>
    </row>
    <row r="709" ht="45.75" customHeight="1" s="222">
      <c r="A709" s="205" t="n"/>
      <c r="B709" s="205" t="n"/>
      <c r="C709" s="205" t="n"/>
      <c r="D709" s="205" t="n"/>
      <c r="E709" s="205" t="n"/>
      <c r="F709" s="205" t="n"/>
      <c r="G709" s="206" t="n"/>
      <c r="H709" s="205" t="n"/>
      <c r="I709" s="28" t="n"/>
      <c r="J709" s="205" t="n"/>
      <c r="K709" s="205" t="n"/>
      <c r="L709" s="205" t="n"/>
      <c r="M709" s="205" t="n"/>
      <c r="N709" s="205" t="n"/>
      <c r="O709" s="183" t="n"/>
      <c r="P709" s="183" t="n"/>
      <c r="Q709" s="183" t="n"/>
      <c r="R709" s="183" t="n"/>
      <c r="S709" s="183" t="n"/>
      <c r="T709" s="183" t="n"/>
      <c r="U709" s="183" t="n"/>
      <c r="V709" s="183" t="n"/>
      <c r="W709" s="183" t="n"/>
      <c r="X709" s="183" t="n"/>
      <c r="Y709" s="183" t="n"/>
      <c r="Z709" s="183" t="n"/>
      <c r="AA709" s="183" t="n"/>
    </row>
    <row r="710" ht="45.75" customHeight="1" s="222">
      <c r="A710" s="205" t="n"/>
      <c r="B710" s="205" t="n"/>
      <c r="C710" s="205" t="n"/>
      <c r="D710" s="205" t="n"/>
      <c r="E710" s="205" t="n"/>
      <c r="F710" s="205" t="n"/>
      <c r="G710" s="206" t="n"/>
      <c r="H710" s="205" t="n"/>
      <c r="I710" s="28" t="n"/>
      <c r="J710" s="205" t="n"/>
      <c r="K710" s="205" t="n"/>
      <c r="L710" s="205" t="n"/>
      <c r="M710" s="205" t="n"/>
      <c r="N710" s="205" t="n"/>
      <c r="O710" s="183" t="n"/>
      <c r="P710" s="183" t="n"/>
      <c r="Q710" s="183" t="n"/>
      <c r="R710" s="183" t="n"/>
      <c r="S710" s="183" t="n"/>
      <c r="T710" s="183" t="n"/>
      <c r="U710" s="183" t="n"/>
      <c r="V710" s="183" t="n"/>
      <c r="W710" s="183" t="n"/>
      <c r="X710" s="183" t="n"/>
      <c r="Y710" s="183" t="n"/>
      <c r="Z710" s="183" t="n"/>
      <c r="AA710" s="183" t="n"/>
    </row>
    <row r="711" ht="45.75" customHeight="1" s="222">
      <c r="A711" s="205" t="n"/>
      <c r="B711" s="205" t="n"/>
      <c r="C711" s="205" t="n"/>
      <c r="D711" s="205" t="n"/>
      <c r="E711" s="205" t="n"/>
      <c r="F711" s="205" t="n"/>
      <c r="G711" s="206" t="n"/>
      <c r="H711" s="205" t="n"/>
      <c r="I711" s="28" t="n"/>
      <c r="J711" s="205" t="n"/>
      <c r="K711" s="205" t="n"/>
      <c r="L711" s="205" t="n"/>
      <c r="M711" s="205" t="n"/>
      <c r="N711" s="205" t="n"/>
      <c r="O711" s="183" t="n"/>
      <c r="P711" s="183" t="n"/>
      <c r="Q711" s="183" t="n"/>
      <c r="R711" s="183" t="n"/>
      <c r="S711" s="183" t="n"/>
      <c r="T711" s="183" t="n"/>
      <c r="U711" s="183" t="n"/>
      <c r="V711" s="183" t="n"/>
      <c r="W711" s="183" t="n"/>
      <c r="X711" s="183" t="n"/>
      <c r="Y711" s="183" t="n"/>
      <c r="Z711" s="183" t="n"/>
      <c r="AA711" s="183" t="n"/>
    </row>
    <row r="712" ht="45.75" customHeight="1" s="222">
      <c r="A712" s="205" t="n"/>
      <c r="B712" s="205" t="n"/>
      <c r="C712" s="205" t="n"/>
      <c r="D712" s="205" t="n"/>
      <c r="E712" s="205" t="n"/>
      <c r="F712" s="205" t="n"/>
      <c r="G712" s="206" t="n"/>
      <c r="H712" s="205" t="n"/>
      <c r="I712" s="28" t="n"/>
      <c r="J712" s="205" t="n"/>
      <c r="K712" s="205" t="n"/>
      <c r="L712" s="205" t="n"/>
      <c r="M712" s="205" t="n"/>
      <c r="N712" s="205" t="n"/>
      <c r="O712" s="183" t="n"/>
      <c r="P712" s="183" t="n"/>
      <c r="Q712" s="183" t="n"/>
      <c r="R712" s="183" t="n"/>
      <c r="S712" s="183" t="n"/>
      <c r="T712" s="183" t="n"/>
      <c r="U712" s="183" t="n"/>
      <c r="V712" s="183" t="n"/>
      <c r="W712" s="183" t="n"/>
      <c r="X712" s="183" t="n"/>
      <c r="Y712" s="183" t="n"/>
      <c r="Z712" s="183" t="n"/>
      <c r="AA712" s="183" t="n"/>
    </row>
    <row r="713" ht="45.75" customHeight="1" s="222">
      <c r="A713" s="205" t="n"/>
      <c r="B713" s="205" t="n"/>
      <c r="C713" s="205" t="n"/>
      <c r="D713" s="205" t="n"/>
      <c r="E713" s="205" t="n"/>
      <c r="F713" s="205" t="n"/>
      <c r="G713" s="206" t="n"/>
      <c r="H713" s="205" t="n"/>
      <c r="I713" s="28" t="n"/>
      <c r="J713" s="205" t="n"/>
      <c r="K713" s="205" t="n"/>
      <c r="L713" s="205" t="n"/>
      <c r="M713" s="205" t="n"/>
      <c r="N713" s="205" t="n"/>
      <c r="O713" s="183" t="n"/>
      <c r="P713" s="183" t="n"/>
      <c r="Q713" s="183" t="n"/>
      <c r="R713" s="183" t="n"/>
      <c r="S713" s="183" t="n"/>
      <c r="T713" s="183" t="n"/>
      <c r="U713" s="183" t="n"/>
      <c r="V713" s="183" t="n"/>
      <c r="W713" s="183" t="n"/>
      <c r="X713" s="183" t="n"/>
      <c r="Y713" s="183" t="n"/>
      <c r="Z713" s="183" t="n"/>
      <c r="AA713" s="183" t="n"/>
    </row>
    <row r="714" ht="45.75" customHeight="1" s="222">
      <c r="A714" s="205" t="n"/>
      <c r="B714" s="205" t="n"/>
      <c r="C714" s="205" t="n"/>
      <c r="D714" s="205" t="n"/>
      <c r="E714" s="205" t="n"/>
      <c r="F714" s="205" t="n"/>
      <c r="G714" s="206" t="n"/>
      <c r="H714" s="205" t="n"/>
      <c r="I714" s="28" t="n"/>
      <c r="J714" s="205" t="n"/>
      <c r="K714" s="205" t="n"/>
      <c r="L714" s="205" t="n"/>
      <c r="M714" s="205" t="n"/>
      <c r="N714" s="205" t="n"/>
      <c r="O714" s="183" t="n"/>
      <c r="P714" s="183" t="n"/>
      <c r="Q714" s="183" t="n"/>
      <c r="R714" s="183" t="n"/>
      <c r="S714" s="183" t="n"/>
      <c r="T714" s="183" t="n"/>
      <c r="U714" s="183" t="n"/>
      <c r="V714" s="183" t="n"/>
      <c r="W714" s="183" t="n"/>
      <c r="X714" s="183" t="n"/>
      <c r="Y714" s="183" t="n"/>
      <c r="Z714" s="183" t="n"/>
      <c r="AA714" s="183" t="n"/>
    </row>
    <row r="715" ht="45.75" customHeight="1" s="222">
      <c r="A715" s="205" t="n"/>
      <c r="B715" s="205" t="n"/>
      <c r="C715" s="205" t="n"/>
      <c r="D715" s="205" t="n"/>
      <c r="E715" s="205" t="n"/>
      <c r="F715" s="205" t="n"/>
      <c r="G715" s="206" t="n"/>
      <c r="H715" s="205" t="n"/>
      <c r="I715" s="28" t="n"/>
      <c r="J715" s="205" t="n"/>
      <c r="K715" s="205" t="n"/>
      <c r="L715" s="205" t="n"/>
      <c r="M715" s="205" t="n"/>
      <c r="N715" s="205" t="n"/>
      <c r="O715" s="183" t="n"/>
      <c r="P715" s="183" t="n"/>
      <c r="Q715" s="183" t="n"/>
      <c r="R715" s="183" t="n"/>
      <c r="S715" s="183" t="n"/>
      <c r="T715" s="183" t="n"/>
      <c r="U715" s="183" t="n"/>
      <c r="V715" s="183" t="n"/>
      <c r="W715" s="183" t="n"/>
      <c r="X715" s="183" t="n"/>
      <c r="Y715" s="183" t="n"/>
      <c r="Z715" s="183" t="n"/>
      <c r="AA715" s="183" t="n"/>
    </row>
    <row r="716" ht="45.75" customHeight="1" s="222">
      <c r="A716" s="205" t="n"/>
      <c r="B716" s="205" t="n"/>
      <c r="C716" s="205" t="n"/>
      <c r="D716" s="205" t="n"/>
      <c r="E716" s="205" t="n"/>
      <c r="F716" s="205" t="n"/>
      <c r="G716" s="206" t="n"/>
      <c r="H716" s="205" t="n"/>
      <c r="I716" s="28" t="n"/>
      <c r="J716" s="205" t="n"/>
      <c r="K716" s="205" t="n"/>
      <c r="L716" s="205" t="n"/>
      <c r="M716" s="205" t="n"/>
      <c r="N716" s="205" t="n"/>
      <c r="O716" s="183" t="n"/>
      <c r="P716" s="183" t="n"/>
      <c r="Q716" s="183" t="n"/>
      <c r="R716" s="183" t="n"/>
      <c r="S716" s="183" t="n"/>
      <c r="T716" s="183" t="n"/>
      <c r="U716" s="183" t="n"/>
      <c r="V716" s="183" t="n"/>
      <c r="W716" s="183" t="n"/>
      <c r="X716" s="183" t="n"/>
      <c r="Y716" s="183" t="n"/>
      <c r="Z716" s="183" t="n"/>
      <c r="AA716" s="183" t="n"/>
    </row>
    <row r="717" ht="45.75" customHeight="1" s="222">
      <c r="A717" s="205" t="n"/>
      <c r="B717" s="205" t="n"/>
      <c r="C717" s="205" t="n"/>
      <c r="D717" s="205" t="n"/>
      <c r="E717" s="205" t="n"/>
      <c r="F717" s="205" t="n"/>
      <c r="G717" s="206" t="n"/>
      <c r="H717" s="205" t="n"/>
      <c r="I717" s="28" t="n"/>
      <c r="J717" s="205" t="n"/>
      <c r="K717" s="205" t="n"/>
      <c r="L717" s="205" t="n"/>
      <c r="M717" s="205" t="n"/>
      <c r="N717" s="205" t="n"/>
      <c r="O717" s="183" t="n"/>
      <c r="P717" s="183" t="n"/>
      <c r="Q717" s="183" t="n"/>
      <c r="R717" s="183" t="n"/>
      <c r="S717" s="183" t="n"/>
      <c r="T717" s="183" t="n"/>
      <c r="U717" s="183" t="n"/>
      <c r="V717" s="183" t="n"/>
      <c r="W717" s="183" t="n"/>
      <c r="X717" s="183" t="n"/>
      <c r="Y717" s="183" t="n"/>
      <c r="Z717" s="183" t="n"/>
      <c r="AA717" s="183" t="n"/>
    </row>
    <row r="718" ht="45.75" customHeight="1" s="222">
      <c r="A718" s="205" t="n"/>
      <c r="B718" s="205" t="n"/>
      <c r="C718" s="205" t="n"/>
      <c r="D718" s="205" t="n"/>
      <c r="E718" s="205" t="n"/>
      <c r="F718" s="205" t="n"/>
      <c r="G718" s="206" t="n"/>
      <c r="H718" s="205" t="n"/>
      <c r="I718" s="28" t="n"/>
      <c r="J718" s="205" t="n"/>
      <c r="K718" s="205" t="n"/>
      <c r="L718" s="205" t="n"/>
      <c r="M718" s="205" t="n"/>
      <c r="N718" s="205" t="n"/>
      <c r="O718" s="183" t="n"/>
      <c r="P718" s="183" t="n"/>
      <c r="Q718" s="183" t="n"/>
      <c r="R718" s="183" t="n"/>
      <c r="S718" s="183" t="n"/>
      <c r="T718" s="183" t="n"/>
      <c r="U718" s="183" t="n"/>
      <c r="V718" s="183" t="n"/>
      <c r="W718" s="183" t="n"/>
      <c r="X718" s="183" t="n"/>
      <c r="Y718" s="183" t="n"/>
      <c r="Z718" s="183" t="n"/>
      <c r="AA718" s="183" t="n"/>
    </row>
    <row r="719" ht="45.75" customHeight="1" s="222">
      <c r="A719" s="205" t="n"/>
      <c r="B719" s="205" t="n"/>
      <c r="C719" s="205" t="n"/>
      <c r="D719" s="205" t="n"/>
      <c r="E719" s="205" t="n"/>
      <c r="F719" s="205" t="n"/>
      <c r="G719" s="206" t="n"/>
      <c r="H719" s="205" t="n"/>
      <c r="I719" s="28" t="n"/>
      <c r="J719" s="205" t="n"/>
      <c r="K719" s="205" t="n"/>
      <c r="L719" s="205" t="n"/>
      <c r="M719" s="205" t="n"/>
      <c r="N719" s="205" t="n"/>
      <c r="O719" s="183" t="n"/>
      <c r="P719" s="183" t="n"/>
      <c r="Q719" s="183" t="n"/>
      <c r="R719" s="183" t="n"/>
      <c r="S719" s="183" t="n"/>
      <c r="T719" s="183" t="n"/>
      <c r="U719" s="183" t="n"/>
      <c r="V719" s="183" t="n"/>
      <c r="W719" s="183" t="n"/>
      <c r="X719" s="183" t="n"/>
      <c r="Y719" s="183" t="n"/>
      <c r="Z719" s="183" t="n"/>
      <c r="AA719" s="183" t="n"/>
    </row>
    <row r="720" ht="45.75" customHeight="1" s="222">
      <c r="A720" s="205" t="n"/>
      <c r="B720" s="205" t="n"/>
      <c r="C720" s="205" t="n"/>
      <c r="D720" s="205" t="n"/>
      <c r="E720" s="205" t="n"/>
      <c r="F720" s="205" t="n"/>
      <c r="G720" s="206" t="n"/>
      <c r="H720" s="205" t="n"/>
      <c r="I720" s="28" t="n"/>
      <c r="J720" s="205" t="n"/>
      <c r="K720" s="205" t="n"/>
      <c r="L720" s="205" t="n"/>
      <c r="M720" s="205" t="n"/>
      <c r="N720" s="205" t="n"/>
      <c r="O720" s="183" t="n"/>
      <c r="P720" s="183" t="n"/>
      <c r="Q720" s="183" t="n"/>
      <c r="R720" s="183" t="n"/>
      <c r="S720" s="183" t="n"/>
      <c r="T720" s="183" t="n"/>
      <c r="U720" s="183" t="n"/>
      <c r="V720" s="183" t="n"/>
      <c r="W720" s="183" t="n"/>
      <c r="X720" s="183" t="n"/>
      <c r="Y720" s="183" t="n"/>
      <c r="Z720" s="183" t="n"/>
      <c r="AA720" s="183" t="n"/>
    </row>
    <row r="721" ht="45.75" customHeight="1" s="222">
      <c r="A721" s="205" t="n"/>
      <c r="B721" s="205" t="n"/>
      <c r="C721" s="205" t="n"/>
      <c r="D721" s="205" t="n"/>
      <c r="E721" s="205" t="n"/>
      <c r="F721" s="205" t="n"/>
      <c r="G721" s="206" t="n"/>
      <c r="H721" s="205" t="n"/>
      <c r="I721" s="28" t="n"/>
      <c r="J721" s="205" t="n"/>
      <c r="K721" s="205" t="n"/>
      <c r="L721" s="205" t="n"/>
      <c r="M721" s="205" t="n"/>
      <c r="N721" s="205" t="n"/>
      <c r="O721" s="183" t="n"/>
      <c r="P721" s="183" t="n"/>
      <c r="Q721" s="183" t="n"/>
      <c r="R721" s="183" t="n"/>
      <c r="S721" s="183" t="n"/>
      <c r="T721" s="183" t="n"/>
      <c r="U721" s="183" t="n"/>
      <c r="V721" s="183" t="n"/>
      <c r="W721" s="183" t="n"/>
      <c r="X721" s="183" t="n"/>
      <c r="Y721" s="183" t="n"/>
      <c r="Z721" s="183" t="n"/>
      <c r="AA721" s="183" t="n"/>
    </row>
    <row r="722" ht="45.75" customHeight="1" s="222">
      <c r="A722" s="205" t="n"/>
      <c r="B722" s="205" t="n"/>
      <c r="C722" s="205" t="n"/>
      <c r="D722" s="205" t="n"/>
      <c r="E722" s="205" t="n"/>
      <c r="F722" s="205" t="n"/>
      <c r="G722" s="206" t="n"/>
      <c r="H722" s="205" t="n"/>
      <c r="I722" s="28" t="n"/>
      <c r="J722" s="205" t="n"/>
      <c r="K722" s="205" t="n"/>
      <c r="L722" s="205" t="n"/>
      <c r="M722" s="205" t="n"/>
      <c r="N722" s="205" t="n"/>
      <c r="O722" s="183" t="n"/>
      <c r="P722" s="183" t="n"/>
      <c r="Q722" s="183" t="n"/>
      <c r="R722" s="183" t="n"/>
      <c r="S722" s="183" t="n"/>
      <c r="T722" s="183" t="n"/>
      <c r="U722" s="183" t="n"/>
      <c r="V722" s="183" t="n"/>
      <c r="W722" s="183" t="n"/>
      <c r="X722" s="183" t="n"/>
      <c r="Y722" s="183" t="n"/>
      <c r="Z722" s="183" t="n"/>
      <c r="AA722" s="183" t="n"/>
    </row>
    <row r="723" ht="45.75" customHeight="1" s="222">
      <c r="A723" s="205" t="n"/>
      <c r="B723" s="205" t="n"/>
      <c r="C723" s="205" t="n"/>
      <c r="D723" s="205" t="n"/>
      <c r="E723" s="205" t="n"/>
      <c r="F723" s="205" t="n"/>
      <c r="G723" s="206" t="n"/>
      <c r="H723" s="205" t="n"/>
      <c r="I723" s="28" t="n"/>
      <c r="J723" s="205" t="n"/>
      <c r="K723" s="205" t="n"/>
      <c r="L723" s="205" t="n"/>
      <c r="M723" s="205" t="n"/>
      <c r="N723" s="205" t="n"/>
      <c r="O723" s="183" t="n"/>
      <c r="P723" s="183" t="n"/>
      <c r="Q723" s="183" t="n"/>
      <c r="R723" s="183" t="n"/>
      <c r="S723" s="183" t="n"/>
      <c r="T723" s="183" t="n"/>
      <c r="U723" s="183" t="n"/>
      <c r="V723" s="183" t="n"/>
      <c r="W723" s="183" t="n"/>
      <c r="X723" s="183" t="n"/>
      <c r="Y723" s="183" t="n"/>
      <c r="Z723" s="183" t="n"/>
      <c r="AA723" s="183" t="n"/>
    </row>
    <row r="724" ht="45.75" customHeight="1" s="222">
      <c r="A724" s="205" t="n"/>
      <c r="B724" s="205" t="n"/>
      <c r="C724" s="205" t="n"/>
      <c r="D724" s="205" t="n"/>
      <c r="E724" s="205" t="n"/>
      <c r="F724" s="205" t="n"/>
      <c r="G724" s="206" t="n"/>
      <c r="H724" s="205" t="n"/>
      <c r="I724" s="28" t="n"/>
      <c r="J724" s="205" t="n"/>
      <c r="K724" s="205" t="n"/>
      <c r="L724" s="205" t="n"/>
      <c r="M724" s="205" t="n"/>
      <c r="N724" s="205" t="n"/>
      <c r="O724" s="183" t="n"/>
      <c r="P724" s="183" t="n"/>
      <c r="Q724" s="183" t="n"/>
      <c r="R724" s="183" t="n"/>
      <c r="S724" s="183" t="n"/>
      <c r="T724" s="183" t="n"/>
      <c r="U724" s="183" t="n"/>
      <c r="V724" s="183" t="n"/>
      <c r="W724" s="183" t="n"/>
      <c r="X724" s="183" t="n"/>
      <c r="Y724" s="183" t="n"/>
      <c r="Z724" s="183" t="n"/>
      <c r="AA724" s="183" t="n"/>
    </row>
    <row r="725" ht="45.75" customHeight="1" s="222">
      <c r="A725" s="205" t="n"/>
      <c r="B725" s="205" t="n"/>
      <c r="C725" s="205" t="n"/>
      <c r="D725" s="205" t="n"/>
      <c r="E725" s="205" t="n"/>
      <c r="F725" s="205" t="n"/>
      <c r="G725" s="206" t="n"/>
      <c r="H725" s="205" t="n"/>
      <c r="I725" s="28" t="n"/>
      <c r="J725" s="205" t="n"/>
      <c r="K725" s="205" t="n"/>
      <c r="L725" s="205" t="n"/>
      <c r="M725" s="205" t="n"/>
      <c r="N725" s="205" t="n"/>
      <c r="O725" s="183" t="n"/>
      <c r="P725" s="183" t="n"/>
      <c r="Q725" s="183" t="n"/>
      <c r="R725" s="183" t="n"/>
      <c r="S725" s="183" t="n"/>
      <c r="T725" s="183" t="n"/>
      <c r="U725" s="183" t="n"/>
      <c r="V725" s="183" t="n"/>
      <c r="W725" s="183" t="n"/>
      <c r="X725" s="183" t="n"/>
      <c r="Y725" s="183" t="n"/>
      <c r="Z725" s="183" t="n"/>
      <c r="AA725" s="183" t="n"/>
    </row>
    <row r="726" ht="45.75" customHeight="1" s="222">
      <c r="A726" s="205" t="n"/>
      <c r="B726" s="205" t="n"/>
      <c r="C726" s="205" t="n"/>
      <c r="D726" s="205" t="n"/>
      <c r="E726" s="205" t="n"/>
      <c r="F726" s="205" t="n"/>
      <c r="G726" s="206" t="n"/>
      <c r="H726" s="205" t="n"/>
      <c r="I726" s="28" t="n"/>
      <c r="J726" s="205" t="n"/>
      <c r="K726" s="205" t="n"/>
      <c r="L726" s="205" t="n"/>
      <c r="M726" s="205" t="n"/>
      <c r="N726" s="205" t="n"/>
      <c r="O726" s="183" t="n"/>
      <c r="P726" s="183" t="n"/>
      <c r="Q726" s="183" t="n"/>
      <c r="R726" s="183" t="n"/>
      <c r="S726" s="183" t="n"/>
      <c r="T726" s="183" t="n"/>
      <c r="U726" s="183" t="n"/>
      <c r="V726" s="183" t="n"/>
      <c r="W726" s="183" t="n"/>
      <c r="X726" s="183" t="n"/>
      <c r="Y726" s="183" t="n"/>
      <c r="Z726" s="183" t="n"/>
      <c r="AA726" s="183" t="n"/>
    </row>
    <row r="727" ht="45.75" customHeight="1" s="222">
      <c r="A727" s="205" t="n"/>
      <c r="B727" s="205" t="n"/>
      <c r="C727" s="205" t="n"/>
      <c r="D727" s="205" t="n"/>
      <c r="E727" s="205" t="n"/>
      <c r="F727" s="205" t="n"/>
      <c r="G727" s="206" t="n"/>
      <c r="H727" s="205" t="n"/>
      <c r="I727" s="28" t="n"/>
      <c r="J727" s="205" t="n"/>
      <c r="K727" s="205" t="n"/>
      <c r="L727" s="205" t="n"/>
      <c r="M727" s="205" t="n"/>
      <c r="N727" s="205" t="n"/>
      <c r="O727" s="183" t="n"/>
      <c r="P727" s="183" t="n"/>
      <c r="Q727" s="183" t="n"/>
      <c r="R727" s="183" t="n"/>
      <c r="S727" s="183" t="n"/>
      <c r="T727" s="183" t="n"/>
      <c r="U727" s="183" t="n"/>
      <c r="V727" s="183" t="n"/>
      <c r="W727" s="183" t="n"/>
      <c r="X727" s="183" t="n"/>
      <c r="Y727" s="183" t="n"/>
      <c r="Z727" s="183" t="n"/>
      <c r="AA727" s="183" t="n"/>
    </row>
    <row r="728" ht="45.75" customHeight="1" s="222">
      <c r="A728" s="205" t="n"/>
      <c r="B728" s="205" t="n"/>
      <c r="C728" s="205" t="n"/>
      <c r="D728" s="205" t="n"/>
      <c r="E728" s="205" t="n"/>
      <c r="F728" s="205" t="n"/>
      <c r="G728" s="206" t="n"/>
      <c r="H728" s="205" t="n"/>
      <c r="I728" s="28" t="n"/>
      <c r="J728" s="205" t="n"/>
      <c r="K728" s="205" t="n"/>
      <c r="L728" s="205" t="n"/>
      <c r="M728" s="205" t="n"/>
      <c r="N728" s="205" t="n"/>
      <c r="O728" s="183" t="n"/>
      <c r="P728" s="183" t="n"/>
      <c r="Q728" s="183" t="n"/>
      <c r="R728" s="183" t="n"/>
      <c r="S728" s="183" t="n"/>
      <c r="T728" s="183" t="n"/>
      <c r="U728" s="183" t="n"/>
      <c r="V728" s="183" t="n"/>
      <c r="W728" s="183" t="n"/>
      <c r="X728" s="183" t="n"/>
      <c r="Y728" s="183" t="n"/>
      <c r="Z728" s="183" t="n"/>
      <c r="AA728" s="183" t="n"/>
    </row>
    <row r="729" ht="45.75" customHeight="1" s="222">
      <c r="A729" s="205" t="n"/>
      <c r="B729" s="205" t="n"/>
      <c r="C729" s="205" t="n"/>
      <c r="D729" s="205" t="n"/>
      <c r="E729" s="205" t="n"/>
      <c r="F729" s="205" t="n"/>
      <c r="G729" s="206" t="n"/>
      <c r="H729" s="205" t="n"/>
      <c r="I729" s="28" t="n"/>
      <c r="J729" s="205" t="n"/>
      <c r="K729" s="205" t="n"/>
      <c r="L729" s="205" t="n"/>
      <c r="M729" s="205" t="n"/>
      <c r="N729" s="205" t="n"/>
      <c r="O729" s="183" t="n"/>
      <c r="P729" s="183" t="n"/>
      <c r="Q729" s="183" t="n"/>
      <c r="R729" s="183" t="n"/>
      <c r="S729" s="183" t="n"/>
      <c r="T729" s="183" t="n"/>
      <c r="U729" s="183" t="n"/>
      <c r="V729" s="183" t="n"/>
      <c r="W729" s="183" t="n"/>
      <c r="X729" s="183" t="n"/>
      <c r="Y729" s="183" t="n"/>
      <c r="Z729" s="183" t="n"/>
      <c r="AA729" s="183" t="n"/>
    </row>
    <row r="730" ht="45.75" customHeight="1" s="222">
      <c r="A730" s="205" t="n"/>
      <c r="B730" s="205" t="n"/>
      <c r="C730" s="205" t="n"/>
      <c r="D730" s="205" t="n"/>
      <c r="E730" s="205" t="n"/>
      <c r="F730" s="205" t="n"/>
      <c r="G730" s="206" t="n"/>
      <c r="H730" s="205" t="n"/>
      <c r="I730" s="28" t="n"/>
      <c r="J730" s="205" t="n"/>
      <c r="K730" s="205" t="n"/>
      <c r="L730" s="205" t="n"/>
      <c r="M730" s="205" t="n"/>
      <c r="N730" s="205" t="n"/>
      <c r="O730" s="183" t="n"/>
      <c r="P730" s="183" t="n"/>
      <c r="Q730" s="183" t="n"/>
      <c r="R730" s="183" t="n"/>
      <c r="S730" s="183" t="n"/>
      <c r="T730" s="183" t="n"/>
      <c r="U730" s="183" t="n"/>
      <c r="V730" s="183" t="n"/>
      <c r="W730" s="183" t="n"/>
      <c r="X730" s="183" t="n"/>
      <c r="Y730" s="183" t="n"/>
      <c r="Z730" s="183" t="n"/>
      <c r="AA730" s="183" t="n"/>
    </row>
    <row r="731" ht="45.75" customHeight="1" s="222">
      <c r="A731" s="205" t="n"/>
      <c r="B731" s="205" t="n"/>
      <c r="C731" s="205" t="n"/>
      <c r="D731" s="205" t="n"/>
      <c r="E731" s="205" t="n"/>
      <c r="F731" s="205" t="n"/>
      <c r="G731" s="206" t="n"/>
      <c r="H731" s="205" t="n"/>
      <c r="I731" s="28" t="n"/>
      <c r="J731" s="205" t="n"/>
      <c r="K731" s="205" t="n"/>
      <c r="L731" s="205" t="n"/>
      <c r="M731" s="205" t="n"/>
      <c r="N731" s="205" t="n"/>
      <c r="O731" s="183" t="n"/>
      <c r="P731" s="183" t="n"/>
      <c r="Q731" s="183" t="n"/>
      <c r="R731" s="183" t="n"/>
      <c r="S731" s="183" t="n"/>
      <c r="T731" s="183" t="n"/>
      <c r="U731" s="183" t="n"/>
      <c r="V731" s="183" t="n"/>
      <c r="W731" s="183" t="n"/>
      <c r="X731" s="183" t="n"/>
      <c r="Y731" s="183" t="n"/>
      <c r="Z731" s="183" t="n"/>
      <c r="AA731" s="183" t="n"/>
    </row>
    <row r="732" ht="45.75" customHeight="1" s="222">
      <c r="A732" s="205" t="n"/>
      <c r="B732" s="205" t="n"/>
      <c r="C732" s="205" t="n"/>
      <c r="D732" s="205" t="n"/>
      <c r="E732" s="205" t="n"/>
      <c r="F732" s="205" t="n"/>
      <c r="G732" s="206" t="n"/>
      <c r="H732" s="205" t="n"/>
      <c r="I732" s="28" t="n"/>
      <c r="J732" s="205" t="n"/>
      <c r="K732" s="205" t="n"/>
      <c r="L732" s="205" t="n"/>
      <c r="M732" s="205" t="n"/>
      <c r="N732" s="205" t="n"/>
      <c r="O732" s="183" t="n"/>
      <c r="P732" s="183" t="n"/>
      <c r="Q732" s="183" t="n"/>
      <c r="R732" s="183" t="n"/>
      <c r="S732" s="183" t="n"/>
      <c r="T732" s="183" t="n"/>
      <c r="U732" s="183" t="n"/>
      <c r="V732" s="183" t="n"/>
      <c r="W732" s="183" t="n"/>
      <c r="X732" s="183" t="n"/>
      <c r="Y732" s="183" t="n"/>
      <c r="Z732" s="183" t="n"/>
      <c r="AA732" s="183" t="n"/>
    </row>
    <row r="733" ht="45.75" customHeight="1" s="222">
      <c r="A733" s="205" t="n"/>
      <c r="B733" s="205" t="n"/>
      <c r="C733" s="205" t="n"/>
      <c r="D733" s="205" t="n"/>
      <c r="E733" s="205" t="n"/>
      <c r="F733" s="205" t="n"/>
      <c r="G733" s="206" t="n"/>
      <c r="H733" s="205" t="n"/>
      <c r="I733" s="28" t="n"/>
      <c r="J733" s="205" t="n"/>
      <c r="K733" s="205" t="n"/>
      <c r="L733" s="205" t="n"/>
      <c r="M733" s="205" t="n"/>
      <c r="N733" s="205" t="n"/>
      <c r="O733" s="183" t="n"/>
      <c r="P733" s="183" t="n"/>
      <c r="Q733" s="183" t="n"/>
      <c r="R733" s="183" t="n"/>
      <c r="S733" s="183" t="n"/>
      <c r="T733" s="183" t="n"/>
      <c r="U733" s="183" t="n"/>
      <c r="V733" s="183" t="n"/>
      <c r="W733" s="183" t="n"/>
      <c r="X733" s="183" t="n"/>
      <c r="Y733" s="183" t="n"/>
      <c r="Z733" s="183" t="n"/>
      <c r="AA733" s="183" t="n"/>
    </row>
    <row r="734" ht="45.75" customHeight="1" s="222">
      <c r="A734" s="205" t="n"/>
      <c r="B734" s="205" t="n"/>
      <c r="C734" s="205" t="n"/>
      <c r="D734" s="205" t="n"/>
      <c r="E734" s="205" t="n"/>
      <c r="F734" s="205" t="n"/>
      <c r="G734" s="206" t="n"/>
      <c r="H734" s="205" t="n"/>
      <c r="I734" s="28" t="n"/>
      <c r="J734" s="205" t="n"/>
      <c r="K734" s="205" t="n"/>
      <c r="L734" s="205" t="n"/>
      <c r="M734" s="205" t="n"/>
      <c r="N734" s="205" t="n"/>
      <c r="O734" s="183" t="n"/>
      <c r="P734" s="183" t="n"/>
      <c r="Q734" s="183" t="n"/>
      <c r="R734" s="183" t="n"/>
      <c r="S734" s="183" t="n"/>
      <c r="T734" s="183" t="n"/>
      <c r="U734" s="183" t="n"/>
      <c r="V734" s="183" t="n"/>
      <c r="W734" s="183" t="n"/>
      <c r="X734" s="183" t="n"/>
      <c r="Y734" s="183" t="n"/>
      <c r="Z734" s="183" t="n"/>
      <c r="AA734" s="183" t="n"/>
    </row>
    <row r="735" ht="45.75" customHeight="1" s="222">
      <c r="A735" s="205" t="n"/>
      <c r="B735" s="205" t="n"/>
      <c r="C735" s="205" t="n"/>
      <c r="D735" s="205" t="n"/>
      <c r="E735" s="205" t="n"/>
      <c r="F735" s="205" t="n"/>
      <c r="G735" s="206" t="n"/>
      <c r="H735" s="205" t="n"/>
      <c r="I735" s="28" t="n"/>
      <c r="J735" s="205" t="n"/>
      <c r="K735" s="205" t="n"/>
      <c r="L735" s="205" t="n"/>
      <c r="M735" s="205" t="n"/>
      <c r="N735" s="205" t="n"/>
      <c r="O735" s="183" t="n"/>
      <c r="P735" s="183" t="n"/>
      <c r="Q735" s="183" t="n"/>
      <c r="R735" s="183" t="n"/>
      <c r="S735" s="183" t="n"/>
      <c r="T735" s="183" t="n"/>
      <c r="U735" s="183" t="n"/>
      <c r="V735" s="183" t="n"/>
      <c r="W735" s="183" t="n"/>
      <c r="X735" s="183" t="n"/>
      <c r="Y735" s="183" t="n"/>
      <c r="Z735" s="183" t="n"/>
      <c r="AA735" s="183" t="n"/>
    </row>
    <row r="736" ht="45.75" customHeight="1" s="222">
      <c r="A736" s="205" t="n"/>
      <c r="B736" s="205" t="n"/>
      <c r="C736" s="205" t="n"/>
      <c r="D736" s="205" t="n"/>
      <c r="E736" s="205" t="n"/>
      <c r="F736" s="205" t="n"/>
      <c r="G736" s="206" t="n"/>
      <c r="H736" s="205" t="n"/>
      <c r="I736" s="28" t="n"/>
      <c r="J736" s="205" t="n"/>
      <c r="K736" s="205" t="n"/>
      <c r="L736" s="205" t="n"/>
      <c r="M736" s="205" t="n"/>
      <c r="N736" s="205" t="n"/>
      <c r="O736" s="183" t="n"/>
      <c r="P736" s="183" t="n"/>
      <c r="Q736" s="183" t="n"/>
      <c r="R736" s="183" t="n"/>
      <c r="S736" s="183" t="n"/>
      <c r="T736" s="183" t="n"/>
      <c r="U736" s="183" t="n"/>
      <c r="V736" s="183" t="n"/>
      <c r="W736" s="183" t="n"/>
      <c r="X736" s="183" t="n"/>
      <c r="Y736" s="183" t="n"/>
      <c r="Z736" s="183" t="n"/>
      <c r="AA736" s="183" t="n"/>
    </row>
    <row r="737" ht="45.75" customHeight="1" s="222">
      <c r="A737" s="205" t="n"/>
      <c r="B737" s="205" t="n"/>
      <c r="C737" s="205" t="n"/>
      <c r="D737" s="205" t="n"/>
      <c r="E737" s="205" t="n"/>
      <c r="F737" s="205" t="n"/>
      <c r="G737" s="206" t="n"/>
      <c r="H737" s="205" t="n"/>
      <c r="I737" s="28" t="n"/>
      <c r="J737" s="205" t="n"/>
      <c r="K737" s="205" t="n"/>
      <c r="L737" s="205" t="n"/>
      <c r="M737" s="205" t="n"/>
      <c r="N737" s="205" t="n"/>
      <c r="O737" s="183" t="n"/>
      <c r="P737" s="183" t="n"/>
      <c r="Q737" s="183" t="n"/>
      <c r="R737" s="183" t="n"/>
      <c r="S737" s="183" t="n"/>
      <c r="T737" s="183" t="n"/>
      <c r="U737" s="183" t="n"/>
      <c r="V737" s="183" t="n"/>
      <c r="W737" s="183" t="n"/>
      <c r="X737" s="183" t="n"/>
      <c r="Y737" s="183" t="n"/>
      <c r="Z737" s="183" t="n"/>
      <c r="AA737" s="183" t="n"/>
    </row>
    <row r="738" ht="45.75" customHeight="1" s="222">
      <c r="A738" s="205" t="n"/>
      <c r="B738" s="205" t="n"/>
      <c r="C738" s="205" t="n"/>
      <c r="D738" s="205" t="n"/>
      <c r="E738" s="205" t="n"/>
      <c r="F738" s="205" t="n"/>
      <c r="G738" s="206" t="n"/>
      <c r="H738" s="205" t="n"/>
      <c r="I738" s="28" t="n"/>
      <c r="J738" s="205" t="n"/>
      <c r="K738" s="205" t="n"/>
      <c r="L738" s="205" t="n"/>
      <c r="M738" s="205" t="n"/>
      <c r="N738" s="205" t="n"/>
      <c r="O738" s="183" t="n"/>
      <c r="P738" s="183" t="n"/>
      <c r="Q738" s="183" t="n"/>
      <c r="R738" s="183" t="n"/>
      <c r="S738" s="183" t="n"/>
      <c r="T738" s="183" t="n"/>
      <c r="U738" s="183" t="n"/>
      <c r="V738" s="183" t="n"/>
      <c r="W738" s="183" t="n"/>
      <c r="X738" s="183" t="n"/>
      <c r="Y738" s="183" t="n"/>
      <c r="Z738" s="183" t="n"/>
      <c r="AA738" s="183" t="n"/>
    </row>
    <row r="739" ht="45.75" customHeight="1" s="222">
      <c r="A739" s="205" t="n"/>
      <c r="B739" s="205" t="n"/>
      <c r="C739" s="205" t="n"/>
      <c r="D739" s="205" t="n"/>
      <c r="E739" s="205" t="n"/>
      <c r="F739" s="205" t="n"/>
      <c r="G739" s="206" t="n"/>
      <c r="H739" s="205" t="n"/>
      <c r="I739" s="28" t="n"/>
      <c r="J739" s="205" t="n"/>
      <c r="K739" s="205" t="n"/>
      <c r="L739" s="205" t="n"/>
      <c r="M739" s="205" t="n"/>
      <c r="N739" s="205" t="n"/>
      <c r="O739" s="183" t="n"/>
      <c r="P739" s="183" t="n"/>
      <c r="Q739" s="183" t="n"/>
      <c r="R739" s="183" t="n"/>
      <c r="S739" s="183" t="n"/>
      <c r="T739" s="183" t="n"/>
      <c r="U739" s="183" t="n"/>
      <c r="V739" s="183" t="n"/>
      <c r="W739" s="183" t="n"/>
      <c r="X739" s="183" t="n"/>
      <c r="Y739" s="183" t="n"/>
      <c r="Z739" s="183" t="n"/>
      <c r="AA739" s="183" t="n"/>
    </row>
    <row r="740" ht="45.75" customHeight="1" s="222">
      <c r="A740" s="205" t="n"/>
      <c r="B740" s="205" t="n"/>
      <c r="C740" s="205" t="n"/>
      <c r="D740" s="205" t="n"/>
      <c r="E740" s="205" t="n"/>
      <c r="F740" s="205" t="n"/>
      <c r="G740" s="206" t="n"/>
      <c r="H740" s="205" t="n"/>
      <c r="I740" s="28" t="n"/>
      <c r="J740" s="205" t="n"/>
      <c r="K740" s="205" t="n"/>
      <c r="L740" s="205" t="n"/>
      <c r="M740" s="205" t="n"/>
      <c r="N740" s="205" t="n"/>
      <c r="O740" s="183" t="n"/>
      <c r="P740" s="183" t="n"/>
      <c r="Q740" s="183" t="n"/>
      <c r="R740" s="183" t="n"/>
      <c r="S740" s="183" t="n"/>
      <c r="T740" s="183" t="n"/>
      <c r="U740" s="183" t="n"/>
      <c r="V740" s="183" t="n"/>
      <c r="W740" s="183" t="n"/>
      <c r="X740" s="183" t="n"/>
      <c r="Y740" s="183" t="n"/>
      <c r="Z740" s="183" t="n"/>
      <c r="AA740" s="183" t="n"/>
    </row>
    <row r="741" ht="45.75" customHeight="1" s="222">
      <c r="A741" s="205" t="n"/>
      <c r="B741" s="205" t="n"/>
      <c r="C741" s="205" t="n"/>
      <c r="D741" s="205" t="n"/>
      <c r="E741" s="205" t="n"/>
      <c r="F741" s="205" t="n"/>
      <c r="G741" s="206" t="n"/>
      <c r="H741" s="205" t="n"/>
      <c r="I741" s="28" t="n"/>
      <c r="J741" s="205" t="n"/>
      <c r="K741" s="205" t="n"/>
      <c r="L741" s="205" t="n"/>
      <c r="M741" s="205" t="n"/>
      <c r="N741" s="205" t="n"/>
      <c r="O741" s="183" t="n"/>
      <c r="P741" s="183" t="n"/>
      <c r="Q741" s="183" t="n"/>
      <c r="R741" s="183" t="n"/>
      <c r="S741" s="183" t="n"/>
      <c r="T741" s="183" t="n"/>
      <c r="U741" s="183" t="n"/>
      <c r="V741" s="183" t="n"/>
      <c r="W741" s="183" t="n"/>
      <c r="X741" s="183" t="n"/>
      <c r="Y741" s="183" t="n"/>
      <c r="Z741" s="183" t="n"/>
      <c r="AA741" s="183" t="n"/>
    </row>
    <row r="742" ht="45.75" customHeight="1" s="222">
      <c r="A742" s="205" t="n"/>
      <c r="B742" s="205" t="n"/>
      <c r="C742" s="205" t="n"/>
      <c r="D742" s="205" t="n"/>
      <c r="E742" s="205" t="n"/>
      <c r="F742" s="205" t="n"/>
      <c r="G742" s="206" t="n"/>
      <c r="H742" s="205" t="n"/>
      <c r="I742" s="28" t="n"/>
      <c r="J742" s="205" t="n"/>
      <c r="K742" s="205" t="n"/>
      <c r="L742" s="205" t="n"/>
      <c r="M742" s="205" t="n"/>
      <c r="N742" s="205" t="n"/>
      <c r="O742" s="183" t="n"/>
      <c r="P742" s="183" t="n"/>
      <c r="Q742" s="183" t="n"/>
      <c r="R742" s="183" t="n"/>
      <c r="S742" s="183" t="n"/>
      <c r="T742" s="183" t="n"/>
      <c r="U742" s="183" t="n"/>
      <c r="V742" s="183" t="n"/>
      <c r="W742" s="183" t="n"/>
      <c r="X742" s="183" t="n"/>
      <c r="Y742" s="183" t="n"/>
      <c r="Z742" s="183" t="n"/>
      <c r="AA742" s="183" t="n"/>
    </row>
    <row r="743" ht="45.75" customHeight="1" s="222">
      <c r="A743" s="205" t="n"/>
      <c r="B743" s="205" t="n"/>
      <c r="C743" s="205" t="n"/>
      <c r="D743" s="205" t="n"/>
      <c r="E743" s="205" t="n"/>
      <c r="F743" s="205" t="n"/>
      <c r="G743" s="206" t="n"/>
      <c r="H743" s="205" t="n"/>
      <c r="I743" s="28" t="n"/>
      <c r="J743" s="205" t="n"/>
      <c r="K743" s="205" t="n"/>
      <c r="L743" s="205" t="n"/>
      <c r="M743" s="205" t="n"/>
      <c r="N743" s="205" t="n"/>
      <c r="O743" s="183" t="n"/>
      <c r="P743" s="183" t="n"/>
      <c r="Q743" s="183" t="n"/>
      <c r="R743" s="183" t="n"/>
      <c r="S743" s="183" t="n"/>
      <c r="T743" s="183" t="n"/>
      <c r="U743" s="183" t="n"/>
      <c r="V743" s="183" t="n"/>
      <c r="W743" s="183" t="n"/>
      <c r="X743" s="183" t="n"/>
      <c r="Y743" s="183" t="n"/>
      <c r="Z743" s="183" t="n"/>
      <c r="AA743" s="183" t="n"/>
    </row>
    <row r="744" ht="45.75" customHeight="1" s="222">
      <c r="A744" s="205" t="n"/>
      <c r="B744" s="205" t="n"/>
      <c r="C744" s="205" t="n"/>
      <c r="D744" s="205" t="n"/>
      <c r="E744" s="205" t="n"/>
      <c r="F744" s="205" t="n"/>
      <c r="G744" s="206" t="n"/>
      <c r="H744" s="205" t="n"/>
      <c r="I744" s="28" t="n"/>
      <c r="J744" s="205" t="n"/>
      <c r="K744" s="205" t="n"/>
      <c r="L744" s="205" t="n"/>
      <c r="M744" s="205" t="n"/>
      <c r="N744" s="205" t="n"/>
      <c r="O744" s="183" t="n"/>
      <c r="P744" s="183" t="n"/>
      <c r="Q744" s="183" t="n"/>
      <c r="R744" s="183" t="n"/>
      <c r="S744" s="183" t="n"/>
      <c r="T744" s="183" t="n"/>
      <c r="U744" s="183" t="n"/>
      <c r="V744" s="183" t="n"/>
      <c r="W744" s="183" t="n"/>
      <c r="X744" s="183" t="n"/>
      <c r="Y744" s="183" t="n"/>
      <c r="Z744" s="183" t="n"/>
      <c r="AA744" s="183" t="n"/>
    </row>
    <row r="745" ht="45.75" customHeight="1" s="222">
      <c r="A745" s="205" t="n"/>
      <c r="B745" s="205" t="n"/>
      <c r="C745" s="205" t="n"/>
      <c r="D745" s="205" t="n"/>
      <c r="E745" s="205" t="n"/>
      <c r="F745" s="205" t="n"/>
      <c r="G745" s="206" t="n"/>
      <c r="H745" s="205" t="n"/>
      <c r="I745" s="28" t="n"/>
      <c r="J745" s="205" t="n"/>
      <c r="K745" s="205" t="n"/>
      <c r="L745" s="205" t="n"/>
      <c r="M745" s="205" t="n"/>
      <c r="N745" s="205" t="n"/>
      <c r="O745" s="183" t="n"/>
      <c r="P745" s="183" t="n"/>
      <c r="Q745" s="183" t="n"/>
      <c r="R745" s="183" t="n"/>
      <c r="S745" s="183" t="n"/>
      <c r="T745" s="183" t="n"/>
      <c r="U745" s="183" t="n"/>
      <c r="V745" s="183" t="n"/>
      <c r="W745" s="183" t="n"/>
      <c r="X745" s="183" t="n"/>
      <c r="Y745" s="183" t="n"/>
      <c r="Z745" s="183" t="n"/>
      <c r="AA745" s="183" t="n"/>
    </row>
    <row r="746" ht="45.75" customHeight="1" s="222">
      <c r="A746" s="205" t="n"/>
      <c r="B746" s="205" t="n"/>
      <c r="C746" s="205" t="n"/>
      <c r="D746" s="205" t="n"/>
      <c r="E746" s="205" t="n"/>
      <c r="F746" s="205" t="n"/>
      <c r="G746" s="206" t="n"/>
      <c r="H746" s="205" t="n"/>
      <c r="I746" s="28" t="n"/>
      <c r="J746" s="205" t="n"/>
      <c r="K746" s="205" t="n"/>
      <c r="L746" s="205" t="n"/>
      <c r="M746" s="205" t="n"/>
      <c r="N746" s="205" t="n"/>
      <c r="O746" s="183" t="n"/>
      <c r="P746" s="183" t="n"/>
      <c r="Q746" s="183" t="n"/>
      <c r="R746" s="183" t="n"/>
      <c r="S746" s="183" t="n"/>
      <c r="T746" s="183" t="n"/>
      <c r="U746" s="183" t="n"/>
      <c r="V746" s="183" t="n"/>
      <c r="W746" s="183" t="n"/>
      <c r="X746" s="183" t="n"/>
      <c r="Y746" s="183" t="n"/>
      <c r="Z746" s="183" t="n"/>
      <c r="AA746" s="183" t="n"/>
    </row>
    <row r="747" ht="45.75" customHeight="1" s="222">
      <c r="A747" s="205" t="n"/>
      <c r="B747" s="205" t="n"/>
      <c r="C747" s="205" t="n"/>
      <c r="D747" s="205" t="n"/>
      <c r="E747" s="205" t="n"/>
      <c r="F747" s="205" t="n"/>
      <c r="G747" s="206" t="n"/>
      <c r="H747" s="205" t="n"/>
      <c r="I747" s="28" t="n"/>
      <c r="J747" s="205" t="n"/>
      <c r="K747" s="205" t="n"/>
      <c r="L747" s="205" t="n"/>
      <c r="M747" s="205" t="n"/>
      <c r="N747" s="205" t="n"/>
      <c r="O747" s="183" t="n"/>
      <c r="P747" s="183" t="n"/>
      <c r="Q747" s="183" t="n"/>
      <c r="R747" s="183" t="n"/>
      <c r="S747" s="183" t="n"/>
      <c r="T747" s="183" t="n"/>
      <c r="U747" s="183" t="n"/>
      <c r="V747" s="183" t="n"/>
      <c r="W747" s="183" t="n"/>
      <c r="X747" s="183" t="n"/>
      <c r="Y747" s="183" t="n"/>
      <c r="Z747" s="183" t="n"/>
      <c r="AA747" s="183" t="n"/>
    </row>
    <row r="748" ht="45.75" customHeight="1" s="222">
      <c r="A748" s="205" t="n"/>
      <c r="B748" s="205" t="n"/>
      <c r="C748" s="205" t="n"/>
      <c r="D748" s="205" t="n"/>
      <c r="E748" s="205" t="n"/>
      <c r="F748" s="205" t="n"/>
      <c r="G748" s="206" t="n"/>
      <c r="H748" s="205" t="n"/>
      <c r="I748" s="28" t="n"/>
      <c r="J748" s="205" t="n"/>
      <c r="K748" s="205" t="n"/>
      <c r="L748" s="205" t="n"/>
      <c r="M748" s="205" t="n"/>
      <c r="N748" s="205" t="n"/>
      <c r="O748" s="183" t="n"/>
      <c r="P748" s="183" t="n"/>
      <c r="Q748" s="183" t="n"/>
      <c r="R748" s="183" t="n"/>
      <c r="S748" s="183" t="n"/>
      <c r="T748" s="183" t="n"/>
      <c r="U748" s="183" t="n"/>
      <c r="V748" s="183" t="n"/>
      <c r="W748" s="183" t="n"/>
      <c r="X748" s="183" t="n"/>
      <c r="Y748" s="183" t="n"/>
      <c r="Z748" s="183" t="n"/>
      <c r="AA748" s="183" t="n"/>
    </row>
    <row r="749" ht="45.75" customHeight="1" s="222">
      <c r="A749" s="205" t="n"/>
      <c r="B749" s="205" t="n"/>
      <c r="C749" s="205" t="n"/>
      <c r="D749" s="205" t="n"/>
      <c r="E749" s="205" t="n"/>
      <c r="F749" s="205" t="n"/>
      <c r="G749" s="206" t="n"/>
      <c r="H749" s="205" t="n"/>
      <c r="I749" s="28" t="n"/>
      <c r="J749" s="205" t="n"/>
      <c r="K749" s="205" t="n"/>
      <c r="L749" s="205" t="n"/>
      <c r="M749" s="205" t="n"/>
      <c r="N749" s="205" t="n"/>
      <c r="O749" s="183" t="n"/>
      <c r="P749" s="183" t="n"/>
      <c r="Q749" s="183" t="n"/>
      <c r="R749" s="183" t="n"/>
      <c r="S749" s="183" t="n"/>
      <c r="T749" s="183" t="n"/>
      <c r="U749" s="183" t="n"/>
      <c r="V749" s="183" t="n"/>
      <c r="W749" s="183" t="n"/>
      <c r="X749" s="183" t="n"/>
      <c r="Y749" s="183" t="n"/>
      <c r="Z749" s="183" t="n"/>
      <c r="AA749" s="183" t="n"/>
    </row>
    <row r="750" ht="45.75" customHeight="1" s="222">
      <c r="A750" s="205" t="n"/>
      <c r="B750" s="205" t="n"/>
      <c r="C750" s="205" t="n"/>
      <c r="D750" s="205" t="n"/>
      <c r="E750" s="205" t="n"/>
      <c r="F750" s="205" t="n"/>
      <c r="G750" s="206" t="n"/>
      <c r="H750" s="205" t="n"/>
      <c r="I750" s="28" t="n"/>
      <c r="J750" s="205" t="n"/>
      <c r="K750" s="205" t="n"/>
      <c r="L750" s="205" t="n"/>
      <c r="M750" s="205" t="n"/>
      <c r="N750" s="205" t="n"/>
      <c r="O750" s="183" t="n"/>
      <c r="P750" s="183" t="n"/>
      <c r="Q750" s="183" t="n"/>
      <c r="R750" s="183" t="n"/>
      <c r="S750" s="183" t="n"/>
      <c r="T750" s="183" t="n"/>
      <c r="U750" s="183" t="n"/>
      <c r="V750" s="183" t="n"/>
      <c r="W750" s="183" t="n"/>
      <c r="X750" s="183" t="n"/>
      <c r="Y750" s="183" t="n"/>
      <c r="Z750" s="183" t="n"/>
      <c r="AA750" s="183" t="n"/>
    </row>
    <row r="751" ht="45.75" customHeight="1" s="222">
      <c r="A751" s="205" t="n"/>
      <c r="B751" s="205" t="n"/>
      <c r="C751" s="205" t="n"/>
      <c r="D751" s="205" t="n"/>
      <c r="E751" s="205" t="n"/>
      <c r="F751" s="205" t="n"/>
      <c r="G751" s="206" t="n"/>
      <c r="H751" s="205" t="n"/>
      <c r="I751" s="28" t="n"/>
      <c r="J751" s="205" t="n"/>
      <c r="K751" s="205" t="n"/>
      <c r="L751" s="205" t="n"/>
      <c r="M751" s="205" t="n"/>
      <c r="N751" s="205" t="n"/>
      <c r="O751" s="183" t="n"/>
      <c r="P751" s="183" t="n"/>
      <c r="Q751" s="183" t="n"/>
      <c r="R751" s="183" t="n"/>
      <c r="S751" s="183" t="n"/>
      <c r="T751" s="183" t="n"/>
      <c r="U751" s="183" t="n"/>
      <c r="V751" s="183" t="n"/>
      <c r="W751" s="183" t="n"/>
      <c r="X751" s="183" t="n"/>
      <c r="Y751" s="183" t="n"/>
      <c r="Z751" s="183" t="n"/>
      <c r="AA751" s="183" t="n"/>
    </row>
    <row r="752" ht="45.75" customHeight="1" s="222">
      <c r="A752" s="205" t="n"/>
      <c r="B752" s="205" t="n"/>
      <c r="C752" s="205" t="n"/>
      <c r="D752" s="205" t="n"/>
      <c r="E752" s="205" t="n"/>
      <c r="F752" s="205" t="n"/>
      <c r="G752" s="206" t="n"/>
      <c r="H752" s="205" t="n"/>
      <c r="I752" s="28" t="n"/>
      <c r="J752" s="205" t="n"/>
      <c r="K752" s="205" t="n"/>
      <c r="L752" s="205" t="n"/>
      <c r="M752" s="205" t="n"/>
      <c r="N752" s="205" t="n"/>
      <c r="O752" s="183" t="n"/>
      <c r="P752" s="183" t="n"/>
      <c r="Q752" s="183" t="n"/>
      <c r="R752" s="183" t="n"/>
      <c r="S752" s="183" t="n"/>
      <c r="T752" s="183" t="n"/>
      <c r="U752" s="183" t="n"/>
      <c r="V752" s="183" t="n"/>
      <c r="W752" s="183" t="n"/>
      <c r="X752" s="183" t="n"/>
      <c r="Y752" s="183" t="n"/>
      <c r="Z752" s="183" t="n"/>
      <c r="AA752" s="183" t="n"/>
    </row>
    <row r="753" ht="45.75" customHeight="1" s="222">
      <c r="A753" s="205" t="n"/>
      <c r="B753" s="205" t="n"/>
      <c r="C753" s="205" t="n"/>
      <c r="D753" s="205" t="n"/>
      <c r="E753" s="205" t="n"/>
      <c r="F753" s="205" t="n"/>
      <c r="G753" s="206" t="n"/>
      <c r="H753" s="205" t="n"/>
      <c r="I753" s="28" t="n"/>
      <c r="J753" s="205" t="n"/>
      <c r="K753" s="205" t="n"/>
      <c r="L753" s="205" t="n"/>
      <c r="M753" s="205" t="n"/>
      <c r="N753" s="205" t="n"/>
      <c r="O753" s="183" t="n"/>
      <c r="P753" s="183" t="n"/>
      <c r="Q753" s="183" t="n"/>
      <c r="R753" s="183" t="n"/>
      <c r="S753" s="183" t="n"/>
      <c r="T753" s="183" t="n"/>
      <c r="U753" s="183" t="n"/>
      <c r="V753" s="183" t="n"/>
      <c r="W753" s="183" t="n"/>
      <c r="X753" s="183" t="n"/>
      <c r="Y753" s="183" t="n"/>
      <c r="Z753" s="183" t="n"/>
      <c r="AA753" s="183" t="n"/>
    </row>
    <row r="754" ht="45.75" customHeight="1" s="222">
      <c r="A754" s="205" t="n"/>
      <c r="B754" s="205" t="n"/>
      <c r="C754" s="205" t="n"/>
      <c r="D754" s="205" t="n"/>
      <c r="E754" s="205" t="n"/>
      <c r="F754" s="205" t="n"/>
      <c r="G754" s="206" t="n"/>
      <c r="H754" s="205" t="n"/>
      <c r="I754" s="28" t="n"/>
      <c r="J754" s="205" t="n"/>
      <c r="K754" s="205" t="n"/>
      <c r="L754" s="205" t="n"/>
      <c r="M754" s="205" t="n"/>
      <c r="N754" s="205" t="n"/>
      <c r="O754" s="183" t="n"/>
      <c r="P754" s="183" t="n"/>
      <c r="Q754" s="183" t="n"/>
      <c r="R754" s="183" t="n"/>
      <c r="S754" s="183" t="n"/>
      <c r="T754" s="183" t="n"/>
      <c r="U754" s="183" t="n"/>
      <c r="V754" s="183" t="n"/>
      <c r="W754" s="183" t="n"/>
      <c r="X754" s="183" t="n"/>
      <c r="Y754" s="183" t="n"/>
      <c r="Z754" s="183" t="n"/>
      <c r="AA754" s="183" t="n"/>
    </row>
    <row r="755" ht="45.75" customHeight="1" s="222">
      <c r="A755" s="205" t="n"/>
      <c r="B755" s="205" t="n"/>
      <c r="C755" s="205" t="n"/>
      <c r="D755" s="205" t="n"/>
      <c r="E755" s="205" t="n"/>
      <c r="F755" s="205" t="n"/>
      <c r="G755" s="206" t="n"/>
      <c r="H755" s="205" t="n"/>
      <c r="I755" s="28" t="n"/>
      <c r="J755" s="205" t="n"/>
      <c r="K755" s="205" t="n"/>
      <c r="L755" s="205" t="n"/>
      <c r="M755" s="205" t="n"/>
      <c r="N755" s="205" t="n"/>
      <c r="O755" s="183" t="n"/>
      <c r="P755" s="183" t="n"/>
      <c r="Q755" s="183" t="n"/>
      <c r="R755" s="183" t="n"/>
      <c r="S755" s="183" t="n"/>
      <c r="T755" s="183" t="n"/>
      <c r="U755" s="183" t="n"/>
      <c r="V755" s="183" t="n"/>
      <c r="W755" s="183" t="n"/>
      <c r="X755" s="183" t="n"/>
      <c r="Y755" s="183" t="n"/>
      <c r="Z755" s="183" t="n"/>
      <c r="AA755" s="183" t="n"/>
    </row>
    <row r="756" ht="45.75" customHeight="1" s="222">
      <c r="A756" s="205" t="n"/>
      <c r="B756" s="205" t="n"/>
      <c r="C756" s="205" t="n"/>
      <c r="D756" s="205" t="n"/>
      <c r="E756" s="205" t="n"/>
      <c r="F756" s="205" t="n"/>
      <c r="G756" s="206" t="n"/>
      <c r="H756" s="205" t="n"/>
      <c r="I756" s="28" t="n"/>
      <c r="J756" s="205" t="n"/>
      <c r="K756" s="205" t="n"/>
      <c r="L756" s="205" t="n"/>
      <c r="M756" s="205" t="n"/>
      <c r="N756" s="205" t="n"/>
      <c r="O756" s="183" t="n"/>
      <c r="P756" s="183" t="n"/>
      <c r="Q756" s="183" t="n"/>
      <c r="R756" s="183" t="n"/>
      <c r="S756" s="183" t="n"/>
      <c r="T756" s="183" t="n"/>
      <c r="U756" s="183" t="n"/>
      <c r="V756" s="183" t="n"/>
      <c r="W756" s="183" t="n"/>
      <c r="X756" s="183" t="n"/>
      <c r="Y756" s="183" t="n"/>
      <c r="Z756" s="183" t="n"/>
      <c r="AA756" s="183" t="n"/>
    </row>
    <row r="757" ht="45.75" customHeight="1" s="222">
      <c r="A757" s="205" t="n"/>
      <c r="B757" s="205" t="n"/>
      <c r="C757" s="205" t="n"/>
      <c r="D757" s="205" t="n"/>
      <c r="E757" s="205" t="n"/>
      <c r="F757" s="205" t="n"/>
      <c r="G757" s="206" t="n"/>
      <c r="H757" s="205" t="n"/>
      <c r="I757" s="28" t="n"/>
      <c r="J757" s="205" t="n"/>
      <c r="K757" s="205" t="n"/>
      <c r="L757" s="205" t="n"/>
      <c r="M757" s="205" t="n"/>
      <c r="N757" s="205" t="n"/>
      <c r="O757" s="183" t="n"/>
      <c r="P757" s="183" t="n"/>
      <c r="Q757" s="183" t="n"/>
      <c r="R757" s="183" t="n"/>
      <c r="S757" s="183" t="n"/>
      <c r="T757" s="183" t="n"/>
      <c r="U757" s="183" t="n"/>
      <c r="V757" s="183" t="n"/>
      <c r="W757" s="183" t="n"/>
      <c r="X757" s="183" t="n"/>
      <c r="Y757" s="183" t="n"/>
      <c r="Z757" s="183" t="n"/>
      <c r="AA757" s="183" t="n"/>
    </row>
    <row r="758" ht="45.75" customHeight="1" s="222">
      <c r="A758" s="205" t="n"/>
      <c r="B758" s="205" t="n"/>
      <c r="C758" s="205" t="n"/>
      <c r="D758" s="205" t="n"/>
      <c r="E758" s="205" t="n"/>
      <c r="F758" s="205" t="n"/>
      <c r="G758" s="206" t="n"/>
      <c r="H758" s="205" t="n"/>
      <c r="I758" s="28" t="n"/>
      <c r="J758" s="205" t="n"/>
      <c r="K758" s="205" t="n"/>
      <c r="L758" s="205" t="n"/>
      <c r="M758" s="205" t="n"/>
      <c r="N758" s="205" t="n"/>
      <c r="O758" s="183" t="n"/>
      <c r="P758" s="183" t="n"/>
      <c r="Q758" s="183" t="n"/>
      <c r="R758" s="183" t="n"/>
      <c r="S758" s="183" t="n"/>
      <c r="T758" s="183" t="n"/>
      <c r="U758" s="183" t="n"/>
      <c r="V758" s="183" t="n"/>
      <c r="W758" s="183" t="n"/>
      <c r="X758" s="183" t="n"/>
      <c r="Y758" s="183" t="n"/>
      <c r="Z758" s="183" t="n"/>
      <c r="AA758" s="183" t="n"/>
    </row>
    <row r="759" ht="45.75" customHeight="1" s="222">
      <c r="A759" s="205" t="n"/>
      <c r="B759" s="205" t="n"/>
      <c r="C759" s="205" t="n"/>
      <c r="D759" s="205" t="n"/>
      <c r="E759" s="205" t="n"/>
      <c r="F759" s="205" t="n"/>
      <c r="G759" s="206" t="n"/>
      <c r="H759" s="205" t="n"/>
      <c r="I759" s="28" t="n"/>
      <c r="J759" s="205" t="n"/>
      <c r="K759" s="205" t="n"/>
      <c r="L759" s="205" t="n"/>
      <c r="M759" s="205" t="n"/>
      <c r="N759" s="205" t="n"/>
      <c r="O759" s="183" t="n"/>
      <c r="P759" s="183" t="n"/>
      <c r="Q759" s="183" t="n"/>
      <c r="R759" s="183" t="n"/>
      <c r="S759" s="183" t="n"/>
      <c r="T759" s="183" t="n"/>
      <c r="U759" s="183" t="n"/>
      <c r="V759" s="183" t="n"/>
      <c r="W759" s="183" t="n"/>
      <c r="X759" s="183" t="n"/>
      <c r="Y759" s="183" t="n"/>
      <c r="Z759" s="183" t="n"/>
      <c r="AA759" s="183" t="n"/>
    </row>
    <row r="760" ht="45.75" customHeight="1" s="222">
      <c r="A760" s="205" t="n"/>
      <c r="B760" s="205" t="n"/>
      <c r="C760" s="205" t="n"/>
      <c r="D760" s="205" t="n"/>
      <c r="E760" s="205" t="n"/>
      <c r="F760" s="205" t="n"/>
      <c r="G760" s="206" t="n"/>
      <c r="H760" s="205" t="n"/>
      <c r="I760" s="28" t="n"/>
      <c r="J760" s="205" t="n"/>
      <c r="K760" s="205" t="n"/>
      <c r="L760" s="205" t="n"/>
      <c r="M760" s="205" t="n"/>
      <c r="N760" s="205" t="n"/>
      <c r="O760" s="183" t="n"/>
      <c r="P760" s="183" t="n"/>
      <c r="Q760" s="183" t="n"/>
      <c r="R760" s="183" t="n"/>
      <c r="S760" s="183" t="n"/>
      <c r="T760" s="183" t="n"/>
      <c r="U760" s="183" t="n"/>
      <c r="V760" s="183" t="n"/>
      <c r="W760" s="183" t="n"/>
      <c r="X760" s="183" t="n"/>
      <c r="Y760" s="183" t="n"/>
      <c r="Z760" s="183" t="n"/>
      <c r="AA760" s="183" t="n"/>
    </row>
    <row r="761" ht="45.75" customHeight="1" s="222">
      <c r="A761" s="205" t="n"/>
      <c r="B761" s="205" t="n"/>
      <c r="C761" s="205" t="n"/>
      <c r="D761" s="205" t="n"/>
      <c r="E761" s="205" t="n"/>
      <c r="F761" s="205" t="n"/>
      <c r="G761" s="206" t="n"/>
      <c r="H761" s="205" t="n"/>
      <c r="I761" s="28" t="n"/>
      <c r="J761" s="205" t="n"/>
      <c r="K761" s="205" t="n"/>
      <c r="L761" s="205" t="n"/>
      <c r="M761" s="205" t="n"/>
      <c r="N761" s="205" t="n"/>
      <c r="O761" s="183" t="n"/>
      <c r="P761" s="183" t="n"/>
      <c r="Q761" s="183" t="n"/>
      <c r="R761" s="183" t="n"/>
      <c r="S761" s="183" t="n"/>
      <c r="T761" s="183" t="n"/>
      <c r="U761" s="183" t="n"/>
      <c r="V761" s="183" t="n"/>
      <c r="W761" s="183" t="n"/>
      <c r="X761" s="183" t="n"/>
      <c r="Y761" s="183" t="n"/>
      <c r="Z761" s="183" t="n"/>
      <c r="AA761" s="183" t="n"/>
    </row>
    <row r="762" ht="45.75" customHeight="1" s="222">
      <c r="A762" s="205" t="n"/>
      <c r="B762" s="205" t="n"/>
      <c r="C762" s="205" t="n"/>
      <c r="D762" s="205" t="n"/>
      <c r="E762" s="205" t="n"/>
      <c r="F762" s="205" t="n"/>
      <c r="G762" s="206" t="n"/>
      <c r="H762" s="205" t="n"/>
      <c r="I762" s="28" t="n"/>
      <c r="J762" s="205" t="n"/>
      <c r="K762" s="205" t="n"/>
      <c r="L762" s="205" t="n"/>
      <c r="M762" s="205" t="n"/>
      <c r="N762" s="205" t="n"/>
      <c r="O762" s="183" t="n"/>
      <c r="P762" s="183" t="n"/>
      <c r="Q762" s="183" t="n"/>
      <c r="R762" s="183" t="n"/>
      <c r="S762" s="183" t="n"/>
      <c r="T762" s="183" t="n"/>
      <c r="U762" s="183" t="n"/>
      <c r="V762" s="183" t="n"/>
      <c r="W762" s="183" t="n"/>
      <c r="X762" s="183" t="n"/>
      <c r="Y762" s="183" t="n"/>
      <c r="Z762" s="183" t="n"/>
      <c r="AA762" s="183" t="n"/>
    </row>
    <row r="763" ht="45.75" customHeight="1" s="222">
      <c r="A763" s="205" t="n"/>
      <c r="B763" s="205" t="n"/>
      <c r="C763" s="205" t="n"/>
      <c r="D763" s="205" t="n"/>
      <c r="E763" s="205" t="n"/>
      <c r="F763" s="205" t="n"/>
      <c r="G763" s="206" t="n"/>
      <c r="H763" s="205" t="n"/>
      <c r="I763" s="28" t="n"/>
      <c r="J763" s="205" t="n"/>
      <c r="K763" s="205" t="n"/>
      <c r="L763" s="205" t="n"/>
      <c r="M763" s="205" t="n"/>
      <c r="N763" s="205" t="n"/>
      <c r="O763" s="183" t="n"/>
      <c r="P763" s="183" t="n"/>
      <c r="Q763" s="183" t="n"/>
      <c r="R763" s="183" t="n"/>
      <c r="S763" s="183" t="n"/>
      <c r="T763" s="183" t="n"/>
      <c r="U763" s="183" t="n"/>
      <c r="V763" s="183" t="n"/>
      <c r="W763" s="183" t="n"/>
      <c r="X763" s="183" t="n"/>
      <c r="Y763" s="183" t="n"/>
      <c r="Z763" s="183" t="n"/>
      <c r="AA763" s="183" t="n"/>
    </row>
    <row r="764" ht="45.75" customHeight="1" s="222">
      <c r="A764" s="205" t="n"/>
      <c r="B764" s="205" t="n"/>
      <c r="C764" s="205" t="n"/>
      <c r="D764" s="205" t="n"/>
      <c r="E764" s="205" t="n"/>
      <c r="F764" s="205" t="n"/>
      <c r="G764" s="206" t="n"/>
      <c r="H764" s="205" t="n"/>
      <c r="I764" s="28" t="n"/>
      <c r="J764" s="205" t="n"/>
      <c r="K764" s="205" t="n"/>
      <c r="L764" s="205" t="n"/>
      <c r="M764" s="205" t="n"/>
      <c r="N764" s="205" t="n"/>
      <c r="O764" s="183" t="n"/>
      <c r="P764" s="183" t="n"/>
      <c r="Q764" s="183" t="n"/>
      <c r="R764" s="183" t="n"/>
      <c r="S764" s="183" t="n"/>
      <c r="T764" s="183" t="n"/>
      <c r="U764" s="183" t="n"/>
      <c r="V764" s="183" t="n"/>
      <c r="W764" s="183" t="n"/>
      <c r="X764" s="183" t="n"/>
      <c r="Y764" s="183" t="n"/>
      <c r="Z764" s="183" t="n"/>
      <c r="AA764" s="183" t="n"/>
    </row>
    <row r="765" ht="45.75" customHeight="1" s="222">
      <c r="A765" s="205" t="n"/>
      <c r="B765" s="205" t="n"/>
      <c r="C765" s="205" t="n"/>
      <c r="D765" s="205" t="n"/>
      <c r="E765" s="205" t="n"/>
      <c r="F765" s="205" t="n"/>
      <c r="G765" s="206" t="n"/>
      <c r="H765" s="205" t="n"/>
      <c r="I765" s="28" t="n"/>
      <c r="J765" s="205" t="n"/>
      <c r="K765" s="205" t="n"/>
      <c r="L765" s="205" t="n"/>
      <c r="M765" s="205" t="n"/>
      <c r="N765" s="205" t="n"/>
      <c r="O765" s="183" t="n"/>
      <c r="P765" s="183" t="n"/>
      <c r="Q765" s="183" t="n"/>
      <c r="R765" s="183" t="n"/>
      <c r="S765" s="183" t="n"/>
      <c r="T765" s="183" t="n"/>
      <c r="U765" s="183" t="n"/>
      <c r="V765" s="183" t="n"/>
      <c r="W765" s="183" t="n"/>
      <c r="X765" s="183" t="n"/>
      <c r="Y765" s="183" t="n"/>
      <c r="Z765" s="183" t="n"/>
      <c r="AA765" s="183" t="n"/>
    </row>
    <row r="766" ht="45.75" customHeight="1" s="222">
      <c r="A766" s="205" t="n"/>
      <c r="B766" s="205" t="n"/>
      <c r="C766" s="205" t="n"/>
      <c r="D766" s="205" t="n"/>
      <c r="E766" s="205" t="n"/>
      <c r="F766" s="205" t="n"/>
      <c r="G766" s="206" t="n"/>
      <c r="H766" s="205" t="n"/>
      <c r="I766" s="28" t="n"/>
      <c r="J766" s="205" t="n"/>
      <c r="K766" s="205" t="n"/>
      <c r="L766" s="205" t="n"/>
      <c r="M766" s="205" t="n"/>
      <c r="N766" s="205" t="n"/>
      <c r="O766" s="183" t="n"/>
      <c r="P766" s="183" t="n"/>
      <c r="Q766" s="183" t="n"/>
      <c r="R766" s="183" t="n"/>
      <c r="S766" s="183" t="n"/>
      <c r="T766" s="183" t="n"/>
      <c r="U766" s="183" t="n"/>
      <c r="V766" s="183" t="n"/>
      <c r="W766" s="183" t="n"/>
      <c r="X766" s="183" t="n"/>
      <c r="Y766" s="183" t="n"/>
      <c r="Z766" s="183" t="n"/>
      <c r="AA766" s="183" t="n"/>
    </row>
    <row r="767" ht="45.75" customHeight="1" s="222">
      <c r="A767" s="205" t="n"/>
      <c r="B767" s="205" t="n"/>
      <c r="C767" s="205" t="n"/>
      <c r="D767" s="205" t="n"/>
      <c r="E767" s="205" t="n"/>
      <c r="F767" s="205" t="n"/>
      <c r="G767" s="206" t="n"/>
      <c r="H767" s="205" t="n"/>
      <c r="I767" s="28" t="n"/>
      <c r="J767" s="205" t="n"/>
      <c r="K767" s="205" t="n"/>
      <c r="L767" s="205" t="n"/>
      <c r="M767" s="205" t="n"/>
      <c r="N767" s="205" t="n"/>
      <c r="O767" s="183" t="n"/>
      <c r="P767" s="183" t="n"/>
      <c r="Q767" s="183" t="n"/>
      <c r="R767" s="183" t="n"/>
      <c r="S767" s="183" t="n"/>
      <c r="T767" s="183" t="n"/>
      <c r="U767" s="183" t="n"/>
      <c r="V767" s="183" t="n"/>
      <c r="W767" s="183" t="n"/>
      <c r="X767" s="183" t="n"/>
      <c r="Y767" s="183" t="n"/>
      <c r="Z767" s="183" t="n"/>
      <c r="AA767" s="183" t="n"/>
    </row>
    <row r="768" ht="45.75" customHeight="1" s="222">
      <c r="A768" s="205" t="n"/>
      <c r="B768" s="205" t="n"/>
      <c r="C768" s="205" t="n"/>
      <c r="D768" s="205" t="n"/>
      <c r="E768" s="205" t="n"/>
      <c r="F768" s="205" t="n"/>
      <c r="G768" s="206" t="n"/>
      <c r="H768" s="205" t="n"/>
      <c r="I768" s="28" t="n"/>
      <c r="J768" s="205" t="n"/>
      <c r="K768" s="205" t="n"/>
      <c r="L768" s="205" t="n"/>
      <c r="M768" s="205" t="n"/>
      <c r="N768" s="205" t="n"/>
      <c r="O768" s="183" t="n"/>
      <c r="P768" s="183" t="n"/>
      <c r="Q768" s="183" t="n"/>
      <c r="R768" s="183" t="n"/>
      <c r="S768" s="183" t="n"/>
      <c r="T768" s="183" t="n"/>
      <c r="U768" s="183" t="n"/>
      <c r="V768" s="183" t="n"/>
      <c r="W768" s="183" t="n"/>
      <c r="X768" s="183" t="n"/>
      <c r="Y768" s="183" t="n"/>
      <c r="Z768" s="183" t="n"/>
      <c r="AA768" s="183" t="n"/>
    </row>
    <row r="769" ht="45.75" customHeight="1" s="222">
      <c r="A769" s="205" t="n"/>
      <c r="B769" s="205" t="n"/>
      <c r="C769" s="205" t="n"/>
      <c r="D769" s="205" t="n"/>
      <c r="E769" s="205" t="n"/>
      <c r="F769" s="205" t="n"/>
      <c r="G769" s="206" t="n"/>
      <c r="H769" s="205" t="n"/>
      <c r="I769" s="28" t="n"/>
      <c r="J769" s="205" t="n"/>
      <c r="K769" s="205" t="n"/>
      <c r="L769" s="205" t="n"/>
      <c r="M769" s="205" t="n"/>
      <c r="N769" s="205" t="n"/>
      <c r="O769" s="183" t="n"/>
      <c r="P769" s="183" t="n"/>
      <c r="Q769" s="183" t="n"/>
      <c r="R769" s="183" t="n"/>
      <c r="S769" s="183" t="n"/>
      <c r="T769" s="183" t="n"/>
      <c r="U769" s="183" t="n"/>
      <c r="V769" s="183" t="n"/>
      <c r="W769" s="183" t="n"/>
      <c r="X769" s="183" t="n"/>
      <c r="Y769" s="183" t="n"/>
      <c r="Z769" s="183" t="n"/>
      <c r="AA769" s="183" t="n"/>
    </row>
    <row r="770" ht="45.75" customHeight="1" s="222">
      <c r="A770" s="205" t="n"/>
      <c r="B770" s="205" t="n"/>
      <c r="C770" s="205" t="n"/>
      <c r="D770" s="205" t="n"/>
      <c r="E770" s="205" t="n"/>
      <c r="F770" s="205" t="n"/>
      <c r="G770" s="206" t="n"/>
      <c r="H770" s="205" t="n"/>
      <c r="I770" s="28" t="n"/>
      <c r="J770" s="205" t="n"/>
      <c r="K770" s="205" t="n"/>
      <c r="L770" s="205" t="n"/>
      <c r="M770" s="205" t="n"/>
      <c r="N770" s="205" t="n"/>
      <c r="O770" s="183" t="n"/>
      <c r="P770" s="183" t="n"/>
      <c r="Q770" s="183" t="n"/>
      <c r="R770" s="183" t="n"/>
      <c r="S770" s="183" t="n"/>
      <c r="T770" s="183" t="n"/>
      <c r="U770" s="183" t="n"/>
      <c r="V770" s="183" t="n"/>
      <c r="W770" s="183" t="n"/>
      <c r="X770" s="183" t="n"/>
      <c r="Y770" s="183" t="n"/>
      <c r="Z770" s="183" t="n"/>
      <c r="AA770" s="183" t="n"/>
    </row>
    <row r="771" ht="45.75" customHeight="1" s="222">
      <c r="A771" s="205" t="n"/>
      <c r="B771" s="205" t="n"/>
      <c r="C771" s="205" t="n"/>
      <c r="D771" s="205" t="n"/>
      <c r="E771" s="205" t="n"/>
      <c r="F771" s="205" t="n"/>
      <c r="G771" s="206" t="n"/>
      <c r="H771" s="205" t="n"/>
      <c r="I771" s="28" t="n"/>
      <c r="J771" s="205" t="n"/>
      <c r="K771" s="205" t="n"/>
      <c r="L771" s="205" t="n"/>
      <c r="M771" s="205" t="n"/>
      <c r="N771" s="205" t="n"/>
      <c r="O771" s="183" t="n"/>
      <c r="P771" s="183" t="n"/>
      <c r="Q771" s="183" t="n"/>
      <c r="R771" s="183" t="n"/>
      <c r="S771" s="183" t="n"/>
      <c r="T771" s="183" t="n"/>
      <c r="U771" s="183" t="n"/>
      <c r="V771" s="183" t="n"/>
      <c r="W771" s="183" t="n"/>
      <c r="X771" s="183" t="n"/>
      <c r="Y771" s="183" t="n"/>
      <c r="Z771" s="183" t="n"/>
      <c r="AA771" s="183" t="n"/>
    </row>
    <row r="772" ht="45.75" customHeight="1" s="222">
      <c r="A772" s="205" t="n"/>
      <c r="B772" s="205" t="n"/>
      <c r="C772" s="205" t="n"/>
      <c r="D772" s="205" t="n"/>
      <c r="E772" s="205" t="n"/>
      <c r="F772" s="205" t="n"/>
      <c r="G772" s="206" t="n"/>
      <c r="H772" s="205" t="n"/>
      <c r="I772" s="28" t="n"/>
      <c r="J772" s="205" t="n"/>
      <c r="K772" s="205" t="n"/>
      <c r="L772" s="205" t="n"/>
      <c r="M772" s="205" t="n"/>
      <c r="N772" s="205" t="n"/>
      <c r="O772" s="183" t="n"/>
      <c r="P772" s="183" t="n"/>
      <c r="Q772" s="183" t="n"/>
      <c r="R772" s="183" t="n"/>
      <c r="S772" s="183" t="n"/>
      <c r="T772" s="183" t="n"/>
      <c r="U772" s="183" t="n"/>
      <c r="V772" s="183" t="n"/>
      <c r="W772" s="183" t="n"/>
      <c r="X772" s="183" t="n"/>
      <c r="Y772" s="183" t="n"/>
      <c r="Z772" s="183" t="n"/>
      <c r="AA772" s="183" t="n"/>
    </row>
    <row r="773" ht="45.75" customHeight="1" s="222">
      <c r="A773" s="205" t="n"/>
      <c r="B773" s="205" t="n"/>
      <c r="C773" s="205" t="n"/>
      <c r="D773" s="205" t="n"/>
      <c r="E773" s="205" t="n"/>
      <c r="F773" s="205" t="n"/>
      <c r="G773" s="206" t="n"/>
      <c r="H773" s="205" t="n"/>
      <c r="I773" s="28" t="n"/>
      <c r="J773" s="205" t="n"/>
      <c r="K773" s="205" t="n"/>
      <c r="L773" s="205" t="n"/>
      <c r="M773" s="205" t="n"/>
      <c r="N773" s="205" t="n"/>
      <c r="O773" s="183" t="n"/>
      <c r="P773" s="183" t="n"/>
      <c r="Q773" s="183" t="n"/>
      <c r="R773" s="183" t="n"/>
      <c r="S773" s="183" t="n"/>
      <c r="T773" s="183" t="n"/>
      <c r="U773" s="183" t="n"/>
      <c r="V773" s="183" t="n"/>
      <c r="W773" s="183" t="n"/>
      <c r="X773" s="183" t="n"/>
      <c r="Y773" s="183" t="n"/>
      <c r="Z773" s="183" t="n"/>
      <c r="AA773" s="183" t="n"/>
    </row>
    <row r="774" ht="45.75" customHeight="1" s="222">
      <c r="A774" s="205" t="n"/>
      <c r="B774" s="205" t="n"/>
      <c r="C774" s="205" t="n"/>
      <c r="D774" s="205" t="n"/>
      <c r="E774" s="205" t="n"/>
      <c r="F774" s="205" t="n"/>
      <c r="G774" s="206" t="n"/>
      <c r="H774" s="205" t="n"/>
      <c r="I774" s="28" t="n"/>
      <c r="J774" s="205" t="n"/>
      <c r="K774" s="205" t="n"/>
      <c r="L774" s="205" t="n"/>
      <c r="M774" s="205" t="n"/>
      <c r="N774" s="205" t="n"/>
      <c r="O774" s="183" t="n"/>
      <c r="P774" s="183" t="n"/>
      <c r="Q774" s="183" t="n"/>
      <c r="R774" s="183" t="n"/>
      <c r="S774" s="183" t="n"/>
      <c r="T774" s="183" t="n"/>
      <c r="U774" s="183" t="n"/>
      <c r="V774" s="183" t="n"/>
      <c r="W774" s="183" t="n"/>
      <c r="X774" s="183" t="n"/>
      <c r="Y774" s="183" t="n"/>
      <c r="Z774" s="183" t="n"/>
      <c r="AA774" s="183" t="n"/>
    </row>
    <row r="775" ht="45.75" customHeight="1" s="222">
      <c r="A775" s="205" t="n"/>
      <c r="B775" s="205" t="n"/>
      <c r="C775" s="205" t="n"/>
      <c r="D775" s="205" t="n"/>
      <c r="E775" s="205" t="n"/>
      <c r="F775" s="205" t="n"/>
      <c r="G775" s="206" t="n"/>
      <c r="H775" s="205" t="n"/>
      <c r="I775" s="28" t="n"/>
      <c r="J775" s="205" t="n"/>
      <c r="K775" s="205" t="n"/>
      <c r="L775" s="205" t="n"/>
      <c r="M775" s="205" t="n"/>
      <c r="N775" s="205" t="n"/>
      <c r="O775" s="183" t="n"/>
      <c r="P775" s="183" t="n"/>
      <c r="Q775" s="183" t="n"/>
      <c r="R775" s="183" t="n"/>
      <c r="S775" s="183" t="n"/>
      <c r="T775" s="183" t="n"/>
      <c r="U775" s="183" t="n"/>
      <c r="V775" s="183" t="n"/>
      <c r="W775" s="183" t="n"/>
      <c r="X775" s="183" t="n"/>
      <c r="Y775" s="183" t="n"/>
      <c r="Z775" s="183" t="n"/>
      <c r="AA775" s="183" t="n"/>
    </row>
    <row r="776" ht="45.75" customHeight="1" s="222">
      <c r="A776" s="205" t="n"/>
      <c r="B776" s="205" t="n"/>
      <c r="C776" s="205" t="n"/>
      <c r="D776" s="205" t="n"/>
      <c r="E776" s="205" t="n"/>
      <c r="F776" s="205" t="n"/>
      <c r="G776" s="206" t="n"/>
      <c r="H776" s="205" t="n"/>
      <c r="I776" s="28" t="n"/>
      <c r="J776" s="205" t="n"/>
      <c r="K776" s="205" t="n"/>
      <c r="L776" s="205" t="n"/>
      <c r="M776" s="205" t="n"/>
      <c r="N776" s="205" t="n"/>
      <c r="O776" s="183" t="n"/>
      <c r="P776" s="183" t="n"/>
      <c r="Q776" s="183" t="n"/>
      <c r="R776" s="183" t="n"/>
      <c r="S776" s="183" t="n"/>
      <c r="T776" s="183" t="n"/>
      <c r="U776" s="183" t="n"/>
      <c r="V776" s="183" t="n"/>
      <c r="W776" s="183" t="n"/>
      <c r="X776" s="183" t="n"/>
      <c r="Y776" s="183" t="n"/>
      <c r="Z776" s="183" t="n"/>
      <c r="AA776" s="183" t="n"/>
    </row>
    <row r="777" ht="45.75" customHeight="1" s="222">
      <c r="A777" s="205" t="n"/>
      <c r="B777" s="205" t="n"/>
      <c r="C777" s="205" t="n"/>
      <c r="D777" s="205" t="n"/>
      <c r="E777" s="205" t="n"/>
      <c r="F777" s="205" t="n"/>
      <c r="G777" s="206" t="n"/>
      <c r="H777" s="205" t="n"/>
      <c r="I777" s="28" t="n"/>
      <c r="J777" s="205" t="n"/>
      <c r="K777" s="205" t="n"/>
      <c r="L777" s="205" t="n"/>
      <c r="M777" s="205" t="n"/>
      <c r="N777" s="205" t="n"/>
      <c r="O777" s="183" t="n"/>
      <c r="P777" s="183" t="n"/>
      <c r="Q777" s="183" t="n"/>
      <c r="R777" s="183" t="n"/>
      <c r="S777" s="183" t="n"/>
      <c r="T777" s="183" t="n"/>
      <c r="U777" s="183" t="n"/>
      <c r="V777" s="183" t="n"/>
      <c r="W777" s="183" t="n"/>
      <c r="X777" s="183" t="n"/>
      <c r="Y777" s="183" t="n"/>
      <c r="Z777" s="183" t="n"/>
      <c r="AA777" s="183" t="n"/>
    </row>
    <row r="778" ht="45.75" customHeight="1" s="222">
      <c r="A778" s="205" t="n"/>
      <c r="B778" s="205" t="n"/>
      <c r="C778" s="205" t="n"/>
      <c r="D778" s="205" t="n"/>
      <c r="E778" s="205" t="n"/>
      <c r="F778" s="205" t="n"/>
      <c r="G778" s="206" t="n"/>
      <c r="H778" s="205" t="n"/>
      <c r="I778" s="28" t="n"/>
      <c r="J778" s="205" t="n"/>
      <c r="K778" s="205" t="n"/>
      <c r="L778" s="205" t="n"/>
      <c r="M778" s="205" t="n"/>
      <c r="N778" s="205" t="n"/>
      <c r="O778" s="183" t="n"/>
      <c r="P778" s="183" t="n"/>
      <c r="Q778" s="183" t="n"/>
      <c r="R778" s="183" t="n"/>
      <c r="S778" s="183" t="n"/>
      <c r="T778" s="183" t="n"/>
      <c r="U778" s="183" t="n"/>
      <c r="V778" s="183" t="n"/>
      <c r="W778" s="183" t="n"/>
      <c r="X778" s="183" t="n"/>
      <c r="Y778" s="183" t="n"/>
      <c r="Z778" s="183" t="n"/>
      <c r="AA778" s="183" t="n"/>
    </row>
    <row r="779" ht="45.75" customHeight="1" s="222">
      <c r="A779" s="205" t="n"/>
      <c r="B779" s="205" t="n"/>
      <c r="C779" s="205" t="n"/>
      <c r="D779" s="205" t="n"/>
      <c r="E779" s="205" t="n"/>
      <c r="F779" s="205" t="n"/>
      <c r="G779" s="206" t="n"/>
      <c r="H779" s="205" t="n"/>
      <c r="I779" s="28" t="n"/>
      <c r="J779" s="205" t="n"/>
      <c r="K779" s="205" t="n"/>
      <c r="L779" s="205" t="n"/>
      <c r="M779" s="205" t="n"/>
      <c r="N779" s="205" t="n"/>
      <c r="O779" s="183" t="n"/>
      <c r="P779" s="183" t="n"/>
      <c r="Q779" s="183" t="n"/>
      <c r="R779" s="183" t="n"/>
      <c r="S779" s="183" t="n"/>
      <c r="T779" s="183" t="n"/>
      <c r="U779" s="183" t="n"/>
      <c r="V779" s="183" t="n"/>
      <c r="W779" s="183" t="n"/>
      <c r="X779" s="183" t="n"/>
      <c r="Y779" s="183" t="n"/>
      <c r="Z779" s="183" t="n"/>
      <c r="AA779" s="183" t="n"/>
    </row>
    <row r="780" ht="45.75" customHeight="1" s="222">
      <c r="A780" s="205" t="n"/>
      <c r="B780" s="205" t="n"/>
      <c r="C780" s="205" t="n"/>
      <c r="D780" s="205" t="n"/>
      <c r="E780" s="205" t="n"/>
      <c r="F780" s="205" t="n"/>
      <c r="G780" s="206" t="n"/>
      <c r="H780" s="205" t="n"/>
      <c r="I780" s="28" t="n"/>
      <c r="J780" s="205" t="n"/>
      <c r="K780" s="205" t="n"/>
      <c r="L780" s="205" t="n"/>
      <c r="M780" s="205" t="n"/>
      <c r="N780" s="205" t="n"/>
      <c r="O780" s="183" t="n"/>
      <c r="P780" s="183" t="n"/>
      <c r="Q780" s="183" t="n"/>
      <c r="R780" s="183" t="n"/>
      <c r="S780" s="183" t="n"/>
      <c r="T780" s="183" t="n"/>
      <c r="U780" s="183" t="n"/>
      <c r="V780" s="183" t="n"/>
      <c r="W780" s="183" t="n"/>
      <c r="X780" s="183" t="n"/>
      <c r="Y780" s="183" t="n"/>
      <c r="Z780" s="183" t="n"/>
      <c r="AA780" s="183" t="n"/>
    </row>
    <row r="781" ht="45.75" customHeight="1" s="222">
      <c r="A781" s="205" t="n"/>
      <c r="B781" s="205" t="n"/>
      <c r="C781" s="205" t="n"/>
      <c r="D781" s="205" t="n"/>
      <c r="E781" s="205" t="n"/>
      <c r="F781" s="205" t="n"/>
      <c r="G781" s="206" t="n"/>
      <c r="H781" s="205" t="n"/>
      <c r="I781" s="28" t="n"/>
      <c r="J781" s="205" t="n"/>
      <c r="K781" s="205" t="n"/>
      <c r="L781" s="205" t="n"/>
      <c r="M781" s="205" t="n"/>
      <c r="N781" s="205" t="n"/>
      <c r="O781" s="183" t="n"/>
      <c r="P781" s="183" t="n"/>
      <c r="Q781" s="183" t="n"/>
      <c r="R781" s="183" t="n"/>
      <c r="S781" s="183" t="n"/>
      <c r="T781" s="183" t="n"/>
      <c r="U781" s="183" t="n"/>
      <c r="V781" s="183" t="n"/>
      <c r="W781" s="183" t="n"/>
      <c r="X781" s="183" t="n"/>
      <c r="Y781" s="183" t="n"/>
      <c r="Z781" s="183" t="n"/>
      <c r="AA781" s="183" t="n"/>
    </row>
    <row r="782" ht="45.75" customHeight="1" s="222">
      <c r="A782" s="205" t="n"/>
      <c r="B782" s="205" t="n"/>
      <c r="C782" s="205" t="n"/>
      <c r="D782" s="205" t="n"/>
      <c r="E782" s="205" t="n"/>
      <c r="F782" s="205" t="n"/>
      <c r="G782" s="206" t="n"/>
      <c r="H782" s="205" t="n"/>
      <c r="I782" s="28" t="n"/>
      <c r="J782" s="205" t="n"/>
      <c r="K782" s="205" t="n"/>
      <c r="L782" s="205" t="n"/>
      <c r="M782" s="205" t="n"/>
      <c r="N782" s="205" t="n"/>
      <c r="O782" s="183" t="n"/>
      <c r="P782" s="183" t="n"/>
      <c r="Q782" s="183" t="n"/>
      <c r="R782" s="183" t="n"/>
      <c r="S782" s="183" t="n"/>
      <c r="T782" s="183" t="n"/>
      <c r="U782" s="183" t="n"/>
      <c r="V782" s="183" t="n"/>
      <c r="W782" s="183" t="n"/>
      <c r="X782" s="183" t="n"/>
      <c r="Y782" s="183" t="n"/>
      <c r="Z782" s="183" t="n"/>
      <c r="AA782" s="183" t="n"/>
    </row>
    <row r="783" ht="45.75" customHeight="1" s="222">
      <c r="A783" s="205" t="n"/>
      <c r="B783" s="205" t="n"/>
      <c r="C783" s="205" t="n"/>
      <c r="D783" s="205" t="n"/>
      <c r="E783" s="205" t="n"/>
      <c r="F783" s="205" t="n"/>
      <c r="G783" s="206" t="n"/>
      <c r="H783" s="205" t="n"/>
      <c r="I783" s="28" t="n"/>
      <c r="J783" s="205" t="n"/>
      <c r="K783" s="205" t="n"/>
      <c r="L783" s="205" t="n"/>
      <c r="M783" s="205" t="n"/>
      <c r="N783" s="205" t="n"/>
      <c r="O783" s="183" t="n"/>
      <c r="P783" s="183" t="n"/>
      <c r="Q783" s="183" t="n"/>
      <c r="R783" s="183" t="n"/>
      <c r="S783" s="183" t="n"/>
      <c r="T783" s="183" t="n"/>
      <c r="U783" s="183" t="n"/>
      <c r="V783" s="183" t="n"/>
      <c r="W783" s="183" t="n"/>
      <c r="X783" s="183" t="n"/>
      <c r="Y783" s="183" t="n"/>
      <c r="Z783" s="183" t="n"/>
      <c r="AA783" s="183" t="n"/>
    </row>
    <row r="784" ht="45.75" customHeight="1" s="222">
      <c r="A784" s="205" t="n"/>
      <c r="B784" s="205" t="n"/>
      <c r="C784" s="205" t="n"/>
      <c r="D784" s="205" t="n"/>
      <c r="E784" s="205" t="n"/>
      <c r="F784" s="205" t="n"/>
      <c r="G784" s="206" t="n"/>
      <c r="H784" s="205" t="n"/>
      <c r="I784" s="28" t="n"/>
      <c r="J784" s="205" t="n"/>
      <c r="K784" s="205" t="n"/>
      <c r="L784" s="205" t="n"/>
      <c r="M784" s="205" t="n"/>
      <c r="N784" s="205" t="n"/>
      <c r="O784" s="183" t="n"/>
      <c r="P784" s="183" t="n"/>
      <c r="Q784" s="183" t="n"/>
      <c r="R784" s="183" t="n"/>
      <c r="S784" s="183" t="n"/>
      <c r="T784" s="183" t="n"/>
      <c r="U784" s="183" t="n"/>
      <c r="V784" s="183" t="n"/>
      <c r="W784" s="183" t="n"/>
      <c r="X784" s="183" t="n"/>
      <c r="Y784" s="183" t="n"/>
      <c r="Z784" s="183" t="n"/>
      <c r="AA784" s="183" t="n"/>
    </row>
    <row r="785" ht="45.75" customHeight="1" s="222">
      <c r="A785" s="205" t="n"/>
      <c r="B785" s="205" t="n"/>
      <c r="C785" s="205" t="n"/>
      <c r="D785" s="205" t="n"/>
      <c r="E785" s="205" t="n"/>
      <c r="F785" s="205" t="n"/>
      <c r="G785" s="206" t="n"/>
      <c r="H785" s="205" t="n"/>
      <c r="I785" s="28" t="n"/>
      <c r="J785" s="205" t="n"/>
      <c r="K785" s="205" t="n"/>
      <c r="L785" s="205" t="n"/>
      <c r="M785" s="205" t="n"/>
      <c r="N785" s="205" t="n"/>
      <c r="O785" s="183" t="n"/>
      <c r="P785" s="183" t="n"/>
      <c r="Q785" s="183" t="n"/>
      <c r="R785" s="183" t="n"/>
      <c r="S785" s="183" t="n"/>
      <c r="T785" s="183" t="n"/>
      <c r="U785" s="183" t="n"/>
      <c r="V785" s="183" t="n"/>
      <c r="W785" s="183" t="n"/>
      <c r="X785" s="183" t="n"/>
      <c r="Y785" s="183" t="n"/>
      <c r="Z785" s="183" t="n"/>
      <c r="AA785" s="183" t="n"/>
    </row>
    <row r="786" ht="45.75" customHeight="1" s="222">
      <c r="A786" s="205" t="n"/>
      <c r="B786" s="205" t="n"/>
      <c r="C786" s="205" t="n"/>
      <c r="D786" s="205" t="n"/>
      <c r="E786" s="205" t="n"/>
      <c r="F786" s="205" t="n"/>
      <c r="G786" s="206" t="n"/>
      <c r="H786" s="205" t="n"/>
      <c r="I786" s="28" t="n"/>
      <c r="J786" s="205" t="n"/>
      <c r="K786" s="205" t="n"/>
      <c r="L786" s="205" t="n"/>
      <c r="M786" s="205" t="n"/>
      <c r="N786" s="205" t="n"/>
      <c r="O786" s="183" t="n"/>
      <c r="P786" s="183" t="n"/>
      <c r="Q786" s="183" t="n"/>
      <c r="R786" s="183" t="n"/>
      <c r="S786" s="183" t="n"/>
      <c r="T786" s="183" t="n"/>
      <c r="U786" s="183" t="n"/>
      <c r="V786" s="183" t="n"/>
      <c r="W786" s="183" t="n"/>
      <c r="X786" s="183" t="n"/>
      <c r="Y786" s="183" t="n"/>
      <c r="Z786" s="183" t="n"/>
      <c r="AA786" s="183" t="n"/>
    </row>
    <row r="787" ht="45.75" customHeight="1" s="222">
      <c r="A787" s="205" t="n"/>
      <c r="B787" s="205" t="n"/>
      <c r="C787" s="205" t="n"/>
      <c r="D787" s="205" t="n"/>
      <c r="E787" s="205" t="n"/>
      <c r="F787" s="205" t="n"/>
      <c r="G787" s="206" t="n"/>
      <c r="H787" s="205" t="n"/>
      <c r="I787" s="28" t="n"/>
      <c r="J787" s="205" t="n"/>
      <c r="K787" s="205" t="n"/>
      <c r="L787" s="205" t="n"/>
      <c r="M787" s="205" t="n"/>
      <c r="N787" s="205" t="n"/>
      <c r="O787" s="183" t="n"/>
      <c r="P787" s="183" t="n"/>
      <c r="Q787" s="183" t="n"/>
      <c r="R787" s="183" t="n"/>
      <c r="S787" s="183" t="n"/>
      <c r="T787" s="183" t="n"/>
      <c r="U787" s="183" t="n"/>
      <c r="V787" s="183" t="n"/>
      <c r="W787" s="183" t="n"/>
      <c r="X787" s="183" t="n"/>
      <c r="Y787" s="183" t="n"/>
      <c r="Z787" s="183" t="n"/>
      <c r="AA787" s="183" t="n"/>
    </row>
    <row r="788" ht="45.75" customHeight="1" s="222">
      <c r="A788" s="205" t="n"/>
      <c r="B788" s="205" t="n"/>
      <c r="C788" s="205" t="n"/>
      <c r="D788" s="205" t="n"/>
      <c r="E788" s="205" t="n"/>
      <c r="F788" s="205" t="n"/>
      <c r="G788" s="206" t="n"/>
      <c r="H788" s="205" t="n"/>
      <c r="I788" s="28" t="n"/>
      <c r="J788" s="205" t="n"/>
      <c r="K788" s="205" t="n"/>
      <c r="L788" s="205" t="n"/>
      <c r="M788" s="205" t="n"/>
      <c r="N788" s="205" t="n"/>
      <c r="O788" s="183" t="n"/>
      <c r="P788" s="183" t="n"/>
      <c r="Q788" s="183" t="n"/>
      <c r="R788" s="183" t="n"/>
      <c r="S788" s="183" t="n"/>
      <c r="T788" s="183" t="n"/>
      <c r="U788" s="183" t="n"/>
      <c r="V788" s="183" t="n"/>
      <c r="W788" s="183" t="n"/>
      <c r="X788" s="183" t="n"/>
      <c r="Y788" s="183" t="n"/>
      <c r="Z788" s="183" t="n"/>
      <c r="AA788" s="183" t="n"/>
    </row>
    <row r="789" ht="45.75" customHeight="1" s="222">
      <c r="A789" s="205" t="n"/>
      <c r="B789" s="205" t="n"/>
      <c r="C789" s="205" t="n"/>
      <c r="D789" s="205" t="n"/>
      <c r="E789" s="205" t="n"/>
      <c r="F789" s="205" t="n"/>
      <c r="G789" s="206" t="n"/>
      <c r="H789" s="205" t="n"/>
      <c r="I789" s="28" t="n"/>
      <c r="J789" s="205" t="n"/>
      <c r="K789" s="205" t="n"/>
      <c r="L789" s="205" t="n"/>
      <c r="M789" s="205" t="n"/>
      <c r="N789" s="205" t="n"/>
      <c r="O789" s="183" t="n"/>
      <c r="P789" s="183" t="n"/>
      <c r="Q789" s="183" t="n"/>
      <c r="R789" s="183" t="n"/>
      <c r="S789" s="183" t="n"/>
      <c r="T789" s="183" t="n"/>
      <c r="U789" s="183" t="n"/>
      <c r="V789" s="183" t="n"/>
      <c r="W789" s="183" t="n"/>
      <c r="X789" s="183" t="n"/>
      <c r="Y789" s="183" t="n"/>
      <c r="Z789" s="183" t="n"/>
      <c r="AA789" s="183" t="n"/>
    </row>
    <row r="790" ht="45.75" customHeight="1" s="222">
      <c r="A790" s="205" t="n"/>
      <c r="B790" s="205" t="n"/>
      <c r="C790" s="205" t="n"/>
      <c r="D790" s="205" t="n"/>
      <c r="E790" s="205" t="n"/>
      <c r="F790" s="205" t="n"/>
      <c r="G790" s="206" t="n"/>
      <c r="H790" s="205" t="n"/>
      <c r="I790" s="28" t="n"/>
      <c r="J790" s="205" t="n"/>
      <c r="K790" s="205" t="n"/>
      <c r="L790" s="205" t="n"/>
      <c r="M790" s="205" t="n"/>
      <c r="N790" s="205" t="n"/>
      <c r="O790" s="183" t="n"/>
      <c r="P790" s="183" t="n"/>
      <c r="Q790" s="183" t="n"/>
      <c r="R790" s="183" t="n"/>
      <c r="S790" s="183" t="n"/>
      <c r="T790" s="183" t="n"/>
      <c r="U790" s="183" t="n"/>
      <c r="V790" s="183" t="n"/>
      <c r="W790" s="183" t="n"/>
      <c r="X790" s="183" t="n"/>
      <c r="Y790" s="183" t="n"/>
      <c r="Z790" s="183" t="n"/>
      <c r="AA790" s="183" t="n"/>
    </row>
    <row r="791" ht="45.75" customHeight="1" s="222">
      <c r="A791" s="205" t="n"/>
      <c r="B791" s="205" t="n"/>
      <c r="C791" s="205" t="n"/>
      <c r="D791" s="205" t="n"/>
      <c r="E791" s="205" t="n"/>
      <c r="F791" s="205" t="n"/>
      <c r="G791" s="206" t="n"/>
      <c r="H791" s="205" t="n"/>
      <c r="I791" s="28" t="n"/>
      <c r="J791" s="205" t="n"/>
      <c r="K791" s="205" t="n"/>
      <c r="L791" s="205" t="n"/>
      <c r="M791" s="205" t="n"/>
      <c r="N791" s="205" t="n"/>
      <c r="O791" s="183" t="n"/>
      <c r="P791" s="183" t="n"/>
      <c r="Q791" s="183" t="n"/>
      <c r="R791" s="183" t="n"/>
      <c r="S791" s="183" t="n"/>
      <c r="T791" s="183" t="n"/>
      <c r="U791" s="183" t="n"/>
      <c r="V791" s="183" t="n"/>
      <c r="W791" s="183" t="n"/>
      <c r="X791" s="183" t="n"/>
      <c r="Y791" s="183" t="n"/>
      <c r="Z791" s="183" t="n"/>
      <c r="AA791" s="183" t="n"/>
    </row>
    <row r="792" ht="45.75" customHeight="1" s="222">
      <c r="A792" s="205" t="n"/>
      <c r="B792" s="205" t="n"/>
      <c r="C792" s="205" t="n"/>
      <c r="D792" s="205" t="n"/>
      <c r="E792" s="205" t="n"/>
      <c r="F792" s="205" t="n"/>
      <c r="G792" s="206" t="n"/>
      <c r="H792" s="205" t="n"/>
      <c r="I792" s="28" t="n"/>
      <c r="J792" s="205" t="n"/>
      <c r="K792" s="205" t="n"/>
      <c r="L792" s="205" t="n"/>
      <c r="M792" s="205" t="n"/>
      <c r="N792" s="205" t="n"/>
      <c r="O792" s="183" t="n"/>
      <c r="P792" s="183" t="n"/>
      <c r="Q792" s="183" t="n"/>
      <c r="R792" s="183" t="n"/>
      <c r="S792" s="183" t="n"/>
      <c r="T792" s="183" t="n"/>
      <c r="U792" s="183" t="n"/>
      <c r="V792" s="183" t="n"/>
      <c r="W792" s="183" t="n"/>
      <c r="X792" s="183" t="n"/>
      <c r="Y792" s="183" t="n"/>
      <c r="Z792" s="183" t="n"/>
      <c r="AA792" s="183" t="n"/>
    </row>
    <row r="793" ht="45.75" customHeight="1" s="222">
      <c r="A793" s="205" t="n"/>
      <c r="B793" s="205" t="n"/>
      <c r="C793" s="205" t="n"/>
      <c r="D793" s="205" t="n"/>
      <c r="E793" s="205" t="n"/>
      <c r="F793" s="205" t="n"/>
      <c r="G793" s="206" t="n"/>
      <c r="H793" s="205" t="n"/>
      <c r="I793" s="28" t="n"/>
      <c r="J793" s="205" t="n"/>
      <c r="K793" s="205" t="n"/>
      <c r="L793" s="205" t="n"/>
      <c r="M793" s="205" t="n"/>
      <c r="N793" s="205" t="n"/>
      <c r="O793" s="183" t="n"/>
      <c r="P793" s="183" t="n"/>
      <c r="Q793" s="183" t="n"/>
      <c r="R793" s="183" t="n"/>
      <c r="S793" s="183" t="n"/>
      <c r="T793" s="183" t="n"/>
      <c r="U793" s="183" t="n"/>
      <c r="V793" s="183" t="n"/>
      <c r="W793" s="183" t="n"/>
      <c r="X793" s="183" t="n"/>
      <c r="Y793" s="183" t="n"/>
      <c r="Z793" s="183" t="n"/>
      <c r="AA793" s="183" t="n"/>
    </row>
    <row r="794" ht="45.75" customHeight="1" s="222">
      <c r="A794" s="205" t="n"/>
      <c r="B794" s="205" t="n"/>
      <c r="C794" s="205" t="n"/>
      <c r="D794" s="205" t="n"/>
      <c r="E794" s="205" t="n"/>
      <c r="F794" s="205" t="n"/>
      <c r="G794" s="206" t="n"/>
      <c r="H794" s="205" t="n"/>
      <c r="I794" s="28" t="n"/>
      <c r="J794" s="205" t="n"/>
      <c r="K794" s="205" t="n"/>
      <c r="L794" s="205" t="n"/>
      <c r="M794" s="205" t="n"/>
      <c r="N794" s="205" t="n"/>
      <c r="O794" s="183" t="n"/>
      <c r="P794" s="183" t="n"/>
      <c r="Q794" s="183" t="n"/>
      <c r="R794" s="183" t="n"/>
      <c r="S794" s="183" t="n"/>
      <c r="T794" s="183" t="n"/>
      <c r="U794" s="183" t="n"/>
      <c r="V794" s="183" t="n"/>
      <c r="W794" s="183" t="n"/>
      <c r="X794" s="183" t="n"/>
      <c r="Y794" s="183" t="n"/>
      <c r="Z794" s="183" t="n"/>
      <c r="AA794" s="183" t="n"/>
    </row>
    <row r="795" ht="45.75" customHeight="1" s="222">
      <c r="A795" s="205" t="n"/>
      <c r="B795" s="205" t="n"/>
      <c r="C795" s="205" t="n"/>
      <c r="D795" s="205" t="n"/>
      <c r="E795" s="205" t="n"/>
      <c r="F795" s="205" t="n"/>
      <c r="G795" s="206" t="n"/>
      <c r="H795" s="205" t="n"/>
      <c r="I795" s="28" t="n"/>
      <c r="J795" s="205" t="n"/>
      <c r="K795" s="205" t="n"/>
      <c r="L795" s="205" t="n"/>
      <c r="M795" s="205" t="n"/>
      <c r="N795" s="205" t="n"/>
      <c r="O795" s="183" t="n"/>
      <c r="P795" s="183" t="n"/>
      <c r="Q795" s="183" t="n"/>
      <c r="R795" s="183" t="n"/>
      <c r="S795" s="183" t="n"/>
      <c r="T795" s="183" t="n"/>
      <c r="U795" s="183" t="n"/>
      <c r="V795" s="183" t="n"/>
      <c r="W795" s="183" t="n"/>
      <c r="X795" s="183" t="n"/>
      <c r="Y795" s="183" t="n"/>
      <c r="Z795" s="183" t="n"/>
      <c r="AA795" s="183" t="n"/>
    </row>
    <row r="796" ht="45.75" customHeight="1" s="222">
      <c r="A796" s="205" t="n"/>
      <c r="B796" s="205" t="n"/>
      <c r="C796" s="205" t="n"/>
      <c r="D796" s="205" t="n"/>
      <c r="E796" s="205" t="n"/>
      <c r="F796" s="205" t="n"/>
      <c r="G796" s="206" t="n"/>
      <c r="H796" s="205" t="n"/>
      <c r="I796" s="28" t="n"/>
      <c r="J796" s="205" t="n"/>
      <c r="K796" s="205" t="n"/>
      <c r="L796" s="205" t="n"/>
      <c r="M796" s="205" t="n"/>
      <c r="N796" s="205" t="n"/>
      <c r="O796" s="183" t="n"/>
      <c r="P796" s="183" t="n"/>
      <c r="Q796" s="183" t="n"/>
      <c r="R796" s="183" t="n"/>
      <c r="S796" s="183" t="n"/>
      <c r="T796" s="183" t="n"/>
      <c r="U796" s="183" t="n"/>
      <c r="V796" s="183" t="n"/>
      <c r="W796" s="183" t="n"/>
      <c r="X796" s="183" t="n"/>
      <c r="Y796" s="183" t="n"/>
      <c r="Z796" s="183" t="n"/>
      <c r="AA796" s="183" t="n"/>
    </row>
    <row r="797" ht="45.75" customHeight="1" s="222">
      <c r="A797" s="205" t="n"/>
      <c r="B797" s="205" t="n"/>
      <c r="C797" s="205" t="n"/>
      <c r="D797" s="205" t="n"/>
      <c r="E797" s="205" t="n"/>
      <c r="F797" s="205" t="n"/>
      <c r="G797" s="206" t="n"/>
      <c r="H797" s="205" t="n"/>
      <c r="I797" s="28" t="n"/>
      <c r="J797" s="205" t="n"/>
      <c r="K797" s="205" t="n"/>
      <c r="L797" s="205" t="n"/>
      <c r="M797" s="205" t="n"/>
      <c r="N797" s="205" t="n"/>
      <c r="O797" s="183" t="n"/>
      <c r="P797" s="183" t="n"/>
      <c r="Q797" s="183" t="n"/>
      <c r="R797" s="183" t="n"/>
      <c r="S797" s="183" t="n"/>
      <c r="T797" s="183" t="n"/>
      <c r="U797" s="183" t="n"/>
      <c r="V797" s="183" t="n"/>
      <c r="W797" s="183" t="n"/>
      <c r="X797" s="183" t="n"/>
      <c r="Y797" s="183" t="n"/>
      <c r="Z797" s="183" t="n"/>
      <c r="AA797" s="183" t="n"/>
    </row>
    <row r="798" ht="45.75" customHeight="1" s="222">
      <c r="A798" s="205" t="n"/>
      <c r="B798" s="205" t="n"/>
      <c r="C798" s="205" t="n"/>
      <c r="D798" s="205" t="n"/>
      <c r="E798" s="205" t="n"/>
      <c r="F798" s="205" t="n"/>
      <c r="G798" s="206" t="n"/>
      <c r="H798" s="205" t="n"/>
      <c r="I798" s="28" t="n"/>
      <c r="J798" s="205" t="n"/>
      <c r="K798" s="205" t="n"/>
      <c r="L798" s="205" t="n"/>
      <c r="M798" s="205" t="n"/>
      <c r="N798" s="205" t="n"/>
      <c r="O798" s="183" t="n"/>
      <c r="P798" s="183" t="n"/>
      <c r="Q798" s="183" t="n"/>
      <c r="R798" s="183" t="n"/>
      <c r="S798" s="183" t="n"/>
      <c r="T798" s="183" t="n"/>
      <c r="U798" s="183" t="n"/>
      <c r="V798" s="183" t="n"/>
      <c r="W798" s="183" t="n"/>
      <c r="X798" s="183" t="n"/>
      <c r="Y798" s="183" t="n"/>
      <c r="Z798" s="183" t="n"/>
      <c r="AA798" s="183" t="n"/>
    </row>
    <row r="799" ht="45.75" customHeight="1" s="222">
      <c r="A799" s="205" t="n"/>
      <c r="B799" s="205" t="n"/>
      <c r="C799" s="205" t="n"/>
      <c r="D799" s="205" t="n"/>
      <c r="E799" s="205" t="n"/>
      <c r="F799" s="205" t="n"/>
      <c r="G799" s="206" t="n"/>
      <c r="H799" s="205" t="n"/>
      <c r="I799" s="28" t="n"/>
      <c r="J799" s="205" t="n"/>
      <c r="K799" s="205" t="n"/>
      <c r="L799" s="205" t="n"/>
      <c r="M799" s="205" t="n"/>
      <c r="N799" s="205" t="n"/>
      <c r="O799" s="183" t="n"/>
      <c r="P799" s="183" t="n"/>
      <c r="Q799" s="183" t="n"/>
      <c r="R799" s="183" t="n"/>
      <c r="S799" s="183" t="n"/>
      <c r="T799" s="183" t="n"/>
      <c r="U799" s="183" t="n"/>
      <c r="V799" s="183" t="n"/>
      <c r="W799" s="183" t="n"/>
      <c r="X799" s="183" t="n"/>
      <c r="Y799" s="183" t="n"/>
      <c r="Z799" s="183" t="n"/>
      <c r="AA799" s="183" t="n"/>
    </row>
    <row r="800" ht="45.75" customHeight="1" s="222">
      <c r="A800" s="205" t="n"/>
      <c r="B800" s="205" t="n"/>
      <c r="C800" s="205" t="n"/>
      <c r="D800" s="205" t="n"/>
      <c r="E800" s="205" t="n"/>
      <c r="F800" s="205" t="n"/>
      <c r="G800" s="206" t="n"/>
      <c r="H800" s="205" t="n"/>
      <c r="I800" s="28" t="n"/>
      <c r="J800" s="205" t="n"/>
      <c r="K800" s="205" t="n"/>
      <c r="L800" s="205" t="n"/>
      <c r="M800" s="205" t="n"/>
      <c r="N800" s="205" t="n"/>
      <c r="O800" s="183" t="n"/>
      <c r="P800" s="183" t="n"/>
      <c r="Q800" s="183" t="n"/>
      <c r="R800" s="183" t="n"/>
      <c r="S800" s="183" t="n"/>
      <c r="T800" s="183" t="n"/>
      <c r="U800" s="183" t="n"/>
      <c r="V800" s="183" t="n"/>
      <c r="W800" s="183" t="n"/>
      <c r="X800" s="183" t="n"/>
      <c r="Y800" s="183" t="n"/>
      <c r="Z800" s="183" t="n"/>
      <c r="AA800" s="183" t="n"/>
    </row>
    <row r="801" ht="45.75" customHeight="1" s="222">
      <c r="A801" s="205" t="n"/>
      <c r="B801" s="205" t="n"/>
      <c r="C801" s="205" t="n"/>
      <c r="D801" s="205" t="n"/>
      <c r="E801" s="205" t="n"/>
      <c r="F801" s="205" t="n"/>
      <c r="G801" s="206" t="n"/>
      <c r="H801" s="205" t="n"/>
      <c r="I801" s="28" t="n"/>
      <c r="J801" s="205" t="n"/>
      <c r="K801" s="205" t="n"/>
      <c r="L801" s="205" t="n"/>
      <c r="M801" s="205" t="n"/>
      <c r="N801" s="205" t="n"/>
      <c r="O801" s="183" t="n"/>
      <c r="P801" s="183" t="n"/>
      <c r="Q801" s="183" t="n"/>
      <c r="R801" s="183" t="n"/>
      <c r="S801" s="183" t="n"/>
      <c r="T801" s="183" t="n"/>
      <c r="U801" s="183" t="n"/>
      <c r="V801" s="183" t="n"/>
      <c r="W801" s="183" t="n"/>
      <c r="X801" s="183" t="n"/>
      <c r="Y801" s="183" t="n"/>
      <c r="Z801" s="183" t="n"/>
      <c r="AA801" s="183" t="n"/>
    </row>
    <row r="802" ht="45.75" customHeight="1" s="222">
      <c r="A802" s="205" t="n"/>
      <c r="B802" s="205" t="n"/>
      <c r="C802" s="205" t="n"/>
      <c r="D802" s="205" t="n"/>
      <c r="E802" s="205" t="n"/>
      <c r="F802" s="205" t="n"/>
      <c r="G802" s="206" t="n"/>
      <c r="H802" s="205" t="n"/>
      <c r="I802" s="28" t="n"/>
      <c r="J802" s="205" t="n"/>
      <c r="K802" s="205" t="n"/>
      <c r="L802" s="205" t="n"/>
      <c r="M802" s="205" t="n"/>
      <c r="N802" s="205" t="n"/>
      <c r="O802" s="183" t="n"/>
      <c r="P802" s="183" t="n"/>
      <c r="Q802" s="183" t="n"/>
      <c r="R802" s="183" t="n"/>
      <c r="S802" s="183" t="n"/>
      <c r="T802" s="183" t="n"/>
      <c r="U802" s="183" t="n"/>
      <c r="V802" s="183" t="n"/>
      <c r="W802" s="183" t="n"/>
      <c r="X802" s="183" t="n"/>
      <c r="Y802" s="183" t="n"/>
      <c r="Z802" s="183" t="n"/>
      <c r="AA802" s="183" t="n"/>
    </row>
    <row r="803" ht="45.75" customHeight="1" s="222">
      <c r="A803" s="205" t="n"/>
      <c r="B803" s="205" t="n"/>
      <c r="C803" s="205" t="n"/>
      <c r="D803" s="205" t="n"/>
      <c r="E803" s="205" t="n"/>
      <c r="F803" s="205" t="n"/>
      <c r="G803" s="206" t="n"/>
      <c r="H803" s="205" t="n"/>
      <c r="I803" s="28" t="n"/>
      <c r="J803" s="205" t="n"/>
      <c r="K803" s="205" t="n"/>
      <c r="L803" s="205" t="n"/>
      <c r="M803" s="205" t="n"/>
      <c r="N803" s="205" t="n"/>
      <c r="O803" s="183" t="n"/>
      <c r="P803" s="183" t="n"/>
      <c r="Q803" s="183" t="n"/>
      <c r="R803" s="183" t="n"/>
      <c r="S803" s="183" t="n"/>
      <c r="T803" s="183" t="n"/>
      <c r="U803" s="183" t="n"/>
      <c r="V803" s="183" t="n"/>
      <c r="W803" s="183" t="n"/>
      <c r="X803" s="183" t="n"/>
      <c r="Y803" s="183" t="n"/>
      <c r="Z803" s="183" t="n"/>
      <c r="AA803" s="183" t="n"/>
    </row>
    <row r="804" ht="45.75" customHeight="1" s="222">
      <c r="A804" s="205" t="n"/>
      <c r="B804" s="205" t="n"/>
      <c r="C804" s="205" t="n"/>
      <c r="D804" s="205" t="n"/>
      <c r="E804" s="205" t="n"/>
      <c r="F804" s="205" t="n"/>
      <c r="G804" s="206" t="n"/>
      <c r="H804" s="205" t="n"/>
      <c r="I804" s="28" t="n"/>
      <c r="J804" s="205" t="n"/>
      <c r="K804" s="205" t="n"/>
      <c r="L804" s="205" t="n"/>
      <c r="M804" s="205" t="n"/>
      <c r="N804" s="205" t="n"/>
      <c r="O804" s="183" t="n"/>
      <c r="P804" s="183" t="n"/>
      <c r="Q804" s="183" t="n"/>
      <c r="R804" s="183" t="n"/>
      <c r="S804" s="183" t="n"/>
      <c r="T804" s="183" t="n"/>
      <c r="U804" s="183" t="n"/>
      <c r="V804" s="183" t="n"/>
      <c r="W804" s="183" t="n"/>
      <c r="X804" s="183" t="n"/>
      <c r="Y804" s="183" t="n"/>
      <c r="Z804" s="183" t="n"/>
      <c r="AA804" s="183" t="n"/>
    </row>
    <row r="805" ht="45.75" customHeight="1" s="222">
      <c r="A805" s="205" t="n"/>
      <c r="B805" s="205" t="n"/>
      <c r="C805" s="205" t="n"/>
      <c r="D805" s="205" t="n"/>
      <c r="E805" s="205" t="n"/>
      <c r="F805" s="205" t="n"/>
      <c r="G805" s="206" t="n"/>
      <c r="H805" s="205" t="n"/>
      <c r="I805" s="28" t="n"/>
      <c r="J805" s="205" t="n"/>
      <c r="K805" s="205" t="n"/>
      <c r="L805" s="205" t="n"/>
      <c r="M805" s="205" t="n"/>
      <c r="N805" s="205" t="n"/>
      <c r="O805" s="183" t="n"/>
      <c r="P805" s="183" t="n"/>
      <c r="Q805" s="183" t="n"/>
      <c r="R805" s="183" t="n"/>
      <c r="S805" s="183" t="n"/>
      <c r="T805" s="183" t="n"/>
      <c r="U805" s="183" t="n"/>
      <c r="V805" s="183" t="n"/>
      <c r="W805" s="183" t="n"/>
      <c r="X805" s="183" t="n"/>
      <c r="Y805" s="183" t="n"/>
      <c r="Z805" s="183" t="n"/>
      <c r="AA805" s="183" t="n"/>
    </row>
    <row r="806" ht="45.75" customHeight="1" s="222">
      <c r="A806" s="205" t="n"/>
      <c r="B806" s="205" t="n"/>
      <c r="C806" s="205" t="n"/>
      <c r="D806" s="205" t="n"/>
      <c r="E806" s="205" t="n"/>
      <c r="F806" s="205" t="n"/>
      <c r="G806" s="206" t="n"/>
      <c r="H806" s="205" t="n"/>
      <c r="I806" s="28" t="n"/>
      <c r="J806" s="205" t="n"/>
      <c r="K806" s="205" t="n"/>
      <c r="L806" s="205" t="n"/>
      <c r="M806" s="205" t="n"/>
      <c r="N806" s="205" t="n"/>
      <c r="O806" s="183" t="n"/>
      <c r="P806" s="183" t="n"/>
      <c r="Q806" s="183" t="n"/>
      <c r="R806" s="183" t="n"/>
      <c r="S806" s="183" t="n"/>
      <c r="T806" s="183" t="n"/>
      <c r="U806" s="183" t="n"/>
      <c r="V806" s="183" t="n"/>
      <c r="W806" s="183" t="n"/>
      <c r="X806" s="183" t="n"/>
      <c r="Y806" s="183" t="n"/>
      <c r="Z806" s="183" t="n"/>
      <c r="AA806" s="183" t="n"/>
    </row>
    <row r="807" ht="45.75" customHeight="1" s="222">
      <c r="A807" s="205" t="n"/>
      <c r="B807" s="205" t="n"/>
      <c r="C807" s="205" t="n"/>
      <c r="D807" s="205" t="n"/>
      <c r="E807" s="205" t="n"/>
      <c r="F807" s="205" t="n"/>
      <c r="G807" s="206" t="n"/>
      <c r="H807" s="205" t="n"/>
      <c r="I807" s="28" t="n"/>
      <c r="J807" s="205" t="n"/>
      <c r="K807" s="205" t="n"/>
      <c r="L807" s="205" t="n"/>
      <c r="M807" s="205" t="n"/>
      <c r="N807" s="205" t="n"/>
      <c r="O807" s="183" t="n"/>
      <c r="P807" s="183" t="n"/>
      <c r="Q807" s="183" t="n"/>
      <c r="R807" s="183" t="n"/>
      <c r="S807" s="183" t="n"/>
      <c r="T807" s="183" t="n"/>
      <c r="U807" s="183" t="n"/>
      <c r="V807" s="183" t="n"/>
      <c r="W807" s="183" t="n"/>
      <c r="X807" s="183" t="n"/>
      <c r="Y807" s="183" t="n"/>
      <c r="Z807" s="183" t="n"/>
      <c r="AA807" s="183" t="n"/>
    </row>
    <row r="808" ht="45.75" customHeight="1" s="222">
      <c r="A808" s="205" t="n"/>
      <c r="B808" s="205" t="n"/>
      <c r="C808" s="205" t="n"/>
      <c r="D808" s="205" t="n"/>
      <c r="E808" s="205" t="n"/>
      <c r="F808" s="205" t="n"/>
      <c r="G808" s="206" t="n"/>
      <c r="H808" s="205" t="n"/>
      <c r="I808" s="28" t="n"/>
      <c r="J808" s="205" t="n"/>
      <c r="K808" s="205" t="n"/>
      <c r="L808" s="205" t="n"/>
      <c r="M808" s="205" t="n"/>
      <c r="N808" s="205" t="n"/>
      <c r="O808" s="183" t="n"/>
      <c r="P808" s="183" t="n"/>
      <c r="Q808" s="183" t="n"/>
      <c r="R808" s="183" t="n"/>
      <c r="S808" s="183" t="n"/>
      <c r="T808" s="183" t="n"/>
      <c r="U808" s="183" t="n"/>
      <c r="V808" s="183" t="n"/>
      <c r="W808" s="183" t="n"/>
      <c r="X808" s="183" t="n"/>
      <c r="Y808" s="183" t="n"/>
      <c r="Z808" s="183" t="n"/>
      <c r="AA808" s="183" t="n"/>
    </row>
    <row r="809" ht="45.75" customHeight="1" s="222">
      <c r="A809" s="205" t="n"/>
      <c r="B809" s="205" t="n"/>
      <c r="C809" s="205" t="n"/>
      <c r="D809" s="205" t="n"/>
      <c r="E809" s="205" t="n"/>
      <c r="F809" s="205" t="n"/>
      <c r="G809" s="206" t="n"/>
      <c r="H809" s="205" t="n"/>
      <c r="I809" s="28" t="n"/>
      <c r="J809" s="205" t="n"/>
      <c r="K809" s="205" t="n"/>
      <c r="L809" s="205" t="n"/>
      <c r="M809" s="205" t="n"/>
      <c r="N809" s="205" t="n"/>
      <c r="O809" s="183" t="n"/>
      <c r="P809" s="183" t="n"/>
      <c r="Q809" s="183" t="n"/>
      <c r="R809" s="183" t="n"/>
      <c r="S809" s="183" t="n"/>
      <c r="T809" s="183" t="n"/>
      <c r="U809" s="183" t="n"/>
      <c r="V809" s="183" t="n"/>
      <c r="W809" s="183" t="n"/>
      <c r="X809" s="183" t="n"/>
      <c r="Y809" s="183" t="n"/>
      <c r="Z809" s="183" t="n"/>
      <c r="AA809" s="183" t="n"/>
    </row>
    <row r="810" ht="45.75" customHeight="1" s="222">
      <c r="A810" s="205" t="n"/>
      <c r="B810" s="205" t="n"/>
      <c r="C810" s="205" t="n"/>
      <c r="D810" s="205" t="n"/>
      <c r="E810" s="205" t="n"/>
      <c r="F810" s="205" t="n"/>
      <c r="G810" s="206" t="n"/>
      <c r="H810" s="205" t="n"/>
      <c r="I810" s="28" t="n"/>
      <c r="J810" s="205" t="n"/>
      <c r="K810" s="205" t="n"/>
      <c r="L810" s="205" t="n"/>
      <c r="M810" s="205" t="n"/>
      <c r="N810" s="205" t="n"/>
      <c r="O810" s="183" t="n"/>
      <c r="P810" s="183" t="n"/>
      <c r="Q810" s="183" t="n"/>
      <c r="R810" s="183" t="n"/>
      <c r="S810" s="183" t="n"/>
      <c r="T810" s="183" t="n"/>
      <c r="U810" s="183" t="n"/>
      <c r="V810" s="183" t="n"/>
      <c r="W810" s="183" t="n"/>
      <c r="X810" s="183" t="n"/>
      <c r="Y810" s="183" t="n"/>
      <c r="Z810" s="183" t="n"/>
      <c r="AA810" s="183" t="n"/>
    </row>
    <row r="811" ht="45.75" customHeight="1" s="222">
      <c r="A811" s="205" t="n"/>
      <c r="B811" s="205" t="n"/>
      <c r="C811" s="205" t="n"/>
      <c r="D811" s="205" t="n"/>
      <c r="E811" s="205" t="n"/>
      <c r="F811" s="205" t="n"/>
      <c r="G811" s="206" t="n"/>
      <c r="H811" s="205" t="n"/>
      <c r="I811" s="28" t="n"/>
      <c r="J811" s="205" t="n"/>
      <c r="K811" s="205" t="n"/>
      <c r="L811" s="205" t="n"/>
      <c r="M811" s="205" t="n"/>
      <c r="N811" s="205" t="n"/>
      <c r="O811" s="183" t="n"/>
      <c r="P811" s="183" t="n"/>
      <c r="Q811" s="183" t="n"/>
      <c r="R811" s="183" t="n"/>
      <c r="S811" s="183" t="n"/>
      <c r="T811" s="183" t="n"/>
      <c r="U811" s="183" t="n"/>
      <c r="V811" s="183" t="n"/>
      <c r="W811" s="183" t="n"/>
      <c r="X811" s="183" t="n"/>
      <c r="Y811" s="183" t="n"/>
      <c r="Z811" s="183" t="n"/>
      <c r="AA811" s="183" t="n"/>
    </row>
    <row r="812" ht="45.75" customHeight="1" s="222">
      <c r="A812" s="205" t="n"/>
      <c r="B812" s="205" t="n"/>
      <c r="C812" s="205" t="n"/>
      <c r="D812" s="205" t="n"/>
      <c r="E812" s="205" t="n"/>
      <c r="F812" s="205" t="n"/>
      <c r="G812" s="206" t="n"/>
      <c r="H812" s="205" t="n"/>
      <c r="I812" s="28" t="n"/>
      <c r="J812" s="205" t="n"/>
      <c r="K812" s="205" t="n"/>
      <c r="L812" s="205" t="n"/>
      <c r="M812" s="205" t="n"/>
      <c r="N812" s="205" t="n"/>
      <c r="O812" s="183" t="n"/>
      <c r="P812" s="183" t="n"/>
      <c r="Q812" s="183" t="n"/>
      <c r="R812" s="183" t="n"/>
      <c r="S812" s="183" t="n"/>
      <c r="T812" s="183" t="n"/>
      <c r="U812" s="183" t="n"/>
      <c r="V812" s="183" t="n"/>
      <c r="W812" s="183" t="n"/>
      <c r="X812" s="183" t="n"/>
      <c r="Y812" s="183" t="n"/>
      <c r="Z812" s="183" t="n"/>
      <c r="AA812" s="183" t="n"/>
    </row>
    <row r="813" ht="45.75" customHeight="1" s="222">
      <c r="A813" s="205" t="n"/>
      <c r="B813" s="205" t="n"/>
      <c r="C813" s="205" t="n"/>
      <c r="D813" s="205" t="n"/>
      <c r="E813" s="205" t="n"/>
      <c r="F813" s="205" t="n"/>
      <c r="G813" s="206" t="n"/>
      <c r="H813" s="205" t="n"/>
      <c r="I813" s="28" t="n"/>
      <c r="J813" s="205" t="n"/>
      <c r="K813" s="205" t="n"/>
      <c r="L813" s="205" t="n"/>
      <c r="M813" s="205" t="n"/>
      <c r="N813" s="205" t="n"/>
      <c r="O813" s="183" t="n"/>
      <c r="P813" s="183" t="n"/>
      <c r="Q813" s="183" t="n"/>
      <c r="R813" s="183" t="n"/>
      <c r="S813" s="183" t="n"/>
      <c r="T813" s="183" t="n"/>
      <c r="U813" s="183" t="n"/>
      <c r="V813" s="183" t="n"/>
      <c r="W813" s="183" t="n"/>
      <c r="X813" s="183" t="n"/>
      <c r="Y813" s="183" t="n"/>
      <c r="Z813" s="183" t="n"/>
      <c r="AA813" s="183" t="n"/>
    </row>
    <row r="814" ht="45.75" customHeight="1" s="222">
      <c r="A814" s="205" t="n"/>
      <c r="B814" s="205" t="n"/>
      <c r="C814" s="205" t="n"/>
      <c r="D814" s="205" t="n"/>
      <c r="E814" s="205" t="n"/>
      <c r="F814" s="205" t="n"/>
      <c r="G814" s="206" t="n"/>
      <c r="H814" s="205" t="n"/>
      <c r="I814" s="28" t="n"/>
      <c r="J814" s="205" t="n"/>
      <c r="K814" s="205" t="n"/>
      <c r="L814" s="205" t="n"/>
      <c r="M814" s="205" t="n"/>
      <c r="N814" s="205" t="n"/>
      <c r="O814" s="183" t="n"/>
      <c r="P814" s="183" t="n"/>
      <c r="Q814" s="183" t="n"/>
      <c r="R814" s="183" t="n"/>
      <c r="S814" s="183" t="n"/>
      <c r="T814" s="183" t="n"/>
      <c r="U814" s="183" t="n"/>
      <c r="V814" s="183" t="n"/>
      <c r="W814" s="183" t="n"/>
      <c r="X814" s="183" t="n"/>
      <c r="Y814" s="183" t="n"/>
      <c r="Z814" s="183" t="n"/>
      <c r="AA814" s="183" t="n"/>
    </row>
    <row r="815" ht="45.75" customHeight="1" s="222">
      <c r="A815" s="205" t="n"/>
      <c r="B815" s="205" t="n"/>
      <c r="C815" s="205" t="n"/>
      <c r="D815" s="205" t="n"/>
      <c r="E815" s="205" t="n"/>
      <c r="F815" s="205" t="n"/>
      <c r="G815" s="206" t="n"/>
      <c r="H815" s="205" t="n"/>
      <c r="I815" s="28" t="n"/>
      <c r="J815" s="205" t="n"/>
      <c r="K815" s="205" t="n"/>
      <c r="L815" s="205" t="n"/>
      <c r="M815" s="205" t="n"/>
      <c r="N815" s="205" t="n"/>
      <c r="O815" s="183" t="n"/>
      <c r="P815" s="183" t="n"/>
      <c r="Q815" s="183" t="n"/>
      <c r="R815" s="183" t="n"/>
      <c r="S815" s="183" t="n"/>
      <c r="T815" s="183" t="n"/>
      <c r="U815" s="183" t="n"/>
      <c r="V815" s="183" t="n"/>
      <c r="W815" s="183" t="n"/>
      <c r="X815" s="183" t="n"/>
      <c r="Y815" s="183" t="n"/>
      <c r="Z815" s="183" t="n"/>
      <c r="AA815" s="183" t="n"/>
    </row>
    <row r="816" ht="45.75" customHeight="1" s="222">
      <c r="A816" s="205" t="n"/>
      <c r="B816" s="205" t="n"/>
      <c r="C816" s="205" t="n"/>
      <c r="D816" s="205" t="n"/>
      <c r="E816" s="205" t="n"/>
      <c r="F816" s="205" t="n"/>
      <c r="G816" s="206" t="n"/>
      <c r="H816" s="205" t="n"/>
      <c r="I816" s="28" t="n"/>
      <c r="J816" s="205" t="n"/>
      <c r="K816" s="205" t="n"/>
      <c r="L816" s="205" t="n"/>
      <c r="M816" s="205" t="n"/>
      <c r="N816" s="205" t="n"/>
      <c r="O816" s="183" t="n"/>
      <c r="P816" s="183" t="n"/>
      <c r="Q816" s="183" t="n"/>
      <c r="R816" s="183" t="n"/>
      <c r="S816" s="183" t="n"/>
      <c r="T816" s="183" t="n"/>
      <c r="U816" s="183" t="n"/>
      <c r="V816" s="183" t="n"/>
      <c r="W816" s="183" t="n"/>
      <c r="X816" s="183" t="n"/>
      <c r="Y816" s="183" t="n"/>
      <c r="Z816" s="183" t="n"/>
      <c r="AA816" s="183" t="n"/>
    </row>
    <row r="817" ht="45.75" customHeight="1" s="222">
      <c r="A817" s="205" t="n"/>
      <c r="B817" s="205" t="n"/>
      <c r="C817" s="205" t="n"/>
      <c r="D817" s="205" t="n"/>
      <c r="E817" s="205" t="n"/>
      <c r="F817" s="205" t="n"/>
      <c r="G817" s="206" t="n"/>
      <c r="H817" s="205" t="n"/>
      <c r="I817" s="28" t="n"/>
      <c r="J817" s="205" t="n"/>
      <c r="K817" s="205" t="n"/>
      <c r="L817" s="205" t="n"/>
      <c r="M817" s="205" t="n"/>
      <c r="N817" s="205" t="n"/>
      <c r="O817" s="183" t="n"/>
      <c r="P817" s="183" t="n"/>
      <c r="Q817" s="183" t="n"/>
      <c r="R817" s="183" t="n"/>
      <c r="S817" s="183" t="n"/>
      <c r="T817" s="183" t="n"/>
      <c r="U817" s="183" t="n"/>
      <c r="V817" s="183" t="n"/>
      <c r="W817" s="183" t="n"/>
      <c r="X817" s="183" t="n"/>
      <c r="Y817" s="183" t="n"/>
      <c r="Z817" s="183" t="n"/>
      <c r="AA817" s="183" t="n"/>
    </row>
    <row r="818" ht="45.75" customHeight="1" s="222">
      <c r="A818" s="205" t="n"/>
      <c r="B818" s="205" t="n"/>
      <c r="C818" s="205" t="n"/>
      <c r="D818" s="205" t="n"/>
      <c r="E818" s="205" t="n"/>
      <c r="F818" s="205" t="n"/>
      <c r="G818" s="206" t="n"/>
      <c r="H818" s="205" t="n"/>
      <c r="I818" s="28" t="n"/>
      <c r="J818" s="205" t="n"/>
      <c r="K818" s="205" t="n"/>
      <c r="L818" s="205" t="n"/>
      <c r="M818" s="205" t="n"/>
      <c r="N818" s="205" t="n"/>
      <c r="O818" s="183" t="n"/>
      <c r="P818" s="183" t="n"/>
      <c r="Q818" s="183" t="n"/>
      <c r="R818" s="183" t="n"/>
      <c r="S818" s="183" t="n"/>
      <c r="T818" s="183" t="n"/>
      <c r="U818" s="183" t="n"/>
      <c r="V818" s="183" t="n"/>
      <c r="W818" s="183" t="n"/>
      <c r="X818" s="183" t="n"/>
      <c r="Y818" s="183" t="n"/>
      <c r="Z818" s="183" t="n"/>
      <c r="AA818" s="183" t="n"/>
    </row>
    <row r="819" ht="45.75" customHeight="1" s="222">
      <c r="A819" s="205" t="n"/>
      <c r="B819" s="205" t="n"/>
      <c r="C819" s="205" t="n"/>
      <c r="D819" s="205" t="n"/>
      <c r="E819" s="205" t="n"/>
      <c r="F819" s="205" t="n"/>
      <c r="G819" s="206" t="n"/>
      <c r="H819" s="205" t="n"/>
      <c r="I819" s="28" t="n"/>
      <c r="J819" s="205" t="n"/>
      <c r="K819" s="205" t="n"/>
      <c r="L819" s="205" t="n"/>
      <c r="M819" s="205" t="n"/>
      <c r="N819" s="205" t="n"/>
      <c r="O819" s="183" t="n"/>
      <c r="P819" s="183" t="n"/>
      <c r="Q819" s="183" t="n"/>
      <c r="R819" s="183" t="n"/>
      <c r="S819" s="183" t="n"/>
      <c r="T819" s="183" t="n"/>
      <c r="U819" s="183" t="n"/>
      <c r="V819" s="183" t="n"/>
      <c r="W819" s="183" t="n"/>
      <c r="X819" s="183" t="n"/>
      <c r="Y819" s="183" t="n"/>
      <c r="Z819" s="183" t="n"/>
      <c r="AA819" s="183" t="n"/>
    </row>
    <row r="820" ht="45.75" customHeight="1" s="222">
      <c r="A820" s="205" t="n"/>
      <c r="B820" s="205" t="n"/>
      <c r="C820" s="205" t="n"/>
      <c r="D820" s="205" t="n"/>
      <c r="E820" s="205" t="n"/>
      <c r="F820" s="205" t="n"/>
      <c r="G820" s="206" t="n"/>
      <c r="H820" s="205" t="n"/>
      <c r="I820" s="28" t="n"/>
      <c r="J820" s="205" t="n"/>
      <c r="K820" s="205" t="n"/>
      <c r="L820" s="205" t="n"/>
      <c r="M820" s="205" t="n"/>
      <c r="N820" s="205" t="n"/>
      <c r="O820" s="183" t="n"/>
      <c r="P820" s="183" t="n"/>
      <c r="Q820" s="183" t="n"/>
      <c r="R820" s="183" t="n"/>
      <c r="S820" s="183" t="n"/>
      <c r="T820" s="183" t="n"/>
      <c r="U820" s="183" t="n"/>
      <c r="V820" s="183" t="n"/>
      <c r="W820" s="183" t="n"/>
      <c r="X820" s="183" t="n"/>
      <c r="Y820" s="183" t="n"/>
      <c r="Z820" s="183" t="n"/>
      <c r="AA820" s="183" t="n"/>
    </row>
    <row r="821" ht="45.75" customHeight="1" s="222">
      <c r="A821" s="205" t="n"/>
      <c r="B821" s="205" t="n"/>
      <c r="C821" s="205" t="n"/>
      <c r="D821" s="205" t="n"/>
      <c r="E821" s="205" t="n"/>
      <c r="F821" s="205" t="n"/>
      <c r="G821" s="206" t="n"/>
      <c r="H821" s="205" t="n"/>
      <c r="I821" s="28" t="n"/>
      <c r="J821" s="205" t="n"/>
      <c r="K821" s="205" t="n"/>
      <c r="L821" s="205" t="n"/>
      <c r="M821" s="205" t="n"/>
      <c r="N821" s="205" t="n"/>
      <c r="O821" s="183" t="n"/>
      <c r="P821" s="183" t="n"/>
      <c r="Q821" s="183" t="n"/>
      <c r="R821" s="183" t="n"/>
      <c r="S821" s="183" t="n"/>
      <c r="T821" s="183" t="n"/>
      <c r="U821" s="183" t="n"/>
      <c r="V821" s="183" t="n"/>
      <c r="W821" s="183" t="n"/>
      <c r="X821" s="183" t="n"/>
      <c r="Y821" s="183" t="n"/>
      <c r="Z821" s="183" t="n"/>
      <c r="AA821" s="183" t="n"/>
    </row>
    <row r="822" ht="45.75" customHeight="1" s="222">
      <c r="A822" s="205" t="n"/>
      <c r="B822" s="205" t="n"/>
      <c r="C822" s="205" t="n"/>
      <c r="D822" s="205" t="n"/>
      <c r="E822" s="205" t="n"/>
      <c r="F822" s="205" t="n"/>
      <c r="G822" s="206" t="n"/>
      <c r="H822" s="205" t="n"/>
      <c r="I822" s="28" t="n"/>
      <c r="J822" s="205" t="n"/>
      <c r="K822" s="205" t="n"/>
      <c r="L822" s="205" t="n"/>
      <c r="M822" s="205" t="n"/>
      <c r="N822" s="205" t="n"/>
      <c r="O822" s="183" t="n"/>
      <c r="P822" s="183" t="n"/>
      <c r="Q822" s="183" t="n"/>
      <c r="R822" s="183" t="n"/>
      <c r="S822" s="183" t="n"/>
      <c r="T822" s="183" t="n"/>
      <c r="U822" s="183" t="n"/>
      <c r="V822" s="183" t="n"/>
      <c r="W822" s="183" t="n"/>
      <c r="X822" s="183" t="n"/>
      <c r="Y822" s="183" t="n"/>
      <c r="Z822" s="183" t="n"/>
      <c r="AA822" s="183" t="n"/>
    </row>
    <row r="823" ht="45.75" customHeight="1" s="222">
      <c r="A823" s="205" t="n"/>
      <c r="B823" s="205" t="n"/>
      <c r="C823" s="205" t="n"/>
      <c r="D823" s="205" t="n"/>
      <c r="E823" s="205" t="n"/>
      <c r="F823" s="205" t="n"/>
      <c r="G823" s="206" t="n"/>
      <c r="H823" s="205" t="n"/>
      <c r="I823" s="28" t="n"/>
      <c r="J823" s="205" t="n"/>
      <c r="K823" s="205" t="n"/>
      <c r="L823" s="205" t="n"/>
      <c r="M823" s="205" t="n"/>
      <c r="N823" s="205" t="n"/>
      <c r="O823" s="183" t="n"/>
      <c r="P823" s="183" t="n"/>
      <c r="Q823" s="183" t="n"/>
      <c r="R823" s="183" t="n"/>
      <c r="S823" s="183" t="n"/>
      <c r="T823" s="183" t="n"/>
      <c r="U823" s="183" t="n"/>
      <c r="V823" s="183" t="n"/>
      <c r="W823" s="183" t="n"/>
      <c r="X823" s="183" t="n"/>
      <c r="Y823" s="183" t="n"/>
      <c r="Z823" s="183" t="n"/>
      <c r="AA823" s="183" t="n"/>
    </row>
    <row r="824" ht="45.75" customHeight="1" s="222">
      <c r="A824" s="205" t="n"/>
      <c r="B824" s="205" t="n"/>
      <c r="C824" s="205" t="n"/>
      <c r="D824" s="205" t="n"/>
      <c r="E824" s="205" t="n"/>
      <c r="F824" s="205" t="n"/>
      <c r="G824" s="206" t="n"/>
      <c r="H824" s="205" t="n"/>
      <c r="I824" s="28" t="n"/>
      <c r="J824" s="205" t="n"/>
      <c r="K824" s="205" t="n"/>
      <c r="L824" s="205" t="n"/>
      <c r="M824" s="205" t="n"/>
      <c r="N824" s="205" t="n"/>
      <c r="O824" s="183" t="n"/>
      <c r="P824" s="183" t="n"/>
      <c r="Q824" s="183" t="n"/>
      <c r="R824" s="183" t="n"/>
      <c r="S824" s="183" t="n"/>
      <c r="T824" s="183" t="n"/>
      <c r="U824" s="183" t="n"/>
      <c r="V824" s="183" t="n"/>
      <c r="W824" s="183" t="n"/>
      <c r="X824" s="183" t="n"/>
      <c r="Y824" s="183" t="n"/>
      <c r="Z824" s="183" t="n"/>
      <c r="AA824" s="183" t="n"/>
    </row>
    <row r="825" ht="45.75" customHeight="1" s="222">
      <c r="A825" s="205" t="n"/>
      <c r="B825" s="205" t="n"/>
      <c r="C825" s="205" t="n"/>
      <c r="D825" s="205" t="n"/>
      <c r="E825" s="205" t="n"/>
      <c r="F825" s="205" t="n"/>
      <c r="G825" s="206" t="n"/>
      <c r="H825" s="205" t="n"/>
      <c r="I825" s="28" t="n"/>
      <c r="J825" s="205" t="n"/>
      <c r="K825" s="205" t="n"/>
      <c r="L825" s="205" t="n"/>
      <c r="M825" s="205" t="n"/>
      <c r="N825" s="205" t="n"/>
      <c r="O825" s="183" t="n"/>
      <c r="P825" s="183" t="n"/>
      <c r="Q825" s="183" t="n"/>
      <c r="R825" s="183" t="n"/>
      <c r="S825" s="183" t="n"/>
      <c r="T825" s="183" t="n"/>
      <c r="U825" s="183" t="n"/>
      <c r="V825" s="183" t="n"/>
      <c r="W825" s="183" t="n"/>
      <c r="X825" s="183" t="n"/>
      <c r="Y825" s="183" t="n"/>
      <c r="Z825" s="183" t="n"/>
      <c r="AA825" s="183" t="n"/>
    </row>
    <row r="826" ht="45.75" customHeight="1" s="222">
      <c r="A826" s="205" t="n"/>
      <c r="B826" s="205" t="n"/>
      <c r="C826" s="205" t="n"/>
      <c r="D826" s="205" t="n"/>
      <c r="E826" s="205" t="n"/>
      <c r="F826" s="205" t="n"/>
      <c r="G826" s="206" t="n"/>
      <c r="H826" s="205" t="n"/>
      <c r="I826" s="28" t="n"/>
      <c r="J826" s="205" t="n"/>
      <c r="K826" s="205" t="n"/>
      <c r="L826" s="205" t="n"/>
      <c r="M826" s="205" t="n"/>
      <c r="N826" s="205" t="n"/>
      <c r="O826" s="183" t="n"/>
      <c r="P826" s="183" t="n"/>
      <c r="Q826" s="183" t="n"/>
      <c r="R826" s="183" t="n"/>
      <c r="S826" s="183" t="n"/>
      <c r="T826" s="183" t="n"/>
      <c r="U826" s="183" t="n"/>
      <c r="V826" s="183" t="n"/>
      <c r="W826" s="183" t="n"/>
      <c r="X826" s="183" t="n"/>
      <c r="Y826" s="183" t="n"/>
      <c r="Z826" s="183" t="n"/>
      <c r="AA826" s="183" t="n"/>
    </row>
    <row r="827" ht="45.75" customHeight="1" s="222">
      <c r="A827" s="205" t="n"/>
      <c r="B827" s="205" t="n"/>
      <c r="C827" s="205" t="n"/>
      <c r="D827" s="205" t="n"/>
      <c r="E827" s="205" t="n"/>
      <c r="F827" s="205" t="n"/>
      <c r="G827" s="206" t="n"/>
      <c r="H827" s="205" t="n"/>
      <c r="I827" s="28" t="n"/>
      <c r="J827" s="205" t="n"/>
      <c r="K827" s="205" t="n"/>
      <c r="L827" s="205" t="n"/>
      <c r="M827" s="205" t="n"/>
      <c r="N827" s="205" t="n"/>
      <c r="O827" s="183" t="n"/>
      <c r="P827" s="183" t="n"/>
      <c r="Q827" s="183" t="n"/>
      <c r="R827" s="183" t="n"/>
      <c r="S827" s="183" t="n"/>
      <c r="T827" s="183" t="n"/>
      <c r="U827" s="183" t="n"/>
      <c r="V827" s="183" t="n"/>
      <c r="W827" s="183" t="n"/>
      <c r="X827" s="183" t="n"/>
      <c r="Y827" s="183" t="n"/>
      <c r="Z827" s="183" t="n"/>
      <c r="AA827" s="183" t="n"/>
    </row>
    <row r="828" ht="45.75" customHeight="1" s="222">
      <c r="A828" s="205" t="n"/>
      <c r="B828" s="205" t="n"/>
      <c r="C828" s="205" t="n"/>
      <c r="D828" s="205" t="n"/>
      <c r="E828" s="205" t="n"/>
      <c r="F828" s="205" t="n"/>
      <c r="G828" s="206" t="n"/>
      <c r="H828" s="205" t="n"/>
      <c r="I828" s="28" t="n"/>
      <c r="J828" s="205" t="n"/>
      <c r="K828" s="205" t="n"/>
      <c r="L828" s="205" t="n"/>
      <c r="M828" s="205" t="n"/>
      <c r="N828" s="205" t="n"/>
      <c r="O828" s="183" t="n"/>
      <c r="P828" s="183" t="n"/>
      <c r="Q828" s="183" t="n"/>
      <c r="R828" s="183" t="n"/>
      <c r="S828" s="183" t="n"/>
      <c r="T828" s="183" t="n"/>
      <c r="U828" s="183" t="n"/>
      <c r="V828" s="183" t="n"/>
      <c r="W828" s="183" t="n"/>
      <c r="X828" s="183" t="n"/>
      <c r="Y828" s="183" t="n"/>
      <c r="Z828" s="183" t="n"/>
      <c r="AA828" s="183" t="n"/>
    </row>
    <row r="829" ht="45.75" customHeight="1" s="222">
      <c r="A829" s="205" t="n"/>
      <c r="B829" s="205" t="n"/>
      <c r="C829" s="205" t="n"/>
      <c r="D829" s="205" t="n"/>
      <c r="E829" s="205" t="n"/>
      <c r="F829" s="205" t="n"/>
      <c r="G829" s="206" t="n"/>
      <c r="H829" s="205" t="n"/>
      <c r="I829" s="28" t="n"/>
      <c r="J829" s="205" t="n"/>
      <c r="K829" s="205" t="n"/>
      <c r="L829" s="205" t="n"/>
      <c r="M829" s="205" t="n"/>
      <c r="N829" s="205" t="n"/>
      <c r="O829" s="183" t="n"/>
      <c r="P829" s="183" t="n"/>
      <c r="Q829" s="183" t="n"/>
      <c r="R829" s="183" t="n"/>
      <c r="S829" s="183" t="n"/>
      <c r="T829" s="183" t="n"/>
      <c r="U829" s="183" t="n"/>
      <c r="V829" s="183" t="n"/>
      <c r="W829" s="183" t="n"/>
      <c r="X829" s="183" t="n"/>
      <c r="Y829" s="183" t="n"/>
      <c r="Z829" s="183" t="n"/>
      <c r="AA829" s="183" t="n"/>
    </row>
    <row r="830" ht="45.75" customHeight="1" s="222">
      <c r="A830" s="205" t="n"/>
      <c r="B830" s="205" t="n"/>
      <c r="C830" s="205" t="n"/>
      <c r="D830" s="205" t="n"/>
      <c r="E830" s="205" t="n"/>
      <c r="F830" s="205" t="n"/>
      <c r="G830" s="206" t="n"/>
      <c r="H830" s="205" t="n"/>
      <c r="I830" s="28" t="n"/>
      <c r="J830" s="205" t="n"/>
      <c r="K830" s="205" t="n"/>
      <c r="L830" s="205" t="n"/>
      <c r="M830" s="205" t="n"/>
      <c r="N830" s="205" t="n"/>
      <c r="O830" s="183" t="n"/>
      <c r="P830" s="183" t="n"/>
      <c r="Q830" s="183" t="n"/>
      <c r="R830" s="183" t="n"/>
      <c r="S830" s="183" t="n"/>
      <c r="T830" s="183" t="n"/>
      <c r="U830" s="183" t="n"/>
      <c r="V830" s="183" t="n"/>
      <c r="W830" s="183" t="n"/>
      <c r="X830" s="183" t="n"/>
      <c r="Y830" s="183" t="n"/>
      <c r="Z830" s="183" t="n"/>
      <c r="AA830" s="183" t="n"/>
    </row>
    <row r="831" ht="45.75" customHeight="1" s="222">
      <c r="A831" s="205" t="n"/>
      <c r="B831" s="205" t="n"/>
      <c r="C831" s="205" t="n"/>
      <c r="D831" s="205" t="n"/>
      <c r="E831" s="205" t="n"/>
      <c r="F831" s="205" t="n"/>
      <c r="G831" s="206" t="n"/>
      <c r="H831" s="205" t="n"/>
      <c r="I831" s="28" t="n"/>
      <c r="J831" s="205" t="n"/>
      <c r="K831" s="205" t="n"/>
      <c r="L831" s="205" t="n"/>
      <c r="M831" s="205" t="n"/>
      <c r="N831" s="205" t="n"/>
      <c r="O831" s="183" t="n"/>
      <c r="P831" s="183" t="n"/>
      <c r="Q831" s="183" t="n"/>
      <c r="R831" s="183" t="n"/>
      <c r="S831" s="183" t="n"/>
      <c r="T831" s="183" t="n"/>
      <c r="U831" s="183" t="n"/>
      <c r="V831" s="183" t="n"/>
      <c r="W831" s="183" t="n"/>
      <c r="X831" s="183" t="n"/>
      <c r="Y831" s="183" t="n"/>
      <c r="Z831" s="183" t="n"/>
      <c r="AA831" s="183" t="n"/>
    </row>
    <row r="832" ht="45.75" customHeight="1" s="222">
      <c r="A832" s="205" t="n"/>
      <c r="B832" s="205" t="n"/>
      <c r="C832" s="205" t="n"/>
      <c r="D832" s="205" t="n"/>
      <c r="E832" s="205" t="n"/>
      <c r="F832" s="205" t="n"/>
      <c r="G832" s="206" t="n"/>
      <c r="H832" s="205" t="n"/>
      <c r="I832" s="28" t="n"/>
      <c r="J832" s="205" t="n"/>
      <c r="K832" s="205" t="n"/>
      <c r="L832" s="205" t="n"/>
      <c r="M832" s="205" t="n"/>
      <c r="N832" s="205" t="n"/>
      <c r="O832" s="183" t="n"/>
      <c r="P832" s="183" t="n"/>
      <c r="Q832" s="183" t="n"/>
      <c r="R832" s="183" t="n"/>
      <c r="S832" s="183" t="n"/>
      <c r="T832" s="183" t="n"/>
      <c r="U832" s="183" t="n"/>
      <c r="V832" s="183" t="n"/>
      <c r="W832" s="183" t="n"/>
      <c r="X832" s="183" t="n"/>
      <c r="Y832" s="183" t="n"/>
      <c r="Z832" s="183" t="n"/>
      <c r="AA832" s="183" t="n"/>
    </row>
    <row r="833" ht="45.75" customHeight="1" s="222">
      <c r="A833" s="205" t="n"/>
      <c r="B833" s="205" t="n"/>
      <c r="C833" s="205" t="n"/>
      <c r="D833" s="205" t="n"/>
      <c r="E833" s="205" t="n"/>
      <c r="F833" s="205" t="n"/>
      <c r="G833" s="206" t="n"/>
      <c r="H833" s="205" t="n"/>
      <c r="I833" s="28" t="n"/>
      <c r="J833" s="205" t="n"/>
      <c r="K833" s="205" t="n"/>
      <c r="L833" s="205" t="n"/>
      <c r="M833" s="205" t="n"/>
      <c r="N833" s="205" t="n"/>
      <c r="O833" s="183" t="n"/>
      <c r="P833" s="183" t="n"/>
      <c r="Q833" s="183" t="n"/>
      <c r="R833" s="183" t="n"/>
      <c r="S833" s="183" t="n"/>
      <c r="T833" s="183" t="n"/>
      <c r="U833" s="183" t="n"/>
      <c r="V833" s="183" t="n"/>
      <c r="W833" s="183" t="n"/>
      <c r="X833" s="183" t="n"/>
      <c r="Y833" s="183" t="n"/>
      <c r="Z833" s="183" t="n"/>
      <c r="AA833" s="183" t="n"/>
    </row>
    <row r="834" ht="45.75" customHeight="1" s="222">
      <c r="A834" s="205" t="n"/>
      <c r="B834" s="205" t="n"/>
      <c r="C834" s="205" t="n"/>
      <c r="D834" s="205" t="n"/>
      <c r="E834" s="205" t="n"/>
      <c r="F834" s="205" t="n"/>
      <c r="G834" s="206" t="n"/>
      <c r="H834" s="205" t="n"/>
      <c r="I834" s="28" t="n"/>
      <c r="J834" s="205" t="n"/>
      <c r="K834" s="205" t="n"/>
      <c r="L834" s="205" t="n"/>
      <c r="M834" s="205" t="n"/>
      <c r="N834" s="205" t="n"/>
      <c r="O834" s="183" t="n"/>
      <c r="P834" s="183" t="n"/>
      <c r="Q834" s="183" t="n"/>
      <c r="R834" s="183" t="n"/>
      <c r="S834" s="183" t="n"/>
      <c r="T834" s="183" t="n"/>
      <c r="U834" s="183" t="n"/>
      <c r="V834" s="183" t="n"/>
      <c r="W834" s="183" t="n"/>
      <c r="X834" s="183" t="n"/>
      <c r="Y834" s="183" t="n"/>
      <c r="Z834" s="183" t="n"/>
      <c r="AA834" s="183" t="n"/>
    </row>
    <row r="835" ht="45.75" customHeight="1" s="222">
      <c r="A835" s="205" t="n"/>
      <c r="B835" s="205" t="n"/>
      <c r="C835" s="205" t="n"/>
      <c r="D835" s="205" t="n"/>
      <c r="E835" s="205" t="n"/>
      <c r="F835" s="205" t="n"/>
      <c r="G835" s="206" t="n"/>
      <c r="H835" s="205" t="n"/>
      <c r="I835" s="28" t="n"/>
      <c r="J835" s="205" t="n"/>
      <c r="K835" s="205" t="n"/>
      <c r="L835" s="205" t="n"/>
      <c r="M835" s="205" t="n"/>
      <c r="N835" s="205" t="n"/>
      <c r="O835" s="183" t="n"/>
      <c r="P835" s="183" t="n"/>
      <c r="Q835" s="183" t="n"/>
      <c r="R835" s="183" t="n"/>
      <c r="S835" s="183" t="n"/>
      <c r="T835" s="183" t="n"/>
      <c r="U835" s="183" t="n"/>
      <c r="V835" s="183" t="n"/>
      <c r="W835" s="183" t="n"/>
      <c r="X835" s="183" t="n"/>
      <c r="Y835" s="183" t="n"/>
      <c r="Z835" s="183" t="n"/>
      <c r="AA835" s="183" t="n"/>
    </row>
    <row r="836" ht="45.75" customHeight="1" s="222">
      <c r="A836" s="205" t="n"/>
      <c r="B836" s="205" t="n"/>
      <c r="C836" s="205" t="n"/>
      <c r="D836" s="205" t="n"/>
      <c r="E836" s="205" t="n"/>
      <c r="F836" s="205" t="n"/>
      <c r="G836" s="206" t="n"/>
      <c r="H836" s="205" t="n"/>
      <c r="I836" s="28" t="n"/>
      <c r="J836" s="205" t="n"/>
      <c r="K836" s="205" t="n"/>
      <c r="L836" s="205" t="n"/>
      <c r="M836" s="205" t="n"/>
      <c r="N836" s="205" t="n"/>
      <c r="O836" s="183" t="n"/>
      <c r="P836" s="183" t="n"/>
      <c r="Q836" s="183" t="n"/>
      <c r="R836" s="183" t="n"/>
      <c r="S836" s="183" t="n"/>
      <c r="T836" s="183" t="n"/>
      <c r="U836" s="183" t="n"/>
      <c r="V836" s="183" t="n"/>
      <c r="W836" s="183" t="n"/>
      <c r="X836" s="183" t="n"/>
      <c r="Y836" s="183" t="n"/>
      <c r="Z836" s="183" t="n"/>
      <c r="AA836" s="183" t="n"/>
    </row>
    <row r="837" ht="45.75" customHeight="1" s="222">
      <c r="A837" s="205" t="n"/>
      <c r="B837" s="205" t="n"/>
      <c r="C837" s="205" t="n"/>
      <c r="D837" s="205" t="n"/>
      <c r="E837" s="205" t="n"/>
      <c r="F837" s="205" t="n"/>
      <c r="G837" s="206" t="n"/>
      <c r="H837" s="205" t="n"/>
      <c r="I837" s="28" t="n"/>
      <c r="J837" s="205" t="n"/>
      <c r="K837" s="205" t="n"/>
      <c r="L837" s="205" t="n"/>
      <c r="M837" s="205" t="n"/>
      <c r="N837" s="205" t="n"/>
      <c r="O837" s="183" t="n"/>
      <c r="P837" s="183" t="n"/>
      <c r="Q837" s="183" t="n"/>
      <c r="R837" s="183" t="n"/>
      <c r="S837" s="183" t="n"/>
      <c r="T837" s="183" t="n"/>
      <c r="U837" s="183" t="n"/>
      <c r="V837" s="183" t="n"/>
      <c r="W837" s="183" t="n"/>
      <c r="X837" s="183" t="n"/>
      <c r="Y837" s="183" t="n"/>
      <c r="Z837" s="183" t="n"/>
      <c r="AA837" s="183" t="n"/>
    </row>
    <row r="838" ht="45.75" customHeight="1" s="222">
      <c r="A838" s="205" t="n"/>
      <c r="B838" s="205" t="n"/>
      <c r="C838" s="205" t="n"/>
      <c r="D838" s="205" t="n"/>
      <c r="E838" s="205" t="n"/>
      <c r="F838" s="205" t="n"/>
      <c r="G838" s="206" t="n"/>
      <c r="H838" s="205" t="n"/>
      <c r="I838" s="28" t="n"/>
      <c r="J838" s="205" t="n"/>
      <c r="K838" s="205" t="n"/>
      <c r="L838" s="205" t="n"/>
      <c r="M838" s="205" t="n"/>
      <c r="N838" s="205" t="n"/>
      <c r="O838" s="183" t="n"/>
      <c r="P838" s="183" t="n"/>
      <c r="Q838" s="183" t="n"/>
      <c r="R838" s="183" t="n"/>
      <c r="S838" s="183" t="n"/>
      <c r="T838" s="183" t="n"/>
      <c r="U838" s="183" t="n"/>
      <c r="V838" s="183" t="n"/>
      <c r="W838" s="183" t="n"/>
      <c r="X838" s="183" t="n"/>
      <c r="Y838" s="183" t="n"/>
      <c r="Z838" s="183" t="n"/>
      <c r="AA838" s="183" t="n"/>
    </row>
    <row r="839" ht="45.75" customHeight="1" s="222">
      <c r="A839" s="205" t="n"/>
      <c r="B839" s="205" t="n"/>
      <c r="C839" s="205" t="n"/>
      <c r="D839" s="205" t="n"/>
      <c r="E839" s="205" t="n"/>
      <c r="F839" s="205" t="n"/>
      <c r="G839" s="206" t="n"/>
      <c r="H839" s="205" t="n"/>
      <c r="I839" s="28" t="n"/>
      <c r="J839" s="205" t="n"/>
      <c r="K839" s="205" t="n"/>
      <c r="L839" s="205" t="n"/>
      <c r="M839" s="205" t="n"/>
      <c r="N839" s="205" t="n"/>
      <c r="O839" s="183" t="n"/>
      <c r="P839" s="183" t="n"/>
      <c r="Q839" s="183" t="n"/>
      <c r="R839" s="183" t="n"/>
      <c r="S839" s="183" t="n"/>
      <c r="T839" s="183" t="n"/>
      <c r="U839" s="183" t="n"/>
      <c r="V839" s="183" t="n"/>
      <c r="W839" s="183" t="n"/>
      <c r="X839" s="183" t="n"/>
      <c r="Y839" s="183" t="n"/>
      <c r="Z839" s="183" t="n"/>
      <c r="AA839" s="183" t="n"/>
    </row>
    <row r="840" ht="45.75" customHeight="1" s="222">
      <c r="A840" s="205" t="n"/>
      <c r="B840" s="205" t="n"/>
      <c r="C840" s="205" t="n"/>
      <c r="D840" s="205" t="n"/>
      <c r="E840" s="205" t="n"/>
      <c r="F840" s="205" t="n"/>
      <c r="G840" s="206" t="n"/>
      <c r="H840" s="205" t="n"/>
      <c r="I840" s="28" t="n"/>
      <c r="J840" s="205" t="n"/>
      <c r="K840" s="205" t="n"/>
      <c r="L840" s="205" t="n"/>
      <c r="M840" s="205" t="n"/>
      <c r="N840" s="205" t="n"/>
      <c r="O840" s="183" t="n"/>
      <c r="P840" s="183" t="n"/>
      <c r="Q840" s="183" t="n"/>
      <c r="R840" s="183" t="n"/>
      <c r="S840" s="183" t="n"/>
      <c r="T840" s="183" t="n"/>
      <c r="U840" s="183" t="n"/>
      <c r="V840" s="183" t="n"/>
      <c r="W840" s="183" t="n"/>
      <c r="X840" s="183" t="n"/>
      <c r="Y840" s="183" t="n"/>
      <c r="Z840" s="183" t="n"/>
      <c r="AA840" s="183" t="n"/>
    </row>
    <row r="841" ht="45.75" customHeight="1" s="222">
      <c r="A841" s="205" t="n"/>
      <c r="B841" s="205" t="n"/>
      <c r="C841" s="205" t="n"/>
      <c r="D841" s="205" t="n"/>
      <c r="E841" s="205" t="n"/>
      <c r="F841" s="205" t="n"/>
      <c r="G841" s="206" t="n"/>
      <c r="H841" s="205" t="n"/>
      <c r="I841" s="28" t="n"/>
      <c r="J841" s="205" t="n"/>
      <c r="K841" s="205" t="n"/>
      <c r="L841" s="205" t="n"/>
      <c r="M841" s="205" t="n"/>
      <c r="N841" s="205" t="n"/>
      <c r="O841" s="183" t="n"/>
      <c r="P841" s="183" t="n"/>
      <c r="Q841" s="183" t="n"/>
      <c r="R841" s="183" t="n"/>
      <c r="S841" s="183" t="n"/>
      <c r="T841" s="183" t="n"/>
      <c r="U841" s="183" t="n"/>
      <c r="V841" s="183" t="n"/>
      <c r="W841" s="183" t="n"/>
      <c r="X841" s="183" t="n"/>
      <c r="Y841" s="183" t="n"/>
      <c r="Z841" s="183" t="n"/>
      <c r="AA841" s="183" t="n"/>
    </row>
    <row r="842" ht="45.75" customHeight="1" s="222">
      <c r="A842" s="205" t="n"/>
      <c r="B842" s="205" t="n"/>
      <c r="C842" s="205" t="n"/>
      <c r="D842" s="205" t="n"/>
      <c r="E842" s="205" t="n"/>
      <c r="F842" s="205" t="n"/>
      <c r="G842" s="206" t="n"/>
      <c r="H842" s="205" t="n"/>
      <c r="I842" s="28" t="n"/>
      <c r="J842" s="205" t="n"/>
      <c r="K842" s="205" t="n"/>
      <c r="L842" s="205" t="n"/>
      <c r="M842" s="205" t="n"/>
      <c r="N842" s="205" t="n"/>
      <c r="O842" s="183" t="n"/>
      <c r="P842" s="183" t="n"/>
      <c r="Q842" s="183" t="n"/>
      <c r="R842" s="183" t="n"/>
      <c r="S842" s="183" t="n"/>
      <c r="T842" s="183" t="n"/>
      <c r="U842" s="183" t="n"/>
      <c r="V842" s="183" t="n"/>
      <c r="W842" s="183" t="n"/>
      <c r="X842" s="183" t="n"/>
      <c r="Y842" s="183" t="n"/>
      <c r="Z842" s="183" t="n"/>
      <c r="AA842" s="183" t="n"/>
    </row>
    <row r="843" ht="45.75" customHeight="1" s="222">
      <c r="A843" s="205" t="n"/>
      <c r="B843" s="205" t="n"/>
      <c r="C843" s="205" t="n"/>
      <c r="D843" s="205" t="n"/>
      <c r="E843" s="205" t="n"/>
      <c r="F843" s="205" t="n"/>
      <c r="G843" s="206" t="n"/>
      <c r="H843" s="205" t="n"/>
      <c r="I843" s="28" t="n"/>
      <c r="J843" s="205" t="n"/>
      <c r="K843" s="205" t="n"/>
      <c r="L843" s="205" t="n"/>
      <c r="M843" s="205" t="n"/>
      <c r="N843" s="205" t="n"/>
      <c r="O843" s="183" t="n"/>
      <c r="P843" s="183" t="n"/>
      <c r="Q843" s="183" t="n"/>
      <c r="R843" s="183" t="n"/>
      <c r="S843" s="183" t="n"/>
      <c r="T843" s="183" t="n"/>
      <c r="U843" s="183" t="n"/>
      <c r="V843" s="183" t="n"/>
      <c r="W843" s="183" t="n"/>
      <c r="X843" s="183" t="n"/>
      <c r="Y843" s="183" t="n"/>
      <c r="Z843" s="183" t="n"/>
      <c r="AA843" s="183" t="n"/>
    </row>
    <row r="844" ht="45.75" customHeight="1" s="222">
      <c r="A844" s="205" t="n"/>
      <c r="B844" s="205" t="n"/>
      <c r="C844" s="205" t="n"/>
      <c r="D844" s="205" t="n"/>
      <c r="E844" s="205" t="n"/>
      <c r="F844" s="205" t="n"/>
      <c r="G844" s="206" t="n"/>
      <c r="H844" s="205" t="n"/>
      <c r="I844" s="28" t="n"/>
      <c r="J844" s="205" t="n"/>
      <c r="K844" s="205" t="n"/>
      <c r="L844" s="205" t="n"/>
      <c r="M844" s="205" t="n"/>
      <c r="N844" s="205" t="n"/>
      <c r="O844" s="183" t="n"/>
      <c r="P844" s="183" t="n"/>
      <c r="Q844" s="183" t="n"/>
      <c r="R844" s="183" t="n"/>
      <c r="S844" s="183" t="n"/>
      <c r="T844" s="183" t="n"/>
      <c r="U844" s="183" t="n"/>
      <c r="V844" s="183" t="n"/>
      <c r="W844" s="183" t="n"/>
      <c r="X844" s="183" t="n"/>
      <c r="Y844" s="183" t="n"/>
      <c r="Z844" s="183" t="n"/>
      <c r="AA844" s="183" t="n"/>
    </row>
    <row r="845" ht="45.75" customHeight="1" s="222">
      <c r="A845" s="205" t="n"/>
      <c r="B845" s="205" t="n"/>
      <c r="C845" s="205" t="n"/>
      <c r="D845" s="205" t="n"/>
      <c r="E845" s="205" t="n"/>
      <c r="F845" s="205" t="n"/>
      <c r="G845" s="206" t="n"/>
      <c r="H845" s="205" t="n"/>
      <c r="I845" s="28" t="n"/>
      <c r="J845" s="205" t="n"/>
      <c r="K845" s="205" t="n"/>
      <c r="L845" s="205" t="n"/>
      <c r="M845" s="205" t="n"/>
      <c r="N845" s="205" t="n"/>
      <c r="O845" s="183" t="n"/>
      <c r="P845" s="183" t="n"/>
      <c r="Q845" s="183" t="n"/>
      <c r="R845" s="183" t="n"/>
      <c r="S845" s="183" t="n"/>
      <c r="T845" s="183" t="n"/>
      <c r="U845" s="183" t="n"/>
      <c r="V845" s="183" t="n"/>
      <c r="W845" s="183" t="n"/>
      <c r="X845" s="183" t="n"/>
      <c r="Y845" s="183" t="n"/>
      <c r="Z845" s="183" t="n"/>
      <c r="AA845" s="183" t="n"/>
    </row>
    <row r="846" ht="45.75" customHeight="1" s="222">
      <c r="A846" s="205" t="n"/>
      <c r="B846" s="205" t="n"/>
      <c r="C846" s="205" t="n"/>
      <c r="D846" s="205" t="n"/>
      <c r="E846" s="205" t="n"/>
      <c r="F846" s="205" t="n"/>
      <c r="G846" s="206" t="n"/>
      <c r="H846" s="205" t="n"/>
      <c r="I846" s="28" t="n"/>
      <c r="J846" s="205" t="n"/>
      <c r="K846" s="205" t="n"/>
      <c r="L846" s="205" t="n"/>
      <c r="M846" s="205" t="n"/>
      <c r="N846" s="205" t="n"/>
      <c r="O846" s="183" t="n"/>
      <c r="P846" s="183" t="n"/>
      <c r="Q846" s="183" t="n"/>
      <c r="R846" s="183" t="n"/>
      <c r="S846" s="183" t="n"/>
      <c r="T846" s="183" t="n"/>
      <c r="U846" s="183" t="n"/>
      <c r="V846" s="183" t="n"/>
      <c r="W846" s="183" t="n"/>
      <c r="X846" s="183" t="n"/>
      <c r="Y846" s="183" t="n"/>
      <c r="Z846" s="183" t="n"/>
      <c r="AA846" s="183" t="n"/>
    </row>
    <row r="847" ht="45.75" customHeight="1" s="222">
      <c r="A847" s="205" t="n"/>
      <c r="B847" s="205" t="n"/>
      <c r="C847" s="205" t="n"/>
      <c r="D847" s="205" t="n"/>
      <c r="E847" s="205" t="n"/>
      <c r="F847" s="205" t="n"/>
      <c r="G847" s="206" t="n"/>
      <c r="H847" s="205" t="n"/>
      <c r="I847" s="28" t="n"/>
      <c r="J847" s="205" t="n"/>
      <c r="K847" s="205" t="n"/>
      <c r="L847" s="205" t="n"/>
      <c r="M847" s="205" t="n"/>
      <c r="N847" s="205" t="n"/>
      <c r="O847" s="183" t="n"/>
      <c r="P847" s="183" t="n"/>
      <c r="Q847" s="183" t="n"/>
      <c r="R847" s="183" t="n"/>
      <c r="S847" s="183" t="n"/>
      <c r="T847" s="183" t="n"/>
      <c r="U847" s="183" t="n"/>
      <c r="V847" s="183" t="n"/>
      <c r="W847" s="183" t="n"/>
      <c r="X847" s="183" t="n"/>
      <c r="Y847" s="183" t="n"/>
      <c r="Z847" s="183" t="n"/>
      <c r="AA847" s="183" t="n"/>
    </row>
    <row r="848" ht="45.75" customHeight="1" s="222">
      <c r="A848" s="205" t="n"/>
      <c r="B848" s="205" t="n"/>
      <c r="C848" s="205" t="n"/>
      <c r="D848" s="205" t="n"/>
      <c r="E848" s="205" t="n"/>
      <c r="F848" s="205" t="n"/>
      <c r="G848" s="206" t="n"/>
      <c r="H848" s="205" t="n"/>
      <c r="I848" s="28" t="n"/>
      <c r="J848" s="205" t="n"/>
      <c r="K848" s="205" t="n"/>
      <c r="L848" s="205" t="n"/>
      <c r="M848" s="205" t="n"/>
      <c r="N848" s="205" t="n"/>
      <c r="O848" s="183" t="n"/>
      <c r="P848" s="183" t="n"/>
      <c r="Q848" s="183" t="n"/>
      <c r="R848" s="183" t="n"/>
      <c r="S848" s="183" t="n"/>
      <c r="T848" s="183" t="n"/>
      <c r="U848" s="183" t="n"/>
      <c r="V848" s="183" t="n"/>
      <c r="W848" s="183" t="n"/>
      <c r="X848" s="183" t="n"/>
      <c r="Y848" s="183" t="n"/>
      <c r="Z848" s="183" t="n"/>
      <c r="AA848" s="183" t="n"/>
    </row>
    <row r="849" ht="45.75" customHeight="1" s="222">
      <c r="A849" s="205" t="n"/>
      <c r="B849" s="205" t="n"/>
      <c r="C849" s="205" t="n"/>
      <c r="D849" s="205" t="n"/>
      <c r="E849" s="205" t="n"/>
      <c r="F849" s="205" t="n"/>
      <c r="G849" s="206" t="n"/>
      <c r="H849" s="205" t="n"/>
      <c r="I849" s="28" t="n"/>
      <c r="J849" s="205" t="n"/>
      <c r="K849" s="205" t="n"/>
      <c r="L849" s="205" t="n"/>
      <c r="M849" s="205" t="n"/>
      <c r="N849" s="205" t="n"/>
      <c r="O849" s="183" t="n"/>
      <c r="P849" s="183" t="n"/>
      <c r="Q849" s="183" t="n"/>
      <c r="R849" s="183" t="n"/>
      <c r="S849" s="183" t="n"/>
      <c r="T849" s="183" t="n"/>
      <c r="U849" s="183" t="n"/>
      <c r="V849" s="183" t="n"/>
      <c r="W849" s="183" t="n"/>
      <c r="X849" s="183" t="n"/>
      <c r="Y849" s="183" t="n"/>
      <c r="Z849" s="183" t="n"/>
      <c r="AA849" s="183" t="n"/>
    </row>
    <row r="850" ht="45.75" customHeight="1" s="222">
      <c r="A850" s="205" t="n"/>
      <c r="B850" s="205" t="n"/>
      <c r="C850" s="205" t="n"/>
      <c r="D850" s="205" t="n"/>
      <c r="E850" s="205" t="n"/>
      <c r="F850" s="205" t="n"/>
      <c r="G850" s="206" t="n"/>
      <c r="H850" s="205" t="n"/>
      <c r="I850" s="28" t="n"/>
      <c r="J850" s="205" t="n"/>
      <c r="K850" s="205" t="n"/>
      <c r="L850" s="205" t="n"/>
      <c r="M850" s="205" t="n"/>
      <c r="N850" s="205" t="n"/>
      <c r="O850" s="183" t="n"/>
      <c r="P850" s="183" t="n"/>
      <c r="Q850" s="183" t="n"/>
      <c r="R850" s="183" t="n"/>
      <c r="S850" s="183" t="n"/>
      <c r="T850" s="183" t="n"/>
      <c r="U850" s="183" t="n"/>
      <c r="V850" s="183" t="n"/>
      <c r="W850" s="183" t="n"/>
      <c r="X850" s="183" t="n"/>
      <c r="Y850" s="183" t="n"/>
      <c r="Z850" s="183" t="n"/>
      <c r="AA850" s="183" t="n"/>
    </row>
    <row r="851" ht="45.75" customHeight="1" s="222">
      <c r="A851" s="205" t="n"/>
      <c r="B851" s="205" t="n"/>
      <c r="C851" s="205" t="n"/>
      <c r="D851" s="205" t="n"/>
      <c r="E851" s="205" t="n"/>
      <c r="F851" s="205" t="n"/>
      <c r="G851" s="206" t="n"/>
      <c r="H851" s="205" t="n"/>
      <c r="I851" s="28" t="n"/>
      <c r="J851" s="205" t="n"/>
      <c r="K851" s="205" t="n"/>
      <c r="L851" s="205" t="n"/>
      <c r="M851" s="205" t="n"/>
      <c r="N851" s="205" t="n"/>
      <c r="O851" s="183" t="n"/>
      <c r="P851" s="183" t="n"/>
      <c r="Q851" s="183" t="n"/>
      <c r="R851" s="183" t="n"/>
      <c r="S851" s="183" t="n"/>
      <c r="T851" s="183" t="n"/>
      <c r="U851" s="183" t="n"/>
      <c r="V851" s="183" t="n"/>
      <c r="W851" s="183" t="n"/>
      <c r="X851" s="183" t="n"/>
      <c r="Y851" s="183" t="n"/>
      <c r="Z851" s="183" t="n"/>
      <c r="AA851" s="183" t="n"/>
    </row>
    <row r="852" ht="45.75" customHeight="1" s="222">
      <c r="A852" s="205" t="n"/>
      <c r="B852" s="205" t="n"/>
      <c r="C852" s="205" t="n"/>
      <c r="D852" s="205" t="n"/>
      <c r="E852" s="205" t="n"/>
      <c r="F852" s="205" t="n"/>
      <c r="G852" s="206" t="n"/>
      <c r="H852" s="205" t="n"/>
      <c r="I852" s="28" t="n"/>
      <c r="J852" s="205" t="n"/>
      <c r="K852" s="205" t="n"/>
      <c r="L852" s="205" t="n"/>
      <c r="M852" s="205" t="n"/>
      <c r="N852" s="205" t="n"/>
      <c r="O852" s="183" t="n"/>
      <c r="P852" s="183" t="n"/>
      <c r="Q852" s="183" t="n"/>
      <c r="R852" s="183" t="n"/>
      <c r="S852" s="183" t="n"/>
      <c r="T852" s="183" t="n"/>
      <c r="U852" s="183" t="n"/>
      <c r="V852" s="183" t="n"/>
      <c r="W852" s="183" t="n"/>
      <c r="X852" s="183" t="n"/>
      <c r="Y852" s="183" t="n"/>
      <c r="Z852" s="183" t="n"/>
      <c r="AA852" s="183" t="n"/>
    </row>
    <row r="853" ht="45.75" customHeight="1" s="222">
      <c r="A853" s="205" t="n"/>
      <c r="B853" s="205" t="n"/>
      <c r="C853" s="205" t="n"/>
      <c r="D853" s="205" t="n"/>
      <c r="E853" s="205" t="n"/>
      <c r="F853" s="205" t="n"/>
      <c r="G853" s="206" t="n"/>
      <c r="H853" s="205" t="n"/>
      <c r="I853" s="28" t="n"/>
      <c r="J853" s="205" t="n"/>
      <c r="K853" s="205" t="n"/>
      <c r="L853" s="205" t="n"/>
      <c r="M853" s="205" t="n"/>
      <c r="N853" s="205" t="n"/>
      <c r="O853" s="183" t="n"/>
      <c r="P853" s="183" t="n"/>
      <c r="Q853" s="183" t="n"/>
      <c r="R853" s="183" t="n"/>
      <c r="S853" s="183" t="n"/>
      <c r="T853" s="183" t="n"/>
      <c r="U853" s="183" t="n"/>
      <c r="V853" s="183" t="n"/>
      <c r="W853" s="183" t="n"/>
      <c r="X853" s="183" t="n"/>
      <c r="Y853" s="183" t="n"/>
      <c r="Z853" s="183" t="n"/>
      <c r="AA853" s="183" t="n"/>
    </row>
    <row r="854" ht="45.75" customHeight="1" s="222">
      <c r="A854" s="205" t="n"/>
      <c r="B854" s="205" t="n"/>
      <c r="C854" s="205" t="n"/>
      <c r="D854" s="205" t="n"/>
      <c r="E854" s="205" t="n"/>
      <c r="F854" s="205" t="n"/>
      <c r="G854" s="206" t="n"/>
      <c r="H854" s="205" t="n"/>
      <c r="I854" s="28" t="n"/>
      <c r="J854" s="205" t="n"/>
      <c r="K854" s="205" t="n"/>
      <c r="L854" s="205" t="n"/>
      <c r="M854" s="205" t="n"/>
      <c r="N854" s="205" t="n"/>
      <c r="O854" s="183" t="n"/>
      <c r="P854" s="183" t="n"/>
      <c r="Q854" s="183" t="n"/>
      <c r="R854" s="183" t="n"/>
      <c r="S854" s="183" t="n"/>
      <c r="T854" s="183" t="n"/>
      <c r="U854" s="183" t="n"/>
      <c r="V854" s="183" t="n"/>
      <c r="W854" s="183" t="n"/>
      <c r="X854" s="183" t="n"/>
      <c r="Y854" s="183" t="n"/>
      <c r="Z854" s="183" t="n"/>
      <c r="AA854" s="183" t="n"/>
    </row>
    <row r="855" ht="45.75" customHeight="1" s="222">
      <c r="A855" s="205" t="n"/>
      <c r="B855" s="205" t="n"/>
      <c r="C855" s="205" t="n"/>
      <c r="D855" s="205" t="n"/>
      <c r="E855" s="205" t="n"/>
      <c r="F855" s="205" t="n"/>
      <c r="G855" s="206" t="n"/>
      <c r="H855" s="205" t="n"/>
      <c r="I855" s="28" t="n"/>
      <c r="J855" s="205" t="n"/>
      <c r="K855" s="205" t="n"/>
      <c r="L855" s="205" t="n"/>
      <c r="M855" s="205" t="n"/>
      <c r="N855" s="205" t="n"/>
      <c r="O855" s="183" t="n"/>
      <c r="P855" s="183" t="n"/>
      <c r="Q855" s="183" t="n"/>
      <c r="R855" s="183" t="n"/>
      <c r="S855" s="183" t="n"/>
      <c r="T855" s="183" t="n"/>
      <c r="U855" s="183" t="n"/>
      <c r="V855" s="183" t="n"/>
      <c r="W855" s="183" t="n"/>
      <c r="X855" s="183" t="n"/>
      <c r="Y855" s="183" t="n"/>
      <c r="Z855" s="183" t="n"/>
      <c r="AA855" s="183" t="n"/>
    </row>
    <row r="856" ht="45.75" customHeight="1" s="222">
      <c r="A856" s="205" t="n"/>
      <c r="B856" s="205" t="n"/>
      <c r="C856" s="205" t="n"/>
      <c r="D856" s="205" t="n"/>
      <c r="E856" s="205" t="n"/>
      <c r="F856" s="205" t="n"/>
      <c r="G856" s="206" t="n"/>
      <c r="H856" s="205" t="n"/>
      <c r="I856" s="28" t="n"/>
      <c r="J856" s="205" t="n"/>
      <c r="K856" s="205" t="n"/>
      <c r="L856" s="205" t="n"/>
      <c r="M856" s="205" t="n"/>
      <c r="N856" s="205" t="n"/>
      <c r="O856" s="183" t="n"/>
      <c r="P856" s="183" t="n"/>
      <c r="Q856" s="183" t="n"/>
      <c r="R856" s="183" t="n"/>
      <c r="S856" s="183" t="n"/>
      <c r="T856" s="183" t="n"/>
      <c r="U856" s="183" t="n"/>
      <c r="V856" s="183" t="n"/>
      <c r="W856" s="183" t="n"/>
      <c r="X856" s="183" t="n"/>
      <c r="Y856" s="183" t="n"/>
      <c r="Z856" s="183" t="n"/>
      <c r="AA856" s="183" t="n"/>
    </row>
    <row r="857" ht="45.75" customHeight="1" s="222">
      <c r="A857" s="205" t="n"/>
      <c r="B857" s="205" t="n"/>
      <c r="C857" s="205" t="n"/>
      <c r="D857" s="205" t="n"/>
      <c r="E857" s="205" t="n"/>
      <c r="F857" s="205" t="n"/>
      <c r="G857" s="206" t="n"/>
      <c r="H857" s="205" t="n"/>
      <c r="I857" s="28" t="n"/>
      <c r="J857" s="205" t="n"/>
      <c r="K857" s="205" t="n"/>
      <c r="L857" s="205" t="n"/>
      <c r="M857" s="205" t="n"/>
      <c r="N857" s="205" t="n"/>
      <c r="O857" s="183" t="n"/>
      <c r="P857" s="183" t="n"/>
      <c r="Q857" s="183" t="n"/>
      <c r="R857" s="183" t="n"/>
      <c r="S857" s="183" t="n"/>
      <c r="T857" s="183" t="n"/>
      <c r="U857" s="183" t="n"/>
      <c r="V857" s="183" t="n"/>
      <c r="W857" s="183" t="n"/>
      <c r="X857" s="183" t="n"/>
      <c r="Y857" s="183" t="n"/>
      <c r="Z857" s="183" t="n"/>
      <c r="AA857" s="183" t="n"/>
    </row>
    <row r="858" ht="45.75" customHeight="1" s="222">
      <c r="A858" s="205" t="n"/>
      <c r="B858" s="205" t="n"/>
      <c r="C858" s="205" t="n"/>
      <c r="D858" s="205" t="n"/>
      <c r="E858" s="205" t="n"/>
      <c r="F858" s="205" t="n"/>
      <c r="G858" s="206" t="n"/>
      <c r="H858" s="205" t="n"/>
      <c r="I858" s="28" t="n"/>
      <c r="J858" s="205" t="n"/>
      <c r="K858" s="205" t="n"/>
      <c r="L858" s="205" t="n"/>
      <c r="M858" s="205" t="n"/>
      <c r="N858" s="205" t="n"/>
      <c r="O858" s="183" t="n"/>
      <c r="P858" s="183" t="n"/>
      <c r="Q858" s="183" t="n"/>
      <c r="R858" s="183" t="n"/>
      <c r="S858" s="183" t="n"/>
      <c r="T858" s="183" t="n"/>
      <c r="U858" s="183" t="n"/>
      <c r="V858" s="183" t="n"/>
      <c r="W858" s="183" t="n"/>
      <c r="X858" s="183" t="n"/>
      <c r="Y858" s="183" t="n"/>
      <c r="Z858" s="183" t="n"/>
      <c r="AA858" s="183" t="n"/>
    </row>
    <row r="859" ht="45.75" customHeight="1" s="222">
      <c r="A859" s="205" t="n"/>
      <c r="B859" s="205" t="n"/>
      <c r="C859" s="205" t="n"/>
      <c r="D859" s="205" t="n"/>
      <c r="E859" s="205" t="n"/>
      <c r="F859" s="205" t="n"/>
      <c r="G859" s="206" t="n"/>
      <c r="H859" s="205" t="n"/>
      <c r="I859" s="28" t="n"/>
      <c r="J859" s="205" t="n"/>
      <c r="K859" s="205" t="n"/>
      <c r="L859" s="205" t="n"/>
      <c r="M859" s="205" t="n"/>
      <c r="N859" s="205" t="n"/>
      <c r="O859" s="183" t="n"/>
      <c r="P859" s="183" t="n"/>
      <c r="Q859" s="183" t="n"/>
      <c r="R859" s="183" t="n"/>
      <c r="S859" s="183" t="n"/>
      <c r="T859" s="183" t="n"/>
      <c r="U859" s="183" t="n"/>
      <c r="V859" s="183" t="n"/>
      <c r="W859" s="183" t="n"/>
      <c r="X859" s="183" t="n"/>
      <c r="Y859" s="183" t="n"/>
      <c r="Z859" s="183" t="n"/>
      <c r="AA859" s="183" t="n"/>
    </row>
    <row r="860" ht="45.75" customHeight="1" s="222">
      <c r="A860" s="205" t="n"/>
      <c r="B860" s="205" t="n"/>
      <c r="C860" s="205" t="n"/>
      <c r="D860" s="205" t="n"/>
      <c r="E860" s="205" t="n"/>
      <c r="F860" s="205" t="n"/>
      <c r="G860" s="206" t="n"/>
      <c r="H860" s="205" t="n"/>
      <c r="I860" s="28" t="n"/>
      <c r="J860" s="205" t="n"/>
      <c r="K860" s="205" t="n"/>
      <c r="L860" s="205" t="n"/>
      <c r="M860" s="205" t="n"/>
      <c r="N860" s="205" t="n"/>
      <c r="O860" s="183" t="n"/>
      <c r="P860" s="183" t="n"/>
      <c r="Q860" s="183" t="n"/>
      <c r="R860" s="183" t="n"/>
      <c r="S860" s="183" t="n"/>
      <c r="T860" s="183" t="n"/>
      <c r="U860" s="183" t="n"/>
      <c r="V860" s="183" t="n"/>
      <c r="W860" s="183" t="n"/>
      <c r="X860" s="183" t="n"/>
      <c r="Y860" s="183" t="n"/>
      <c r="Z860" s="183" t="n"/>
      <c r="AA860" s="183" t="n"/>
    </row>
    <row r="861" ht="45.75" customHeight="1" s="222">
      <c r="A861" s="205" t="n"/>
      <c r="B861" s="205" t="n"/>
      <c r="C861" s="205" t="n"/>
      <c r="D861" s="205" t="n"/>
      <c r="E861" s="205" t="n"/>
      <c r="F861" s="205" t="n"/>
      <c r="G861" s="206" t="n"/>
      <c r="H861" s="205" t="n"/>
      <c r="I861" s="28" t="n"/>
      <c r="J861" s="205" t="n"/>
      <c r="K861" s="205" t="n"/>
      <c r="L861" s="205" t="n"/>
      <c r="M861" s="205" t="n"/>
      <c r="N861" s="205" t="n"/>
      <c r="O861" s="183" t="n"/>
      <c r="P861" s="183" t="n"/>
      <c r="Q861" s="183" t="n"/>
      <c r="R861" s="183" t="n"/>
      <c r="S861" s="183" t="n"/>
      <c r="T861" s="183" t="n"/>
      <c r="U861" s="183" t="n"/>
      <c r="V861" s="183" t="n"/>
      <c r="W861" s="183" t="n"/>
      <c r="X861" s="183" t="n"/>
      <c r="Y861" s="183" t="n"/>
      <c r="Z861" s="183" t="n"/>
      <c r="AA861" s="183" t="n"/>
    </row>
    <row r="862" ht="45.75" customHeight="1" s="222">
      <c r="A862" s="205" t="n"/>
      <c r="B862" s="205" t="n"/>
      <c r="C862" s="205" t="n"/>
      <c r="D862" s="205" t="n"/>
      <c r="E862" s="205" t="n"/>
      <c r="F862" s="205" t="n"/>
      <c r="G862" s="206" t="n"/>
      <c r="H862" s="205" t="n"/>
      <c r="I862" s="28" t="n"/>
      <c r="J862" s="205" t="n"/>
      <c r="K862" s="205" t="n"/>
      <c r="L862" s="205" t="n"/>
      <c r="M862" s="205" t="n"/>
      <c r="N862" s="205" t="n"/>
      <c r="O862" s="183" t="n"/>
      <c r="P862" s="183" t="n"/>
      <c r="Q862" s="183" t="n"/>
      <c r="R862" s="183" t="n"/>
      <c r="S862" s="183" t="n"/>
      <c r="T862" s="183" t="n"/>
      <c r="U862" s="183" t="n"/>
      <c r="V862" s="183" t="n"/>
      <c r="W862" s="183" t="n"/>
      <c r="X862" s="183" t="n"/>
      <c r="Y862" s="183" t="n"/>
      <c r="Z862" s="183" t="n"/>
      <c r="AA862" s="183" t="n"/>
    </row>
    <row r="863" ht="45.75" customHeight="1" s="222">
      <c r="A863" s="205" t="n"/>
      <c r="B863" s="205" t="n"/>
      <c r="C863" s="205" t="n"/>
      <c r="D863" s="205" t="n"/>
      <c r="E863" s="205" t="n"/>
      <c r="F863" s="205" t="n"/>
      <c r="G863" s="206" t="n"/>
      <c r="H863" s="205" t="n"/>
      <c r="I863" s="28" t="n"/>
      <c r="J863" s="205" t="n"/>
      <c r="K863" s="205" t="n"/>
      <c r="L863" s="205" t="n"/>
      <c r="M863" s="205" t="n"/>
      <c r="N863" s="205" t="n"/>
      <c r="O863" s="183" t="n"/>
      <c r="P863" s="183" t="n"/>
      <c r="Q863" s="183" t="n"/>
      <c r="R863" s="183" t="n"/>
      <c r="S863" s="183" t="n"/>
      <c r="T863" s="183" t="n"/>
      <c r="U863" s="183" t="n"/>
      <c r="V863" s="183" t="n"/>
      <c r="W863" s="183" t="n"/>
      <c r="X863" s="183" t="n"/>
      <c r="Y863" s="183" t="n"/>
      <c r="Z863" s="183" t="n"/>
      <c r="AA863" s="183" t="n"/>
    </row>
    <row r="864" ht="45.75" customHeight="1" s="222">
      <c r="A864" s="205" t="n"/>
      <c r="B864" s="205" t="n"/>
      <c r="C864" s="205" t="n"/>
      <c r="D864" s="205" t="n"/>
      <c r="E864" s="205" t="n"/>
      <c r="F864" s="205" t="n"/>
      <c r="G864" s="206" t="n"/>
      <c r="H864" s="205" t="n"/>
      <c r="I864" s="28" t="n"/>
      <c r="J864" s="205" t="n"/>
      <c r="K864" s="205" t="n"/>
      <c r="L864" s="205" t="n"/>
      <c r="M864" s="205" t="n"/>
      <c r="N864" s="205" t="n"/>
      <c r="O864" s="183" t="n"/>
      <c r="P864" s="183" t="n"/>
      <c r="Q864" s="183" t="n"/>
      <c r="R864" s="183" t="n"/>
      <c r="S864" s="183" t="n"/>
      <c r="T864" s="183" t="n"/>
      <c r="U864" s="183" t="n"/>
      <c r="V864" s="183" t="n"/>
      <c r="W864" s="183" t="n"/>
      <c r="X864" s="183" t="n"/>
      <c r="Y864" s="183" t="n"/>
      <c r="Z864" s="183" t="n"/>
      <c r="AA864" s="183" t="n"/>
    </row>
    <row r="865" ht="45.75" customHeight="1" s="222">
      <c r="A865" s="205" t="n"/>
      <c r="B865" s="205" t="n"/>
      <c r="C865" s="205" t="n"/>
      <c r="D865" s="205" t="n"/>
      <c r="E865" s="205" t="n"/>
      <c r="F865" s="205" t="n"/>
      <c r="G865" s="206" t="n"/>
      <c r="H865" s="205" t="n"/>
      <c r="I865" s="28" t="n"/>
      <c r="J865" s="205" t="n"/>
      <c r="K865" s="205" t="n"/>
      <c r="L865" s="205" t="n"/>
      <c r="M865" s="205" t="n"/>
      <c r="N865" s="205" t="n"/>
      <c r="O865" s="183" t="n"/>
      <c r="P865" s="183" t="n"/>
      <c r="Q865" s="183" t="n"/>
      <c r="R865" s="183" t="n"/>
      <c r="S865" s="183" t="n"/>
      <c r="T865" s="183" t="n"/>
      <c r="U865" s="183" t="n"/>
      <c r="V865" s="183" t="n"/>
      <c r="W865" s="183" t="n"/>
      <c r="X865" s="183" t="n"/>
      <c r="Y865" s="183" t="n"/>
      <c r="Z865" s="183" t="n"/>
      <c r="AA865" s="183" t="n"/>
    </row>
    <row r="866" ht="45.75" customHeight="1" s="222">
      <c r="A866" s="205" t="n"/>
      <c r="B866" s="205" t="n"/>
      <c r="C866" s="205" t="n"/>
      <c r="D866" s="205" t="n"/>
      <c r="E866" s="205" t="n"/>
      <c r="F866" s="205" t="n"/>
      <c r="G866" s="206" t="n"/>
      <c r="H866" s="205" t="n"/>
      <c r="I866" s="28" t="n"/>
      <c r="J866" s="205" t="n"/>
      <c r="K866" s="205" t="n"/>
      <c r="L866" s="205" t="n"/>
      <c r="M866" s="205" t="n"/>
      <c r="N866" s="205" t="n"/>
      <c r="O866" s="183" t="n"/>
      <c r="P866" s="183" t="n"/>
      <c r="Q866" s="183" t="n"/>
      <c r="R866" s="183" t="n"/>
      <c r="S866" s="183" t="n"/>
      <c r="T866" s="183" t="n"/>
      <c r="U866" s="183" t="n"/>
      <c r="V866" s="183" t="n"/>
      <c r="W866" s="183" t="n"/>
      <c r="X866" s="183" t="n"/>
      <c r="Y866" s="183" t="n"/>
      <c r="Z866" s="183" t="n"/>
      <c r="AA866" s="183" t="n"/>
    </row>
    <row r="867" ht="45.75" customHeight="1" s="222">
      <c r="A867" s="205" t="n"/>
      <c r="B867" s="205" t="n"/>
      <c r="C867" s="205" t="n"/>
      <c r="D867" s="205" t="n"/>
      <c r="E867" s="205" t="n"/>
      <c r="F867" s="205" t="n"/>
      <c r="G867" s="206" t="n"/>
      <c r="H867" s="205" t="n"/>
      <c r="I867" s="28" t="n"/>
      <c r="J867" s="205" t="n"/>
      <c r="K867" s="205" t="n"/>
      <c r="L867" s="205" t="n"/>
      <c r="M867" s="205" t="n"/>
      <c r="N867" s="205" t="n"/>
      <c r="O867" s="183" t="n"/>
      <c r="P867" s="183" t="n"/>
      <c r="Q867" s="183" t="n"/>
      <c r="R867" s="183" t="n"/>
      <c r="S867" s="183" t="n"/>
      <c r="T867" s="183" t="n"/>
      <c r="U867" s="183" t="n"/>
      <c r="V867" s="183" t="n"/>
      <c r="W867" s="183" t="n"/>
      <c r="X867" s="183" t="n"/>
      <c r="Y867" s="183" t="n"/>
      <c r="Z867" s="183" t="n"/>
      <c r="AA867" s="183" t="n"/>
    </row>
    <row r="868" ht="45.75" customHeight="1" s="222">
      <c r="A868" s="205" t="n"/>
      <c r="B868" s="205" t="n"/>
      <c r="C868" s="205" t="n"/>
      <c r="D868" s="205" t="n"/>
      <c r="E868" s="205" t="n"/>
      <c r="F868" s="205" t="n"/>
      <c r="G868" s="206" t="n"/>
      <c r="H868" s="205" t="n"/>
      <c r="I868" s="28" t="n"/>
      <c r="J868" s="205" t="n"/>
      <c r="K868" s="205" t="n"/>
      <c r="L868" s="205" t="n"/>
      <c r="M868" s="205" t="n"/>
      <c r="N868" s="205" t="n"/>
      <c r="O868" s="183" t="n"/>
      <c r="P868" s="183" t="n"/>
      <c r="Q868" s="183" t="n"/>
      <c r="R868" s="183" t="n"/>
      <c r="S868" s="183" t="n"/>
      <c r="T868" s="183" t="n"/>
      <c r="U868" s="183" t="n"/>
      <c r="V868" s="183" t="n"/>
      <c r="W868" s="183" t="n"/>
      <c r="X868" s="183" t="n"/>
      <c r="Y868" s="183" t="n"/>
      <c r="Z868" s="183" t="n"/>
      <c r="AA868" s="183" t="n"/>
    </row>
    <row r="869" ht="45.75" customHeight="1" s="222">
      <c r="A869" s="205" t="n"/>
      <c r="B869" s="205" t="n"/>
      <c r="C869" s="205" t="n"/>
      <c r="D869" s="205" t="n"/>
      <c r="E869" s="205" t="n"/>
      <c r="F869" s="205" t="n"/>
      <c r="G869" s="206" t="n"/>
      <c r="H869" s="205" t="n"/>
      <c r="I869" s="28" t="n"/>
      <c r="J869" s="205" t="n"/>
      <c r="K869" s="205" t="n"/>
      <c r="L869" s="205" t="n"/>
      <c r="M869" s="205" t="n"/>
      <c r="N869" s="205" t="n"/>
      <c r="O869" s="183" t="n"/>
      <c r="P869" s="183" t="n"/>
      <c r="Q869" s="183" t="n"/>
      <c r="R869" s="183" t="n"/>
      <c r="S869" s="183" t="n"/>
      <c r="T869" s="183" t="n"/>
      <c r="U869" s="183" t="n"/>
      <c r="V869" s="183" t="n"/>
      <c r="W869" s="183" t="n"/>
      <c r="X869" s="183" t="n"/>
      <c r="Y869" s="183" t="n"/>
      <c r="Z869" s="183" t="n"/>
      <c r="AA869" s="183" t="n"/>
    </row>
    <row r="870" ht="45.75" customHeight="1" s="222">
      <c r="A870" s="205" t="n"/>
      <c r="B870" s="205" t="n"/>
      <c r="C870" s="205" t="n"/>
      <c r="D870" s="205" t="n"/>
      <c r="E870" s="205" t="n"/>
      <c r="F870" s="205" t="n"/>
      <c r="G870" s="206" t="n"/>
      <c r="H870" s="205" t="n"/>
      <c r="I870" s="28" t="n"/>
      <c r="J870" s="205" t="n"/>
      <c r="K870" s="205" t="n"/>
      <c r="L870" s="205" t="n"/>
      <c r="M870" s="205" t="n"/>
      <c r="N870" s="205" t="n"/>
      <c r="O870" s="183" t="n"/>
      <c r="P870" s="183" t="n"/>
      <c r="Q870" s="183" t="n"/>
      <c r="R870" s="183" t="n"/>
      <c r="S870" s="183" t="n"/>
      <c r="T870" s="183" t="n"/>
      <c r="U870" s="183" t="n"/>
      <c r="V870" s="183" t="n"/>
      <c r="W870" s="183" t="n"/>
      <c r="X870" s="183" t="n"/>
      <c r="Y870" s="183" t="n"/>
      <c r="Z870" s="183" t="n"/>
      <c r="AA870" s="183" t="n"/>
    </row>
    <row r="871" ht="45.75" customHeight="1" s="222">
      <c r="A871" s="205" t="n"/>
      <c r="B871" s="205" t="n"/>
      <c r="C871" s="205" t="n"/>
      <c r="D871" s="205" t="n"/>
      <c r="E871" s="205" t="n"/>
      <c r="F871" s="205" t="n"/>
      <c r="G871" s="206" t="n"/>
      <c r="H871" s="205" t="n"/>
      <c r="I871" s="28" t="n"/>
      <c r="J871" s="205" t="n"/>
      <c r="K871" s="205" t="n"/>
      <c r="L871" s="205" t="n"/>
      <c r="M871" s="205" t="n"/>
      <c r="N871" s="205" t="n"/>
      <c r="O871" s="183" t="n"/>
      <c r="P871" s="183" t="n"/>
      <c r="Q871" s="183" t="n"/>
      <c r="R871" s="183" t="n"/>
      <c r="S871" s="183" t="n"/>
      <c r="T871" s="183" t="n"/>
      <c r="U871" s="183" t="n"/>
      <c r="V871" s="183" t="n"/>
      <c r="W871" s="183" t="n"/>
      <c r="X871" s="183" t="n"/>
      <c r="Y871" s="183" t="n"/>
      <c r="Z871" s="183" t="n"/>
      <c r="AA871" s="183" t="n"/>
    </row>
    <row r="872" ht="45.75" customHeight="1" s="222">
      <c r="A872" s="205" t="n"/>
      <c r="B872" s="205" t="n"/>
      <c r="C872" s="205" t="n"/>
      <c r="D872" s="205" t="n"/>
      <c r="E872" s="205" t="n"/>
      <c r="F872" s="205" t="n"/>
      <c r="G872" s="206" t="n"/>
      <c r="H872" s="205" t="n"/>
      <c r="I872" s="28" t="n"/>
      <c r="J872" s="205" t="n"/>
      <c r="K872" s="205" t="n"/>
      <c r="L872" s="205" t="n"/>
      <c r="M872" s="205" t="n"/>
      <c r="N872" s="205" t="n"/>
      <c r="O872" s="183" t="n"/>
      <c r="P872" s="183" t="n"/>
      <c r="Q872" s="183" t="n"/>
      <c r="R872" s="183" t="n"/>
      <c r="S872" s="183" t="n"/>
      <c r="T872" s="183" t="n"/>
      <c r="U872" s="183" t="n"/>
      <c r="V872" s="183" t="n"/>
      <c r="W872" s="183" t="n"/>
      <c r="X872" s="183" t="n"/>
      <c r="Y872" s="183" t="n"/>
      <c r="Z872" s="183" t="n"/>
      <c r="AA872" s="183" t="n"/>
    </row>
    <row r="873" ht="45.75" customHeight="1" s="222">
      <c r="A873" s="205" t="n"/>
      <c r="B873" s="205" t="n"/>
      <c r="C873" s="205" t="n"/>
      <c r="D873" s="205" t="n"/>
      <c r="E873" s="205" t="n"/>
      <c r="F873" s="205" t="n"/>
      <c r="G873" s="206" t="n"/>
      <c r="H873" s="205" t="n"/>
      <c r="I873" s="28" t="n"/>
      <c r="J873" s="205" t="n"/>
      <c r="K873" s="205" t="n"/>
      <c r="L873" s="205" t="n"/>
      <c r="M873" s="205" t="n"/>
      <c r="N873" s="205" t="n"/>
      <c r="O873" s="183" t="n"/>
      <c r="P873" s="183" t="n"/>
      <c r="Q873" s="183" t="n"/>
      <c r="R873" s="183" t="n"/>
      <c r="S873" s="183" t="n"/>
      <c r="T873" s="183" t="n"/>
      <c r="U873" s="183" t="n"/>
      <c r="V873" s="183" t="n"/>
      <c r="W873" s="183" t="n"/>
      <c r="X873" s="183" t="n"/>
      <c r="Y873" s="183" t="n"/>
      <c r="Z873" s="183" t="n"/>
      <c r="AA873" s="183" t="n"/>
    </row>
    <row r="874" ht="45.75" customHeight="1" s="222">
      <c r="A874" s="205" t="n"/>
      <c r="B874" s="205" t="n"/>
      <c r="C874" s="205" t="n"/>
      <c r="D874" s="205" t="n"/>
      <c r="E874" s="205" t="n"/>
      <c r="F874" s="205" t="n"/>
      <c r="G874" s="206" t="n"/>
      <c r="H874" s="205" t="n"/>
      <c r="I874" s="28" t="n"/>
      <c r="J874" s="205" t="n"/>
      <c r="K874" s="205" t="n"/>
      <c r="L874" s="205" t="n"/>
      <c r="M874" s="205" t="n"/>
      <c r="N874" s="205" t="n"/>
      <c r="O874" s="183" t="n"/>
      <c r="P874" s="183" t="n"/>
      <c r="Q874" s="183" t="n"/>
      <c r="R874" s="183" t="n"/>
      <c r="S874" s="183" t="n"/>
      <c r="T874" s="183" t="n"/>
      <c r="U874" s="183" t="n"/>
      <c r="V874" s="183" t="n"/>
      <c r="W874" s="183" t="n"/>
      <c r="X874" s="183" t="n"/>
      <c r="Y874" s="183" t="n"/>
      <c r="Z874" s="183" t="n"/>
      <c r="AA874" s="183" t="n"/>
    </row>
    <row r="875" ht="45.75" customHeight="1" s="222">
      <c r="A875" s="205" t="n"/>
      <c r="B875" s="205" t="n"/>
      <c r="C875" s="205" t="n"/>
      <c r="D875" s="205" t="n"/>
      <c r="E875" s="205" t="n"/>
      <c r="F875" s="205" t="n"/>
      <c r="G875" s="206" t="n"/>
      <c r="H875" s="205" t="n"/>
      <c r="I875" s="28" t="n"/>
      <c r="J875" s="205" t="n"/>
      <c r="K875" s="205" t="n"/>
      <c r="L875" s="205" t="n"/>
      <c r="M875" s="205" t="n"/>
      <c r="N875" s="205" t="n"/>
      <c r="O875" s="183" t="n"/>
      <c r="P875" s="183" t="n"/>
      <c r="Q875" s="183" t="n"/>
      <c r="R875" s="183" t="n"/>
      <c r="S875" s="183" t="n"/>
      <c r="T875" s="183" t="n"/>
      <c r="U875" s="183" t="n"/>
      <c r="V875" s="183" t="n"/>
      <c r="W875" s="183" t="n"/>
      <c r="X875" s="183" t="n"/>
      <c r="Y875" s="183" t="n"/>
      <c r="Z875" s="183" t="n"/>
      <c r="AA875" s="183" t="n"/>
    </row>
    <row r="876" ht="45.75" customHeight="1" s="222">
      <c r="A876" s="205" t="n"/>
      <c r="B876" s="205" t="n"/>
      <c r="C876" s="205" t="n"/>
      <c r="D876" s="205" t="n"/>
      <c r="E876" s="205" t="n"/>
      <c r="F876" s="205" t="n"/>
      <c r="G876" s="206" t="n"/>
      <c r="H876" s="205" t="n"/>
      <c r="I876" s="28" t="n"/>
      <c r="J876" s="205" t="n"/>
      <c r="K876" s="205" t="n"/>
      <c r="L876" s="205" t="n"/>
      <c r="M876" s="205" t="n"/>
      <c r="N876" s="205" t="n"/>
      <c r="O876" s="183" t="n"/>
      <c r="P876" s="183" t="n"/>
      <c r="Q876" s="183" t="n"/>
      <c r="R876" s="183" t="n"/>
      <c r="S876" s="183" t="n"/>
      <c r="T876" s="183" t="n"/>
      <c r="U876" s="183" t="n"/>
      <c r="V876" s="183" t="n"/>
      <c r="W876" s="183" t="n"/>
      <c r="X876" s="183" t="n"/>
      <c r="Y876" s="183" t="n"/>
      <c r="Z876" s="183" t="n"/>
      <c r="AA876" s="183" t="n"/>
    </row>
    <row r="877" ht="45.75" customHeight="1" s="222">
      <c r="A877" s="205" t="n"/>
      <c r="B877" s="205" t="n"/>
      <c r="C877" s="205" t="n"/>
      <c r="D877" s="205" t="n"/>
      <c r="E877" s="205" t="n"/>
      <c r="F877" s="205" t="n"/>
      <c r="G877" s="206" t="n"/>
      <c r="H877" s="205" t="n"/>
      <c r="I877" s="28" t="n"/>
      <c r="J877" s="205" t="n"/>
      <c r="K877" s="205" t="n"/>
      <c r="L877" s="205" t="n"/>
      <c r="M877" s="205" t="n"/>
      <c r="N877" s="205" t="n"/>
      <c r="O877" s="183" t="n"/>
      <c r="P877" s="183" t="n"/>
      <c r="Q877" s="183" t="n"/>
      <c r="R877" s="183" t="n"/>
      <c r="S877" s="183" t="n"/>
      <c r="T877" s="183" t="n"/>
      <c r="U877" s="183" t="n"/>
      <c r="V877" s="183" t="n"/>
      <c r="W877" s="183" t="n"/>
      <c r="X877" s="183" t="n"/>
      <c r="Y877" s="183" t="n"/>
      <c r="Z877" s="183" t="n"/>
      <c r="AA877" s="183" t="n"/>
    </row>
    <row r="878" ht="45.75" customHeight="1" s="222">
      <c r="A878" s="205" t="n"/>
      <c r="B878" s="205" t="n"/>
      <c r="C878" s="205" t="n"/>
      <c r="D878" s="205" t="n"/>
      <c r="E878" s="205" t="n"/>
      <c r="F878" s="205" t="n"/>
      <c r="G878" s="206" t="n"/>
      <c r="H878" s="205" t="n"/>
      <c r="I878" s="28" t="n"/>
      <c r="J878" s="205" t="n"/>
      <c r="K878" s="205" t="n"/>
      <c r="L878" s="205" t="n"/>
      <c r="M878" s="205" t="n"/>
      <c r="N878" s="205" t="n"/>
      <c r="O878" s="183" t="n"/>
      <c r="P878" s="183" t="n"/>
      <c r="Q878" s="183" t="n"/>
      <c r="R878" s="183" t="n"/>
      <c r="S878" s="183" t="n"/>
      <c r="T878" s="183" t="n"/>
      <c r="U878" s="183" t="n"/>
      <c r="V878" s="183" t="n"/>
      <c r="W878" s="183" t="n"/>
      <c r="X878" s="183" t="n"/>
      <c r="Y878" s="183" t="n"/>
      <c r="Z878" s="183" t="n"/>
      <c r="AA878" s="183" t="n"/>
    </row>
    <row r="879" ht="45.75" customHeight="1" s="222">
      <c r="A879" s="205" t="n"/>
      <c r="B879" s="205" t="n"/>
      <c r="C879" s="205" t="n"/>
      <c r="D879" s="205" t="n"/>
      <c r="E879" s="205" t="n"/>
      <c r="F879" s="205" t="n"/>
      <c r="G879" s="206" t="n"/>
      <c r="H879" s="205" t="n"/>
      <c r="I879" s="28" t="n"/>
      <c r="J879" s="205" t="n"/>
      <c r="K879" s="205" t="n"/>
      <c r="L879" s="205" t="n"/>
      <c r="M879" s="205" t="n"/>
      <c r="N879" s="205" t="n"/>
      <c r="O879" s="183" t="n"/>
      <c r="P879" s="183" t="n"/>
      <c r="Q879" s="183" t="n"/>
      <c r="R879" s="183" t="n"/>
      <c r="S879" s="183" t="n"/>
      <c r="T879" s="183" t="n"/>
      <c r="U879" s="183" t="n"/>
      <c r="V879" s="183" t="n"/>
      <c r="W879" s="183" t="n"/>
      <c r="X879" s="183" t="n"/>
      <c r="Y879" s="183" t="n"/>
      <c r="Z879" s="183" t="n"/>
      <c r="AA879" s="183" t="n"/>
    </row>
    <row r="880" ht="45.75" customHeight="1" s="222">
      <c r="A880" s="205" t="n"/>
      <c r="B880" s="205" t="n"/>
      <c r="C880" s="205" t="n"/>
      <c r="D880" s="205" t="n"/>
      <c r="E880" s="205" t="n"/>
      <c r="F880" s="205" t="n"/>
      <c r="G880" s="206" t="n"/>
      <c r="H880" s="205" t="n"/>
      <c r="I880" s="28" t="n"/>
      <c r="J880" s="205" t="n"/>
      <c r="K880" s="205" t="n"/>
      <c r="L880" s="205" t="n"/>
      <c r="M880" s="205" t="n"/>
      <c r="N880" s="205" t="n"/>
      <c r="O880" s="183" t="n"/>
      <c r="P880" s="183" t="n"/>
      <c r="Q880" s="183" t="n"/>
      <c r="R880" s="183" t="n"/>
      <c r="S880" s="183" t="n"/>
      <c r="T880" s="183" t="n"/>
      <c r="U880" s="183" t="n"/>
      <c r="V880" s="183" t="n"/>
      <c r="W880" s="183" t="n"/>
      <c r="X880" s="183" t="n"/>
      <c r="Y880" s="183" t="n"/>
      <c r="Z880" s="183" t="n"/>
      <c r="AA880" s="183" t="n"/>
    </row>
    <row r="881" ht="45.75" customHeight="1" s="222">
      <c r="A881" s="205" t="n"/>
      <c r="B881" s="205" t="n"/>
      <c r="C881" s="205" t="n"/>
      <c r="D881" s="205" t="n"/>
      <c r="E881" s="205" t="n"/>
      <c r="F881" s="205" t="n"/>
      <c r="G881" s="206" t="n"/>
      <c r="H881" s="205" t="n"/>
      <c r="I881" s="28" t="n"/>
      <c r="J881" s="205" t="n"/>
      <c r="K881" s="205" t="n"/>
      <c r="L881" s="205" t="n"/>
      <c r="M881" s="205" t="n"/>
      <c r="N881" s="205" t="n"/>
      <c r="O881" s="183" t="n"/>
      <c r="P881" s="183" t="n"/>
      <c r="Q881" s="183" t="n"/>
      <c r="R881" s="183" t="n"/>
      <c r="S881" s="183" t="n"/>
      <c r="T881" s="183" t="n"/>
      <c r="U881" s="183" t="n"/>
      <c r="V881" s="183" t="n"/>
      <c r="W881" s="183" t="n"/>
      <c r="X881" s="183" t="n"/>
      <c r="Y881" s="183" t="n"/>
      <c r="Z881" s="183" t="n"/>
      <c r="AA881" s="183" t="n"/>
    </row>
    <row r="882" ht="45.75" customHeight="1" s="222">
      <c r="A882" s="205" t="n"/>
      <c r="B882" s="205" t="n"/>
      <c r="C882" s="205" t="n"/>
      <c r="D882" s="205" t="n"/>
      <c r="E882" s="205" t="n"/>
      <c r="F882" s="205" t="n"/>
      <c r="G882" s="206" t="n"/>
      <c r="H882" s="205" t="n"/>
      <c r="I882" s="28" t="n"/>
      <c r="J882" s="205" t="n"/>
      <c r="K882" s="205" t="n"/>
      <c r="L882" s="205" t="n"/>
      <c r="M882" s="205" t="n"/>
      <c r="N882" s="205" t="n"/>
      <c r="O882" s="183" t="n"/>
      <c r="P882" s="183" t="n"/>
      <c r="Q882" s="183" t="n"/>
      <c r="R882" s="183" t="n"/>
      <c r="S882" s="183" t="n"/>
      <c r="T882" s="183" t="n"/>
      <c r="U882" s="183" t="n"/>
      <c r="V882" s="183" t="n"/>
      <c r="W882" s="183" t="n"/>
      <c r="X882" s="183" t="n"/>
      <c r="Y882" s="183" t="n"/>
      <c r="Z882" s="183" t="n"/>
      <c r="AA882" s="183" t="n"/>
    </row>
    <row r="883" ht="45.75" customHeight="1" s="222">
      <c r="A883" s="205" t="n"/>
      <c r="B883" s="205" t="n"/>
      <c r="C883" s="205" t="n"/>
      <c r="D883" s="205" t="n"/>
      <c r="E883" s="205" t="n"/>
      <c r="F883" s="205" t="n"/>
      <c r="G883" s="206" t="n"/>
      <c r="H883" s="205" t="n"/>
      <c r="I883" s="28" t="n"/>
      <c r="J883" s="205" t="n"/>
      <c r="K883" s="205" t="n"/>
      <c r="L883" s="205" t="n"/>
      <c r="M883" s="205" t="n"/>
      <c r="N883" s="205" t="n"/>
      <c r="O883" s="183" t="n"/>
      <c r="P883" s="183" t="n"/>
      <c r="Q883" s="183" t="n"/>
      <c r="R883" s="183" t="n"/>
      <c r="S883" s="183" t="n"/>
      <c r="T883" s="183" t="n"/>
      <c r="U883" s="183" t="n"/>
      <c r="V883" s="183" t="n"/>
      <c r="W883" s="183" t="n"/>
      <c r="X883" s="183" t="n"/>
      <c r="Y883" s="183" t="n"/>
      <c r="Z883" s="183" t="n"/>
      <c r="AA883" s="183" t="n"/>
    </row>
    <row r="884" ht="45.75" customHeight="1" s="222">
      <c r="A884" s="205" t="n"/>
      <c r="B884" s="205" t="n"/>
      <c r="C884" s="205" t="n"/>
      <c r="D884" s="205" t="n"/>
      <c r="E884" s="205" t="n"/>
      <c r="F884" s="205" t="n"/>
      <c r="G884" s="206" t="n"/>
      <c r="H884" s="205" t="n"/>
      <c r="I884" s="28" t="n"/>
      <c r="J884" s="205" t="n"/>
      <c r="K884" s="205" t="n"/>
      <c r="L884" s="205" t="n"/>
      <c r="M884" s="205" t="n"/>
      <c r="N884" s="205" t="n"/>
      <c r="O884" s="183" t="n"/>
      <c r="P884" s="183" t="n"/>
      <c r="Q884" s="183" t="n"/>
      <c r="R884" s="183" t="n"/>
      <c r="S884" s="183" t="n"/>
      <c r="T884" s="183" t="n"/>
      <c r="U884" s="183" t="n"/>
      <c r="V884" s="183" t="n"/>
      <c r="W884" s="183" t="n"/>
      <c r="X884" s="183" t="n"/>
      <c r="Y884" s="183" t="n"/>
      <c r="Z884" s="183" t="n"/>
      <c r="AA884" s="183" t="n"/>
    </row>
    <row r="885" ht="45.75" customHeight="1" s="222">
      <c r="A885" s="205" t="n"/>
      <c r="B885" s="205" t="n"/>
      <c r="C885" s="205" t="n"/>
      <c r="D885" s="205" t="n"/>
      <c r="E885" s="205" t="n"/>
      <c r="F885" s="205" t="n"/>
      <c r="G885" s="206" t="n"/>
      <c r="H885" s="205" t="n"/>
      <c r="I885" s="28" t="n"/>
      <c r="J885" s="205" t="n"/>
      <c r="K885" s="205" t="n"/>
      <c r="L885" s="205" t="n"/>
      <c r="M885" s="205" t="n"/>
      <c r="N885" s="205" t="n"/>
      <c r="O885" s="183" t="n"/>
      <c r="P885" s="183" t="n"/>
      <c r="Q885" s="183" t="n"/>
      <c r="R885" s="183" t="n"/>
      <c r="S885" s="183" t="n"/>
      <c r="T885" s="183" t="n"/>
      <c r="U885" s="183" t="n"/>
      <c r="V885" s="183" t="n"/>
      <c r="W885" s="183" t="n"/>
      <c r="X885" s="183" t="n"/>
      <c r="Y885" s="183" t="n"/>
      <c r="Z885" s="183" t="n"/>
      <c r="AA885" s="183" t="n"/>
    </row>
    <row r="886" ht="45.75" customHeight="1" s="222">
      <c r="A886" s="205" t="n"/>
      <c r="B886" s="205" t="n"/>
      <c r="C886" s="205" t="n"/>
      <c r="D886" s="205" t="n"/>
      <c r="E886" s="205" t="n"/>
      <c r="F886" s="205" t="n"/>
      <c r="G886" s="206" t="n"/>
      <c r="H886" s="205" t="n"/>
      <c r="I886" s="28" t="n"/>
      <c r="J886" s="205" t="n"/>
      <c r="K886" s="205" t="n"/>
      <c r="L886" s="205" t="n"/>
      <c r="M886" s="205" t="n"/>
      <c r="N886" s="205" t="n"/>
      <c r="O886" s="183" t="n"/>
      <c r="P886" s="183" t="n"/>
      <c r="Q886" s="183" t="n"/>
      <c r="R886" s="183" t="n"/>
      <c r="S886" s="183" t="n"/>
      <c r="T886" s="183" t="n"/>
      <c r="U886" s="183" t="n"/>
      <c r="V886" s="183" t="n"/>
      <c r="W886" s="183" t="n"/>
      <c r="X886" s="183" t="n"/>
      <c r="Y886" s="183" t="n"/>
      <c r="Z886" s="183" t="n"/>
      <c r="AA886" s="183" t="n"/>
    </row>
    <row r="887" ht="45.75" customHeight="1" s="222">
      <c r="A887" s="205" t="n"/>
      <c r="B887" s="205" t="n"/>
      <c r="C887" s="205" t="n"/>
      <c r="D887" s="205" t="n"/>
      <c r="E887" s="205" t="n"/>
      <c r="F887" s="205" t="n"/>
      <c r="G887" s="206" t="n"/>
      <c r="H887" s="205" t="n"/>
      <c r="I887" s="28" t="n"/>
      <c r="J887" s="205" t="n"/>
      <c r="K887" s="205" t="n"/>
      <c r="L887" s="205" t="n"/>
      <c r="M887" s="205" t="n"/>
      <c r="N887" s="205" t="n"/>
      <c r="O887" s="183" t="n"/>
      <c r="P887" s="183" t="n"/>
      <c r="Q887" s="183" t="n"/>
      <c r="R887" s="183" t="n"/>
      <c r="S887" s="183" t="n"/>
      <c r="T887" s="183" t="n"/>
      <c r="U887" s="183" t="n"/>
      <c r="V887" s="183" t="n"/>
      <c r="W887" s="183" t="n"/>
      <c r="X887" s="183" t="n"/>
      <c r="Y887" s="183" t="n"/>
      <c r="Z887" s="183" t="n"/>
      <c r="AA887" s="183" t="n"/>
    </row>
    <row r="888" ht="45.75" customHeight="1" s="222">
      <c r="A888" s="205" t="n"/>
      <c r="B888" s="205" t="n"/>
      <c r="C888" s="205" t="n"/>
      <c r="D888" s="205" t="n"/>
      <c r="E888" s="205" t="n"/>
      <c r="F888" s="205" t="n"/>
      <c r="G888" s="206" t="n"/>
      <c r="H888" s="205" t="n"/>
      <c r="I888" s="28" t="n"/>
      <c r="J888" s="205" t="n"/>
      <c r="K888" s="205" t="n"/>
      <c r="L888" s="205" t="n"/>
      <c r="M888" s="205" t="n"/>
      <c r="N888" s="205" t="n"/>
      <c r="O888" s="183" t="n"/>
      <c r="P888" s="183" t="n"/>
      <c r="Q888" s="183" t="n"/>
      <c r="R888" s="183" t="n"/>
      <c r="S888" s="183" t="n"/>
      <c r="T888" s="183" t="n"/>
      <c r="U888" s="183" t="n"/>
      <c r="V888" s="183" t="n"/>
      <c r="W888" s="183" t="n"/>
      <c r="X888" s="183" t="n"/>
      <c r="Y888" s="183" t="n"/>
      <c r="Z888" s="183" t="n"/>
      <c r="AA888" s="183" t="n"/>
    </row>
    <row r="889" ht="45.75" customHeight="1" s="222">
      <c r="A889" s="205" t="n"/>
      <c r="B889" s="205" t="n"/>
      <c r="C889" s="205" t="n"/>
      <c r="D889" s="205" t="n"/>
      <c r="E889" s="205" t="n"/>
      <c r="F889" s="205" t="n"/>
      <c r="G889" s="206" t="n"/>
      <c r="H889" s="205" t="n"/>
      <c r="I889" s="28" t="n"/>
      <c r="J889" s="205" t="n"/>
      <c r="K889" s="205" t="n"/>
      <c r="L889" s="205" t="n"/>
      <c r="M889" s="205" t="n"/>
      <c r="N889" s="205" t="n"/>
      <c r="O889" s="183" t="n"/>
      <c r="P889" s="183" t="n"/>
      <c r="Q889" s="183" t="n"/>
      <c r="R889" s="183" t="n"/>
      <c r="S889" s="183" t="n"/>
      <c r="T889" s="183" t="n"/>
      <c r="U889" s="183" t="n"/>
      <c r="V889" s="183" t="n"/>
      <c r="W889" s="183" t="n"/>
      <c r="X889" s="183" t="n"/>
      <c r="Y889" s="183" t="n"/>
      <c r="Z889" s="183" t="n"/>
      <c r="AA889" s="183" t="n"/>
    </row>
    <row r="890" ht="45.75" customHeight="1" s="222">
      <c r="A890" s="205" t="n"/>
      <c r="B890" s="205" t="n"/>
      <c r="C890" s="205" t="n"/>
      <c r="D890" s="205" t="n"/>
      <c r="E890" s="205" t="n"/>
      <c r="F890" s="205" t="n"/>
      <c r="G890" s="206" t="n"/>
      <c r="H890" s="205" t="n"/>
      <c r="I890" s="28" t="n"/>
      <c r="J890" s="205" t="n"/>
      <c r="K890" s="205" t="n"/>
      <c r="L890" s="205" t="n"/>
      <c r="M890" s="205" t="n"/>
      <c r="N890" s="205" t="n"/>
      <c r="O890" s="183" t="n"/>
      <c r="P890" s="183" t="n"/>
      <c r="Q890" s="183" t="n"/>
      <c r="R890" s="183" t="n"/>
      <c r="S890" s="183" t="n"/>
      <c r="T890" s="183" t="n"/>
      <c r="U890" s="183" t="n"/>
      <c r="V890" s="183" t="n"/>
      <c r="W890" s="183" t="n"/>
      <c r="X890" s="183" t="n"/>
      <c r="Y890" s="183" t="n"/>
      <c r="Z890" s="183" t="n"/>
      <c r="AA890" s="183" t="n"/>
    </row>
    <row r="891" ht="45.75" customHeight="1" s="222">
      <c r="A891" s="205" t="n"/>
      <c r="B891" s="205" t="n"/>
      <c r="C891" s="205" t="n"/>
      <c r="D891" s="205" t="n"/>
      <c r="E891" s="205" t="n"/>
      <c r="F891" s="205" t="n"/>
      <c r="G891" s="206" t="n"/>
      <c r="H891" s="205" t="n"/>
      <c r="I891" s="28" t="n"/>
      <c r="J891" s="205" t="n"/>
      <c r="K891" s="205" t="n"/>
      <c r="L891" s="205" t="n"/>
      <c r="M891" s="205" t="n"/>
      <c r="N891" s="205" t="n"/>
      <c r="O891" s="183" t="n"/>
      <c r="P891" s="183" t="n"/>
      <c r="Q891" s="183" t="n"/>
      <c r="R891" s="183" t="n"/>
      <c r="S891" s="183" t="n"/>
      <c r="T891" s="183" t="n"/>
      <c r="U891" s="183" t="n"/>
      <c r="V891" s="183" t="n"/>
      <c r="W891" s="183" t="n"/>
      <c r="X891" s="183" t="n"/>
      <c r="Y891" s="183" t="n"/>
      <c r="Z891" s="183" t="n"/>
      <c r="AA891" s="183" t="n"/>
    </row>
    <row r="892" ht="45.75" customHeight="1" s="222">
      <c r="A892" s="205" t="n"/>
      <c r="B892" s="205" t="n"/>
      <c r="C892" s="205" t="n"/>
      <c r="D892" s="205" t="n"/>
      <c r="E892" s="205" t="n"/>
      <c r="F892" s="205" t="n"/>
      <c r="G892" s="206" t="n"/>
      <c r="H892" s="205" t="n"/>
      <c r="I892" s="28" t="n"/>
      <c r="J892" s="205" t="n"/>
      <c r="K892" s="205" t="n"/>
      <c r="L892" s="205" t="n"/>
      <c r="M892" s="205" t="n"/>
      <c r="N892" s="205" t="n"/>
      <c r="O892" s="183" t="n"/>
      <c r="P892" s="183" t="n"/>
      <c r="Q892" s="183" t="n"/>
      <c r="R892" s="183" t="n"/>
      <c r="S892" s="183" t="n"/>
      <c r="T892" s="183" t="n"/>
      <c r="U892" s="183" t="n"/>
      <c r="V892" s="183" t="n"/>
      <c r="W892" s="183" t="n"/>
      <c r="X892" s="183" t="n"/>
      <c r="Y892" s="183" t="n"/>
      <c r="Z892" s="183" t="n"/>
      <c r="AA892" s="183" t="n"/>
    </row>
    <row r="893" ht="45.75" customHeight="1" s="222">
      <c r="A893" s="205" t="n"/>
      <c r="B893" s="205" t="n"/>
      <c r="C893" s="205" t="n"/>
      <c r="D893" s="205" t="n"/>
      <c r="E893" s="205" t="n"/>
      <c r="F893" s="205" t="n"/>
      <c r="G893" s="206" t="n"/>
      <c r="H893" s="205" t="n"/>
      <c r="I893" s="28" t="n"/>
      <c r="J893" s="205" t="n"/>
      <c r="K893" s="205" t="n"/>
      <c r="L893" s="205" t="n"/>
      <c r="M893" s="205" t="n"/>
      <c r="N893" s="205" t="n"/>
      <c r="O893" s="183" t="n"/>
      <c r="P893" s="183" t="n"/>
      <c r="Q893" s="183" t="n"/>
      <c r="R893" s="183" t="n"/>
      <c r="S893" s="183" t="n"/>
      <c r="T893" s="183" t="n"/>
      <c r="U893" s="183" t="n"/>
      <c r="V893" s="183" t="n"/>
      <c r="W893" s="183" t="n"/>
      <c r="X893" s="183" t="n"/>
      <c r="Y893" s="183" t="n"/>
      <c r="Z893" s="183" t="n"/>
      <c r="AA893" s="183" t="n"/>
    </row>
    <row r="894" ht="45.75" customHeight="1" s="222">
      <c r="A894" s="205" t="n"/>
      <c r="B894" s="205" t="n"/>
      <c r="C894" s="205" t="n"/>
      <c r="D894" s="205" t="n"/>
      <c r="E894" s="205" t="n"/>
      <c r="F894" s="205" t="n"/>
      <c r="G894" s="206" t="n"/>
      <c r="H894" s="205" t="n"/>
      <c r="I894" s="28" t="n"/>
      <c r="J894" s="205" t="n"/>
      <c r="K894" s="205" t="n"/>
      <c r="L894" s="205" t="n"/>
      <c r="M894" s="205" t="n"/>
      <c r="N894" s="205" t="n"/>
      <c r="O894" s="183" t="n"/>
      <c r="P894" s="183" t="n"/>
      <c r="Q894" s="183" t="n"/>
      <c r="R894" s="183" t="n"/>
      <c r="S894" s="183" t="n"/>
      <c r="T894" s="183" t="n"/>
      <c r="U894" s="183" t="n"/>
      <c r="V894" s="183" t="n"/>
      <c r="W894" s="183" t="n"/>
      <c r="X894" s="183" t="n"/>
      <c r="Y894" s="183" t="n"/>
      <c r="Z894" s="183" t="n"/>
      <c r="AA894" s="183" t="n"/>
    </row>
    <row r="895" ht="45.75" customHeight="1" s="222">
      <c r="A895" s="205" t="n"/>
      <c r="B895" s="205" t="n"/>
      <c r="C895" s="205" t="n"/>
      <c r="D895" s="205" t="n"/>
      <c r="E895" s="205" t="n"/>
      <c r="F895" s="205" t="n"/>
      <c r="G895" s="206" t="n"/>
      <c r="H895" s="205" t="n"/>
      <c r="I895" s="28" t="n"/>
      <c r="J895" s="205" t="n"/>
      <c r="K895" s="205" t="n"/>
      <c r="L895" s="205" t="n"/>
      <c r="M895" s="205" t="n"/>
      <c r="N895" s="205" t="n"/>
      <c r="O895" s="183" t="n"/>
      <c r="P895" s="183" t="n"/>
      <c r="Q895" s="183" t="n"/>
      <c r="R895" s="183" t="n"/>
      <c r="S895" s="183" t="n"/>
      <c r="T895" s="183" t="n"/>
      <c r="U895" s="183" t="n"/>
      <c r="V895" s="183" t="n"/>
      <c r="W895" s="183" t="n"/>
      <c r="X895" s="183" t="n"/>
      <c r="Y895" s="183" t="n"/>
      <c r="Z895" s="183" t="n"/>
      <c r="AA895" s="183" t="n"/>
    </row>
    <row r="896" ht="45.75" customHeight="1" s="222">
      <c r="A896" s="205" t="n"/>
      <c r="B896" s="205" t="n"/>
      <c r="C896" s="205" t="n"/>
      <c r="D896" s="205" t="n"/>
      <c r="E896" s="205" t="n"/>
      <c r="F896" s="205" t="n"/>
      <c r="G896" s="206" t="n"/>
      <c r="H896" s="205" t="n"/>
      <c r="I896" s="28" t="n"/>
      <c r="J896" s="205" t="n"/>
      <c r="K896" s="205" t="n"/>
      <c r="L896" s="205" t="n"/>
      <c r="M896" s="205" t="n"/>
      <c r="N896" s="205" t="n"/>
      <c r="O896" s="183" t="n"/>
      <c r="P896" s="183" t="n"/>
      <c r="Q896" s="183" t="n"/>
      <c r="R896" s="183" t="n"/>
      <c r="S896" s="183" t="n"/>
      <c r="T896" s="183" t="n"/>
      <c r="U896" s="183" t="n"/>
      <c r="V896" s="183" t="n"/>
      <c r="W896" s="183" t="n"/>
      <c r="X896" s="183" t="n"/>
      <c r="Y896" s="183" t="n"/>
      <c r="Z896" s="183" t="n"/>
      <c r="AA896" s="183" t="n"/>
    </row>
    <row r="897" ht="45.75" customHeight="1" s="222">
      <c r="A897" s="205" t="n"/>
      <c r="B897" s="205" t="n"/>
      <c r="C897" s="205" t="n"/>
      <c r="D897" s="205" t="n"/>
      <c r="E897" s="205" t="n"/>
      <c r="F897" s="205" t="n"/>
      <c r="G897" s="206" t="n"/>
      <c r="H897" s="205" t="n"/>
      <c r="I897" s="28" t="n"/>
      <c r="J897" s="205" t="n"/>
      <c r="K897" s="205" t="n"/>
      <c r="L897" s="205" t="n"/>
      <c r="M897" s="205" t="n"/>
      <c r="N897" s="205" t="n"/>
      <c r="O897" s="183" t="n"/>
      <c r="P897" s="183" t="n"/>
      <c r="Q897" s="183" t="n"/>
      <c r="R897" s="183" t="n"/>
      <c r="S897" s="183" t="n"/>
      <c r="T897" s="183" t="n"/>
      <c r="U897" s="183" t="n"/>
      <c r="V897" s="183" t="n"/>
      <c r="W897" s="183" t="n"/>
      <c r="X897" s="183" t="n"/>
      <c r="Y897" s="183" t="n"/>
      <c r="Z897" s="183" t="n"/>
      <c r="AA897" s="183" t="n"/>
    </row>
    <row r="898" ht="45.75" customHeight="1" s="222">
      <c r="A898" s="205" t="n"/>
      <c r="B898" s="205" t="n"/>
      <c r="C898" s="205" t="n"/>
      <c r="D898" s="205" t="n"/>
      <c r="E898" s="205" t="n"/>
      <c r="F898" s="205" t="n"/>
      <c r="G898" s="206" t="n"/>
      <c r="H898" s="205" t="n"/>
      <c r="I898" s="28" t="n"/>
      <c r="J898" s="205" t="n"/>
      <c r="K898" s="205" t="n"/>
      <c r="L898" s="205" t="n"/>
      <c r="M898" s="205" t="n"/>
      <c r="N898" s="205" t="n"/>
      <c r="O898" s="183" t="n"/>
      <c r="P898" s="183" t="n"/>
      <c r="Q898" s="183" t="n"/>
      <c r="R898" s="183" t="n"/>
      <c r="S898" s="183" t="n"/>
      <c r="T898" s="183" t="n"/>
      <c r="U898" s="183" t="n"/>
      <c r="V898" s="183" t="n"/>
      <c r="W898" s="183" t="n"/>
      <c r="X898" s="183" t="n"/>
      <c r="Y898" s="183" t="n"/>
      <c r="Z898" s="183" t="n"/>
      <c r="AA898" s="183" t="n"/>
    </row>
    <row r="899" ht="45.75" customHeight="1" s="222">
      <c r="A899" s="205" t="n"/>
      <c r="B899" s="205" t="n"/>
      <c r="C899" s="205" t="n"/>
      <c r="D899" s="205" t="n"/>
      <c r="E899" s="205" t="n"/>
      <c r="F899" s="205" t="n"/>
      <c r="G899" s="206" t="n"/>
      <c r="H899" s="205" t="n"/>
      <c r="I899" s="28" t="n"/>
      <c r="J899" s="205" t="n"/>
      <c r="K899" s="205" t="n"/>
      <c r="L899" s="205" t="n"/>
      <c r="M899" s="205" t="n"/>
      <c r="N899" s="205" t="n"/>
      <c r="O899" s="183" t="n"/>
      <c r="P899" s="183" t="n"/>
      <c r="Q899" s="183" t="n"/>
      <c r="R899" s="183" t="n"/>
      <c r="S899" s="183" t="n"/>
      <c r="T899" s="183" t="n"/>
      <c r="U899" s="183" t="n"/>
      <c r="V899" s="183" t="n"/>
      <c r="W899" s="183" t="n"/>
      <c r="X899" s="183" t="n"/>
      <c r="Y899" s="183" t="n"/>
      <c r="Z899" s="183" t="n"/>
      <c r="AA899" s="183" t="n"/>
    </row>
    <row r="900" ht="45.75" customHeight="1" s="222">
      <c r="A900" s="205" t="n"/>
      <c r="B900" s="205" t="n"/>
      <c r="C900" s="205" t="n"/>
      <c r="D900" s="205" t="n"/>
      <c r="E900" s="205" t="n"/>
      <c r="F900" s="205" t="n"/>
      <c r="G900" s="206" t="n"/>
      <c r="H900" s="205" t="n"/>
      <c r="I900" s="28" t="n"/>
      <c r="J900" s="205" t="n"/>
      <c r="K900" s="205" t="n"/>
      <c r="L900" s="205" t="n"/>
      <c r="M900" s="205" t="n"/>
      <c r="N900" s="205" t="n"/>
      <c r="O900" s="183" t="n"/>
      <c r="P900" s="183" t="n"/>
      <c r="Q900" s="183" t="n"/>
      <c r="R900" s="183" t="n"/>
      <c r="S900" s="183" t="n"/>
      <c r="T900" s="183" t="n"/>
      <c r="U900" s="183" t="n"/>
      <c r="V900" s="183" t="n"/>
      <c r="W900" s="183" t="n"/>
      <c r="X900" s="183" t="n"/>
      <c r="Y900" s="183" t="n"/>
      <c r="Z900" s="183" t="n"/>
      <c r="AA900" s="183" t="n"/>
    </row>
    <row r="901" ht="45.75" customHeight="1" s="222">
      <c r="A901" s="205" t="n"/>
      <c r="B901" s="205" t="n"/>
      <c r="C901" s="205" t="n"/>
      <c r="D901" s="205" t="n"/>
      <c r="E901" s="205" t="n"/>
      <c r="F901" s="205" t="n"/>
      <c r="G901" s="206" t="n"/>
      <c r="H901" s="205" t="n"/>
      <c r="I901" s="28" t="n"/>
      <c r="J901" s="205" t="n"/>
      <c r="K901" s="205" t="n"/>
      <c r="L901" s="205" t="n"/>
      <c r="M901" s="205" t="n"/>
      <c r="N901" s="205" t="n"/>
      <c r="O901" s="183" t="n"/>
      <c r="P901" s="183" t="n"/>
      <c r="Q901" s="183" t="n"/>
      <c r="R901" s="183" t="n"/>
      <c r="S901" s="183" t="n"/>
      <c r="T901" s="183" t="n"/>
      <c r="U901" s="183" t="n"/>
      <c r="V901" s="183" t="n"/>
      <c r="W901" s="183" t="n"/>
      <c r="X901" s="183" t="n"/>
      <c r="Y901" s="183" t="n"/>
      <c r="Z901" s="183" t="n"/>
      <c r="AA901" s="183" t="n"/>
    </row>
    <row r="902" ht="45.75" customHeight="1" s="222">
      <c r="A902" s="205" t="n"/>
      <c r="B902" s="205" t="n"/>
      <c r="C902" s="205" t="n"/>
      <c r="D902" s="205" t="n"/>
      <c r="E902" s="205" t="n"/>
      <c r="F902" s="205" t="n"/>
      <c r="G902" s="206" t="n"/>
      <c r="H902" s="205" t="n"/>
      <c r="I902" s="28" t="n"/>
      <c r="J902" s="205" t="n"/>
      <c r="K902" s="205" t="n"/>
      <c r="L902" s="205" t="n"/>
      <c r="M902" s="205" t="n"/>
      <c r="N902" s="205" t="n"/>
      <c r="O902" s="183" t="n"/>
      <c r="P902" s="183" t="n"/>
      <c r="Q902" s="183" t="n"/>
      <c r="R902" s="183" t="n"/>
      <c r="S902" s="183" t="n"/>
      <c r="T902" s="183" t="n"/>
      <c r="U902" s="183" t="n"/>
      <c r="V902" s="183" t="n"/>
      <c r="W902" s="183" t="n"/>
      <c r="X902" s="183" t="n"/>
      <c r="Y902" s="183" t="n"/>
      <c r="Z902" s="183" t="n"/>
      <c r="AA902" s="183" t="n"/>
    </row>
    <row r="903" ht="45.75" customHeight="1" s="222">
      <c r="A903" s="205" t="n"/>
      <c r="B903" s="205" t="n"/>
      <c r="C903" s="205" t="n"/>
      <c r="D903" s="205" t="n"/>
      <c r="E903" s="205" t="n"/>
      <c r="F903" s="205" t="n"/>
      <c r="G903" s="206" t="n"/>
      <c r="H903" s="205" t="n"/>
      <c r="I903" s="28" t="n"/>
      <c r="J903" s="205" t="n"/>
      <c r="K903" s="205" t="n"/>
      <c r="L903" s="205" t="n"/>
      <c r="M903" s="205" t="n"/>
      <c r="N903" s="205" t="n"/>
      <c r="O903" s="183" t="n"/>
      <c r="P903" s="183" t="n"/>
      <c r="Q903" s="183" t="n"/>
      <c r="R903" s="183" t="n"/>
      <c r="S903" s="183" t="n"/>
      <c r="T903" s="183" t="n"/>
      <c r="U903" s="183" t="n"/>
      <c r="V903" s="183" t="n"/>
      <c r="W903" s="183" t="n"/>
      <c r="X903" s="183" t="n"/>
      <c r="Y903" s="183" t="n"/>
      <c r="Z903" s="183" t="n"/>
      <c r="AA903" s="183" t="n"/>
    </row>
    <row r="904" ht="45.75" customHeight="1" s="222">
      <c r="A904" s="205" t="n"/>
      <c r="B904" s="205" t="n"/>
      <c r="C904" s="205" t="n"/>
      <c r="D904" s="205" t="n"/>
      <c r="E904" s="205" t="n"/>
      <c r="F904" s="205" t="n"/>
      <c r="G904" s="206" t="n"/>
      <c r="H904" s="205" t="n"/>
      <c r="I904" s="28" t="n"/>
      <c r="J904" s="205" t="n"/>
      <c r="K904" s="205" t="n"/>
      <c r="L904" s="205" t="n"/>
      <c r="M904" s="205" t="n"/>
      <c r="N904" s="205" t="n"/>
      <c r="O904" s="183" t="n"/>
      <c r="P904" s="183" t="n"/>
      <c r="Q904" s="183" t="n"/>
      <c r="R904" s="183" t="n"/>
      <c r="S904" s="183" t="n"/>
      <c r="T904" s="183" t="n"/>
      <c r="U904" s="183" t="n"/>
      <c r="V904" s="183" t="n"/>
      <c r="W904" s="183" t="n"/>
      <c r="X904" s="183" t="n"/>
      <c r="Y904" s="183" t="n"/>
      <c r="Z904" s="183" t="n"/>
      <c r="AA904" s="183" t="n"/>
    </row>
    <row r="905" ht="45.75" customHeight="1" s="222">
      <c r="A905" s="205" t="n"/>
      <c r="B905" s="205" t="n"/>
      <c r="C905" s="205" t="n"/>
      <c r="D905" s="205" t="n"/>
      <c r="E905" s="205" t="n"/>
      <c r="F905" s="205" t="n"/>
      <c r="G905" s="206" t="n"/>
      <c r="H905" s="205" t="n"/>
      <c r="I905" s="28" t="n"/>
      <c r="J905" s="205" t="n"/>
      <c r="K905" s="205" t="n"/>
      <c r="L905" s="205" t="n"/>
      <c r="M905" s="205" t="n"/>
      <c r="N905" s="205" t="n"/>
      <c r="O905" s="183" t="n"/>
      <c r="P905" s="183" t="n"/>
      <c r="Q905" s="183" t="n"/>
      <c r="R905" s="183" t="n"/>
      <c r="S905" s="183" t="n"/>
      <c r="T905" s="183" t="n"/>
      <c r="U905" s="183" t="n"/>
      <c r="V905" s="183" t="n"/>
      <c r="W905" s="183" t="n"/>
      <c r="X905" s="183" t="n"/>
      <c r="Y905" s="183" t="n"/>
      <c r="Z905" s="183" t="n"/>
      <c r="AA905" s="183" t="n"/>
    </row>
    <row r="906" ht="45.75" customHeight="1" s="222">
      <c r="A906" s="205" t="n"/>
      <c r="B906" s="205" t="n"/>
      <c r="C906" s="205" t="n"/>
      <c r="D906" s="205" t="n"/>
      <c r="E906" s="205" t="n"/>
      <c r="F906" s="205" t="n"/>
      <c r="G906" s="206" t="n"/>
      <c r="H906" s="205" t="n"/>
      <c r="I906" s="28" t="n"/>
      <c r="J906" s="205" t="n"/>
      <c r="K906" s="205" t="n"/>
      <c r="L906" s="205" t="n"/>
      <c r="M906" s="205" t="n"/>
      <c r="N906" s="205" t="n"/>
      <c r="O906" s="183" t="n"/>
      <c r="P906" s="183" t="n"/>
      <c r="Q906" s="183" t="n"/>
      <c r="R906" s="183" t="n"/>
      <c r="S906" s="183" t="n"/>
      <c r="T906" s="183" t="n"/>
      <c r="U906" s="183" t="n"/>
      <c r="V906" s="183" t="n"/>
      <c r="W906" s="183" t="n"/>
      <c r="X906" s="183" t="n"/>
      <c r="Y906" s="183" t="n"/>
      <c r="Z906" s="183" t="n"/>
      <c r="AA906" s="183" t="n"/>
    </row>
    <row r="907" ht="45.75" customHeight="1" s="222">
      <c r="A907" s="205" t="n"/>
      <c r="B907" s="205" t="n"/>
      <c r="C907" s="205" t="n"/>
      <c r="D907" s="205" t="n"/>
      <c r="E907" s="205" t="n"/>
      <c r="F907" s="205" t="n"/>
      <c r="G907" s="206" t="n"/>
      <c r="H907" s="205" t="n"/>
      <c r="I907" s="28" t="n"/>
      <c r="J907" s="205" t="n"/>
      <c r="K907" s="205" t="n"/>
      <c r="L907" s="205" t="n"/>
      <c r="M907" s="205" t="n"/>
      <c r="N907" s="205" t="n"/>
      <c r="O907" s="183" t="n"/>
      <c r="P907" s="183" t="n"/>
      <c r="Q907" s="183" t="n"/>
      <c r="R907" s="183" t="n"/>
      <c r="S907" s="183" t="n"/>
      <c r="T907" s="183" t="n"/>
      <c r="U907" s="183" t="n"/>
      <c r="V907" s="183" t="n"/>
      <c r="W907" s="183" t="n"/>
      <c r="X907" s="183" t="n"/>
      <c r="Y907" s="183" t="n"/>
      <c r="Z907" s="183" t="n"/>
      <c r="AA907" s="183" t="n"/>
    </row>
    <row r="908" ht="45.75" customHeight="1" s="222">
      <c r="A908" s="205" t="n"/>
      <c r="B908" s="205" t="n"/>
      <c r="C908" s="205" t="n"/>
      <c r="D908" s="205" t="n"/>
      <c r="E908" s="205" t="n"/>
      <c r="F908" s="205" t="n"/>
      <c r="G908" s="206" t="n"/>
      <c r="H908" s="205" t="n"/>
      <c r="I908" s="28" t="n"/>
      <c r="J908" s="205" t="n"/>
      <c r="K908" s="205" t="n"/>
      <c r="L908" s="205" t="n"/>
      <c r="M908" s="205" t="n"/>
      <c r="N908" s="205" t="n"/>
      <c r="O908" s="183" t="n"/>
      <c r="P908" s="183" t="n"/>
      <c r="Q908" s="183" t="n"/>
      <c r="R908" s="183" t="n"/>
      <c r="S908" s="183" t="n"/>
      <c r="T908" s="183" t="n"/>
      <c r="U908" s="183" t="n"/>
      <c r="V908" s="183" t="n"/>
      <c r="W908" s="183" t="n"/>
      <c r="X908" s="183" t="n"/>
      <c r="Y908" s="183" t="n"/>
      <c r="Z908" s="183" t="n"/>
      <c r="AA908" s="183" t="n"/>
    </row>
    <row r="909" ht="45.75" customHeight="1" s="222">
      <c r="A909" s="205" t="n"/>
      <c r="B909" s="205" t="n"/>
      <c r="C909" s="205" t="n"/>
      <c r="D909" s="205" t="n"/>
      <c r="E909" s="205" t="n"/>
      <c r="F909" s="205" t="n"/>
      <c r="G909" s="206" t="n"/>
      <c r="H909" s="205" t="n"/>
      <c r="I909" s="28" t="n"/>
      <c r="J909" s="205" t="n"/>
      <c r="K909" s="205" t="n"/>
      <c r="L909" s="205" t="n"/>
      <c r="M909" s="205" t="n"/>
      <c r="N909" s="205" t="n"/>
      <c r="O909" s="183" t="n"/>
      <c r="P909" s="183" t="n"/>
      <c r="Q909" s="183" t="n"/>
      <c r="R909" s="183" t="n"/>
      <c r="S909" s="183" t="n"/>
      <c r="T909" s="183" t="n"/>
      <c r="U909" s="183" t="n"/>
      <c r="V909" s="183" t="n"/>
      <c r="W909" s="183" t="n"/>
      <c r="X909" s="183" t="n"/>
      <c r="Y909" s="183" t="n"/>
      <c r="Z909" s="183" t="n"/>
      <c r="AA909" s="183" t="n"/>
    </row>
    <row r="910" ht="45.75" customHeight="1" s="222">
      <c r="A910" s="205" t="n"/>
      <c r="B910" s="205" t="n"/>
      <c r="C910" s="205" t="n"/>
      <c r="D910" s="205" t="n"/>
      <c r="E910" s="205" t="n"/>
      <c r="F910" s="205" t="n"/>
      <c r="G910" s="206" t="n"/>
      <c r="H910" s="205" t="n"/>
      <c r="I910" s="28" t="n"/>
      <c r="J910" s="205" t="n"/>
      <c r="K910" s="205" t="n"/>
      <c r="L910" s="205" t="n"/>
      <c r="M910" s="205" t="n"/>
      <c r="N910" s="205" t="n"/>
      <c r="O910" s="183" t="n"/>
      <c r="P910" s="183" t="n"/>
      <c r="Q910" s="183" t="n"/>
      <c r="R910" s="183" t="n"/>
      <c r="S910" s="183" t="n"/>
      <c r="T910" s="183" t="n"/>
      <c r="U910" s="183" t="n"/>
      <c r="V910" s="183" t="n"/>
      <c r="W910" s="183" t="n"/>
      <c r="X910" s="183" t="n"/>
      <c r="Y910" s="183" t="n"/>
      <c r="Z910" s="183" t="n"/>
      <c r="AA910" s="183" t="n"/>
    </row>
    <row r="911" ht="45.75" customHeight="1" s="222">
      <c r="A911" s="205" t="n"/>
      <c r="B911" s="205" t="n"/>
      <c r="C911" s="205" t="n"/>
      <c r="D911" s="205" t="n"/>
      <c r="E911" s="205" t="n"/>
      <c r="F911" s="205" t="n"/>
      <c r="G911" s="206" t="n"/>
      <c r="H911" s="205" t="n"/>
      <c r="I911" s="28" t="n"/>
      <c r="J911" s="205" t="n"/>
      <c r="K911" s="205" t="n"/>
      <c r="L911" s="205" t="n"/>
      <c r="M911" s="205" t="n"/>
      <c r="N911" s="205" t="n"/>
      <c r="O911" s="183" t="n"/>
      <c r="P911" s="183" t="n"/>
      <c r="Q911" s="183" t="n"/>
      <c r="R911" s="183" t="n"/>
      <c r="S911" s="183" t="n"/>
      <c r="T911" s="183" t="n"/>
      <c r="U911" s="183" t="n"/>
      <c r="V911" s="183" t="n"/>
      <c r="W911" s="183" t="n"/>
      <c r="X911" s="183" t="n"/>
      <c r="Y911" s="183" t="n"/>
      <c r="Z911" s="183" t="n"/>
      <c r="AA911" s="183" t="n"/>
    </row>
    <row r="912" ht="45.75" customHeight="1" s="222">
      <c r="A912" s="205" t="n"/>
      <c r="B912" s="205" t="n"/>
      <c r="C912" s="205" t="n"/>
      <c r="D912" s="205" t="n"/>
      <c r="E912" s="205" t="n"/>
      <c r="F912" s="205" t="n"/>
      <c r="G912" s="206" t="n"/>
      <c r="H912" s="205" t="n"/>
      <c r="I912" s="28" t="n"/>
      <c r="J912" s="205" t="n"/>
      <c r="K912" s="205" t="n"/>
      <c r="L912" s="205" t="n"/>
      <c r="M912" s="205" t="n"/>
      <c r="N912" s="205" t="n"/>
      <c r="O912" s="183" t="n"/>
      <c r="P912" s="183" t="n"/>
      <c r="Q912" s="183" t="n"/>
      <c r="R912" s="183" t="n"/>
      <c r="S912" s="183" t="n"/>
      <c r="T912" s="183" t="n"/>
      <c r="U912" s="183" t="n"/>
      <c r="V912" s="183" t="n"/>
      <c r="W912" s="183" t="n"/>
      <c r="X912" s="183" t="n"/>
      <c r="Y912" s="183" t="n"/>
      <c r="Z912" s="183" t="n"/>
      <c r="AA912" s="183" t="n"/>
    </row>
    <row r="913" ht="45.75" customHeight="1" s="222">
      <c r="A913" s="205" t="n"/>
      <c r="B913" s="205" t="n"/>
      <c r="C913" s="205" t="n"/>
      <c r="D913" s="205" t="n"/>
      <c r="E913" s="205" t="n"/>
      <c r="F913" s="205" t="n"/>
      <c r="G913" s="206" t="n"/>
      <c r="H913" s="205" t="n"/>
      <c r="I913" s="28" t="n"/>
      <c r="J913" s="205" t="n"/>
      <c r="K913" s="205" t="n"/>
      <c r="L913" s="205" t="n"/>
      <c r="M913" s="205" t="n"/>
      <c r="N913" s="205" t="n"/>
      <c r="O913" s="183" t="n"/>
      <c r="P913" s="183" t="n"/>
      <c r="Q913" s="183" t="n"/>
      <c r="R913" s="183" t="n"/>
      <c r="S913" s="183" t="n"/>
      <c r="T913" s="183" t="n"/>
      <c r="U913" s="183" t="n"/>
      <c r="V913" s="183" t="n"/>
      <c r="W913" s="183" t="n"/>
      <c r="X913" s="183" t="n"/>
      <c r="Y913" s="183" t="n"/>
      <c r="Z913" s="183" t="n"/>
      <c r="AA913" s="183" t="n"/>
    </row>
    <row r="914" ht="45.75" customHeight="1" s="222">
      <c r="A914" s="205" t="n"/>
      <c r="B914" s="205" t="n"/>
      <c r="C914" s="205" t="n"/>
      <c r="D914" s="205" t="n"/>
      <c r="E914" s="205" t="n"/>
      <c r="F914" s="205" t="n"/>
      <c r="G914" s="206" t="n"/>
      <c r="H914" s="205" t="n"/>
      <c r="I914" s="28" t="n"/>
      <c r="J914" s="205" t="n"/>
      <c r="K914" s="205" t="n"/>
      <c r="L914" s="205" t="n"/>
      <c r="M914" s="205" t="n"/>
      <c r="N914" s="205" t="n"/>
      <c r="O914" s="183" t="n"/>
      <c r="P914" s="183" t="n"/>
      <c r="Q914" s="183" t="n"/>
      <c r="R914" s="183" t="n"/>
      <c r="S914" s="183" t="n"/>
      <c r="T914" s="183" t="n"/>
      <c r="U914" s="183" t="n"/>
      <c r="V914" s="183" t="n"/>
      <c r="W914" s="183" t="n"/>
      <c r="X914" s="183" t="n"/>
      <c r="Y914" s="183" t="n"/>
      <c r="Z914" s="183" t="n"/>
      <c r="AA914" s="183" t="n"/>
    </row>
    <row r="915" ht="45.75" customHeight="1" s="222">
      <c r="A915" s="205" t="n"/>
      <c r="B915" s="205" t="n"/>
      <c r="C915" s="205" t="n"/>
      <c r="D915" s="205" t="n"/>
      <c r="E915" s="205" t="n"/>
      <c r="F915" s="205" t="n"/>
      <c r="G915" s="206" t="n"/>
      <c r="H915" s="205" t="n"/>
      <c r="I915" s="28" t="n"/>
      <c r="J915" s="205" t="n"/>
      <c r="K915" s="205" t="n"/>
      <c r="L915" s="205" t="n"/>
      <c r="M915" s="205" t="n"/>
      <c r="N915" s="205" t="n"/>
      <c r="O915" s="183" t="n"/>
      <c r="P915" s="183" t="n"/>
      <c r="Q915" s="183" t="n"/>
      <c r="R915" s="183" t="n"/>
      <c r="S915" s="183" t="n"/>
      <c r="T915" s="183" t="n"/>
      <c r="U915" s="183" t="n"/>
      <c r="V915" s="183" t="n"/>
      <c r="W915" s="183" t="n"/>
      <c r="X915" s="183" t="n"/>
      <c r="Y915" s="183" t="n"/>
      <c r="Z915" s="183" t="n"/>
      <c r="AA915" s="183" t="n"/>
    </row>
    <row r="916" ht="45.75" customHeight="1" s="222">
      <c r="A916" s="205" t="n"/>
      <c r="B916" s="205" t="n"/>
      <c r="C916" s="205" t="n"/>
      <c r="D916" s="205" t="n"/>
      <c r="E916" s="205" t="n"/>
      <c r="F916" s="205" t="n"/>
      <c r="G916" s="206" t="n"/>
      <c r="H916" s="205" t="n"/>
      <c r="I916" s="28" t="n"/>
      <c r="J916" s="205" t="n"/>
      <c r="K916" s="205" t="n"/>
      <c r="L916" s="205" t="n"/>
      <c r="M916" s="205" t="n"/>
      <c r="N916" s="205" t="n"/>
      <c r="O916" s="183" t="n"/>
      <c r="P916" s="183" t="n"/>
      <c r="Q916" s="183" t="n"/>
      <c r="R916" s="183" t="n"/>
      <c r="S916" s="183" t="n"/>
      <c r="T916" s="183" t="n"/>
      <c r="U916" s="183" t="n"/>
      <c r="V916" s="183" t="n"/>
      <c r="W916" s="183" t="n"/>
      <c r="X916" s="183" t="n"/>
      <c r="Y916" s="183" t="n"/>
      <c r="Z916" s="183" t="n"/>
      <c r="AA916" s="183" t="n"/>
    </row>
    <row r="917" ht="45.75" customHeight="1" s="222">
      <c r="A917" s="205" t="n"/>
      <c r="B917" s="205" t="n"/>
      <c r="C917" s="205" t="n"/>
      <c r="D917" s="205" t="n"/>
      <c r="E917" s="205" t="n"/>
      <c r="F917" s="205" t="n"/>
      <c r="G917" s="206" t="n"/>
      <c r="H917" s="205" t="n"/>
      <c r="I917" s="28" t="n"/>
      <c r="J917" s="205" t="n"/>
      <c r="K917" s="205" t="n"/>
      <c r="L917" s="205" t="n"/>
      <c r="M917" s="205" t="n"/>
      <c r="N917" s="205" t="n"/>
      <c r="O917" s="183" t="n"/>
      <c r="P917" s="183" t="n"/>
      <c r="Q917" s="183" t="n"/>
      <c r="R917" s="183" t="n"/>
      <c r="S917" s="183" t="n"/>
      <c r="T917" s="183" t="n"/>
      <c r="U917" s="183" t="n"/>
      <c r="V917" s="183" t="n"/>
      <c r="W917" s="183" t="n"/>
      <c r="X917" s="183" t="n"/>
      <c r="Y917" s="183" t="n"/>
      <c r="Z917" s="183" t="n"/>
      <c r="AA917" s="183" t="n"/>
    </row>
    <row r="918" ht="45.75" customHeight="1" s="222">
      <c r="A918" s="205" t="n"/>
      <c r="B918" s="205" t="n"/>
      <c r="C918" s="205" t="n"/>
      <c r="D918" s="205" t="n"/>
      <c r="E918" s="205" t="n"/>
      <c r="F918" s="205" t="n"/>
      <c r="G918" s="206" t="n"/>
      <c r="H918" s="205" t="n"/>
      <c r="I918" s="28" t="n"/>
      <c r="J918" s="205" t="n"/>
      <c r="K918" s="205" t="n"/>
      <c r="L918" s="205" t="n"/>
      <c r="M918" s="205" t="n"/>
      <c r="N918" s="205" t="n"/>
      <c r="O918" s="183" t="n"/>
      <c r="P918" s="183" t="n"/>
      <c r="Q918" s="183" t="n"/>
      <c r="R918" s="183" t="n"/>
      <c r="S918" s="183" t="n"/>
      <c r="T918" s="183" t="n"/>
      <c r="U918" s="183" t="n"/>
      <c r="V918" s="183" t="n"/>
      <c r="W918" s="183" t="n"/>
      <c r="X918" s="183" t="n"/>
      <c r="Y918" s="183" t="n"/>
      <c r="Z918" s="183" t="n"/>
      <c r="AA918" s="183" t="n"/>
    </row>
    <row r="919" ht="45.75" customHeight="1" s="222">
      <c r="A919" s="205" t="n"/>
      <c r="B919" s="205" t="n"/>
      <c r="C919" s="205" t="n"/>
      <c r="D919" s="205" t="n"/>
      <c r="E919" s="205" t="n"/>
      <c r="F919" s="205" t="n"/>
      <c r="G919" s="206" t="n"/>
      <c r="H919" s="205" t="n"/>
      <c r="I919" s="28" t="n"/>
      <c r="J919" s="205" t="n"/>
      <c r="K919" s="205" t="n"/>
      <c r="L919" s="205" t="n"/>
      <c r="M919" s="205" t="n"/>
      <c r="N919" s="205" t="n"/>
      <c r="O919" s="183" t="n"/>
      <c r="P919" s="183" t="n"/>
      <c r="Q919" s="183" t="n"/>
      <c r="R919" s="183" t="n"/>
      <c r="S919" s="183" t="n"/>
      <c r="T919" s="183" t="n"/>
      <c r="U919" s="183" t="n"/>
      <c r="V919" s="183" t="n"/>
      <c r="W919" s="183" t="n"/>
      <c r="X919" s="183" t="n"/>
      <c r="Y919" s="183" t="n"/>
      <c r="Z919" s="183" t="n"/>
      <c r="AA919" s="183" t="n"/>
    </row>
    <row r="920" ht="45.75" customHeight="1" s="222">
      <c r="A920" s="205" t="n"/>
      <c r="B920" s="205" t="n"/>
      <c r="C920" s="205" t="n"/>
      <c r="D920" s="205" t="n"/>
      <c r="E920" s="205" t="n"/>
      <c r="F920" s="205" t="n"/>
      <c r="G920" s="206" t="n"/>
      <c r="H920" s="205" t="n"/>
      <c r="I920" s="28" t="n"/>
      <c r="J920" s="205" t="n"/>
      <c r="K920" s="205" t="n"/>
      <c r="L920" s="205" t="n"/>
      <c r="M920" s="205" t="n"/>
      <c r="N920" s="205" t="n"/>
      <c r="O920" s="183" t="n"/>
      <c r="P920" s="183" t="n"/>
      <c r="Q920" s="183" t="n"/>
      <c r="R920" s="183" t="n"/>
      <c r="S920" s="183" t="n"/>
      <c r="T920" s="183" t="n"/>
      <c r="U920" s="183" t="n"/>
      <c r="V920" s="183" t="n"/>
      <c r="W920" s="183" t="n"/>
      <c r="X920" s="183" t="n"/>
      <c r="Y920" s="183" t="n"/>
      <c r="Z920" s="183" t="n"/>
      <c r="AA920" s="183" t="n"/>
    </row>
    <row r="921" ht="45.75" customHeight="1" s="222">
      <c r="A921" s="205" t="n"/>
      <c r="B921" s="205" t="n"/>
      <c r="C921" s="205" t="n"/>
      <c r="D921" s="205" t="n"/>
      <c r="E921" s="205" t="n"/>
      <c r="F921" s="205" t="n"/>
      <c r="G921" s="206" t="n"/>
      <c r="H921" s="205" t="n"/>
      <c r="I921" s="28" t="n"/>
      <c r="J921" s="205" t="n"/>
      <c r="K921" s="205" t="n"/>
      <c r="L921" s="205" t="n"/>
      <c r="M921" s="205" t="n"/>
      <c r="N921" s="205" t="n"/>
      <c r="O921" s="183" t="n"/>
      <c r="P921" s="183" t="n"/>
      <c r="Q921" s="183" t="n"/>
      <c r="R921" s="183" t="n"/>
      <c r="S921" s="183" t="n"/>
      <c r="T921" s="183" t="n"/>
      <c r="U921" s="183" t="n"/>
      <c r="V921" s="183" t="n"/>
      <c r="W921" s="183" t="n"/>
      <c r="X921" s="183" t="n"/>
      <c r="Y921" s="183" t="n"/>
      <c r="Z921" s="183" t="n"/>
      <c r="AA921" s="183" t="n"/>
    </row>
    <row r="922" ht="45.75" customHeight="1" s="222">
      <c r="A922" s="205" t="n"/>
      <c r="B922" s="205" t="n"/>
      <c r="C922" s="205" t="n"/>
      <c r="D922" s="205" t="n"/>
      <c r="E922" s="205" t="n"/>
      <c r="F922" s="205" t="n"/>
      <c r="G922" s="206" t="n"/>
      <c r="H922" s="205" t="n"/>
      <c r="I922" s="28" t="n"/>
      <c r="J922" s="205" t="n"/>
      <c r="K922" s="205" t="n"/>
      <c r="L922" s="205" t="n"/>
      <c r="M922" s="205" t="n"/>
      <c r="N922" s="205" t="n"/>
      <c r="O922" s="183" t="n"/>
      <c r="P922" s="183" t="n"/>
      <c r="Q922" s="183" t="n"/>
      <c r="R922" s="183" t="n"/>
      <c r="S922" s="183" t="n"/>
      <c r="T922" s="183" t="n"/>
      <c r="U922" s="183" t="n"/>
      <c r="V922" s="183" t="n"/>
      <c r="W922" s="183" t="n"/>
      <c r="X922" s="183" t="n"/>
      <c r="Y922" s="183" t="n"/>
      <c r="Z922" s="183" t="n"/>
      <c r="AA922" s="183" t="n"/>
    </row>
    <row r="923" ht="45.75" customHeight="1" s="222">
      <c r="A923" s="205" t="n"/>
      <c r="B923" s="205" t="n"/>
      <c r="C923" s="205" t="n"/>
      <c r="D923" s="205" t="n"/>
      <c r="E923" s="205" t="n"/>
      <c r="F923" s="205" t="n"/>
      <c r="G923" s="206" t="n"/>
      <c r="H923" s="205" t="n"/>
      <c r="I923" s="28" t="n"/>
      <c r="J923" s="205" t="n"/>
      <c r="K923" s="205" t="n"/>
      <c r="L923" s="205" t="n"/>
      <c r="M923" s="205" t="n"/>
      <c r="N923" s="205" t="n"/>
      <c r="O923" s="183" t="n"/>
      <c r="P923" s="183" t="n"/>
      <c r="Q923" s="183" t="n"/>
      <c r="R923" s="183" t="n"/>
      <c r="S923" s="183" t="n"/>
      <c r="T923" s="183" t="n"/>
      <c r="U923" s="183" t="n"/>
      <c r="V923" s="183" t="n"/>
      <c r="W923" s="183" t="n"/>
      <c r="X923" s="183" t="n"/>
      <c r="Y923" s="183" t="n"/>
      <c r="Z923" s="183" t="n"/>
      <c r="AA923" s="183" t="n"/>
    </row>
    <row r="924" ht="45.75" customHeight="1" s="222">
      <c r="A924" s="205" t="n"/>
      <c r="B924" s="205" t="n"/>
      <c r="C924" s="205" t="n"/>
      <c r="D924" s="205" t="n"/>
      <c r="E924" s="205" t="n"/>
      <c r="F924" s="205" t="n"/>
      <c r="G924" s="206" t="n"/>
      <c r="H924" s="205" t="n"/>
      <c r="I924" s="28" t="n"/>
      <c r="J924" s="205" t="n"/>
      <c r="K924" s="205" t="n"/>
      <c r="L924" s="205" t="n"/>
      <c r="M924" s="205" t="n"/>
      <c r="N924" s="205" t="n"/>
      <c r="O924" s="183" t="n"/>
      <c r="P924" s="183" t="n"/>
      <c r="Q924" s="183" t="n"/>
      <c r="R924" s="183" t="n"/>
      <c r="S924" s="183" t="n"/>
      <c r="T924" s="183" t="n"/>
      <c r="U924" s="183" t="n"/>
      <c r="V924" s="183" t="n"/>
      <c r="W924" s="183" t="n"/>
      <c r="X924" s="183" t="n"/>
      <c r="Y924" s="183" t="n"/>
      <c r="Z924" s="183" t="n"/>
      <c r="AA924" s="183" t="n"/>
    </row>
    <row r="925" ht="45.75" customHeight="1" s="222">
      <c r="A925" s="205" t="n"/>
      <c r="B925" s="205" t="n"/>
      <c r="C925" s="205" t="n"/>
      <c r="D925" s="205" t="n"/>
      <c r="E925" s="205" t="n"/>
      <c r="F925" s="205" t="n"/>
      <c r="G925" s="206" t="n"/>
      <c r="H925" s="205" t="n"/>
      <c r="I925" s="28" t="n"/>
      <c r="J925" s="205" t="n"/>
      <c r="K925" s="205" t="n"/>
      <c r="L925" s="205" t="n"/>
      <c r="M925" s="205" t="n"/>
      <c r="N925" s="205" t="n"/>
      <c r="O925" s="183" t="n"/>
      <c r="P925" s="183" t="n"/>
      <c r="Q925" s="183" t="n"/>
      <c r="R925" s="183" t="n"/>
      <c r="S925" s="183" t="n"/>
      <c r="T925" s="183" t="n"/>
      <c r="U925" s="183" t="n"/>
      <c r="V925" s="183" t="n"/>
      <c r="W925" s="183" t="n"/>
      <c r="X925" s="183" t="n"/>
      <c r="Y925" s="183" t="n"/>
      <c r="Z925" s="183" t="n"/>
      <c r="AA925" s="183" t="n"/>
    </row>
    <row r="926" ht="45.75" customHeight="1" s="222">
      <c r="A926" s="205" t="n"/>
      <c r="B926" s="205" t="n"/>
      <c r="C926" s="205" t="n"/>
      <c r="D926" s="205" t="n"/>
      <c r="E926" s="205" t="n"/>
      <c r="F926" s="205" t="n"/>
      <c r="G926" s="206" t="n"/>
      <c r="H926" s="205" t="n"/>
      <c r="I926" s="28" t="n"/>
      <c r="J926" s="205" t="n"/>
      <c r="K926" s="205" t="n"/>
      <c r="L926" s="205" t="n"/>
      <c r="M926" s="205" t="n"/>
      <c r="N926" s="205" t="n"/>
      <c r="O926" s="183" t="n"/>
      <c r="P926" s="183" t="n"/>
      <c r="Q926" s="183" t="n"/>
      <c r="R926" s="183" t="n"/>
      <c r="S926" s="183" t="n"/>
      <c r="T926" s="183" t="n"/>
      <c r="U926" s="183" t="n"/>
      <c r="V926" s="183" t="n"/>
      <c r="W926" s="183" t="n"/>
      <c r="X926" s="183" t="n"/>
      <c r="Y926" s="183" t="n"/>
      <c r="Z926" s="183" t="n"/>
      <c r="AA926" s="183" t="n"/>
    </row>
    <row r="927" ht="45.75" customHeight="1" s="222">
      <c r="A927" s="205" t="n"/>
      <c r="B927" s="205" t="n"/>
      <c r="C927" s="205" t="n"/>
      <c r="D927" s="205" t="n"/>
      <c r="E927" s="205" t="n"/>
      <c r="F927" s="205" t="n"/>
      <c r="G927" s="206" t="n"/>
      <c r="H927" s="205" t="n"/>
      <c r="I927" s="28" t="n"/>
      <c r="J927" s="205" t="n"/>
      <c r="K927" s="205" t="n"/>
      <c r="L927" s="205" t="n"/>
      <c r="M927" s="205" t="n"/>
      <c r="N927" s="205" t="n"/>
      <c r="O927" s="183" t="n"/>
      <c r="P927" s="183" t="n"/>
      <c r="Q927" s="183" t="n"/>
      <c r="R927" s="183" t="n"/>
      <c r="S927" s="183" t="n"/>
      <c r="T927" s="183" t="n"/>
      <c r="U927" s="183" t="n"/>
      <c r="V927" s="183" t="n"/>
      <c r="W927" s="183" t="n"/>
      <c r="X927" s="183" t="n"/>
      <c r="Y927" s="183" t="n"/>
      <c r="Z927" s="183" t="n"/>
      <c r="AA927" s="183" t="n"/>
    </row>
    <row r="928" ht="45.75" customHeight="1" s="222">
      <c r="A928" s="205" t="n"/>
      <c r="B928" s="205" t="n"/>
      <c r="C928" s="205" t="n"/>
      <c r="D928" s="205" t="n"/>
      <c r="E928" s="205" t="n"/>
      <c r="F928" s="205" t="n"/>
      <c r="G928" s="206" t="n"/>
      <c r="H928" s="205" t="n"/>
      <c r="I928" s="28" t="n"/>
      <c r="J928" s="205" t="n"/>
      <c r="K928" s="205" t="n"/>
      <c r="L928" s="205" t="n"/>
      <c r="M928" s="205" t="n"/>
      <c r="N928" s="205" t="n"/>
      <c r="O928" s="183" t="n"/>
      <c r="P928" s="183" t="n"/>
      <c r="Q928" s="183" t="n"/>
      <c r="R928" s="183" t="n"/>
      <c r="S928" s="183" t="n"/>
      <c r="T928" s="183" t="n"/>
      <c r="U928" s="183" t="n"/>
      <c r="V928" s="183" t="n"/>
      <c r="W928" s="183" t="n"/>
      <c r="X928" s="183" t="n"/>
      <c r="Y928" s="183" t="n"/>
      <c r="Z928" s="183" t="n"/>
      <c r="AA928" s="183" t="n"/>
    </row>
    <row r="929" ht="45.75" customHeight="1" s="222">
      <c r="A929" s="205" t="n"/>
      <c r="B929" s="205" t="n"/>
      <c r="C929" s="205" t="n"/>
      <c r="D929" s="205" t="n"/>
      <c r="E929" s="205" t="n"/>
      <c r="F929" s="205" t="n"/>
      <c r="G929" s="206" t="n"/>
      <c r="H929" s="205" t="n"/>
      <c r="I929" s="28" t="n"/>
      <c r="J929" s="205" t="n"/>
      <c r="K929" s="205" t="n"/>
      <c r="L929" s="205" t="n"/>
      <c r="M929" s="205" t="n"/>
      <c r="N929" s="205" t="n"/>
      <c r="O929" s="183" t="n"/>
      <c r="P929" s="183" t="n"/>
      <c r="Q929" s="183" t="n"/>
      <c r="R929" s="183" t="n"/>
      <c r="S929" s="183" t="n"/>
      <c r="T929" s="183" t="n"/>
      <c r="U929" s="183" t="n"/>
      <c r="V929" s="183" t="n"/>
      <c r="W929" s="183" t="n"/>
      <c r="X929" s="183" t="n"/>
      <c r="Y929" s="183" t="n"/>
      <c r="Z929" s="183" t="n"/>
      <c r="AA929" s="183" t="n"/>
    </row>
    <row r="930" ht="45.75" customHeight="1" s="222">
      <c r="A930" s="205" t="n"/>
      <c r="B930" s="205" t="n"/>
      <c r="C930" s="205" t="n"/>
      <c r="D930" s="205" t="n"/>
      <c r="E930" s="205" t="n"/>
      <c r="F930" s="205" t="n"/>
      <c r="G930" s="206" t="n"/>
      <c r="H930" s="205" t="n"/>
      <c r="I930" s="28" t="n"/>
      <c r="J930" s="205" t="n"/>
      <c r="K930" s="205" t="n"/>
      <c r="L930" s="205" t="n"/>
      <c r="M930" s="205" t="n"/>
      <c r="N930" s="205" t="n"/>
      <c r="O930" s="183" t="n"/>
      <c r="P930" s="183" t="n"/>
      <c r="Q930" s="183" t="n"/>
      <c r="R930" s="183" t="n"/>
      <c r="S930" s="183" t="n"/>
      <c r="T930" s="183" t="n"/>
      <c r="U930" s="183" t="n"/>
      <c r="V930" s="183" t="n"/>
      <c r="W930" s="183" t="n"/>
      <c r="X930" s="183" t="n"/>
      <c r="Y930" s="183" t="n"/>
      <c r="Z930" s="183" t="n"/>
      <c r="AA930" s="183" t="n"/>
    </row>
    <row r="931" ht="45.75" customHeight="1" s="222">
      <c r="A931" s="205" t="n"/>
      <c r="B931" s="205" t="n"/>
      <c r="C931" s="205" t="n"/>
      <c r="D931" s="205" t="n"/>
      <c r="E931" s="205" t="n"/>
      <c r="F931" s="205" t="n"/>
      <c r="G931" s="206" t="n"/>
      <c r="H931" s="205" t="n"/>
      <c r="I931" s="28" t="n"/>
      <c r="J931" s="205" t="n"/>
      <c r="K931" s="205" t="n"/>
      <c r="L931" s="205" t="n"/>
      <c r="M931" s="205" t="n"/>
      <c r="N931" s="205" t="n"/>
      <c r="O931" s="183" t="n"/>
      <c r="P931" s="183" t="n"/>
      <c r="Q931" s="183" t="n"/>
      <c r="R931" s="183" t="n"/>
      <c r="S931" s="183" t="n"/>
      <c r="T931" s="183" t="n"/>
      <c r="U931" s="183" t="n"/>
      <c r="V931" s="183" t="n"/>
      <c r="W931" s="183" t="n"/>
      <c r="X931" s="183" t="n"/>
      <c r="Y931" s="183" t="n"/>
      <c r="Z931" s="183" t="n"/>
      <c r="AA931" s="183" t="n"/>
    </row>
    <row r="932" ht="45.75" customHeight="1" s="222">
      <c r="A932" s="205" t="n"/>
      <c r="B932" s="205" t="n"/>
      <c r="C932" s="205" t="n"/>
      <c r="D932" s="205" t="n"/>
      <c r="E932" s="205" t="n"/>
      <c r="F932" s="205" t="n"/>
      <c r="G932" s="206" t="n"/>
      <c r="H932" s="205" t="n"/>
      <c r="I932" s="28" t="n"/>
      <c r="J932" s="205" t="n"/>
      <c r="K932" s="205" t="n"/>
      <c r="L932" s="205" t="n"/>
      <c r="M932" s="205" t="n"/>
      <c r="N932" s="205" t="n"/>
      <c r="O932" s="183" t="n"/>
      <c r="P932" s="183" t="n"/>
      <c r="Q932" s="183" t="n"/>
      <c r="R932" s="183" t="n"/>
      <c r="S932" s="183" t="n"/>
      <c r="T932" s="183" t="n"/>
      <c r="U932" s="183" t="n"/>
      <c r="V932" s="183" t="n"/>
      <c r="W932" s="183" t="n"/>
      <c r="X932" s="183" t="n"/>
      <c r="Y932" s="183" t="n"/>
      <c r="Z932" s="183" t="n"/>
      <c r="AA932" s="183" t="n"/>
    </row>
    <row r="933" ht="45.75" customHeight="1" s="222">
      <c r="A933" s="205" t="n"/>
      <c r="B933" s="205" t="n"/>
      <c r="C933" s="205" t="n"/>
      <c r="D933" s="205" t="n"/>
      <c r="E933" s="205" t="n"/>
      <c r="F933" s="205" t="n"/>
      <c r="G933" s="206" t="n"/>
      <c r="H933" s="205" t="n"/>
      <c r="I933" s="28" t="n"/>
      <c r="J933" s="205" t="n"/>
      <c r="K933" s="205" t="n"/>
      <c r="L933" s="205" t="n"/>
      <c r="M933" s="205" t="n"/>
      <c r="N933" s="205" t="n"/>
      <c r="O933" s="183" t="n"/>
      <c r="P933" s="183" t="n"/>
      <c r="Q933" s="183" t="n"/>
      <c r="R933" s="183" t="n"/>
      <c r="S933" s="183" t="n"/>
      <c r="T933" s="183" t="n"/>
      <c r="U933" s="183" t="n"/>
      <c r="V933" s="183" t="n"/>
      <c r="W933" s="183" t="n"/>
      <c r="X933" s="183" t="n"/>
      <c r="Y933" s="183" t="n"/>
      <c r="Z933" s="183" t="n"/>
      <c r="AA933" s="183" t="n"/>
    </row>
    <row r="934" ht="45.75" customHeight="1" s="222">
      <c r="A934" s="205" t="n"/>
      <c r="B934" s="205" t="n"/>
      <c r="C934" s="205" t="n"/>
      <c r="D934" s="205" t="n"/>
      <c r="E934" s="205" t="n"/>
      <c r="F934" s="205" t="n"/>
      <c r="G934" s="206" t="n"/>
      <c r="H934" s="205" t="n"/>
      <c r="I934" s="28" t="n"/>
      <c r="J934" s="205" t="n"/>
      <c r="K934" s="205" t="n"/>
      <c r="L934" s="205" t="n"/>
      <c r="M934" s="205" t="n"/>
      <c r="N934" s="205" t="n"/>
      <c r="O934" s="183" t="n"/>
      <c r="P934" s="183" t="n"/>
      <c r="Q934" s="183" t="n"/>
      <c r="R934" s="183" t="n"/>
      <c r="S934" s="183" t="n"/>
      <c r="T934" s="183" t="n"/>
      <c r="U934" s="183" t="n"/>
      <c r="V934" s="183" t="n"/>
      <c r="W934" s="183" t="n"/>
      <c r="X934" s="183" t="n"/>
      <c r="Y934" s="183" t="n"/>
      <c r="Z934" s="183" t="n"/>
      <c r="AA934" s="183" t="n"/>
    </row>
    <row r="935" ht="45.75" customHeight="1" s="222">
      <c r="A935" s="205" t="n"/>
      <c r="B935" s="205" t="n"/>
      <c r="C935" s="205" t="n"/>
      <c r="D935" s="205" t="n"/>
      <c r="E935" s="205" t="n"/>
      <c r="F935" s="205" t="n"/>
      <c r="G935" s="206" t="n"/>
      <c r="H935" s="205" t="n"/>
      <c r="I935" s="28" t="n"/>
      <c r="J935" s="205" t="n"/>
      <c r="K935" s="205" t="n"/>
      <c r="L935" s="205" t="n"/>
      <c r="M935" s="205" t="n"/>
      <c r="N935" s="205" t="n"/>
      <c r="O935" s="183" t="n"/>
      <c r="P935" s="183" t="n"/>
      <c r="Q935" s="183" t="n"/>
      <c r="R935" s="183" t="n"/>
      <c r="S935" s="183" t="n"/>
      <c r="T935" s="183" t="n"/>
      <c r="U935" s="183" t="n"/>
      <c r="V935" s="183" t="n"/>
      <c r="W935" s="183" t="n"/>
      <c r="X935" s="183" t="n"/>
      <c r="Y935" s="183" t="n"/>
      <c r="Z935" s="183" t="n"/>
      <c r="AA935" s="183" t="n"/>
    </row>
    <row r="936" ht="45.75" customHeight="1" s="222">
      <c r="A936" s="205" t="n"/>
      <c r="B936" s="205" t="n"/>
      <c r="C936" s="205" t="n"/>
      <c r="D936" s="205" t="n"/>
      <c r="E936" s="205" t="n"/>
      <c r="F936" s="205" t="n"/>
      <c r="G936" s="206" t="n"/>
      <c r="H936" s="205" t="n"/>
      <c r="I936" s="28" t="n"/>
      <c r="J936" s="205" t="n"/>
      <c r="K936" s="205" t="n"/>
      <c r="L936" s="205" t="n"/>
      <c r="M936" s="205" t="n"/>
      <c r="N936" s="205" t="n"/>
      <c r="O936" s="183" t="n"/>
      <c r="P936" s="183" t="n"/>
      <c r="Q936" s="183" t="n"/>
      <c r="R936" s="183" t="n"/>
      <c r="S936" s="183" t="n"/>
      <c r="T936" s="183" t="n"/>
      <c r="U936" s="183" t="n"/>
      <c r="V936" s="183" t="n"/>
      <c r="W936" s="183" t="n"/>
      <c r="X936" s="183" t="n"/>
      <c r="Y936" s="183" t="n"/>
      <c r="Z936" s="183" t="n"/>
      <c r="AA936" s="183" t="n"/>
    </row>
    <row r="937" ht="45.75" customHeight="1" s="222">
      <c r="A937" s="205" t="n"/>
      <c r="B937" s="205" t="n"/>
      <c r="C937" s="205" t="n"/>
      <c r="D937" s="205" t="n"/>
      <c r="E937" s="205" t="n"/>
      <c r="F937" s="205" t="n"/>
      <c r="G937" s="206" t="n"/>
      <c r="H937" s="205" t="n"/>
      <c r="I937" s="28" t="n"/>
      <c r="J937" s="205" t="n"/>
      <c r="K937" s="205" t="n"/>
      <c r="L937" s="205" t="n"/>
      <c r="M937" s="205" t="n"/>
      <c r="N937" s="205" t="n"/>
      <c r="O937" s="183" t="n"/>
      <c r="P937" s="183" t="n"/>
      <c r="Q937" s="183" t="n"/>
      <c r="R937" s="183" t="n"/>
      <c r="S937" s="183" t="n"/>
      <c r="T937" s="183" t="n"/>
      <c r="U937" s="183" t="n"/>
      <c r="V937" s="183" t="n"/>
      <c r="W937" s="183" t="n"/>
      <c r="X937" s="183" t="n"/>
      <c r="Y937" s="183" t="n"/>
      <c r="Z937" s="183" t="n"/>
      <c r="AA937" s="183" t="n"/>
    </row>
    <row r="938" ht="45.75" customHeight="1" s="222">
      <c r="A938" s="205" t="n"/>
      <c r="B938" s="205" t="n"/>
      <c r="C938" s="205" t="n"/>
      <c r="D938" s="205" t="n"/>
      <c r="E938" s="205" t="n"/>
      <c r="F938" s="205" t="n"/>
      <c r="G938" s="206" t="n"/>
      <c r="H938" s="205" t="n"/>
      <c r="I938" s="28" t="n"/>
      <c r="J938" s="205" t="n"/>
      <c r="K938" s="205" t="n"/>
      <c r="L938" s="205" t="n"/>
      <c r="M938" s="205" t="n"/>
      <c r="N938" s="205" t="n"/>
      <c r="O938" s="183" t="n"/>
      <c r="P938" s="183" t="n"/>
      <c r="Q938" s="183" t="n"/>
      <c r="R938" s="183" t="n"/>
      <c r="S938" s="183" t="n"/>
      <c r="T938" s="183" t="n"/>
      <c r="U938" s="183" t="n"/>
      <c r="V938" s="183" t="n"/>
      <c r="W938" s="183" t="n"/>
      <c r="X938" s="183" t="n"/>
      <c r="Y938" s="183" t="n"/>
      <c r="Z938" s="183" t="n"/>
      <c r="AA938" s="183" t="n"/>
    </row>
    <row r="939" ht="45.75" customHeight="1" s="222">
      <c r="A939" s="205" t="n"/>
      <c r="B939" s="205" t="n"/>
      <c r="C939" s="205" t="n"/>
      <c r="D939" s="205" t="n"/>
      <c r="E939" s="205" t="n"/>
      <c r="F939" s="205" t="n"/>
      <c r="G939" s="206" t="n"/>
      <c r="H939" s="205" t="n"/>
      <c r="I939" s="28" t="n"/>
      <c r="J939" s="205" t="n"/>
      <c r="K939" s="205" t="n"/>
      <c r="L939" s="205" t="n"/>
      <c r="M939" s="205" t="n"/>
      <c r="N939" s="205" t="n"/>
      <c r="O939" s="183" t="n"/>
      <c r="P939" s="183" t="n"/>
      <c r="Q939" s="183" t="n"/>
      <c r="R939" s="183" t="n"/>
      <c r="S939" s="183" t="n"/>
      <c r="T939" s="183" t="n"/>
      <c r="U939" s="183" t="n"/>
      <c r="V939" s="183" t="n"/>
      <c r="W939" s="183" t="n"/>
      <c r="X939" s="183" t="n"/>
      <c r="Y939" s="183" t="n"/>
      <c r="Z939" s="183" t="n"/>
      <c r="AA939" s="183" t="n"/>
    </row>
    <row r="940" ht="45.75" customHeight="1" s="222">
      <c r="A940" s="205" t="n"/>
      <c r="B940" s="205" t="n"/>
      <c r="C940" s="205" t="n"/>
      <c r="D940" s="205" t="n"/>
      <c r="E940" s="205" t="n"/>
      <c r="F940" s="205" t="n"/>
      <c r="G940" s="206" t="n"/>
      <c r="H940" s="205" t="n"/>
      <c r="I940" s="28" t="n"/>
      <c r="J940" s="205" t="n"/>
      <c r="K940" s="205" t="n"/>
      <c r="L940" s="205" t="n"/>
      <c r="M940" s="205" t="n"/>
      <c r="N940" s="205" t="n"/>
      <c r="O940" s="183" t="n"/>
      <c r="P940" s="183" t="n"/>
      <c r="Q940" s="183" t="n"/>
      <c r="R940" s="183" t="n"/>
      <c r="S940" s="183" t="n"/>
      <c r="T940" s="183" t="n"/>
      <c r="U940" s="183" t="n"/>
      <c r="V940" s="183" t="n"/>
      <c r="W940" s="183" t="n"/>
      <c r="X940" s="183" t="n"/>
      <c r="Y940" s="183" t="n"/>
      <c r="Z940" s="183" t="n"/>
      <c r="AA940" s="183" t="n"/>
    </row>
    <row r="941" ht="45.75" customHeight="1" s="222">
      <c r="A941" s="205" t="n"/>
      <c r="B941" s="205" t="n"/>
      <c r="C941" s="205" t="n"/>
      <c r="D941" s="205" t="n"/>
      <c r="E941" s="205" t="n"/>
      <c r="F941" s="205" t="n"/>
      <c r="G941" s="206" t="n"/>
      <c r="H941" s="205" t="n"/>
      <c r="I941" s="28" t="n"/>
      <c r="J941" s="205" t="n"/>
      <c r="K941" s="205" t="n"/>
      <c r="L941" s="205" t="n"/>
      <c r="M941" s="205" t="n"/>
      <c r="N941" s="205" t="n"/>
      <c r="O941" s="183" t="n"/>
      <c r="P941" s="183" t="n"/>
      <c r="Q941" s="183" t="n"/>
      <c r="R941" s="183" t="n"/>
      <c r="S941" s="183" t="n"/>
      <c r="T941" s="183" t="n"/>
      <c r="U941" s="183" t="n"/>
      <c r="V941" s="183" t="n"/>
      <c r="W941" s="183" t="n"/>
      <c r="X941" s="183" t="n"/>
      <c r="Y941" s="183" t="n"/>
      <c r="Z941" s="183" t="n"/>
      <c r="AA941" s="183" t="n"/>
    </row>
    <row r="942" ht="45.75" customHeight="1" s="222">
      <c r="A942" s="205" t="n"/>
      <c r="B942" s="205" t="n"/>
      <c r="C942" s="205" t="n"/>
      <c r="D942" s="205" t="n"/>
      <c r="E942" s="205" t="n"/>
      <c r="F942" s="205" t="n"/>
      <c r="G942" s="206" t="n"/>
      <c r="H942" s="205" t="n"/>
      <c r="I942" s="28" t="n"/>
      <c r="J942" s="205" t="n"/>
      <c r="K942" s="205" t="n"/>
      <c r="L942" s="205" t="n"/>
      <c r="M942" s="205" t="n"/>
      <c r="N942" s="205" t="n"/>
      <c r="O942" s="183" t="n"/>
      <c r="P942" s="183" t="n"/>
      <c r="Q942" s="183" t="n"/>
      <c r="R942" s="183" t="n"/>
      <c r="S942" s="183" t="n"/>
      <c r="T942" s="183" t="n"/>
      <c r="U942" s="183" t="n"/>
      <c r="V942" s="183" t="n"/>
      <c r="W942" s="183" t="n"/>
      <c r="X942" s="183" t="n"/>
      <c r="Y942" s="183" t="n"/>
      <c r="Z942" s="183" t="n"/>
      <c r="AA942" s="183" t="n"/>
    </row>
    <row r="943" ht="45.75" customHeight="1" s="222">
      <c r="A943" s="205" t="n"/>
      <c r="B943" s="205" t="n"/>
      <c r="C943" s="205" t="n"/>
      <c r="D943" s="205" t="n"/>
      <c r="E943" s="205" t="n"/>
      <c r="F943" s="205" t="n"/>
      <c r="G943" s="206" t="n"/>
      <c r="H943" s="205" t="n"/>
      <c r="I943" s="28" t="n"/>
      <c r="J943" s="205" t="n"/>
      <c r="K943" s="205" t="n"/>
      <c r="L943" s="205" t="n"/>
      <c r="M943" s="205" t="n"/>
      <c r="N943" s="205" t="n"/>
      <c r="O943" s="183" t="n"/>
      <c r="P943" s="183" t="n"/>
      <c r="Q943" s="183" t="n"/>
      <c r="R943" s="183" t="n"/>
      <c r="S943" s="183" t="n"/>
      <c r="T943" s="183" t="n"/>
      <c r="U943" s="183" t="n"/>
      <c r="V943" s="183" t="n"/>
      <c r="W943" s="183" t="n"/>
      <c r="X943" s="183" t="n"/>
      <c r="Y943" s="183" t="n"/>
      <c r="Z943" s="183" t="n"/>
      <c r="AA943" s="183" t="n"/>
    </row>
    <row r="944" ht="45.75" customHeight="1" s="222">
      <c r="A944" s="205" t="n"/>
      <c r="B944" s="205" t="n"/>
      <c r="C944" s="205" t="n"/>
      <c r="D944" s="205" t="n"/>
      <c r="E944" s="205" t="n"/>
      <c r="F944" s="205" t="n"/>
      <c r="G944" s="206" t="n"/>
      <c r="H944" s="205" t="n"/>
      <c r="I944" s="28" t="n"/>
      <c r="J944" s="205" t="n"/>
      <c r="K944" s="205" t="n"/>
      <c r="L944" s="205" t="n"/>
      <c r="M944" s="205" t="n"/>
      <c r="N944" s="205" t="n"/>
      <c r="O944" s="183" t="n"/>
      <c r="P944" s="183" t="n"/>
      <c r="Q944" s="183" t="n"/>
      <c r="R944" s="183" t="n"/>
      <c r="S944" s="183" t="n"/>
      <c r="T944" s="183" t="n"/>
      <c r="U944" s="183" t="n"/>
      <c r="V944" s="183" t="n"/>
      <c r="W944" s="183" t="n"/>
      <c r="X944" s="183" t="n"/>
      <c r="Y944" s="183" t="n"/>
      <c r="Z944" s="183" t="n"/>
      <c r="AA944" s="183" t="n"/>
    </row>
    <row r="945" ht="45.75" customHeight="1" s="222">
      <c r="A945" s="205" t="n"/>
      <c r="B945" s="205" t="n"/>
      <c r="C945" s="205" t="n"/>
      <c r="D945" s="205" t="n"/>
      <c r="E945" s="205" t="n"/>
      <c r="F945" s="205" t="n"/>
      <c r="G945" s="206" t="n"/>
      <c r="H945" s="205" t="n"/>
      <c r="I945" s="28" t="n"/>
      <c r="J945" s="205" t="n"/>
      <c r="K945" s="205" t="n"/>
      <c r="L945" s="205" t="n"/>
      <c r="M945" s="205" t="n"/>
      <c r="N945" s="205" t="n"/>
      <c r="O945" s="183" t="n"/>
      <c r="P945" s="183" t="n"/>
      <c r="Q945" s="183" t="n"/>
      <c r="R945" s="183" t="n"/>
      <c r="S945" s="183" t="n"/>
      <c r="T945" s="183" t="n"/>
      <c r="U945" s="183" t="n"/>
      <c r="V945" s="183" t="n"/>
      <c r="W945" s="183" t="n"/>
      <c r="X945" s="183" t="n"/>
      <c r="Y945" s="183" t="n"/>
      <c r="Z945" s="183" t="n"/>
      <c r="AA945" s="183" t="n"/>
    </row>
    <row r="946" ht="45.75" customHeight="1" s="222">
      <c r="A946" s="205" t="n"/>
      <c r="B946" s="205" t="n"/>
      <c r="C946" s="205" t="n"/>
      <c r="D946" s="205" t="n"/>
      <c r="E946" s="205" t="n"/>
      <c r="F946" s="205" t="n"/>
      <c r="G946" s="206" t="n"/>
      <c r="H946" s="205" t="n"/>
      <c r="I946" s="28" t="n"/>
      <c r="J946" s="205" t="n"/>
      <c r="K946" s="205" t="n"/>
      <c r="L946" s="205" t="n"/>
      <c r="M946" s="205" t="n"/>
      <c r="N946" s="205" t="n"/>
      <c r="O946" s="183" t="n"/>
      <c r="P946" s="183" t="n"/>
      <c r="Q946" s="183" t="n"/>
      <c r="R946" s="183" t="n"/>
      <c r="S946" s="183" t="n"/>
      <c r="T946" s="183" t="n"/>
      <c r="U946" s="183" t="n"/>
      <c r="V946" s="183" t="n"/>
      <c r="W946" s="183" t="n"/>
      <c r="X946" s="183" t="n"/>
      <c r="Y946" s="183" t="n"/>
      <c r="Z946" s="183" t="n"/>
      <c r="AA946" s="183" t="n"/>
    </row>
    <row r="947" ht="45.75" customHeight="1" s="222">
      <c r="A947" s="205" t="n"/>
      <c r="B947" s="205" t="n"/>
      <c r="C947" s="205" t="n"/>
      <c r="D947" s="205" t="n"/>
      <c r="E947" s="205" t="n"/>
      <c r="F947" s="205" t="n"/>
      <c r="G947" s="206" t="n"/>
      <c r="H947" s="205" t="n"/>
      <c r="I947" s="28" t="n"/>
      <c r="J947" s="205" t="n"/>
      <c r="K947" s="205" t="n"/>
      <c r="L947" s="205" t="n"/>
      <c r="M947" s="205" t="n"/>
      <c r="N947" s="205" t="n"/>
      <c r="O947" s="183" t="n"/>
      <c r="P947" s="183" t="n"/>
      <c r="Q947" s="183" t="n"/>
      <c r="R947" s="183" t="n"/>
      <c r="S947" s="183" t="n"/>
      <c r="T947" s="183" t="n"/>
      <c r="U947" s="183" t="n"/>
      <c r="V947" s="183" t="n"/>
      <c r="W947" s="183" t="n"/>
      <c r="X947" s="183" t="n"/>
      <c r="Y947" s="183" t="n"/>
      <c r="Z947" s="183" t="n"/>
      <c r="AA947" s="183" t="n"/>
    </row>
    <row r="948" ht="45.75" customHeight="1" s="222">
      <c r="A948" s="205" t="n"/>
      <c r="B948" s="205" t="n"/>
      <c r="C948" s="205" t="n"/>
      <c r="D948" s="205" t="n"/>
      <c r="E948" s="205" t="n"/>
      <c r="F948" s="205" t="n"/>
      <c r="G948" s="206" t="n"/>
      <c r="H948" s="205" t="n"/>
      <c r="I948" s="28" t="n"/>
      <c r="J948" s="205" t="n"/>
      <c r="K948" s="205" t="n"/>
      <c r="L948" s="205" t="n"/>
      <c r="M948" s="205" t="n"/>
      <c r="N948" s="205" t="n"/>
      <c r="O948" s="183" t="n"/>
      <c r="P948" s="183" t="n"/>
      <c r="Q948" s="183" t="n"/>
      <c r="R948" s="183" t="n"/>
      <c r="S948" s="183" t="n"/>
      <c r="T948" s="183" t="n"/>
      <c r="U948" s="183" t="n"/>
      <c r="V948" s="183" t="n"/>
      <c r="W948" s="183" t="n"/>
      <c r="X948" s="183" t="n"/>
      <c r="Y948" s="183" t="n"/>
      <c r="Z948" s="183" t="n"/>
      <c r="AA948" s="183" t="n"/>
    </row>
    <row r="949" ht="45.75" customHeight="1" s="222">
      <c r="A949" s="205" t="n"/>
      <c r="B949" s="205" t="n"/>
      <c r="C949" s="205" t="n"/>
      <c r="D949" s="205" t="n"/>
      <c r="E949" s="205" t="n"/>
      <c r="F949" s="205" t="n"/>
      <c r="G949" s="206" t="n"/>
      <c r="H949" s="205" t="n"/>
      <c r="I949" s="28" t="n"/>
      <c r="J949" s="205" t="n"/>
      <c r="K949" s="205" t="n"/>
      <c r="L949" s="205" t="n"/>
      <c r="M949" s="205" t="n"/>
      <c r="N949" s="205" t="n"/>
      <c r="O949" s="183" t="n"/>
      <c r="P949" s="183" t="n"/>
      <c r="Q949" s="183" t="n"/>
      <c r="R949" s="183" t="n"/>
      <c r="S949" s="183" t="n"/>
      <c r="T949" s="183" t="n"/>
      <c r="U949" s="183" t="n"/>
      <c r="V949" s="183" t="n"/>
      <c r="W949" s="183" t="n"/>
      <c r="X949" s="183" t="n"/>
      <c r="Y949" s="183" t="n"/>
      <c r="Z949" s="183" t="n"/>
      <c r="AA949" s="183" t="n"/>
    </row>
    <row r="950" ht="45.75" customHeight="1" s="222">
      <c r="A950" s="205" t="n"/>
      <c r="B950" s="205" t="n"/>
      <c r="C950" s="205" t="n"/>
      <c r="D950" s="205" t="n"/>
      <c r="E950" s="205" t="n"/>
      <c r="F950" s="205" t="n"/>
      <c r="G950" s="206" t="n"/>
      <c r="H950" s="205" t="n"/>
      <c r="I950" s="28" t="n"/>
      <c r="J950" s="205" t="n"/>
      <c r="K950" s="205" t="n"/>
      <c r="L950" s="205" t="n"/>
      <c r="M950" s="205" t="n"/>
      <c r="N950" s="205" t="n"/>
      <c r="O950" s="183" t="n"/>
      <c r="P950" s="183" t="n"/>
      <c r="Q950" s="183" t="n"/>
      <c r="R950" s="183" t="n"/>
      <c r="S950" s="183" t="n"/>
      <c r="T950" s="183" t="n"/>
      <c r="U950" s="183" t="n"/>
      <c r="V950" s="183" t="n"/>
      <c r="W950" s="183" t="n"/>
      <c r="X950" s="183" t="n"/>
      <c r="Y950" s="183" t="n"/>
      <c r="Z950" s="183" t="n"/>
      <c r="AA950" s="183" t="n"/>
    </row>
    <row r="951" ht="45.75" customHeight="1" s="222">
      <c r="A951" s="205" t="n"/>
      <c r="B951" s="205" t="n"/>
      <c r="C951" s="205" t="n"/>
      <c r="D951" s="205" t="n"/>
      <c r="E951" s="205" t="n"/>
      <c r="F951" s="205" t="n"/>
      <c r="G951" s="206" t="n"/>
      <c r="H951" s="205" t="n"/>
      <c r="I951" s="28" t="n"/>
      <c r="J951" s="205" t="n"/>
      <c r="K951" s="205" t="n"/>
      <c r="L951" s="205" t="n"/>
      <c r="M951" s="205" t="n"/>
      <c r="N951" s="205" t="n"/>
      <c r="O951" s="183" t="n"/>
      <c r="P951" s="183" t="n"/>
      <c r="Q951" s="183" t="n"/>
      <c r="R951" s="183" t="n"/>
      <c r="S951" s="183" t="n"/>
      <c r="T951" s="183" t="n"/>
      <c r="U951" s="183" t="n"/>
      <c r="V951" s="183" t="n"/>
      <c r="W951" s="183" t="n"/>
      <c r="X951" s="183" t="n"/>
      <c r="Y951" s="183" t="n"/>
      <c r="Z951" s="183" t="n"/>
      <c r="AA951" s="183" t="n"/>
    </row>
    <row r="952" ht="45.75" customHeight="1" s="222">
      <c r="A952" s="205" t="n"/>
      <c r="B952" s="205" t="n"/>
      <c r="C952" s="205" t="n"/>
      <c r="D952" s="205" t="n"/>
      <c r="E952" s="205" t="n"/>
      <c r="F952" s="205" t="n"/>
      <c r="G952" s="206" t="n"/>
      <c r="H952" s="205" t="n"/>
      <c r="I952" s="28" t="n"/>
      <c r="J952" s="205" t="n"/>
      <c r="K952" s="205" t="n"/>
      <c r="L952" s="205" t="n"/>
      <c r="M952" s="205" t="n"/>
      <c r="N952" s="205" t="n"/>
      <c r="O952" s="183" t="n"/>
      <c r="P952" s="183" t="n"/>
      <c r="Q952" s="183" t="n"/>
      <c r="R952" s="183" t="n"/>
      <c r="S952" s="183" t="n"/>
      <c r="T952" s="183" t="n"/>
      <c r="U952" s="183" t="n"/>
      <c r="V952" s="183" t="n"/>
      <c r="W952" s="183" t="n"/>
      <c r="X952" s="183" t="n"/>
      <c r="Y952" s="183" t="n"/>
      <c r="Z952" s="183" t="n"/>
      <c r="AA952" s="183" t="n"/>
    </row>
    <row r="953" ht="45.75" customHeight="1" s="222">
      <c r="A953" s="205" t="n"/>
      <c r="B953" s="205" t="n"/>
      <c r="C953" s="205" t="n"/>
      <c r="D953" s="205" t="n"/>
      <c r="E953" s="205" t="n"/>
      <c r="F953" s="205" t="n"/>
      <c r="G953" s="206" t="n"/>
      <c r="H953" s="205" t="n"/>
      <c r="I953" s="28" t="n"/>
      <c r="J953" s="205" t="n"/>
      <c r="K953" s="205" t="n"/>
      <c r="L953" s="205" t="n"/>
      <c r="M953" s="205" t="n"/>
      <c r="N953" s="205" t="n"/>
      <c r="O953" s="183" t="n"/>
      <c r="P953" s="183" t="n"/>
      <c r="Q953" s="183" t="n"/>
      <c r="R953" s="183" t="n"/>
      <c r="S953" s="183" t="n"/>
      <c r="T953" s="183" t="n"/>
      <c r="U953" s="183" t="n"/>
      <c r="V953" s="183" t="n"/>
      <c r="W953" s="183" t="n"/>
      <c r="X953" s="183" t="n"/>
      <c r="Y953" s="183" t="n"/>
      <c r="Z953" s="183" t="n"/>
      <c r="AA953" s="183" t="n"/>
    </row>
    <row r="954" ht="45.75" customHeight="1" s="222">
      <c r="A954" s="205" t="n"/>
      <c r="B954" s="205" t="n"/>
      <c r="C954" s="205" t="n"/>
      <c r="D954" s="205" t="n"/>
      <c r="E954" s="205" t="n"/>
      <c r="F954" s="205" t="n"/>
      <c r="G954" s="206" t="n"/>
      <c r="H954" s="205" t="n"/>
      <c r="I954" s="28" t="n"/>
      <c r="J954" s="205" t="n"/>
      <c r="K954" s="205" t="n"/>
      <c r="L954" s="205" t="n"/>
      <c r="M954" s="205" t="n"/>
      <c r="N954" s="205" t="n"/>
      <c r="O954" s="183" t="n"/>
      <c r="P954" s="183" t="n"/>
      <c r="Q954" s="183" t="n"/>
      <c r="R954" s="183" t="n"/>
      <c r="S954" s="183" t="n"/>
      <c r="T954" s="183" t="n"/>
      <c r="U954" s="183" t="n"/>
      <c r="V954" s="183" t="n"/>
      <c r="W954" s="183" t="n"/>
      <c r="X954" s="183" t="n"/>
      <c r="Y954" s="183" t="n"/>
      <c r="Z954" s="183" t="n"/>
      <c r="AA954" s="183" t="n"/>
    </row>
    <row r="955" ht="45.75" customHeight="1" s="222">
      <c r="A955" s="205" t="n"/>
      <c r="B955" s="205" t="n"/>
      <c r="C955" s="205" t="n"/>
      <c r="D955" s="205" t="n"/>
      <c r="E955" s="205" t="n"/>
      <c r="F955" s="205" t="n"/>
      <c r="G955" s="206" t="n"/>
      <c r="H955" s="205" t="n"/>
      <c r="I955" s="28" t="n"/>
      <c r="J955" s="205" t="n"/>
      <c r="K955" s="205" t="n"/>
      <c r="L955" s="205" t="n"/>
      <c r="M955" s="205" t="n"/>
      <c r="N955" s="205" t="n"/>
      <c r="O955" s="183" t="n"/>
      <c r="P955" s="183" t="n"/>
      <c r="Q955" s="183" t="n"/>
      <c r="R955" s="183" t="n"/>
      <c r="S955" s="183" t="n"/>
      <c r="T955" s="183" t="n"/>
      <c r="U955" s="183" t="n"/>
      <c r="V955" s="183" t="n"/>
      <c r="W955" s="183" t="n"/>
      <c r="X955" s="183" t="n"/>
      <c r="Y955" s="183" t="n"/>
      <c r="Z955" s="183" t="n"/>
      <c r="AA955" s="183" t="n"/>
    </row>
    <row r="956" ht="45.75" customHeight="1" s="222">
      <c r="A956" s="205" t="n"/>
      <c r="B956" s="205" t="n"/>
      <c r="C956" s="205" t="n"/>
      <c r="D956" s="205" t="n"/>
      <c r="E956" s="205" t="n"/>
      <c r="F956" s="205" t="n"/>
      <c r="G956" s="206" t="n"/>
      <c r="H956" s="205" t="n"/>
      <c r="I956" s="28" t="n"/>
      <c r="J956" s="205" t="n"/>
      <c r="K956" s="205" t="n"/>
      <c r="L956" s="205" t="n"/>
      <c r="M956" s="205" t="n"/>
      <c r="N956" s="205" t="n"/>
      <c r="O956" s="183" t="n"/>
      <c r="P956" s="183" t="n"/>
      <c r="Q956" s="183" t="n"/>
      <c r="R956" s="183" t="n"/>
      <c r="S956" s="183" t="n"/>
      <c r="T956" s="183" t="n"/>
      <c r="U956" s="183" t="n"/>
      <c r="V956" s="183" t="n"/>
      <c r="W956" s="183" t="n"/>
      <c r="X956" s="183" t="n"/>
      <c r="Y956" s="183" t="n"/>
      <c r="Z956" s="183" t="n"/>
      <c r="AA956" s="183" t="n"/>
    </row>
    <row r="957" ht="45.75" customHeight="1" s="222">
      <c r="A957" s="205" t="n"/>
      <c r="B957" s="205" t="n"/>
      <c r="C957" s="205" t="n"/>
      <c r="D957" s="205" t="n"/>
      <c r="E957" s="205" t="n"/>
      <c r="F957" s="205" t="n"/>
      <c r="G957" s="206" t="n"/>
      <c r="H957" s="205" t="n"/>
      <c r="I957" s="28" t="n"/>
      <c r="J957" s="205" t="n"/>
      <c r="K957" s="205" t="n"/>
      <c r="L957" s="205" t="n"/>
      <c r="M957" s="205" t="n"/>
      <c r="N957" s="205" t="n"/>
      <c r="O957" s="183" t="n"/>
      <c r="P957" s="183" t="n"/>
      <c r="Q957" s="183" t="n"/>
      <c r="R957" s="183" t="n"/>
      <c r="S957" s="183" t="n"/>
      <c r="T957" s="183" t="n"/>
      <c r="U957" s="183" t="n"/>
      <c r="V957" s="183" t="n"/>
      <c r="W957" s="183" t="n"/>
      <c r="X957" s="183" t="n"/>
      <c r="Y957" s="183" t="n"/>
      <c r="Z957" s="183" t="n"/>
      <c r="AA957" s="183" t="n"/>
    </row>
    <row r="958" ht="45.75" customHeight="1" s="222">
      <c r="A958" s="205" t="n"/>
      <c r="B958" s="205" t="n"/>
      <c r="C958" s="205" t="n"/>
      <c r="D958" s="205" t="n"/>
      <c r="E958" s="205" t="n"/>
      <c r="F958" s="205" t="n"/>
      <c r="G958" s="206" t="n"/>
      <c r="H958" s="205" t="n"/>
      <c r="I958" s="28" t="n"/>
      <c r="J958" s="205" t="n"/>
      <c r="K958" s="205" t="n"/>
      <c r="L958" s="205" t="n"/>
      <c r="M958" s="205" t="n"/>
      <c r="N958" s="205" t="n"/>
      <c r="O958" s="183" t="n"/>
      <c r="P958" s="183" t="n"/>
      <c r="Q958" s="183" t="n"/>
      <c r="R958" s="183" t="n"/>
      <c r="S958" s="183" t="n"/>
      <c r="T958" s="183" t="n"/>
      <c r="U958" s="183" t="n"/>
      <c r="V958" s="183" t="n"/>
      <c r="W958" s="183" t="n"/>
      <c r="X958" s="183" t="n"/>
      <c r="Y958" s="183" t="n"/>
      <c r="Z958" s="183" t="n"/>
      <c r="AA958" s="183" t="n"/>
    </row>
    <row r="959" ht="45.75" customHeight="1" s="222">
      <c r="A959" s="205" t="n"/>
      <c r="B959" s="205" t="n"/>
      <c r="C959" s="205" t="n"/>
      <c r="D959" s="205" t="n"/>
      <c r="E959" s="205" t="n"/>
      <c r="F959" s="205" t="n"/>
      <c r="G959" s="206" t="n"/>
      <c r="H959" s="205" t="n"/>
      <c r="I959" s="28" t="n"/>
      <c r="J959" s="205" t="n"/>
      <c r="K959" s="205" t="n"/>
      <c r="L959" s="205" t="n"/>
      <c r="M959" s="205" t="n"/>
      <c r="N959" s="205" t="n"/>
      <c r="O959" s="183" t="n"/>
      <c r="P959" s="183" t="n"/>
      <c r="Q959" s="183" t="n"/>
      <c r="R959" s="183" t="n"/>
      <c r="S959" s="183" t="n"/>
      <c r="T959" s="183" t="n"/>
      <c r="U959" s="183" t="n"/>
      <c r="V959" s="183" t="n"/>
      <c r="W959" s="183" t="n"/>
      <c r="X959" s="183" t="n"/>
      <c r="Y959" s="183" t="n"/>
      <c r="Z959" s="183" t="n"/>
      <c r="AA959" s="183" t="n"/>
    </row>
    <row r="960" ht="45.75" customHeight="1" s="222">
      <c r="A960" s="205" t="n"/>
      <c r="B960" s="205" t="n"/>
      <c r="C960" s="205" t="n"/>
      <c r="D960" s="205" t="n"/>
      <c r="E960" s="205" t="n"/>
      <c r="F960" s="205" t="n"/>
      <c r="G960" s="206" t="n"/>
      <c r="H960" s="205" t="n"/>
      <c r="I960" s="28" t="n"/>
      <c r="J960" s="205" t="n"/>
      <c r="K960" s="205" t="n"/>
      <c r="L960" s="205" t="n"/>
      <c r="M960" s="205" t="n"/>
      <c r="N960" s="205" t="n"/>
      <c r="O960" s="183" t="n"/>
      <c r="P960" s="183" t="n"/>
      <c r="Q960" s="183" t="n"/>
      <c r="R960" s="183" t="n"/>
      <c r="S960" s="183" t="n"/>
      <c r="T960" s="183" t="n"/>
      <c r="U960" s="183" t="n"/>
      <c r="V960" s="183" t="n"/>
      <c r="W960" s="183" t="n"/>
      <c r="X960" s="183" t="n"/>
      <c r="Y960" s="183" t="n"/>
      <c r="Z960" s="183" t="n"/>
      <c r="AA960" s="183" t="n"/>
    </row>
    <row r="961" ht="45.75" customHeight="1" s="222">
      <c r="A961" s="205" t="n"/>
      <c r="B961" s="205" t="n"/>
      <c r="C961" s="205" t="n"/>
      <c r="D961" s="205" t="n"/>
      <c r="E961" s="205" t="n"/>
      <c r="F961" s="205" t="n"/>
      <c r="G961" s="206" t="n"/>
      <c r="H961" s="205" t="n"/>
      <c r="I961" s="28" t="n"/>
      <c r="J961" s="205" t="n"/>
      <c r="K961" s="205" t="n"/>
      <c r="L961" s="205" t="n"/>
      <c r="M961" s="205" t="n"/>
      <c r="N961" s="205" t="n"/>
      <c r="O961" s="183" t="n"/>
      <c r="P961" s="183" t="n"/>
      <c r="Q961" s="183" t="n"/>
      <c r="R961" s="183" t="n"/>
      <c r="S961" s="183" t="n"/>
      <c r="T961" s="183" t="n"/>
      <c r="U961" s="183" t="n"/>
      <c r="V961" s="183" t="n"/>
      <c r="W961" s="183" t="n"/>
      <c r="X961" s="183" t="n"/>
      <c r="Y961" s="183" t="n"/>
      <c r="Z961" s="183" t="n"/>
      <c r="AA961" s="183" t="n"/>
    </row>
    <row r="962" ht="45.75" customHeight="1" s="222">
      <c r="A962" s="205" t="n"/>
      <c r="B962" s="205" t="n"/>
      <c r="C962" s="205" t="n"/>
      <c r="D962" s="205" t="n"/>
      <c r="E962" s="205" t="n"/>
      <c r="F962" s="205" t="n"/>
      <c r="G962" s="206" t="n"/>
      <c r="H962" s="205" t="n"/>
      <c r="I962" s="28" t="n"/>
      <c r="J962" s="205" t="n"/>
      <c r="K962" s="205" t="n"/>
      <c r="L962" s="205" t="n"/>
      <c r="M962" s="205" t="n"/>
      <c r="N962" s="205" t="n"/>
      <c r="O962" s="183" t="n"/>
      <c r="P962" s="183" t="n"/>
      <c r="Q962" s="183" t="n"/>
      <c r="R962" s="183" t="n"/>
      <c r="S962" s="183" t="n"/>
      <c r="T962" s="183" t="n"/>
      <c r="U962" s="183" t="n"/>
      <c r="V962" s="183" t="n"/>
      <c r="W962" s="183" t="n"/>
      <c r="X962" s="183" t="n"/>
      <c r="Y962" s="183" t="n"/>
      <c r="Z962" s="183" t="n"/>
      <c r="AA962" s="183" t="n"/>
    </row>
    <row r="963" ht="45.75" customHeight="1" s="222">
      <c r="A963" s="205" t="n"/>
      <c r="B963" s="205" t="n"/>
      <c r="C963" s="205" t="n"/>
      <c r="D963" s="205" t="n"/>
      <c r="E963" s="205" t="n"/>
      <c r="F963" s="205" t="n"/>
      <c r="G963" s="206" t="n"/>
      <c r="H963" s="205" t="n"/>
      <c r="I963" s="28" t="n"/>
      <c r="J963" s="205" t="n"/>
      <c r="K963" s="205" t="n"/>
      <c r="L963" s="205" t="n"/>
      <c r="M963" s="205" t="n"/>
      <c r="N963" s="205" t="n"/>
      <c r="O963" s="183" t="n"/>
      <c r="P963" s="183" t="n"/>
      <c r="Q963" s="183" t="n"/>
      <c r="R963" s="183" t="n"/>
      <c r="S963" s="183" t="n"/>
      <c r="T963" s="183" t="n"/>
      <c r="U963" s="183" t="n"/>
      <c r="V963" s="183" t="n"/>
      <c r="W963" s="183" t="n"/>
      <c r="X963" s="183" t="n"/>
      <c r="Y963" s="183" t="n"/>
      <c r="Z963" s="183" t="n"/>
      <c r="AA963" s="183" t="n"/>
    </row>
    <row r="964" ht="45.75" customHeight="1" s="222">
      <c r="A964" s="205" t="n"/>
      <c r="B964" s="205" t="n"/>
      <c r="C964" s="205" t="n"/>
      <c r="D964" s="205" t="n"/>
      <c r="E964" s="205" t="n"/>
      <c r="F964" s="205" t="n"/>
      <c r="G964" s="206" t="n"/>
      <c r="H964" s="205" t="n"/>
      <c r="I964" s="28" t="n"/>
      <c r="J964" s="205" t="n"/>
      <c r="K964" s="205" t="n"/>
      <c r="L964" s="205" t="n"/>
      <c r="M964" s="205" t="n"/>
      <c r="N964" s="205" t="n"/>
      <c r="O964" s="183" t="n"/>
      <c r="P964" s="183" t="n"/>
      <c r="Q964" s="183" t="n"/>
      <c r="R964" s="183" t="n"/>
      <c r="S964" s="183" t="n"/>
      <c r="T964" s="183" t="n"/>
      <c r="U964" s="183" t="n"/>
      <c r="V964" s="183" t="n"/>
      <c r="W964" s="183" t="n"/>
      <c r="X964" s="183" t="n"/>
      <c r="Y964" s="183" t="n"/>
      <c r="Z964" s="183" t="n"/>
      <c r="AA964" s="183" t="n"/>
    </row>
    <row r="965" ht="45.75" customHeight="1" s="222">
      <c r="A965" s="205" t="n"/>
      <c r="B965" s="205" t="n"/>
      <c r="C965" s="205" t="n"/>
      <c r="D965" s="205" t="n"/>
      <c r="E965" s="205" t="n"/>
      <c r="F965" s="205" t="n"/>
      <c r="G965" s="206" t="n"/>
      <c r="H965" s="205" t="n"/>
      <c r="I965" s="28" t="n"/>
      <c r="J965" s="205" t="n"/>
      <c r="K965" s="205" t="n"/>
      <c r="L965" s="205" t="n"/>
      <c r="M965" s="205" t="n"/>
      <c r="N965" s="205" t="n"/>
      <c r="O965" s="183" t="n"/>
      <c r="P965" s="183" t="n"/>
      <c r="Q965" s="183" t="n"/>
      <c r="R965" s="183" t="n"/>
      <c r="S965" s="183" t="n"/>
      <c r="T965" s="183" t="n"/>
      <c r="U965" s="183" t="n"/>
      <c r="V965" s="183" t="n"/>
      <c r="W965" s="183" t="n"/>
      <c r="X965" s="183" t="n"/>
      <c r="Y965" s="183" t="n"/>
      <c r="Z965" s="183" t="n"/>
      <c r="AA965" s="183" t="n"/>
    </row>
    <row r="966" ht="45.75" customHeight="1" s="222">
      <c r="A966" s="205" t="n"/>
      <c r="B966" s="205" t="n"/>
      <c r="C966" s="205" t="n"/>
      <c r="D966" s="205" t="n"/>
      <c r="E966" s="205" t="n"/>
      <c r="F966" s="205" t="n"/>
      <c r="G966" s="206" t="n"/>
      <c r="H966" s="205" t="n"/>
      <c r="I966" s="28" t="n"/>
      <c r="J966" s="205" t="n"/>
      <c r="K966" s="205" t="n"/>
      <c r="L966" s="205" t="n"/>
      <c r="M966" s="205" t="n"/>
      <c r="N966" s="205" t="n"/>
      <c r="O966" s="183" t="n"/>
      <c r="P966" s="183" t="n"/>
      <c r="Q966" s="183" t="n"/>
      <c r="R966" s="183" t="n"/>
      <c r="S966" s="183" t="n"/>
      <c r="T966" s="183" t="n"/>
      <c r="U966" s="183" t="n"/>
      <c r="V966" s="183" t="n"/>
      <c r="W966" s="183" t="n"/>
      <c r="X966" s="183" t="n"/>
      <c r="Y966" s="183" t="n"/>
      <c r="Z966" s="183" t="n"/>
      <c r="AA966" s="183" t="n"/>
    </row>
    <row r="967" ht="45.75" customHeight="1" s="222">
      <c r="A967" s="205" t="n"/>
      <c r="B967" s="205" t="n"/>
      <c r="C967" s="205" t="n"/>
      <c r="D967" s="205" t="n"/>
      <c r="E967" s="205" t="n"/>
      <c r="F967" s="205" t="n"/>
      <c r="G967" s="206" t="n"/>
      <c r="H967" s="205" t="n"/>
      <c r="I967" s="28" t="n"/>
      <c r="J967" s="205" t="n"/>
      <c r="K967" s="205" t="n"/>
      <c r="L967" s="205" t="n"/>
      <c r="M967" s="205" t="n"/>
      <c r="N967" s="205" t="n"/>
      <c r="O967" s="183" t="n"/>
      <c r="P967" s="183" t="n"/>
      <c r="Q967" s="183" t="n"/>
      <c r="R967" s="183" t="n"/>
      <c r="S967" s="183" t="n"/>
      <c r="T967" s="183" t="n"/>
      <c r="U967" s="183" t="n"/>
      <c r="V967" s="183" t="n"/>
      <c r="W967" s="183" t="n"/>
      <c r="X967" s="183" t="n"/>
      <c r="Y967" s="183" t="n"/>
      <c r="Z967" s="183" t="n"/>
      <c r="AA967" s="183" t="n"/>
    </row>
    <row r="968" ht="45.75" customHeight="1" s="222">
      <c r="A968" s="205" t="n"/>
      <c r="B968" s="205" t="n"/>
      <c r="C968" s="205" t="n"/>
      <c r="D968" s="205" t="n"/>
      <c r="E968" s="205" t="n"/>
      <c r="F968" s="205" t="n"/>
      <c r="G968" s="206" t="n"/>
      <c r="H968" s="205" t="n"/>
      <c r="I968" s="28" t="n"/>
      <c r="J968" s="205" t="n"/>
      <c r="K968" s="205" t="n"/>
      <c r="L968" s="205" t="n"/>
      <c r="M968" s="205" t="n"/>
      <c r="N968" s="205" t="n"/>
      <c r="O968" s="183" t="n"/>
      <c r="P968" s="183" t="n"/>
      <c r="Q968" s="183" t="n"/>
      <c r="R968" s="183" t="n"/>
      <c r="S968" s="183" t="n"/>
      <c r="T968" s="183" t="n"/>
      <c r="U968" s="183" t="n"/>
      <c r="V968" s="183" t="n"/>
      <c r="W968" s="183" t="n"/>
      <c r="X968" s="183" t="n"/>
      <c r="Y968" s="183" t="n"/>
      <c r="Z968" s="183" t="n"/>
      <c r="AA968" s="183" t="n"/>
    </row>
    <row r="969" ht="45.75" customHeight="1" s="222">
      <c r="A969" s="205" t="n"/>
      <c r="B969" s="205" t="n"/>
      <c r="C969" s="205" t="n"/>
      <c r="D969" s="205" t="n"/>
      <c r="E969" s="205" t="n"/>
      <c r="F969" s="205" t="n"/>
      <c r="G969" s="206" t="n"/>
      <c r="H969" s="205" t="n"/>
      <c r="I969" s="28" t="n"/>
      <c r="J969" s="205" t="n"/>
      <c r="K969" s="205" t="n"/>
      <c r="L969" s="205" t="n"/>
      <c r="M969" s="205" t="n"/>
      <c r="N969" s="205" t="n"/>
      <c r="O969" s="183" t="n"/>
      <c r="P969" s="183" t="n"/>
      <c r="Q969" s="183" t="n"/>
      <c r="R969" s="183" t="n"/>
      <c r="S969" s="183" t="n"/>
      <c r="T969" s="183" t="n"/>
      <c r="U969" s="183" t="n"/>
      <c r="V969" s="183" t="n"/>
      <c r="W969" s="183" t="n"/>
      <c r="X969" s="183" t="n"/>
      <c r="Y969" s="183" t="n"/>
      <c r="Z969" s="183" t="n"/>
      <c r="AA969" s="183" t="n"/>
    </row>
    <row r="970" ht="45.75" customHeight="1" s="222">
      <c r="A970" s="205" t="n"/>
      <c r="B970" s="205" t="n"/>
      <c r="C970" s="205" t="n"/>
      <c r="D970" s="205" t="n"/>
      <c r="E970" s="205" t="n"/>
      <c r="F970" s="205" t="n"/>
      <c r="G970" s="206" t="n"/>
      <c r="H970" s="205" t="n"/>
      <c r="I970" s="28" t="n"/>
      <c r="J970" s="205" t="n"/>
      <c r="K970" s="205" t="n"/>
      <c r="L970" s="205" t="n"/>
      <c r="M970" s="205" t="n"/>
      <c r="N970" s="205" t="n"/>
      <c r="O970" s="183" t="n"/>
      <c r="P970" s="183" t="n"/>
      <c r="Q970" s="183" t="n"/>
      <c r="R970" s="183" t="n"/>
      <c r="S970" s="183" t="n"/>
      <c r="T970" s="183" t="n"/>
      <c r="U970" s="183" t="n"/>
      <c r="V970" s="183" t="n"/>
      <c r="W970" s="183" t="n"/>
      <c r="X970" s="183" t="n"/>
      <c r="Y970" s="183" t="n"/>
      <c r="Z970" s="183" t="n"/>
      <c r="AA970" s="183" t="n"/>
    </row>
    <row r="971" ht="45.75" customHeight="1" s="222">
      <c r="A971" s="205" t="n"/>
      <c r="B971" s="205" t="n"/>
      <c r="C971" s="205" t="n"/>
      <c r="D971" s="205" t="n"/>
      <c r="E971" s="205" t="n"/>
      <c r="F971" s="205" t="n"/>
      <c r="G971" s="206" t="n"/>
      <c r="H971" s="205" t="n"/>
      <c r="I971" s="28" t="n"/>
      <c r="J971" s="205" t="n"/>
      <c r="K971" s="205" t="n"/>
      <c r="L971" s="205" t="n"/>
      <c r="M971" s="205" t="n"/>
      <c r="N971" s="205" t="n"/>
      <c r="O971" s="183" t="n"/>
      <c r="P971" s="183" t="n"/>
      <c r="Q971" s="183" t="n"/>
      <c r="R971" s="183" t="n"/>
      <c r="S971" s="183" t="n"/>
      <c r="T971" s="183" t="n"/>
      <c r="U971" s="183" t="n"/>
      <c r="V971" s="183" t="n"/>
      <c r="W971" s="183" t="n"/>
      <c r="X971" s="183" t="n"/>
      <c r="Y971" s="183" t="n"/>
      <c r="Z971" s="183" t="n"/>
      <c r="AA971" s="183" t="n"/>
    </row>
    <row r="972" ht="45.75" customHeight="1" s="222">
      <c r="A972" s="205" t="n"/>
      <c r="B972" s="205" t="n"/>
      <c r="C972" s="205" t="n"/>
      <c r="D972" s="205" t="n"/>
      <c r="E972" s="205" t="n"/>
      <c r="F972" s="205" t="n"/>
      <c r="G972" s="206" t="n"/>
      <c r="H972" s="205" t="n"/>
      <c r="I972" s="28" t="n"/>
      <c r="J972" s="205" t="n"/>
      <c r="K972" s="205" t="n"/>
      <c r="L972" s="205" t="n"/>
      <c r="M972" s="205" t="n"/>
      <c r="N972" s="205" t="n"/>
      <c r="O972" s="183" t="n"/>
      <c r="P972" s="183" t="n"/>
      <c r="Q972" s="183" t="n"/>
      <c r="R972" s="183" t="n"/>
      <c r="S972" s="183" t="n"/>
      <c r="T972" s="183" t="n"/>
      <c r="U972" s="183" t="n"/>
      <c r="V972" s="183" t="n"/>
      <c r="W972" s="183" t="n"/>
      <c r="X972" s="183" t="n"/>
      <c r="Y972" s="183" t="n"/>
      <c r="Z972" s="183" t="n"/>
      <c r="AA972" s="183" t="n"/>
    </row>
    <row r="973" ht="45.75" customHeight="1" s="222">
      <c r="A973" s="205" t="n"/>
      <c r="B973" s="205" t="n"/>
      <c r="C973" s="205" t="n"/>
      <c r="D973" s="205" t="n"/>
      <c r="E973" s="205" t="n"/>
      <c r="F973" s="205" t="n"/>
      <c r="G973" s="206" t="n"/>
      <c r="H973" s="205" t="n"/>
      <c r="I973" s="28" t="n"/>
      <c r="J973" s="205" t="n"/>
      <c r="K973" s="205" t="n"/>
      <c r="L973" s="205" t="n"/>
      <c r="M973" s="205" t="n"/>
      <c r="N973" s="205" t="n"/>
      <c r="O973" s="183" t="n"/>
      <c r="P973" s="183" t="n"/>
      <c r="Q973" s="183" t="n"/>
      <c r="R973" s="183" t="n"/>
      <c r="S973" s="183" t="n"/>
      <c r="T973" s="183" t="n"/>
      <c r="U973" s="183" t="n"/>
      <c r="V973" s="183" t="n"/>
      <c r="W973" s="183" t="n"/>
      <c r="X973" s="183" t="n"/>
      <c r="Y973" s="183" t="n"/>
      <c r="Z973" s="183" t="n"/>
      <c r="AA973" s="183" t="n"/>
    </row>
    <row r="974" ht="45.75" customHeight="1" s="222">
      <c r="A974" s="205" t="n"/>
      <c r="B974" s="205" t="n"/>
      <c r="C974" s="205" t="n"/>
      <c r="D974" s="205" t="n"/>
      <c r="E974" s="205" t="n"/>
      <c r="F974" s="205" t="n"/>
      <c r="G974" s="206" t="n"/>
      <c r="H974" s="205" t="n"/>
      <c r="I974" s="28" t="n"/>
      <c r="J974" s="205" t="n"/>
      <c r="K974" s="205" t="n"/>
      <c r="L974" s="205" t="n"/>
      <c r="M974" s="205" t="n"/>
      <c r="N974" s="205" t="n"/>
      <c r="O974" s="183" t="n"/>
      <c r="P974" s="183" t="n"/>
      <c r="Q974" s="183" t="n"/>
      <c r="R974" s="183" t="n"/>
      <c r="S974" s="183" t="n"/>
      <c r="T974" s="183" t="n"/>
      <c r="U974" s="183" t="n"/>
      <c r="V974" s="183" t="n"/>
      <c r="W974" s="183" t="n"/>
      <c r="X974" s="183" t="n"/>
      <c r="Y974" s="183" t="n"/>
      <c r="Z974" s="183" t="n"/>
      <c r="AA974" s="183" t="n"/>
    </row>
    <row r="975" ht="45.75" customHeight="1" s="222">
      <c r="A975" s="205" t="n"/>
      <c r="B975" s="205" t="n"/>
      <c r="C975" s="205" t="n"/>
      <c r="D975" s="205" t="n"/>
      <c r="E975" s="205" t="n"/>
      <c r="F975" s="205" t="n"/>
      <c r="G975" s="206" t="n"/>
      <c r="H975" s="205" t="n"/>
      <c r="I975" s="28" t="n"/>
      <c r="J975" s="205" t="n"/>
      <c r="K975" s="205" t="n"/>
      <c r="L975" s="205" t="n"/>
      <c r="M975" s="205" t="n"/>
      <c r="N975" s="205" t="n"/>
      <c r="O975" s="183" t="n"/>
      <c r="P975" s="183" t="n"/>
      <c r="Q975" s="183" t="n"/>
      <c r="R975" s="183" t="n"/>
      <c r="S975" s="183" t="n"/>
      <c r="T975" s="183" t="n"/>
      <c r="U975" s="183" t="n"/>
      <c r="V975" s="183" t="n"/>
      <c r="W975" s="183" t="n"/>
      <c r="X975" s="183" t="n"/>
      <c r="Y975" s="183" t="n"/>
      <c r="Z975" s="183" t="n"/>
      <c r="AA975" s="183" t="n"/>
    </row>
    <row r="976" ht="45.75" customHeight="1" s="222">
      <c r="A976" s="205" t="n"/>
      <c r="B976" s="205" t="n"/>
      <c r="C976" s="205" t="n"/>
      <c r="D976" s="205" t="n"/>
      <c r="E976" s="205" t="n"/>
      <c r="F976" s="205" t="n"/>
      <c r="G976" s="206" t="n"/>
      <c r="H976" s="205" t="n"/>
      <c r="I976" s="28" t="n"/>
      <c r="J976" s="205" t="n"/>
      <c r="K976" s="205" t="n"/>
      <c r="L976" s="205" t="n"/>
      <c r="M976" s="205" t="n"/>
      <c r="N976" s="205" t="n"/>
      <c r="O976" s="183" t="n"/>
      <c r="P976" s="183" t="n"/>
      <c r="Q976" s="183" t="n"/>
      <c r="R976" s="183" t="n"/>
      <c r="S976" s="183" t="n"/>
      <c r="T976" s="183" t="n"/>
      <c r="U976" s="183" t="n"/>
      <c r="V976" s="183" t="n"/>
      <c r="W976" s="183" t="n"/>
      <c r="X976" s="183" t="n"/>
      <c r="Y976" s="183" t="n"/>
      <c r="Z976" s="183" t="n"/>
      <c r="AA976" s="183" t="n"/>
    </row>
    <row r="977" ht="45.75" customHeight="1" s="222">
      <c r="A977" s="205" t="n"/>
      <c r="B977" s="205" t="n"/>
      <c r="C977" s="205" t="n"/>
      <c r="D977" s="205" t="n"/>
      <c r="E977" s="205" t="n"/>
      <c r="F977" s="205" t="n"/>
      <c r="G977" s="206" t="n"/>
      <c r="H977" s="205" t="n"/>
      <c r="I977" s="28" t="n"/>
      <c r="J977" s="205" t="n"/>
      <c r="K977" s="205" t="n"/>
      <c r="L977" s="205" t="n"/>
      <c r="M977" s="205" t="n"/>
      <c r="N977" s="205" t="n"/>
      <c r="O977" s="183" t="n"/>
      <c r="P977" s="183" t="n"/>
      <c r="Q977" s="183" t="n"/>
      <c r="R977" s="183" t="n"/>
      <c r="S977" s="183" t="n"/>
      <c r="T977" s="183" t="n"/>
      <c r="U977" s="183" t="n"/>
      <c r="V977" s="183" t="n"/>
      <c r="W977" s="183" t="n"/>
      <c r="X977" s="183" t="n"/>
      <c r="Y977" s="183" t="n"/>
      <c r="Z977" s="183" t="n"/>
      <c r="AA977" s="183" t="n"/>
    </row>
    <row r="978" ht="45.75" customHeight="1" s="222">
      <c r="A978" s="205" t="n"/>
      <c r="B978" s="205" t="n"/>
      <c r="C978" s="205" t="n"/>
      <c r="D978" s="205" t="n"/>
      <c r="E978" s="205" t="n"/>
      <c r="F978" s="205" t="n"/>
      <c r="G978" s="206" t="n"/>
      <c r="H978" s="205" t="n"/>
      <c r="I978" s="28" t="n"/>
      <c r="J978" s="205" t="n"/>
      <c r="K978" s="205" t="n"/>
      <c r="L978" s="205" t="n"/>
      <c r="M978" s="205" t="n"/>
      <c r="N978" s="205" t="n"/>
      <c r="O978" s="183" t="n"/>
      <c r="P978" s="183" t="n"/>
      <c r="Q978" s="183" t="n"/>
      <c r="R978" s="183" t="n"/>
      <c r="S978" s="183" t="n"/>
      <c r="T978" s="183" t="n"/>
      <c r="U978" s="183" t="n"/>
      <c r="V978" s="183" t="n"/>
      <c r="W978" s="183" t="n"/>
      <c r="X978" s="183" t="n"/>
      <c r="Y978" s="183" t="n"/>
      <c r="Z978" s="183" t="n"/>
      <c r="AA978" s="183" t="n"/>
    </row>
    <row r="979" ht="45.75" customHeight="1" s="222">
      <c r="A979" s="205" t="n"/>
      <c r="B979" s="205" t="n"/>
      <c r="C979" s="205" t="n"/>
      <c r="D979" s="205" t="n"/>
      <c r="E979" s="205" t="n"/>
      <c r="F979" s="205" t="n"/>
      <c r="G979" s="206" t="n"/>
      <c r="H979" s="205" t="n"/>
      <c r="I979" s="28" t="n"/>
      <c r="J979" s="205" t="n"/>
      <c r="K979" s="205" t="n"/>
      <c r="L979" s="205" t="n"/>
      <c r="M979" s="205" t="n"/>
      <c r="N979" s="205" t="n"/>
      <c r="O979" s="183" t="n"/>
      <c r="P979" s="183" t="n"/>
      <c r="Q979" s="183" t="n"/>
      <c r="R979" s="183" t="n"/>
      <c r="S979" s="183" t="n"/>
      <c r="T979" s="183" t="n"/>
      <c r="U979" s="183" t="n"/>
      <c r="V979" s="183" t="n"/>
      <c r="W979" s="183" t="n"/>
      <c r="X979" s="183" t="n"/>
      <c r="Y979" s="183" t="n"/>
      <c r="Z979" s="183" t="n"/>
      <c r="AA979" s="183" t="n"/>
    </row>
    <row r="980" ht="45.75" customHeight="1" s="222">
      <c r="A980" s="205" t="n"/>
      <c r="B980" s="205" t="n"/>
      <c r="C980" s="205" t="n"/>
      <c r="D980" s="205" t="n"/>
      <c r="E980" s="205" t="n"/>
      <c r="F980" s="205" t="n"/>
      <c r="G980" s="206" t="n"/>
      <c r="H980" s="205" t="n"/>
      <c r="I980" s="28" t="n"/>
      <c r="J980" s="205" t="n"/>
      <c r="K980" s="205" t="n"/>
      <c r="L980" s="205" t="n"/>
      <c r="M980" s="205" t="n"/>
      <c r="N980" s="205" t="n"/>
      <c r="O980" s="183" t="n"/>
      <c r="P980" s="183" t="n"/>
      <c r="Q980" s="183" t="n"/>
      <c r="R980" s="183" t="n"/>
      <c r="S980" s="183" t="n"/>
      <c r="T980" s="183" t="n"/>
      <c r="U980" s="183" t="n"/>
      <c r="V980" s="183" t="n"/>
      <c r="W980" s="183" t="n"/>
      <c r="X980" s="183" t="n"/>
      <c r="Y980" s="183" t="n"/>
      <c r="Z980" s="183" t="n"/>
      <c r="AA980" s="183" t="n"/>
    </row>
    <row r="981" ht="45.75" customHeight="1" s="222">
      <c r="A981" s="205" t="n"/>
      <c r="B981" s="205" t="n"/>
      <c r="C981" s="205" t="n"/>
      <c r="D981" s="205" t="n"/>
      <c r="E981" s="205" t="n"/>
      <c r="F981" s="205" t="n"/>
      <c r="G981" s="206" t="n"/>
      <c r="H981" s="205" t="n"/>
      <c r="I981" s="28" t="n"/>
      <c r="J981" s="205" t="n"/>
      <c r="K981" s="205" t="n"/>
      <c r="L981" s="205" t="n"/>
      <c r="M981" s="205" t="n"/>
      <c r="N981" s="205" t="n"/>
      <c r="O981" s="183" t="n"/>
      <c r="P981" s="183" t="n"/>
      <c r="Q981" s="183" t="n"/>
      <c r="R981" s="183" t="n"/>
      <c r="S981" s="183" t="n"/>
      <c r="T981" s="183" t="n"/>
      <c r="U981" s="183" t="n"/>
      <c r="V981" s="183" t="n"/>
      <c r="W981" s="183" t="n"/>
      <c r="X981" s="183" t="n"/>
      <c r="Y981" s="183" t="n"/>
      <c r="Z981" s="183" t="n"/>
      <c r="AA981" s="183" t="n"/>
    </row>
    <row r="982" ht="45.75" customHeight="1" s="222">
      <c r="A982" s="205" t="n"/>
      <c r="B982" s="205" t="n"/>
      <c r="C982" s="205" t="n"/>
      <c r="D982" s="205" t="n"/>
      <c r="E982" s="205" t="n"/>
      <c r="F982" s="205" t="n"/>
      <c r="G982" s="206" t="n"/>
      <c r="H982" s="205" t="n"/>
      <c r="I982" s="28" t="n"/>
      <c r="J982" s="205" t="n"/>
      <c r="K982" s="205" t="n"/>
      <c r="L982" s="205" t="n"/>
      <c r="M982" s="205" t="n"/>
      <c r="N982" s="205" t="n"/>
      <c r="O982" s="183" t="n"/>
      <c r="P982" s="183" t="n"/>
      <c r="Q982" s="183" t="n"/>
      <c r="R982" s="183" t="n"/>
      <c r="S982" s="183" t="n"/>
      <c r="T982" s="183" t="n"/>
      <c r="U982" s="183" t="n"/>
      <c r="V982" s="183" t="n"/>
      <c r="W982" s="183" t="n"/>
      <c r="X982" s="183" t="n"/>
      <c r="Y982" s="183" t="n"/>
      <c r="Z982" s="183" t="n"/>
      <c r="AA982" s="183" t="n"/>
    </row>
    <row r="983" ht="45.75" customHeight="1" s="222">
      <c r="A983" s="205" t="n"/>
      <c r="B983" s="205" t="n"/>
      <c r="C983" s="205" t="n"/>
      <c r="D983" s="205" t="n"/>
      <c r="E983" s="205" t="n"/>
      <c r="F983" s="205" t="n"/>
      <c r="G983" s="206" t="n"/>
      <c r="H983" s="205" t="n"/>
      <c r="I983" s="28" t="n"/>
      <c r="J983" s="205" t="n"/>
      <c r="K983" s="205" t="n"/>
      <c r="L983" s="205" t="n"/>
      <c r="M983" s="205" t="n"/>
      <c r="N983" s="205" t="n"/>
      <c r="O983" s="183" t="n"/>
      <c r="P983" s="183" t="n"/>
      <c r="Q983" s="183" t="n"/>
      <c r="R983" s="183" t="n"/>
      <c r="S983" s="183" t="n"/>
      <c r="T983" s="183" t="n"/>
      <c r="U983" s="183" t="n"/>
      <c r="V983" s="183" t="n"/>
      <c r="W983" s="183" t="n"/>
      <c r="X983" s="183" t="n"/>
      <c r="Y983" s="183" t="n"/>
      <c r="Z983" s="183" t="n"/>
      <c r="AA983" s="183" t="n"/>
    </row>
    <row r="984" ht="45.75" customHeight="1" s="222">
      <c r="A984" s="205" t="n"/>
      <c r="B984" s="205" t="n"/>
      <c r="C984" s="205" t="n"/>
      <c r="D984" s="205" t="n"/>
      <c r="E984" s="205" t="n"/>
      <c r="F984" s="205" t="n"/>
      <c r="G984" s="206" t="n"/>
      <c r="H984" s="205" t="n"/>
      <c r="I984" s="28" t="n"/>
      <c r="J984" s="205" t="n"/>
      <c r="K984" s="205" t="n"/>
      <c r="L984" s="205" t="n"/>
      <c r="M984" s="205" t="n"/>
      <c r="N984" s="205" t="n"/>
      <c r="O984" s="183" t="n"/>
      <c r="P984" s="183" t="n"/>
      <c r="Q984" s="183" t="n"/>
      <c r="R984" s="183" t="n"/>
      <c r="S984" s="183" t="n"/>
      <c r="T984" s="183" t="n"/>
      <c r="U984" s="183" t="n"/>
      <c r="V984" s="183" t="n"/>
      <c r="W984" s="183" t="n"/>
      <c r="X984" s="183" t="n"/>
      <c r="Y984" s="183" t="n"/>
      <c r="Z984" s="183" t="n"/>
      <c r="AA984" s="183" t="n"/>
    </row>
    <row r="985" ht="45.75" customHeight="1" s="222">
      <c r="A985" s="205" t="n"/>
      <c r="B985" s="205" t="n"/>
      <c r="C985" s="205" t="n"/>
      <c r="D985" s="205" t="n"/>
      <c r="E985" s="205" t="n"/>
      <c r="F985" s="205" t="n"/>
      <c r="G985" s="206" t="n"/>
      <c r="H985" s="205" t="n"/>
      <c r="I985" s="28" t="n"/>
      <c r="J985" s="205" t="n"/>
      <c r="K985" s="205" t="n"/>
      <c r="L985" s="205" t="n"/>
      <c r="M985" s="205" t="n"/>
      <c r="N985" s="205" t="n"/>
      <c r="O985" s="183" t="n"/>
      <c r="P985" s="183" t="n"/>
      <c r="Q985" s="183" t="n"/>
      <c r="R985" s="183" t="n"/>
      <c r="S985" s="183" t="n"/>
      <c r="T985" s="183" t="n"/>
      <c r="U985" s="183" t="n"/>
      <c r="V985" s="183" t="n"/>
      <c r="W985" s="183" t="n"/>
      <c r="X985" s="183" t="n"/>
      <c r="Y985" s="183" t="n"/>
      <c r="Z985" s="183" t="n"/>
      <c r="AA985" s="183" t="n"/>
    </row>
    <row r="986" ht="45.75" customHeight="1" s="222">
      <c r="A986" s="205" t="n"/>
      <c r="B986" s="205" t="n"/>
      <c r="C986" s="205" t="n"/>
      <c r="D986" s="205" t="n"/>
      <c r="E986" s="205" t="n"/>
      <c r="F986" s="205" t="n"/>
      <c r="G986" s="206" t="n"/>
      <c r="H986" s="205" t="n"/>
      <c r="I986" s="28" t="n"/>
      <c r="J986" s="205" t="n"/>
      <c r="K986" s="205" t="n"/>
      <c r="L986" s="205" t="n"/>
      <c r="M986" s="205" t="n"/>
      <c r="N986" s="205" t="n"/>
      <c r="O986" s="183" t="n"/>
      <c r="P986" s="183" t="n"/>
      <c r="Q986" s="183" t="n"/>
      <c r="R986" s="183" t="n"/>
      <c r="S986" s="183" t="n"/>
      <c r="T986" s="183" t="n"/>
      <c r="U986" s="183" t="n"/>
      <c r="V986" s="183" t="n"/>
      <c r="W986" s="183" t="n"/>
      <c r="X986" s="183" t="n"/>
      <c r="Y986" s="183" t="n"/>
      <c r="Z986" s="183" t="n"/>
      <c r="AA986" s="183" t="n"/>
    </row>
    <row r="987" ht="45.75" customHeight="1" s="222">
      <c r="A987" s="205" t="n"/>
      <c r="B987" s="205" t="n"/>
      <c r="C987" s="205" t="n"/>
      <c r="D987" s="205" t="n"/>
      <c r="E987" s="205" t="n"/>
      <c r="F987" s="205" t="n"/>
      <c r="G987" s="206" t="n"/>
      <c r="H987" s="205" t="n"/>
      <c r="I987" s="28" t="n"/>
      <c r="J987" s="205" t="n"/>
      <c r="K987" s="205" t="n"/>
      <c r="L987" s="205" t="n"/>
      <c r="M987" s="205" t="n"/>
      <c r="N987" s="205" t="n"/>
      <c r="O987" s="183" t="n"/>
      <c r="P987" s="183" t="n"/>
      <c r="Q987" s="183" t="n"/>
      <c r="R987" s="183" t="n"/>
      <c r="S987" s="183" t="n"/>
      <c r="T987" s="183" t="n"/>
      <c r="U987" s="183" t="n"/>
      <c r="V987" s="183" t="n"/>
      <c r="W987" s="183" t="n"/>
      <c r="X987" s="183" t="n"/>
      <c r="Y987" s="183" t="n"/>
      <c r="Z987" s="183" t="n"/>
      <c r="AA987" s="183" t="n"/>
    </row>
    <row r="988" ht="45.75" customHeight="1" s="222">
      <c r="A988" s="205" t="n"/>
      <c r="B988" s="205" t="n"/>
      <c r="C988" s="205" t="n"/>
      <c r="D988" s="205" t="n"/>
      <c r="E988" s="205" t="n"/>
      <c r="F988" s="205" t="n"/>
      <c r="G988" s="206" t="n"/>
      <c r="H988" s="205" t="n"/>
      <c r="I988" s="28" t="n"/>
      <c r="J988" s="205" t="n"/>
      <c r="K988" s="205" t="n"/>
      <c r="L988" s="205" t="n"/>
      <c r="M988" s="205" t="n"/>
      <c r="N988" s="205" t="n"/>
      <c r="O988" s="183" t="n"/>
      <c r="P988" s="183" t="n"/>
      <c r="Q988" s="183" t="n"/>
      <c r="R988" s="183" t="n"/>
      <c r="S988" s="183" t="n"/>
      <c r="T988" s="183" t="n"/>
      <c r="U988" s="183" t="n"/>
      <c r="V988" s="183" t="n"/>
      <c r="W988" s="183" t="n"/>
      <c r="X988" s="183" t="n"/>
      <c r="Y988" s="183" t="n"/>
      <c r="Z988" s="183" t="n"/>
      <c r="AA988" s="183" t="n"/>
    </row>
    <row r="989" ht="45.75" customHeight="1" s="222">
      <c r="A989" s="205" t="n"/>
      <c r="B989" s="205" t="n"/>
      <c r="C989" s="205" t="n"/>
      <c r="D989" s="205" t="n"/>
      <c r="E989" s="205" t="n"/>
      <c r="F989" s="205" t="n"/>
      <c r="G989" s="206" t="n"/>
      <c r="H989" s="205" t="n"/>
      <c r="I989" s="28" t="n"/>
      <c r="J989" s="205" t="n"/>
      <c r="K989" s="205" t="n"/>
      <c r="L989" s="205" t="n"/>
      <c r="M989" s="205" t="n"/>
      <c r="N989" s="205" t="n"/>
      <c r="O989" s="183" t="n"/>
      <c r="P989" s="183" t="n"/>
      <c r="Q989" s="183" t="n"/>
      <c r="R989" s="183" t="n"/>
      <c r="S989" s="183" t="n"/>
      <c r="T989" s="183" t="n"/>
      <c r="U989" s="183" t="n"/>
      <c r="V989" s="183" t="n"/>
      <c r="W989" s="183" t="n"/>
      <c r="X989" s="183" t="n"/>
      <c r="Y989" s="183" t="n"/>
      <c r="Z989" s="183" t="n"/>
      <c r="AA989" s="183" t="n"/>
    </row>
    <row r="990" ht="45.75" customHeight="1" s="222">
      <c r="A990" s="205" t="n"/>
      <c r="B990" s="205" t="n"/>
      <c r="C990" s="205" t="n"/>
      <c r="D990" s="205" t="n"/>
      <c r="E990" s="205" t="n"/>
      <c r="F990" s="205" t="n"/>
      <c r="G990" s="206" t="n"/>
      <c r="H990" s="205" t="n"/>
      <c r="I990" s="28" t="n"/>
      <c r="J990" s="205" t="n"/>
      <c r="K990" s="205" t="n"/>
      <c r="L990" s="205" t="n"/>
      <c r="M990" s="205" t="n"/>
      <c r="N990" s="205" t="n"/>
      <c r="O990" s="183" t="n"/>
      <c r="P990" s="183" t="n"/>
      <c r="Q990" s="183" t="n"/>
      <c r="R990" s="183" t="n"/>
      <c r="S990" s="183" t="n"/>
      <c r="T990" s="183" t="n"/>
      <c r="U990" s="183" t="n"/>
      <c r="V990" s="183" t="n"/>
      <c r="W990" s="183" t="n"/>
      <c r="X990" s="183" t="n"/>
      <c r="Y990" s="183" t="n"/>
      <c r="Z990" s="183" t="n"/>
      <c r="AA990" s="183" t="n"/>
    </row>
    <row r="991" ht="45.75" customHeight="1" s="222">
      <c r="A991" s="205" t="n"/>
      <c r="B991" s="205" t="n"/>
      <c r="C991" s="205" t="n"/>
      <c r="D991" s="205" t="n"/>
      <c r="E991" s="205" t="n"/>
      <c r="F991" s="205" t="n"/>
      <c r="G991" s="206" t="n"/>
      <c r="H991" s="205" t="n"/>
      <c r="I991" s="28" t="n"/>
      <c r="J991" s="205" t="n"/>
      <c r="K991" s="205" t="n"/>
      <c r="L991" s="205" t="n"/>
      <c r="M991" s="205" t="n"/>
      <c r="N991" s="205" t="n"/>
      <c r="O991" s="183" t="n"/>
      <c r="P991" s="183" t="n"/>
      <c r="Q991" s="183" t="n"/>
      <c r="R991" s="183" t="n"/>
      <c r="S991" s="183" t="n"/>
      <c r="T991" s="183" t="n"/>
      <c r="U991" s="183" t="n"/>
      <c r="V991" s="183" t="n"/>
      <c r="W991" s="183" t="n"/>
      <c r="X991" s="183" t="n"/>
      <c r="Y991" s="183" t="n"/>
      <c r="Z991" s="183" t="n"/>
      <c r="AA991" s="183" t="n"/>
    </row>
    <row r="992" ht="45.75" customHeight="1" s="222">
      <c r="A992" s="205" t="n"/>
      <c r="B992" s="205" t="n"/>
      <c r="C992" s="205" t="n"/>
      <c r="D992" s="205" t="n"/>
      <c r="E992" s="205" t="n"/>
      <c r="F992" s="205" t="n"/>
      <c r="G992" s="206" t="n"/>
      <c r="H992" s="205" t="n"/>
      <c r="I992" s="28" t="n"/>
      <c r="J992" s="205" t="n"/>
      <c r="K992" s="205" t="n"/>
      <c r="L992" s="205" t="n"/>
      <c r="M992" s="205" t="n"/>
      <c r="N992" s="205" t="n"/>
      <c r="O992" s="183" t="n"/>
      <c r="P992" s="183" t="n"/>
      <c r="Q992" s="183" t="n"/>
      <c r="R992" s="183" t="n"/>
      <c r="S992" s="183" t="n"/>
      <c r="T992" s="183" t="n"/>
      <c r="U992" s="183" t="n"/>
      <c r="V992" s="183" t="n"/>
      <c r="W992" s="183" t="n"/>
      <c r="X992" s="183" t="n"/>
      <c r="Y992" s="183" t="n"/>
      <c r="Z992" s="183" t="n"/>
      <c r="AA992" s="183" t="n"/>
    </row>
    <row r="993" ht="45.75" customHeight="1" s="222">
      <c r="A993" s="205" t="n"/>
      <c r="B993" s="205" t="n"/>
      <c r="C993" s="205" t="n"/>
      <c r="D993" s="205" t="n"/>
      <c r="E993" s="205" t="n"/>
      <c r="F993" s="205" t="n"/>
      <c r="G993" s="206" t="n"/>
      <c r="H993" s="205" t="n"/>
      <c r="I993" s="28" t="n"/>
      <c r="J993" s="205" t="n"/>
      <c r="K993" s="205" t="n"/>
      <c r="L993" s="205" t="n"/>
      <c r="M993" s="205" t="n"/>
      <c r="N993" s="205" t="n"/>
      <c r="O993" s="183" t="n"/>
      <c r="P993" s="183" t="n"/>
      <c r="Q993" s="183" t="n"/>
      <c r="R993" s="183" t="n"/>
      <c r="S993" s="183" t="n"/>
      <c r="T993" s="183" t="n"/>
      <c r="U993" s="183" t="n"/>
      <c r="V993" s="183" t="n"/>
      <c r="W993" s="183" t="n"/>
      <c r="X993" s="183" t="n"/>
      <c r="Y993" s="183" t="n"/>
      <c r="Z993" s="183" t="n"/>
      <c r="AA993" s="183" t="n"/>
    </row>
    <row r="994" ht="45.75" customHeight="1" s="222">
      <c r="A994" s="205" t="n"/>
      <c r="B994" s="205" t="n"/>
      <c r="C994" s="205" t="n"/>
      <c r="D994" s="205" t="n"/>
      <c r="E994" s="205" t="n"/>
      <c r="F994" s="205" t="n"/>
      <c r="G994" s="206" t="n"/>
      <c r="H994" s="205" t="n"/>
      <c r="I994" s="28" t="n"/>
      <c r="J994" s="205" t="n"/>
      <c r="K994" s="205" t="n"/>
      <c r="L994" s="205" t="n"/>
      <c r="M994" s="205" t="n"/>
      <c r="N994" s="205" t="n"/>
      <c r="O994" s="183" t="n"/>
      <c r="P994" s="183" t="n"/>
      <c r="Q994" s="183" t="n"/>
      <c r="R994" s="183" t="n"/>
      <c r="S994" s="183" t="n"/>
      <c r="T994" s="183" t="n"/>
      <c r="U994" s="183" t="n"/>
      <c r="V994" s="183" t="n"/>
      <c r="W994" s="183" t="n"/>
      <c r="X994" s="183" t="n"/>
      <c r="Y994" s="183" t="n"/>
      <c r="Z994" s="183" t="n"/>
      <c r="AA994" s="183" t="n"/>
    </row>
    <row r="995" ht="45.75" customHeight="1" s="222">
      <c r="A995" s="205" t="n"/>
      <c r="B995" s="205" t="n"/>
      <c r="C995" s="205" t="n"/>
      <c r="D995" s="205" t="n"/>
      <c r="E995" s="205" t="n"/>
      <c r="F995" s="205" t="n"/>
      <c r="G995" s="206" t="n"/>
      <c r="H995" s="205" t="n"/>
      <c r="I995" s="28" t="n"/>
      <c r="J995" s="205" t="n"/>
      <c r="K995" s="205" t="n"/>
      <c r="L995" s="205" t="n"/>
      <c r="M995" s="205" t="n"/>
      <c r="N995" s="205" t="n"/>
      <c r="O995" s="183" t="n"/>
      <c r="P995" s="183" t="n"/>
      <c r="Q995" s="183" t="n"/>
      <c r="R995" s="183" t="n"/>
      <c r="S995" s="183" t="n"/>
      <c r="T995" s="183" t="n"/>
      <c r="U995" s="183" t="n"/>
      <c r="V995" s="183" t="n"/>
      <c r="W995" s="183" t="n"/>
      <c r="X995" s="183" t="n"/>
      <c r="Y995" s="183" t="n"/>
      <c r="Z995" s="183" t="n"/>
      <c r="AA995" s="183" t="n"/>
    </row>
    <row r="996" ht="45.75" customHeight="1" s="222">
      <c r="A996" s="205" t="n"/>
      <c r="B996" s="205" t="n"/>
      <c r="C996" s="205" t="n"/>
      <c r="D996" s="205" t="n"/>
      <c r="E996" s="205" t="n"/>
      <c r="F996" s="205" t="n"/>
      <c r="G996" s="206" t="n"/>
      <c r="H996" s="205" t="n"/>
      <c r="I996" s="28" t="n"/>
      <c r="J996" s="205" t="n"/>
      <c r="K996" s="205" t="n"/>
      <c r="L996" s="205" t="n"/>
      <c r="M996" s="205" t="n"/>
      <c r="N996" s="205" t="n"/>
      <c r="O996" s="183" t="n"/>
      <c r="P996" s="183" t="n"/>
      <c r="Q996" s="183" t="n"/>
      <c r="R996" s="183" t="n"/>
      <c r="S996" s="183" t="n"/>
      <c r="T996" s="183" t="n"/>
      <c r="U996" s="183" t="n"/>
      <c r="V996" s="183" t="n"/>
      <c r="W996" s="183" t="n"/>
      <c r="X996" s="183" t="n"/>
      <c r="Y996" s="183" t="n"/>
      <c r="Z996" s="183" t="n"/>
      <c r="AA996" s="183" t="n"/>
    </row>
    <row r="997" ht="45.75" customHeight="1" s="222">
      <c r="A997" s="205" t="n"/>
      <c r="B997" s="205" t="n"/>
      <c r="C997" s="205" t="n"/>
      <c r="D997" s="205" t="n"/>
      <c r="E997" s="205" t="n"/>
      <c r="F997" s="205" t="n"/>
      <c r="G997" s="206" t="n"/>
      <c r="H997" s="205" t="n"/>
      <c r="I997" s="28" t="n"/>
      <c r="J997" s="205" t="n"/>
      <c r="K997" s="205" t="n"/>
      <c r="L997" s="205" t="n"/>
      <c r="M997" s="205" t="n"/>
      <c r="N997" s="205" t="n"/>
      <c r="O997" s="183" t="n"/>
      <c r="P997" s="183" t="n"/>
      <c r="Q997" s="183" t="n"/>
      <c r="R997" s="183" t="n"/>
      <c r="S997" s="183" t="n"/>
      <c r="T997" s="183" t="n"/>
      <c r="U997" s="183" t="n"/>
      <c r="V997" s="183" t="n"/>
      <c r="W997" s="183" t="n"/>
      <c r="X997" s="183" t="n"/>
      <c r="Y997" s="183" t="n"/>
      <c r="Z997" s="183" t="n"/>
      <c r="AA997" s="183" t="n"/>
    </row>
    <row r="998" ht="45.75" customHeight="1" s="222">
      <c r="A998" s="205" t="n"/>
      <c r="B998" s="205" t="n"/>
      <c r="C998" s="205" t="n"/>
      <c r="D998" s="205" t="n"/>
      <c r="E998" s="205" t="n"/>
      <c r="F998" s="205" t="n"/>
      <c r="G998" s="206" t="n"/>
      <c r="H998" s="205" t="n"/>
      <c r="I998" s="28" t="n"/>
      <c r="J998" s="205" t="n"/>
      <c r="K998" s="205" t="n"/>
      <c r="L998" s="205" t="n"/>
      <c r="M998" s="205" t="n"/>
      <c r="N998" s="205" t="n"/>
      <c r="O998" s="183" t="n"/>
      <c r="P998" s="183" t="n"/>
      <c r="Q998" s="183" t="n"/>
      <c r="R998" s="183" t="n"/>
      <c r="S998" s="183" t="n"/>
      <c r="T998" s="183" t="n"/>
      <c r="U998" s="183" t="n"/>
      <c r="V998" s="183" t="n"/>
      <c r="W998" s="183" t="n"/>
      <c r="X998" s="183" t="n"/>
      <c r="Y998" s="183" t="n"/>
      <c r="Z998" s="183" t="n"/>
      <c r="AA998" s="183" t="n"/>
    </row>
    <row r="999" ht="45.75" customHeight="1" s="222">
      <c r="A999" s="205" t="n"/>
      <c r="B999" s="205" t="n"/>
      <c r="C999" s="205" t="n"/>
      <c r="D999" s="205" t="n"/>
      <c r="E999" s="205" t="n"/>
      <c r="F999" s="205" t="n"/>
      <c r="G999" s="206" t="n"/>
      <c r="H999" s="205" t="n"/>
      <c r="I999" s="28" t="n"/>
      <c r="J999" s="205" t="n"/>
      <c r="K999" s="205" t="n"/>
      <c r="L999" s="205" t="n"/>
      <c r="M999" s="205" t="n"/>
      <c r="N999" s="205" t="n"/>
      <c r="O999" s="183" t="n"/>
      <c r="P999" s="183" t="n"/>
      <c r="Q999" s="183" t="n"/>
      <c r="R999" s="183" t="n"/>
      <c r="S999" s="183" t="n"/>
      <c r="T999" s="183" t="n"/>
      <c r="U999" s="183" t="n"/>
      <c r="V999" s="183" t="n"/>
      <c r="W999" s="183" t="n"/>
      <c r="X999" s="183" t="n"/>
      <c r="Y999" s="183" t="n"/>
      <c r="Z999" s="183" t="n"/>
      <c r="AA999" s="183" t="n"/>
    </row>
    <row r="1000" ht="45.75" customHeight="1" s="222">
      <c r="A1000" s="205" t="n"/>
      <c r="B1000" s="205" t="n"/>
      <c r="C1000" s="205" t="n"/>
      <c r="D1000" s="205" t="n"/>
      <c r="E1000" s="205" t="n"/>
      <c r="F1000" s="205" t="n"/>
      <c r="G1000" s="206" t="n"/>
      <c r="H1000" s="205" t="n"/>
      <c r="I1000" s="28" t="n"/>
      <c r="J1000" s="205" t="n"/>
      <c r="K1000" s="205" t="n"/>
      <c r="L1000" s="205" t="n"/>
      <c r="M1000" s="205" t="n"/>
      <c r="N1000" s="205" t="n"/>
      <c r="O1000" s="183" t="n"/>
      <c r="P1000" s="183" t="n"/>
      <c r="Q1000" s="183" t="n"/>
      <c r="R1000" s="183" t="n"/>
      <c r="S1000" s="183" t="n"/>
      <c r="T1000" s="183" t="n"/>
      <c r="U1000" s="183" t="n"/>
      <c r="V1000" s="183" t="n"/>
      <c r="W1000" s="183" t="n"/>
      <c r="X1000" s="183" t="n"/>
      <c r="Y1000" s="183" t="n"/>
      <c r="Z1000" s="183" t="n"/>
      <c r="AA1000" s="183" t="n"/>
    </row>
  </sheetData>
  <hyperlinks>
    <hyperlink xmlns:r="http://schemas.openxmlformats.org/officeDocument/2006/relationships" ref="L3" r:id="rId1"/>
    <hyperlink xmlns:r="http://schemas.openxmlformats.org/officeDocument/2006/relationships" ref="L5" r:id="rId2"/>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L1060"/>
  <sheetViews>
    <sheetView workbookViewId="0">
      <selection activeCell="A1" sqref="A1"/>
    </sheetView>
  </sheetViews>
  <sheetFormatPr baseColWidth="8" defaultColWidth="12.63" defaultRowHeight="15" customHeight="1"/>
  <cols>
    <col width="23" customWidth="1" style="222" min="1" max="1"/>
    <col width="12.25" customWidth="1" style="222" min="2" max="8"/>
    <col width="18" customWidth="1" style="222" min="9" max="9"/>
  </cols>
  <sheetData>
    <row r="1" ht="54.75" customHeight="1" s="222">
      <c r="A1" s="207" t="inlineStr">
        <is>
          <t>Account</t>
        </is>
      </c>
      <c r="B1" s="207" t="inlineStr">
        <is>
          <t># of Rooms</t>
        </is>
      </c>
      <c r="C1" s="208" t="inlineStr">
        <is>
          <t>Occupancy Rate</t>
        </is>
      </c>
      <c r="D1" s="208" t="inlineStr">
        <is>
          <t>Forecast</t>
        </is>
      </c>
      <c r="E1" s="208" t="inlineStr">
        <is>
          <t>Valet Conversion Rate</t>
        </is>
      </c>
      <c r="F1" s="208" t="inlineStr">
        <is>
          <t>Estimated Daily Valet Count</t>
        </is>
      </c>
      <c r="G1" s="208" t="inlineStr">
        <is>
          <t>Estimated Daily Revenue</t>
        </is>
      </c>
      <c r="H1" s="208" t="inlineStr">
        <is>
          <t>Estimated Annual Revenue</t>
        </is>
      </c>
      <c r="I1" s="208" t="inlineStr">
        <is>
          <t>Estimate Net Operating Income Annually</t>
        </is>
      </c>
      <c r="J1" s="209" t="inlineStr">
        <is>
          <t>Total Daily Rev</t>
        </is>
      </c>
      <c r="K1" s="209" t="inlineStr">
        <is>
          <t>Total Annual Rev</t>
        </is>
      </c>
      <c r="L1" s="209" t="inlineStr">
        <is>
          <t>Total Annual NOI</t>
        </is>
      </c>
    </row>
    <row r="2" ht="54.75" customHeight="1" s="222">
      <c r="A2" s="210">
        <f>Accounts!A2</f>
        <v/>
      </c>
      <c r="B2" s="141">
        <f>Accounts!J2</f>
        <v/>
      </c>
      <c r="C2" s="211" t="n">
        <v>0.6</v>
      </c>
      <c r="D2" s="212">
        <f>Accounts!J2*C2</f>
        <v/>
      </c>
      <c r="E2" s="211" t="n">
        <v>0.4</v>
      </c>
      <c r="F2" s="212">
        <f>D2*E2</f>
        <v/>
      </c>
      <c r="G2" s="213">
        <f>if(or(eq(Accounts!I2,"No Valet"),eq(Accounts!I2,"Has Valet")), F2 * AVERAGE(Accounts!I$2:I$34),F2*Accounts!I2)</f>
        <v/>
      </c>
      <c r="H2" s="213">
        <f>iferror(G2*360,"")</f>
        <v/>
      </c>
      <c r="I2" s="213">
        <f>H2*0.1</f>
        <v/>
      </c>
      <c r="J2" s="214">
        <f>sum(G2:G72)</f>
        <v/>
      </c>
      <c r="K2" s="214">
        <f>sum(H2:H72)</f>
        <v/>
      </c>
      <c r="L2" s="214">
        <f>sum(I2:I72)</f>
        <v/>
      </c>
    </row>
    <row r="3" ht="54.75" customHeight="1" s="222">
      <c r="A3" s="210">
        <f>Accounts!A3</f>
        <v/>
      </c>
      <c r="B3" s="141">
        <f>Accounts!J3</f>
        <v/>
      </c>
      <c r="C3" s="211" t="n">
        <v>0.6</v>
      </c>
      <c r="D3" s="212">
        <f>Accounts!J3*C3</f>
        <v/>
      </c>
      <c r="E3" s="211" t="n">
        <v>0.4</v>
      </c>
      <c r="F3" s="212">
        <f>D3*E3</f>
        <v/>
      </c>
      <c r="G3" s="213">
        <f>if(or(eq(Accounts!I3,"No Valet"),eq(Accounts!I3,"Has Valet")), F3 * AVERAGE(Accounts!I$2:I$34),F3*Accounts!I3)</f>
        <v/>
      </c>
      <c r="H3" s="213">
        <f>iferror(G3*360,"")</f>
        <v/>
      </c>
      <c r="I3" s="213">
        <f>H3*0.1</f>
        <v/>
      </c>
    </row>
    <row r="4" ht="54.75" customHeight="1" s="222">
      <c r="A4" s="210">
        <f>#REF!</f>
        <v/>
      </c>
      <c r="B4" s="141">
        <f>#REF!</f>
        <v/>
      </c>
      <c r="C4" s="211" t="n">
        <v>0.6</v>
      </c>
      <c r="D4" s="212">
        <f>#REF!*C4</f>
        <v/>
      </c>
      <c r="E4" s="211" t="n">
        <v>0.4</v>
      </c>
      <c r="F4" s="212">
        <f>D4*E4</f>
        <v/>
      </c>
      <c r="G4" s="213">
        <f>if(or(eq(#REF!,"No Valet"),eq(#REF!,"Has Valet")), F4 * AVERAGE(Accounts!I$2:I$34),F4*#REF!)</f>
        <v/>
      </c>
      <c r="H4" s="213">
        <f>iferror(G4*360,"")</f>
        <v/>
      </c>
      <c r="I4" s="213">
        <f>H4*0.1</f>
        <v/>
      </c>
    </row>
    <row r="5" ht="54.75" customHeight="1" s="222">
      <c r="A5" s="210">
        <f>Accounts!A4</f>
        <v/>
      </c>
      <c r="B5" s="141">
        <f>Accounts!J4</f>
        <v/>
      </c>
      <c r="C5" s="211" t="n">
        <v>0.6</v>
      </c>
      <c r="D5" s="212">
        <f>Accounts!J4*C5</f>
        <v/>
      </c>
      <c r="E5" s="211" t="n">
        <v>0.4</v>
      </c>
      <c r="F5" s="212">
        <f>D5*E5</f>
        <v/>
      </c>
      <c r="G5" s="213">
        <f>if(or(eq(Accounts!I4,"No Valet"),eq(Accounts!I4,"Has Valet")), F5 * AVERAGE(Accounts!I$2:I$34),F5*Accounts!I4)</f>
        <v/>
      </c>
      <c r="H5" s="213">
        <f>iferror(G5*360,"")</f>
        <v/>
      </c>
      <c r="I5" s="213">
        <f>H5*0.1</f>
        <v/>
      </c>
    </row>
    <row r="6" ht="54.75" customHeight="1" s="222">
      <c r="A6" s="210">
        <f>Accounts!A5</f>
        <v/>
      </c>
      <c r="B6" s="141">
        <f>Accounts!J5</f>
        <v/>
      </c>
      <c r="C6" s="211" t="n">
        <v>0.6</v>
      </c>
      <c r="D6" s="212">
        <f>Accounts!J5*C6</f>
        <v/>
      </c>
      <c r="E6" s="211" t="n">
        <v>0.4</v>
      </c>
      <c r="F6" s="212">
        <f>D6*E6</f>
        <v/>
      </c>
      <c r="G6" s="213">
        <f>if(or(eq(Accounts!I5,"No Valet"),eq(Accounts!I5,"Has Valet")), F6 * AVERAGE(Accounts!I$2:I$34),F6*Accounts!I5)</f>
        <v/>
      </c>
      <c r="H6" s="213">
        <f>iferror(G6*360,"")</f>
        <v/>
      </c>
      <c r="I6" s="213">
        <f>H6*0.1</f>
        <v/>
      </c>
    </row>
    <row r="7" ht="54.75" customHeight="1" s="222">
      <c r="A7" s="210">
        <f>Accounts!A6</f>
        <v/>
      </c>
      <c r="B7" s="141">
        <f>Accounts!J6</f>
        <v/>
      </c>
      <c r="C7" s="211" t="n">
        <v>0.6</v>
      </c>
      <c r="D7" s="212">
        <f>Accounts!J6*C7</f>
        <v/>
      </c>
      <c r="E7" s="211" t="n">
        <v>0.4</v>
      </c>
      <c r="F7" s="212">
        <f>D7*E7</f>
        <v/>
      </c>
      <c r="G7" s="213">
        <f>if(or(eq(Accounts!I6,"No Valet"),eq(Accounts!I6,"Has Valet")), F7 * AVERAGE(Accounts!I$2:I$34),F7*Accounts!I6)</f>
        <v/>
      </c>
      <c r="H7" s="213">
        <f>iferror(G7*360,"")</f>
        <v/>
      </c>
      <c r="I7" s="213">
        <f>H7*0.1</f>
        <v/>
      </c>
    </row>
    <row r="8" ht="54.75" customHeight="1" s="222">
      <c r="A8" s="210">
        <f>Accounts!A7</f>
        <v/>
      </c>
      <c r="B8" s="141">
        <f>Accounts!J7</f>
        <v/>
      </c>
      <c r="C8" s="211" t="n">
        <v>0.6</v>
      </c>
      <c r="D8" s="212">
        <f>Accounts!J7*C8</f>
        <v/>
      </c>
      <c r="E8" s="211" t="n">
        <v>0.4</v>
      </c>
      <c r="F8" s="212">
        <f>D8*E8</f>
        <v/>
      </c>
      <c r="G8" s="213">
        <f>if(or(eq(Accounts!I7,"No Valet"),eq(Accounts!I7,"Has Valet")), F8 * AVERAGE(Accounts!I$2:I$34),F8*Accounts!I7)</f>
        <v/>
      </c>
      <c r="H8" s="213">
        <f>iferror(G8*360,"")</f>
        <v/>
      </c>
      <c r="I8" s="213">
        <f>H8*0.1</f>
        <v/>
      </c>
    </row>
    <row r="9" ht="54.75" customHeight="1" s="222">
      <c r="A9" s="210">
        <f>Accounts!A8</f>
        <v/>
      </c>
      <c r="B9" s="141">
        <f>Accounts!J8</f>
        <v/>
      </c>
      <c r="C9" s="211" t="n">
        <v>0.6</v>
      </c>
      <c r="D9" s="212">
        <f>Accounts!J8*C9</f>
        <v/>
      </c>
      <c r="E9" s="211" t="n">
        <v>0.4</v>
      </c>
      <c r="F9" s="212">
        <f>D9*E9</f>
        <v/>
      </c>
      <c r="G9" s="213">
        <f>if(or(eq(Accounts!I8,"No Valet"),eq(Accounts!I8,"Has Valet")), F9 * AVERAGE(Accounts!I$2:I$34),F9*Accounts!I8)</f>
        <v/>
      </c>
      <c r="H9" s="213">
        <f>iferror(G9*360,"")</f>
        <v/>
      </c>
      <c r="I9" s="213">
        <f>H9*0.1</f>
        <v/>
      </c>
    </row>
    <row r="10" ht="54.75" customHeight="1" s="222">
      <c r="A10" s="210">
        <f>Accounts!A9</f>
        <v/>
      </c>
      <c r="B10" s="141">
        <f>Accounts!J9</f>
        <v/>
      </c>
      <c r="C10" s="211" t="n">
        <v>0.6</v>
      </c>
      <c r="D10" s="212">
        <f>Accounts!J9*C10</f>
        <v/>
      </c>
      <c r="E10" s="211" t="n">
        <v>0.4</v>
      </c>
      <c r="F10" s="212">
        <f>D10*E10</f>
        <v/>
      </c>
      <c r="G10" s="213">
        <f>if(or(eq(Accounts!I9,"No Valet"),eq(Accounts!I9,"Has Valet")), F10 * AVERAGE(Accounts!I$2:I$34),F10*Accounts!I9)</f>
        <v/>
      </c>
      <c r="H10" s="213">
        <f>iferror(G10*360,"")</f>
        <v/>
      </c>
      <c r="I10" s="213">
        <f>H10*0.1</f>
        <v/>
      </c>
    </row>
    <row r="11" ht="54.75" customHeight="1" s="222">
      <c r="A11" s="210">
        <f>Accounts!A10</f>
        <v/>
      </c>
      <c r="B11" s="141">
        <f>Accounts!J10</f>
        <v/>
      </c>
      <c r="C11" s="211" t="n">
        <v>0.6</v>
      </c>
      <c r="D11" s="212">
        <f>Accounts!J10*C11</f>
        <v/>
      </c>
      <c r="E11" s="211" t="n">
        <v>0.4</v>
      </c>
      <c r="F11" s="212">
        <f>D11*E11</f>
        <v/>
      </c>
      <c r="G11" s="213">
        <f>if(or(eq(Accounts!I10,"No Valet"),eq(Accounts!I10,"Has Valet")), F11 * AVERAGE(Accounts!I$2:I$34),F11*Accounts!I10)</f>
        <v/>
      </c>
      <c r="H11" s="213">
        <f>iferror(G11*360,"")</f>
        <v/>
      </c>
      <c r="I11" s="213">
        <f>H11*0.1</f>
        <v/>
      </c>
    </row>
    <row r="12" ht="54.75" customHeight="1" s="222">
      <c r="A12" s="210">
        <f>Accounts!A11</f>
        <v/>
      </c>
      <c r="B12" s="141">
        <f>Accounts!J11</f>
        <v/>
      </c>
      <c r="C12" s="211" t="n">
        <v>0.6</v>
      </c>
      <c r="D12" s="212">
        <f>Accounts!J11*C12</f>
        <v/>
      </c>
      <c r="E12" s="211" t="n">
        <v>0.4</v>
      </c>
      <c r="F12" s="212">
        <f>D12*E12</f>
        <v/>
      </c>
      <c r="G12" s="213">
        <f>if(or(eq(Accounts!I11,"No Valet"),eq(Accounts!I11,"Has Valet")), F12 * AVERAGE(Accounts!I$2:I$34),F12*Accounts!I11)</f>
        <v/>
      </c>
      <c r="H12" s="213">
        <f>iferror(G12*360,"")</f>
        <v/>
      </c>
      <c r="I12" s="213">
        <f>H12*0.1</f>
        <v/>
      </c>
    </row>
    <row r="13" ht="54.75" customHeight="1" s="222">
      <c r="A13" s="210">
        <f>Accounts!A12</f>
        <v/>
      </c>
      <c r="B13" s="141">
        <f>Accounts!J12</f>
        <v/>
      </c>
      <c r="C13" s="211" t="n">
        <v>0.6</v>
      </c>
      <c r="D13" s="212">
        <f>Accounts!J12*C13</f>
        <v/>
      </c>
      <c r="E13" s="211" t="n">
        <v>0.4</v>
      </c>
      <c r="F13" s="212">
        <f>D13*E13</f>
        <v/>
      </c>
      <c r="G13" s="213">
        <f>if(or(eq(Accounts!I12,"No Valet"),eq(Accounts!I12,"Has Valet")), F13 * AVERAGE(Accounts!I$2:I$34),F13*Accounts!I12)</f>
        <v/>
      </c>
      <c r="H13" s="213">
        <f>iferror(G13*360,"")</f>
        <v/>
      </c>
      <c r="I13" s="213">
        <f>H13*0.1</f>
        <v/>
      </c>
    </row>
    <row r="14" ht="54.75" customHeight="1" s="222">
      <c r="A14" s="210">
        <f>Accounts!A13</f>
        <v/>
      </c>
      <c r="B14" s="141">
        <f>Accounts!J13</f>
        <v/>
      </c>
      <c r="C14" s="211" t="n">
        <v>0.6</v>
      </c>
      <c r="D14" s="212">
        <f>Accounts!J13*C14</f>
        <v/>
      </c>
      <c r="E14" s="211" t="n">
        <v>0.4</v>
      </c>
      <c r="F14" s="212">
        <f>D14*E14</f>
        <v/>
      </c>
      <c r="G14" s="213">
        <f>if(or(eq(Accounts!I13,"No Valet"),eq(Accounts!I13,"Has Valet")), F14 * AVERAGE(Accounts!I$2:I$34),F14*Accounts!I13)</f>
        <v/>
      </c>
      <c r="H14" s="213">
        <f>iferror(G14*360,"")</f>
        <v/>
      </c>
      <c r="I14" s="213">
        <f>H14*0.1</f>
        <v/>
      </c>
    </row>
    <row r="15" ht="54.75" customHeight="1" s="222">
      <c r="A15" s="210">
        <f>#REF!</f>
        <v/>
      </c>
      <c r="B15" s="141">
        <f>#REF!</f>
        <v/>
      </c>
      <c r="C15" s="211" t="n">
        <v>0.6</v>
      </c>
      <c r="D15" s="212">
        <f>#REF!*C15</f>
        <v/>
      </c>
      <c r="E15" s="211" t="n">
        <v>0.4</v>
      </c>
      <c r="F15" s="212">
        <f>D15*E15</f>
        <v/>
      </c>
      <c r="G15" s="213">
        <f>if(or(eq(#REF!,"No Valet"),eq(#REF!,"Has Valet")), F15 * AVERAGE(Accounts!I$2:I$34),F15*#REF!)</f>
        <v/>
      </c>
      <c r="H15" s="213">
        <f>iferror(G15*360,"")</f>
        <v/>
      </c>
      <c r="I15" s="213">
        <f>H15*0.1</f>
        <v/>
      </c>
    </row>
    <row r="16" ht="54.75" customHeight="1" s="222">
      <c r="A16" s="210">
        <f>Accounts!A14</f>
        <v/>
      </c>
      <c r="B16" s="141">
        <f>Accounts!J14</f>
        <v/>
      </c>
      <c r="C16" s="211" t="n">
        <v>0.6</v>
      </c>
      <c r="D16" s="212">
        <f>Accounts!J14*C16</f>
        <v/>
      </c>
      <c r="E16" s="211" t="n">
        <v>0.4</v>
      </c>
      <c r="F16" s="212">
        <f>D16*E16</f>
        <v/>
      </c>
      <c r="G16" s="213">
        <f>if(or(eq(Accounts!I14,"No Valet"),eq(Accounts!I14,"Has Valet")), F16 * AVERAGE(Accounts!I$2:I$34),F16*Accounts!I14)</f>
        <v/>
      </c>
      <c r="H16" s="213">
        <f>iferror(G16*360,"")</f>
        <v/>
      </c>
      <c r="I16" s="213">
        <f>H16*0.1</f>
        <v/>
      </c>
    </row>
    <row r="17" ht="54.75" customHeight="1" s="222">
      <c r="A17" s="210">
        <f>Accounts!A15</f>
        <v/>
      </c>
      <c r="B17" s="141">
        <f>Accounts!J15</f>
        <v/>
      </c>
      <c r="C17" s="211" t="n">
        <v>0.6</v>
      </c>
      <c r="D17" s="212">
        <f>Accounts!J15*C17</f>
        <v/>
      </c>
      <c r="E17" s="211" t="n">
        <v>0.4</v>
      </c>
      <c r="F17" s="212">
        <f>D17*E17</f>
        <v/>
      </c>
      <c r="G17" s="213">
        <f>if(or(eq(Accounts!I15,"No Valet"),eq(Accounts!I15,"Has Valet")), F17 * AVERAGE(Accounts!I$2:I$34),F17*Accounts!I15)</f>
        <v/>
      </c>
      <c r="H17" s="213">
        <f>iferror(G17*360,"")</f>
        <v/>
      </c>
      <c r="I17" s="213">
        <f>H17*0.1</f>
        <v/>
      </c>
    </row>
    <row r="18" ht="54.75" customHeight="1" s="222">
      <c r="A18" s="210">
        <f>Accounts!A16</f>
        <v/>
      </c>
      <c r="B18" s="141">
        <f>Accounts!J16</f>
        <v/>
      </c>
      <c r="C18" s="211" t="n">
        <v>0.6</v>
      </c>
      <c r="D18" s="212">
        <f>Accounts!J16*C18</f>
        <v/>
      </c>
      <c r="E18" s="211" t="n">
        <v>0.4</v>
      </c>
      <c r="F18" s="212">
        <f>D18*E18</f>
        <v/>
      </c>
      <c r="G18" s="213">
        <f>if(or(eq(Accounts!I16,"No Valet"),eq(Accounts!I16,"Has Valet")), F18 * AVERAGE(Accounts!I$2:I$34),F18*Accounts!I16)</f>
        <v/>
      </c>
      <c r="H18" s="213">
        <f>iferror(G18*360,"")</f>
        <v/>
      </c>
      <c r="I18" s="213">
        <f>H18*0.1</f>
        <v/>
      </c>
    </row>
    <row r="19" ht="54.75" customHeight="1" s="222">
      <c r="A19" s="210">
        <f>Accounts!A17</f>
        <v/>
      </c>
      <c r="B19" s="141">
        <f>Accounts!J17</f>
        <v/>
      </c>
      <c r="C19" s="211" t="n">
        <v>0.6</v>
      </c>
      <c r="D19" s="212">
        <f>Accounts!J17*C19</f>
        <v/>
      </c>
      <c r="E19" s="211" t="n">
        <v>0.4</v>
      </c>
      <c r="F19" s="212">
        <f>D19*E19</f>
        <v/>
      </c>
      <c r="G19" s="213">
        <f>if(or(eq(Accounts!I17,"No Valet"),eq(Accounts!I17,"Has Valet")), F19 * AVERAGE(Accounts!I$2:I$34),F19*Accounts!I17)</f>
        <v/>
      </c>
      <c r="H19" s="213">
        <f>iferror(G19*360,"")</f>
        <v/>
      </c>
      <c r="I19" s="213">
        <f>H19*0.1</f>
        <v/>
      </c>
    </row>
    <row r="20" ht="54.75" customHeight="1" s="222">
      <c r="A20" s="210">
        <f>Accounts!A18</f>
        <v/>
      </c>
      <c r="B20" s="141">
        <f>Accounts!J18</f>
        <v/>
      </c>
      <c r="C20" s="211" t="n">
        <v>0.6</v>
      </c>
      <c r="D20" s="212">
        <f>Accounts!J18*C20</f>
        <v/>
      </c>
      <c r="E20" s="211" t="n">
        <v>0.4</v>
      </c>
      <c r="F20" s="212">
        <f>D20*E20</f>
        <v/>
      </c>
      <c r="G20" s="213">
        <f>if(or(eq(Accounts!I18,"No Valet"),eq(Accounts!I18,"Has Valet")), F20 * AVERAGE(Accounts!I$2:I$34),F20*Accounts!I18)</f>
        <v/>
      </c>
      <c r="H20" s="213">
        <f>iferror(G20*360,"")</f>
        <v/>
      </c>
      <c r="I20" s="213">
        <f>H20*0.1</f>
        <v/>
      </c>
    </row>
    <row r="21" ht="54.75" customHeight="1" s="222">
      <c r="A21" s="210">
        <f>Accounts!A19</f>
        <v/>
      </c>
      <c r="B21" s="141">
        <f>Accounts!J19</f>
        <v/>
      </c>
      <c r="C21" s="211" t="n">
        <v>0.6</v>
      </c>
      <c r="D21" s="212">
        <f>Accounts!J19*C21</f>
        <v/>
      </c>
      <c r="E21" s="211" t="n">
        <v>0.4</v>
      </c>
      <c r="F21" s="212">
        <f>D21*E21</f>
        <v/>
      </c>
      <c r="G21" s="213">
        <f>if(or(eq(Accounts!I19,"No Valet"),eq(Accounts!I19,"Has Valet")), F21 * AVERAGE(Accounts!I$2:I$34),F21*Accounts!I19)</f>
        <v/>
      </c>
      <c r="H21" s="213">
        <f>iferror(G21*360,"")</f>
        <v/>
      </c>
      <c r="I21" s="213">
        <f>H21*0.1</f>
        <v/>
      </c>
    </row>
    <row r="22" ht="54.75" customHeight="1" s="222">
      <c r="A22" s="210">
        <f>Accounts!A20</f>
        <v/>
      </c>
      <c r="B22" s="141">
        <f>Accounts!J20</f>
        <v/>
      </c>
      <c r="C22" s="211" t="n">
        <v>0.6</v>
      </c>
      <c r="D22" s="212">
        <f>Accounts!J20*C22</f>
        <v/>
      </c>
      <c r="E22" s="211" t="n">
        <v>0.4</v>
      </c>
      <c r="F22" s="212">
        <f>D22*E22</f>
        <v/>
      </c>
      <c r="G22" s="213">
        <f>if(or(eq(Accounts!I20,"No Valet"),eq(Accounts!I20,"Has Valet")), F22 * AVERAGE(Accounts!I$2:I$34),F22*Accounts!I20)</f>
        <v/>
      </c>
      <c r="H22" s="213">
        <f>iferror(G22*360,"")</f>
        <v/>
      </c>
      <c r="I22" s="213">
        <f>H22*0.1</f>
        <v/>
      </c>
    </row>
    <row r="23" ht="54.75" customHeight="1" s="222">
      <c r="A23" s="210">
        <f>Accounts!A21</f>
        <v/>
      </c>
      <c r="B23" s="141">
        <f>Accounts!J21</f>
        <v/>
      </c>
      <c r="C23" s="211" t="n">
        <v>0.6</v>
      </c>
      <c r="D23" s="212">
        <f>Accounts!J21*C23</f>
        <v/>
      </c>
      <c r="E23" s="211" t="n">
        <v>0.4</v>
      </c>
      <c r="F23" s="212">
        <f>D23*E23</f>
        <v/>
      </c>
      <c r="G23" s="213">
        <f>if(or(eq(Accounts!I21,"No Valet"),eq(Accounts!I21,"Has Valet")), F23 * AVERAGE(Accounts!I$2:I$34),F23*Accounts!I21)</f>
        <v/>
      </c>
      <c r="H23" s="213">
        <f>iferror(G23*360,"")</f>
        <v/>
      </c>
      <c r="I23" s="213">
        <f>H23*0.1</f>
        <v/>
      </c>
    </row>
    <row r="24" ht="54.75" customHeight="1" s="222">
      <c r="A24" s="210">
        <f>Accounts!A22</f>
        <v/>
      </c>
      <c r="B24" s="141">
        <f>Accounts!J22</f>
        <v/>
      </c>
      <c r="C24" s="211" t="n">
        <v>0.6</v>
      </c>
      <c r="D24" s="212">
        <f>Accounts!J22*C24</f>
        <v/>
      </c>
      <c r="E24" s="211" t="n">
        <v>0.4</v>
      </c>
      <c r="F24" s="212">
        <f>D24*E24</f>
        <v/>
      </c>
      <c r="G24" s="213">
        <f>if(or(eq(Accounts!I22,"No Valet"),eq(Accounts!I22,"Has Valet")), F24 * AVERAGE(Accounts!I$2:I$34),F24*Accounts!I22)</f>
        <v/>
      </c>
      <c r="H24" s="213">
        <f>iferror(G24*360,"")</f>
        <v/>
      </c>
      <c r="I24" s="213">
        <f>H24*0.1</f>
        <v/>
      </c>
    </row>
    <row r="25" ht="54.75" customHeight="1" s="222">
      <c r="A25" s="210">
        <f>Accounts!A23</f>
        <v/>
      </c>
      <c r="B25" s="141">
        <f>Accounts!J23</f>
        <v/>
      </c>
      <c r="C25" s="211" t="n">
        <v>0.6</v>
      </c>
      <c r="D25" s="212">
        <f>Accounts!J23*C25</f>
        <v/>
      </c>
      <c r="E25" s="211" t="n">
        <v>0.4</v>
      </c>
      <c r="F25" s="212">
        <f>D25*E25</f>
        <v/>
      </c>
      <c r="G25" s="213">
        <f>if(or(eq(Accounts!I23,"No Valet"),eq(Accounts!I23,"Has Valet")), F25 * AVERAGE(Accounts!I$2:I$34),F25*Accounts!I23)</f>
        <v/>
      </c>
      <c r="H25" s="213">
        <f>iferror(G25*360,"")</f>
        <v/>
      </c>
      <c r="I25" s="213">
        <f>H25*0.1</f>
        <v/>
      </c>
    </row>
    <row r="26" ht="54.75" customHeight="1" s="222">
      <c r="A26" s="210">
        <f>Accounts!A24</f>
        <v/>
      </c>
      <c r="B26" s="141">
        <f>Accounts!J24</f>
        <v/>
      </c>
      <c r="C26" s="211" t="n">
        <v>0.6</v>
      </c>
      <c r="D26" s="212">
        <f>Accounts!J24*C26</f>
        <v/>
      </c>
      <c r="E26" s="211" t="n">
        <v>0.4</v>
      </c>
      <c r="F26" s="212">
        <f>D26*E26</f>
        <v/>
      </c>
      <c r="G26" s="213">
        <f>if(or(eq(Accounts!I24,"No Valet"),eq(Accounts!I24,"Has Valet")), F26 * AVERAGE(Accounts!I$2:I$34),F26*Accounts!I24)</f>
        <v/>
      </c>
      <c r="H26" s="213">
        <f>iferror(G26*360,"")</f>
        <v/>
      </c>
      <c r="I26" s="213">
        <f>H26*0.1</f>
        <v/>
      </c>
    </row>
    <row r="27" ht="54.75" customHeight="1" s="222">
      <c r="A27" s="210">
        <f>Accounts!A25</f>
        <v/>
      </c>
      <c r="B27" s="141">
        <f>Accounts!J25</f>
        <v/>
      </c>
      <c r="C27" s="211" t="n">
        <v>0.6</v>
      </c>
      <c r="D27" s="212">
        <f>Accounts!J25*C27</f>
        <v/>
      </c>
      <c r="E27" s="211" t="n">
        <v>0.4</v>
      </c>
      <c r="F27" s="212">
        <f>D27*E27</f>
        <v/>
      </c>
      <c r="G27" s="213">
        <f>if(or(eq(Accounts!I25,"No Valet"),eq(Accounts!I25,"Has Valet")), F27 * AVERAGE(Accounts!I$2:I$34),F27*Accounts!I25)</f>
        <v/>
      </c>
      <c r="H27" s="213">
        <f>iferror(G27*360,"")</f>
        <v/>
      </c>
      <c r="I27" s="213">
        <f>H27*0.1</f>
        <v/>
      </c>
    </row>
    <row r="28" ht="54.75" customHeight="1" s="222">
      <c r="A28" s="210">
        <f>Accounts!A26</f>
        <v/>
      </c>
      <c r="B28" s="141">
        <f>Accounts!J26</f>
        <v/>
      </c>
      <c r="C28" s="211" t="n">
        <v>0.6</v>
      </c>
      <c r="D28" s="212">
        <f>Accounts!J26*C28</f>
        <v/>
      </c>
      <c r="E28" s="211" t="n">
        <v>0.4</v>
      </c>
      <c r="F28" s="212">
        <f>D28*E28</f>
        <v/>
      </c>
      <c r="G28" s="213">
        <f>if(or(eq(Accounts!I26,"No Valet"),eq(Accounts!I26,"Has Valet")), F28 * AVERAGE(Accounts!I$2:I$34),F28*Accounts!I26)</f>
        <v/>
      </c>
      <c r="H28" s="213">
        <f>iferror(G28*360,"")</f>
        <v/>
      </c>
      <c r="I28" s="213">
        <f>H28*0.1</f>
        <v/>
      </c>
    </row>
    <row r="29" ht="54.75" customHeight="1" s="222">
      <c r="A29" s="210">
        <f>Accounts!A27</f>
        <v/>
      </c>
      <c r="B29" s="141">
        <f>Accounts!J27</f>
        <v/>
      </c>
      <c r="C29" s="211" t="n">
        <v>0.6</v>
      </c>
      <c r="D29" s="212">
        <f>Accounts!J27*C29</f>
        <v/>
      </c>
      <c r="E29" s="211" t="n">
        <v>0.4</v>
      </c>
      <c r="F29" s="212">
        <f>D29*E29</f>
        <v/>
      </c>
      <c r="G29" s="213">
        <f>if(or(eq(Accounts!I27,"No Valet"),eq(Accounts!I27,"Has Valet")), F29 * AVERAGE(Accounts!I$2:I$34),F29*Accounts!I27)</f>
        <v/>
      </c>
      <c r="H29" s="213">
        <f>iferror(G29*360,"")</f>
        <v/>
      </c>
      <c r="I29" s="213">
        <f>H29*0.1</f>
        <v/>
      </c>
    </row>
    <row r="30" ht="54.75" customHeight="1" s="222">
      <c r="A30" s="210">
        <f>Accounts!A28</f>
        <v/>
      </c>
      <c r="B30" s="141">
        <f>Accounts!J28</f>
        <v/>
      </c>
      <c r="C30" s="211" t="n">
        <v>0.6</v>
      </c>
      <c r="D30" s="212">
        <f>Accounts!J28*C30</f>
        <v/>
      </c>
      <c r="E30" s="211" t="n">
        <v>0.4</v>
      </c>
      <c r="F30" s="212">
        <f>D30*E30</f>
        <v/>
      </c>
      <c r="G30" s="213">
        <f>if(or(eq(Accounts!I28,"No Valet"),eq(Accounts!I28,"Has Valet")), F30 * AVERAGE(Accounts!I$2:I$34),F30*Accounts!I28)</f>
        <v/>
      </c>
      <c r="H30" s="213">
        <f>iferror(G30*360,"")</f>
        <v/>
      </c>
      <c r="I30" s="213">
        <f>H30*0.1</f>
        <v/>
      </c>
    </row>
    <row r="31" ht="54.75" customHeight="1" s="222">
      <c r="A31" s="210">
        <f>Accounts!A29</f>
        <v/>
      </c>
      <c r="B31" s="141">
        <f>Accounts!J29</f>
        <v/>
      </c>
      <c r="C31" s="211" t="n">
        <v>0.6</v>
      </c>
      <c r="D31" s="212">
        <f>Accounts!J29*C31</f>
        <v/>
      </c>
      <c r="E31" s="211" t="n">
        <v>0.4</v>
      </c>
      <c r="F31" s="212">
        <f>D31*E31</f>
        <v/>
      </c>
      <c r="G31" s="213">
        <f>if(or(eq(Accounts!I29,"No Valet"),eq(Accounts!I29,"Has Valet")), F31 * AVERAGE(Accounts!I$2:I$34),F31*Accounts!I29)</f>
        <v/>
      </c>
      <c r="H31" s="213">
        <f>iferror(G31*360,"")</f>
        <v/>
      </c>
      <c r="I31" s="213">
        <f>H31*0.1</f>
        <v/>
      </c>
    </row>
    <row r="32" ht="54.75" customHeight="1" s="222">
      <c r="A32" s="210">
        <f>Accounts!A30</f>
        <v/>
      </c>
      <c r="B32" s="141">
        <f>Accounts!J30</f>
        <v/>
      </c>
      <c r="C32" s="211" t="n">
        <v>0.6</v>
      </c>
      <c r="D32" s="212">
        <f>Accounts!J30*C32</f>
        <v/>
      </c>
      <c r="E32" s="211" t="n">
        <v>0.4</v>
      </c>
      <c r="F32" s="212">
        <f>D32*E32</f>
        <v/>
      </c>
      <c r="G32" s="213">
        <f>if(or(eq(Accounts!I30,"No Valet"),eq(Accounts!I30,"Has Valet")), F32 * AVERAGE(Accounts!I$2:I$34),F32*Accounts!I30)</f>
        <v/>
      </c>
      <c r="H32" s="213">
        <f>iferror(G32*360,"")</f>
        <v/>
      </c>
      <c r="I32" s="213">
        <f>H32*0.1</f>
        <v/>
      </c>
    </row>
    <row r="33" ht="54.75" customHeight="1" s="222">
      <c r="A33" s="210">
        <f>Accounts!A31</f>
        <v/>
      </c>
      <c r="B33" s="141">
        <f>Accounts!J31</f>
        <v/>
      </c>
      <c r="C33" s="211" t="n">
        <v>0.6</v>
      </c>
      <c r="D33" s="212">
        <f>Accounts!J31*C33</f>
        <v/>
      </c>
      <c r="E33" s="211" t="n">
        <v>0.4</v>
      </c>
      <c r="F33" s="212">
        <f>D33*E33</f>
        <v/>
      </c>
      <c r="G33" s="213">
        <f>if(or(eq(Accounts!I31,"No Valet"),eq(Accounts!I31,"Has Valet")), F33 * AVERAGE(Accounts!I$2:I$34),F33*Accounts!I31)</f>
        <v/>
      </c>
      <c r="H33" s="213">
        <f>iferror(G33*360,"")</f>
        <v/>
      </c>
      <c r="I33" s="213">
        <f>H33*0.1</f>
        <v/>
      </c>
    </row>
    <row r="34" ht="54.75" customHeight="1" s="222">
      <c r="A34" s="210">
        <f>Accounts!A32</f>
        <v/>
      </c>
      <c r="B34" s="141">
        <f>Accounts!J32</f>
        <v/>
      </c>
      <c r="C34" s="211" t="n">
        <v>0.6</v>
      </c>
      <c r="D34" s="212">
        <f>Accounts!J32*C34</f>
        <v/>
      </c>
      <c r="E34" s="211" t="n">
        <v>0.4</v>
      </c>
      <c r="F34" s="212">
        <f>D34*E34</f>
        <v/>
      </c>
      <c r="G34" s="213">
        <f>if(or(eq(Accounts!I32,"No Valet"),eq(Accounts!I32,"Has Valet")), F34 * AVERAGE(Accounts!I$2:I$34),F34*Accounts!I32)</f>
        <v/>
      </c>
      <c r="H34" s="213">
        <f>iferror(G34*360,"")</f>
        <v/>
      </c>
      <c r="I34" s="213">
        <f>H34*0.1</f>
        <v/>
      </c>
    </row>
    <row r="35" ht="54.75" customHeight="1" s="222">
      <c r="A35" s="210">
        <f>Accounts!A33</f>
        <v/>
      </c>
      <c r="B35" s="141">
        <f>Accounts!J33</f>
        <v/>
      </c>
      <c r="C35" s="211" t="n">
        <v>0.6</v>
      </c>
      <c r="D35" s="212">
        <f>Accounts!J33*C35</f>
        <v/>
      </c>
      <c r="E35" s="211" t="n">
        <v>0.4</v>
      </c>
      <c r="F35" s="212">
        <f>D35*E35</f>
        <v/>
      </c>
      <c r="G35" s="213">
        <f>if(or(eq(Accounts!I33,"No Valet"),eq(Accounts!I33,"Has Valet")), F35 * AVERAGE(Accounts!I$2:I$34),F35*Accounts!I33)</f>
        <v/>
      </c>
      <c r="H35" s="213">
        <f>iferror(G35*360,"")</f>
        <v/>
      </c>
      <c r="I35" s="213">
        <f>H35*0.1</f>
        <v/>
      </c>
    </row>
    <row r="36" ht="54.75" customHeight="1" s="222">
      <c r="A36" s="210">
        <f>Accounts!A34</f>
        <v/>
      </c>
      <c r="B36" s="141">
        <f>Accounts!J34</f>
        <v/>
      </c>
      <c r="C36" s="211" t="n">
        <v>0.6</v>
      </c>
      <c r="D36" s="212">
        <f>Accounts!J34*C36</f>
        <v/>
      </c>
      <c r="E36" s="211" t="n">
        <v>0.4</v>
      </c>
      <c r="F36" s="212">
        <f>D36*E36</f>
        <v/>
      </c>
      <c r="G36" s="213">
        <f>if(or(eq(Accounts!I34,"No Valet"),eq(Accounts!I34,"Has Valet")), F36 * AVERAGE(Accounts!I$2:I$34),F36*Accounts!I34)</f>
        <v/>
      </c>
      <c r="H36" s="213">
        <f>iferror(G36*360,"")</f>
        <v/>
      </c>
      <c r="I36" s="213">
        <f>H36*0.1</f>
        <v/>
      </c>
    </row>
    <row r="37" ht="54.75" customHeight="1" s="222">
      <c r="A37" s="210">
        <f>Accounts!A35</f>
        <v/>
      </c>
      <c r="B37" s="141">
        <f>Accounts!J35</f>
        <v/>
      </c>
      <c r="C37" s="211" t="n">
        <v>0.6</v>
      </c>
      <c r="D37" s="212">
        <f>Accounts!J35*C37</f>
        <v/>
      </c>
      <c r="E37" s="211" t="n">
        <v>0.4</v>
      </c>
      <c r="F37" s="212">
        <f>D37*E37</f>
        <v/>
      </c>
      <c r="G37" s="213">
        <f>if(or(eq(Accounts!I35,"No Valet"),eq(Accounts!I35,"Has Valet")), F37 * AVERAGE(Accounts!I$2:I$34),F37*Accounts!I35)</f>
        <v/>
      </c>
      <c r="H37" s="213">
        <f>iferror(G37*360,"")</f>
        <v/>
      </c>
      <c r="I37" s="213">
        <f>H37*0.1</f>
        <v/>
      </c>
    </row>
    <row r="38" ht="54.75" customHeight="1" s="222">
      <c r="A38" s="210">
        <f>Accounts!A36</f>
        <v/>
      </c>
      <c r="B38" s="141">
        <f>Accounts!J36</f>
        <v/>
      </c>
      <c r="C38" s="211" t="n">
        <v>0.6</v>
      </c>
      <c r="D38" s="212">
        <f>Accounts!J36*C38</f>
        <v/>
      </c>
      <c r="E38" s="211" t="n">
        <v>0.4</v>
      </c>
      <c r="F38" s="212">
        <f>D38*E38</f>
        <v/>
      </c>
      <c r="G38" s="213">
        <f>if(or(eq(Accounts!I36,"No Valet"),eq(Accounts!I36,"Has Valet")), F38 * AVERAGE(Accounts!I$2:I$34),F38*Accounts!I36)</f>
        <v/>
      </c>
      <c r="H38" s="213">
        <f>iferror(G38*360,"")</f>
        <v/>
      </c>
      <c r="I38" s="213">
        <f>H38*0.1</f>
        <v/>
      </c>
    </row>
    <row r="39" ht="54.75" customHeight="1" s="222">
      <c r="A39" s="210">
        <f>Accounts!A37</f>
        <v/>
      </c>
      <c r="B39" s="141">
        <f>Accounts!J37</f>
        <v/>
      </c>
      <c r="C39" s="211" t="n">
        <v>0.6</v>
      </c>
      <c r="D39" s="212">
        <f>Accounts!J37*C39</f>
        <v/>
      </c>
      <c r="E39" s="211" t="n">
        <v>0.4</v>
      </c>
      <c r="F39" s="212">
        <f>D39*E39</f>
        <v/>
      </c>
      <c r="G39" s="213">
        <f>if(or(eq(Accounts!I37,"No Valet"),eq(Accounts!I37,"Has Valet")), F39 * AVERAGE(Accounts!I$2:I$34),F39*Accounts!I37)</f>
        <v/>
      </c>
      <c r="H39" s="213">
        <f>iferror(G39*360,"")</f>
        <v/>
      </c>
      <c r="I39" s="213">
        <f>H39*0.1</f>
        <v/>
      </c>
    </row>
    <row r="40" ht="54.75" customHeight="1" s="222">
      <c r="A40" s="210">
        <f>Accounts!A38</f>
        <v/>
      </c>
      <c r="B40" s="141">
        <f>Accounts!J38</f>
        <v/>
      </c>
      <c r="C40" s="211" t="n">
        <v>0.6</v>
      </c>
      <c r="D40" s="212">
        <f>Accounts!J38*C40</f>
        <v/>
      </c>
      <c r="E40" s="211" t="n">
        <v>0.4</v>
      </c>
      <c r="F40" s="212">
        <f>D40*E40</f>
        <v/>
      </c>
      <c r="G40" s="213">
        <f>if(or(eq(Accounts!I38,"No Valet"),eq(Accounts!I38,"Has Valet")), F40 * AVERAGE(Accounts!I$2:I$34),F40*Accounts!I38)</f>
        <v/>
      </c>
      <c r="H40" s="213">
        <f>iferror(G40*360,"")</f>
        <v/>
      </c>
      <c r="I40" s="213">
        <f>H40*0.1</f>
        <v/>
      </c>
    </row>
    <row r="41" ht="54.75" customHeight="1" s="222">
      <c r="A41" s="210">
        <f>Accounts!A39</f>
        <v/>
      </c>
      <c r="B41" s="141">
        <f>Accounts!J39</f>
        <v/>
      </c>
      <c r="C41" s="211" t="n">
        <v>0.6</v>
      </c>
      <c r="D41" s="212">
        <f>#REF!*C41</f>
        <v/>
      </c>
      <c r="E41" s="211" t="n">
        <v>0.4</v>
      </c>
      <c r="F41" s="212">
        <f>D41*E41</f>
        <v/>
      </c>
      <c r="G41" s="213">
        <f>if(or(eq(#REF!,"No Valet"),eq(#REF!,"Has Valet")), F41 * AVERAGE(Accounts!I$2:I$34),F41*#REF!)</f>
        <v/>
      </c>
      <c r="H41" s="213">
        <f>iferror(G41*360,"")</f>
        <v/>
      </c>
      <c r="I41" s="213">
        <f>H41*0.1</f>
        <v/>
      </c>
    </row>
    <row r="42" ht="54.75" customHeight="1" s="222">
      <c r="A42" s="210">
        <f>Accounts!A40</f>
        <v/>
      </c>
      <c r="B42" s="141">
        <f>Accounts!J40</f>
        <v/>
      </c>
      <c r="C42" s="211" t="n">
        <v>0.6</v>
      </c>
      <c r="D42" s="212">
        <f>Accounts!J39*C42</f>
        <v/>
      </c>
      <c r="E42" s="211" t="n">
        <v>0.4</v>
      </c>
      <c r="F42" s="212">
        <f>D42*E42</f>
        <v/>
      </c>
      <c r="G42" s="213">
        <f>if(or(eq(Accounts!I39,"No Valet"),eq(Accounts!I39,"Has Valet")), F42 * AVERAGE(Accounts!I$2:I$34),F42*Accounts!I39)</f>
        <v/>
      </c>
      <c r="H42" s="213">
        <f>iferror(G42*360,"")</f>
        <v/>
      </c>
      <c r="I42" s="213">
        <f>H42*0.1</f>
        <v/>
      </c>
    </row>
    <row r="43" ht="54.75" customHeight="1" s="222">
      <c r="A43" s="210">
        <f>Accounts!A41</f>
        <v/>
      </c>
      <c r="B43" s="141">
        <f>Accounts!J41</f>
        <v/>
      </c>
      <c r="C43" s="211" t="n">
        <v>0.6</v>
      </c>
      <c r="D43" s="212">
        <f>Accounts!J40*C43</f>
        <v/>
      </c>
      <c r="E43" s="211" t="n">
        <v>0.4</v>
      </c>
      <c r="F43" s="212">
        <f>D43*E43</f>
        <v/>
      </c>
      <c r="G43" s="213">
        <f>if(or(eq(Accounts!I40,"No Valet"),eq(Accounts!I40,"Has Valet")), F43 * AVERAGE(Accounts!I$2:I$34),F43*Accounts!I40)</f>
        <v/>
      </c>
      <c r="H43" s="213">
        <f>iferror(G43*360,"")</f>
        <v/>
      </c>
      <c r="I43" s="213">
        <f>H43*0.1</f>
        <v/>
      </c>
    </row>
    <row r="44" ht="54.75" customHeight="1" s="222">
      <c r="A44" s="210">
        <f>Accounts!A42</f>
        <v/>
      </c>
      <c r="B44" s="141">
        <f>Accounts!J42</f>
        <v/>
      </c>
      <c r="C44" s="211" t="n">
        <v>0.6</v>
      </c>
      <c r="D44" s="212">
        <f>Accounts!J41*C44</f>
        <v/>
      </c>
      <c r="E44" s="211" t="n">
        <v>0.4</v>
      </c>
      <c r="F44" s="212">
        <f>D44*E44</f>
        <v/>
      </c>
      <c r="G44" s="213">
        <f>if(or(eq(Accounts!I41,"No Valet"),eq(Accounts!I41,"Has Valet")), F44 * AVERAGE(Accounts!I$2:I$34),F44*Accounts!I41)</f>
        <v/>
      </c>
      <c r="H44" s="213">
        <f>iferror(G44*360,"")</f>
        <v/>
      </c>
      <c r="I44" s="213">
        <f>H44*0.1</f>
        <v/>
      </c>
    </row>
    <row r="45" ht="54.75" customHeight="1" s="222">
      <c r="A45" s="210">
        <f>Accounts!A43</f>
        <v/>
      </c>
      <c r="B45" s="141">
        <f>Accounts!J43</f>
        <v/>
      </c>
      <c r="C45" s="211" t="n">
        <v>0.6</v>
      </c>
      <c r="D45" s="212">
        <f>Accounts!J42*C45</f>
        <v/>
      </c>
      <c r="E45" s="211" t="n">
        <v>0.4</v>
      </c>
      <c r="F45" s="212">
        <f>D45*E45</f>
        <v/>
      </c>
      <c r="G45" s="213">
        <f>if(or(eq(Accounts!I42,"No Valet"),eq(Accounts!I42,"Has Valet")), F45 * AVERAGE(Accounts!I$2:I$34),F45*Accounts!I42)</f>
        <v/>
      </c>
      <c r="H45" s="213">
        <f>iferror(G45*360,"")</f>
        <v/>
      </c>
      <c r="I45" s="213">
        <f>H45*0.1</f>
        <v/>
      </c>
    </row>
    <row r="46" ht="54.75" customHeight="1" s="222">
      <c r="A46" s="210">
        <f>Accounts!A44</f>
        <v/>
      </c>
      <c r="B46" s="141">
        <f>Accounts!J44</f>
        <v/>
      </c>
      <c r="C46" s="211" t="n">
        <v>0.6</v>
      </c>
      <c r="D46" s="212">
        <f>Accounts!J43*C46</f>
        <v/>
      </c>
      <c r="E46" s="211" t="n">
        <v>0.4</v>
      </c>
      <c r="F46" s="212">
        <f>D46*E46</f>
        <v/>
      </c>
      <c r="G46" s="213">
        <f>if(or(eq(Accounts!I43,"No Valet"),eq(Accounts!I43,"Has Valet")), F46 * AVERAGE(Accounts!I$2:I$34),F46*Accounts!I43)</f>
        <v/>
      </c>
      <c r="H46" s="213">
        <f>iferror(G46*360,"")</f>
        <v/>
      </c>
      <c r="I46" s="213">
        <f>H46*0.1</f>
        <v/>
      </c>
    </row>
    <row r="47" ht="54.75" customHeight="1" s="222">
      <c r="A47" s="210">
        <f>Accounts!A45</f>
        <v/>
      </c>
      <c r="B47" s="141">
        <f>Accounts!J45</f>
        <v/>
      </c>
      <c r="C47" s="211" t="n">
        <v>0.6</v>
      </c>
      <c r="D47" s="212">
        <f>Accounts!J44*C47</f>
        <v/>
      </c>
      <c r="E47" s="211" t="n">
        <v>0.4</v>
      </c>
      <c r="F47" s="212">
        <f>D47*E47</f>
        <v/>
      </c>
      <c r="G47" s="213">
        <f>if(or(eq(#REF!,"No Valet"),eq(#REF!,"Has Valet")), F47 * AVERAGE(Accounts!I$2:I$34),F47*#REF!)</f>
        <v/>
      </c>
      <c r="H47" s="213">
        <f>iferror(G47*360,"")</f>
        <v/>
      </c>
      <c r="I47" s="213">
        <f>H47*0.1</f>
        <v/>
      </c>
    </row>
    <row r="48" ht="54.75" customHeight="1" s="222">
      <c r="A48" s="210">
        <f>Accounts!A46</f>
        <v/>
      </c>
      <c r="B48" s="141">
        <f>Accounts!J46</f>
        <v/>
      </c>
      <c r="C48" s="211" t="n">
        <v>0.6</v>
      </c>
      <c r="D48" s="212">
        <f>Accounts!J45*C48</f>
        <v/>
      </c>
      <c r="E48" s="211" t="n">
        <v>0.4</v>
      </c>
      <c r="F48" s="212">
        <f>D48*E48</f>
        <v/>
      </c>
      <c r="G48" s="213">
        <f>if(or(eq(Accounts!I44,"No Valet"),eq(Accounts!I44,"Has Valet")), F48 * AVERAGE(Accounts!I$2:I$34),F48*Accounts!I44)</f>
        <v/>
      </c>
      <c r="H48" s="213">
        <f>iferror(G48*360,"")</f>
        <v/>
      </c>
      <c r="I48" s="213">
        <f>H48*0.1</f>
        <v/>
      </c>
    </row>
    <row r="49" ht="54.75" customHeight="1" s="222">
      <c r="A49" s="210">
        <f>Accounts!A47</f>
        <v/>
      </c>
      <c r="B49" s="141">
        <f>Accounts!J47</f>
        <v/>
      </c>
      <c r="C49" s="211" t="n">
        <v>0.6</v>
      </c>
      <c r="D49" s="212">
        <f>#REF!*C49</f>
        <v/>
      </c>
      <c r="E49" s="211" t="n">
        <v>0.4</v>
      </c>
      <c r="F49" s="212">
        <f>D49*E49</f>
        <v/>
      </c>
      <c r="G49" s="213">
        <f>if(or(eq(#REF!,"No Valet"),eq(#REF!,"Has Valet")), F49 * AVERAGE(Accounts!I$2:I$34),F49*#REF!)</f>
        <v/>
      </c>
      <c r="H49" s="213">
        <f>iferror(G49*360,"")</f>
        <v/>
      </c>
      <c r="I49" s="213">
        <f>H49*0.1</f>
        <v/>
      </c>
    </row>
    <row r="50" ht="54.75" customHeight="1" s="222">
      <c r="A50" s="210">
        <f>Accounts!A48</f>
        <v/>
      </c>
      <c r="B50" s="141">
        <f>Accounts!J48</f>
        <v/>
      </c>
      <c r="C50" s="211" t="n">
        <v>0.6</v>
      </c>
      <c r="D50" s="212">
        <f>#REF!*C50</f>
        <v/>
      </c>
      <c r="E50" s="211" t="n">
        <v>0.4</v>
      </c>
      <c r="F50" s="212">
        <f>D50*E50</f>
        <v/>
      </c>
      <c r="G50" s="213">
        <f>if(or(eq(#REF!,"No Valet"),eq(#REF!,"Has Valet")), F50 * AVERAGE(Accounts!I$2:I$34),F50*#REF!)</f>
        <v/>
      </c>
      <c r="H50" s="213">
        <f>iferror(G50*360,"")</f>
        <v/>
      </c>
      <c r="I50" s="213">
        <f>H50*0.1</f>
        <v/>
      </c>
    </row>
    <row r="51" ht="54.75" customHeight="1" s="222">
      <c r="A51" s="210">
        <f>Accounts!A49</f>
        <v/>
      </c>
      <c r="B51" s="141">
        <f>Accounts!J49</f>
        <v/>
      </c>
      <c r="C51" s="211" t="n">
        <v>0.6</v>
      </c>
      <c r="D51" s="212">
        <f>Accounts!J46*C51</f>
        <v/>
      </c>
      <c r="E51" s="211" t="n">
        <v>0.4</v>
      </c>
      <c r="F51" s="212">
        <f>D51*E51</f>
        <v/>
      </c>
      <c r="G51" s="213">
        <f>if(or(eq(Accounts!I46,"No Valet"),eq(Accounts!I46,"Has Valet")), F51 * AVERAGE(Accounts!I$2:I$34),F51*Accounts!I46)</f>
        <v/>
      </c>
      <c r="H51" s="213">
        <f>iferror(G51*360,"")</f>
        <v/>
      </c>
      <c r="I51" s="213">
        <f>H51*0.1</f>
        <v/>
      </c>
    </row>
    <row r="52" ht="54.75" customHeight="1" s="222">
      <c r="A52" s="210">
        <f>Accounts!A50</f>
        <v/>
      </c>
      <c r="B52" s="141">
        <f>Accounts!J50</f>
        <v/>
      </c>
      <c r="C52" s="211" t="n">
        <v>0.6</v>
      </c>
      <c r="D52" s="212">
        <f>Accounts!J47*C52</f>
        <v/>
      </c>
      <c r="E52" s="211" t="n">
        <v>0.4</v>
      </c>
      <c r="F52" s="212">
        <f>D52*E52</f>
        <v/>
      </c>
      <c r="G52" s="213">
        <f>if(or(eq(Accounts!I47,"No Valet"),eq(Accounts!I47,"Has Valet")), F52 * AVERAGE(Accounts!I$2:I$34),F52*Accounts!I47)</f>
        <v/>
      </c>
      <c r="H52" s="213">
        <f>iferror(G52*360,"")</f>
        <v/>
      </c>
      <c r="I52" s="213">
        <f>H52*0.1</f>
        <v/>
      </c>
    </row>
    <row r="53" ht="54.75" customHeight="1" s="222">
      <c r="A53" s="210">
        <f>Accounts!A51</f>
        <v/>
      </c>
      <c r="B53" s="141">
        <f>Accounts!J51</f>
        <v/>
      </c>
      <c r="C53" s="211" t="n">
        <v>0.6</v>
      </c>
      <c r="D53" s="212">
        <f>Accounts!J48*C53</f>
        <v/>
      </c>
      <c r="E53" s="211" t="n">
        <v>0.4</v>
      </c>
      <c r="F53" s="212">
        <f>D53*E53</f>
        <v/>
      </c>
      <c r="G53" s="213">
        <f>if(or(eq(Accounts!I48,"No Valet"),eq(Accounts!I48,"Has Valet")), F53 * AVERAGE(Accounts!I$2:I$34),F53*Accounts!I48)</f>
        <v/>
      </c>
      <c r="H53" s="213">
        <f>iferror(G53*360,"")</f>
        <v/>
      </c>
      <c r="I53" s="213">
        <f>H53*0.1</f>
        <v/>
      </c>
    </row>
    <row r="54" ht="54.75" customHeight="1" s="222">
      <c r="A54" s="210">
        <f>Accounts!A52</f>
        <v/>
      </c>
      <c r="B54" s="141">
        <f>Accounts!J52</f>
        <v/>
      </c>
      <c r="C54" s="211" t="n">
        <v>0.6</v>
      </c>
      <c r="D54" s="212">
        <f>Accounts!J49*C54</f>
        <v/>
      </c>
      <c r="E54" s="211" t="n">
        <v>0.4</v>
      </c>
      <c r="F54" s="212">
        <f>D54*E54</f>
        <v/>
      </c>
      <c r="G54" s="213">
        <f>if(or(eq(Accounts!I49,"No Valet"),eq(Accounts!I49,"Has Valet")), F54 * AVERAGE(Accounts!I$2:I$34),F54*Accounts!I49)</f>
        <v/>
      </c>
      <c r="H54" s="213">
        <f>iferror(G54*360,"")</f>
        <v/>
      </c>
      <c r="I54" s="213">
        <f>H54*0.1</f>
        <v/>
      </c>
    </row>
    <row r="55" ht="54.75" customHeight="1" s="222">
      <c r="A55" s="210">
        <f>Accounts!A53</f>
        <v/>
      </c>
      <c r="B55" s="141">
        <f>Accounts!J53</f>
        <v/>
      </c>
      <c r="C55" s="211" t="n">
        <v>0.6</v>
      </c>
      <c r="D55" s="212">
        <f>Accounts!J50*C55</f>
        <v/>
      </c>
      <c r="E55" s="211" t="n">
        <v>0.4</v>
      </c>
      <c r="F55" s="212">
        <f>D55*E55</f>
        <v/>
      </c>
      <c r="G55" s="213">
        <f>if(or(eq(Accounts!I50,"No Valet"),eq(Accounts!I50,"Has Valet")), F55 * AVERAGE(Accounts!I$2:I$34),F55*Accounts!I50)</f>
        <v/>
      </c>
      <c r="H55" s="213">
        <f>iferror(G55*360,"")</f>
        <v/>
      </c>
      <c r="I55" s="213">
        <f>H55*0.1</f>
        <v/>
      </c>
    </row>
    <row r="56" ht="54.75" customHeight="1" s="222">
      <c r="A56" s="210">
        <f>Accounts!A54</f>
        <v/>
      </c>
      <c r="B56" s="141">
        <f>Accounts!J54</f>
        <v/>
      </c>
      <c r="C56" s="211" t="n">
        <v>0.6</v>
      </c>
      <c r="D56" s="212">
        <f>Accounts!J51*C56</f>
        <v/>
      </c>
      <c r="E56" s="211" t="n">
        <v>0.4</v>
      </c>
      <c r="F56" s="212">
        <f>D56*E56</f>
        <v/>
      </c>
      <c r="G56" s="213">
        <f>if(or(eq(Accounts!I51,"No Valet"),eq(Accounts!I51,"Has Valet")), F56 * AVERAGE(Accounts!I$2:I$34),F56*Accounts!I51)</f>
        <v/>
      </c>
      <c r="H56" s="213">
        <f>iferror(G56*360,"")</f>
        <v/>
      </c>
      <c r="I56" s="213">
        <f>H56*0.1</f>
        <v/>
      </c>
    </row>
    <row r="57" ht="54.75" customHeight="1" s="222">
      <c r="A57" s="210">
        <f>Accounts!A55</f>
        <v/>
      </c>
      <c r="B57" s="141">
        <f>Accounts!J55</f>
        <v/>
      </c>
      <c r="C57" s="211" t="n">
        <v>0.6</v>
      </c>
      <c r="D57" s="212">
        <f>Accounts!J52*C57</f>
        <v/>
      </c>
      <c r="E57" s="211" t="n">
        <v>0.4</v>
      </c>
      <c r="F57" s="212">
        <f>D57*E57</f>
        <v/>
      </c>
      <c r="G57" s="213">
        <f>if(or(eq(Accounts!I52,"No Valet"),eq(Accounts!I52,"Has Valet")), F57 * AVERAGE(Accounts!I$2:I$34),F57*Accounts!I52)</f>
        <v/>
      </c>
      <c r="H57" s="213">
        <f>iferror(G57*360,"")</f>
        <v/>
      </c>
      <c r="I57" s="213">
        <f>H57*0.1</f>
        <v/>
      </c>
    </row>
    <row r="58" ht="54.75" customHeight="1" s="222">
      <c r="A58" s="210">
        <f>Accounts!A56</f>
        <v/>
      </c>
      <c r="B58" s="141">
        <f>Accounts!J56</f>
        <v/>
      </c>
      <c r="C58" s="211" t="n">
        <v>0.6</v>
      </c>
      <c r="D58" s="212">
        <f>Accounts!J53*C58</f>
        <v/>
      </c>
      <c r="E58" s="211" t="n">
        <v>0.4</v>
      </c>
      <c r="F58" s="212">
        <f>D58*E58</f>
        <v/>
      </c>
      <c r="G58" s="213">
        <f>if(or(eq(Accounts!I53,"No Valet"),eq(Accounts!I53,"Has Valet")), F58 * AVERAGE(Accounts!I$2:I$34),F58*Accounts!I53)</f>
        <v/>
      </c>
      <c r="H58" s="213">
        <f>iferror(G58*360,"")</f>
        <v/>
      </c>
      <c r="I58" s="213">
        <f>H58*0.1</f>
        <v/>
      </c>
    </row>
    <row r="59" ht="54.75" customHeight="1" s="222">
      <c r="A59" s="210">
        <f>Accounts!A57</f>
        <v/>
      </c>
      <c r="B59" s="141">
        <f>Accounts!J57</f>
        <v/>
      </c>
      <c r="C59" s="211" t="n">
        <v>0.6</v>
      </c>
      <c r="D59" s="212">
        <f>Accounts!J54*C59</f>
        <v/>
      </c>
      <c r="E59" s="211" t="n">
        <v>0.4</v>
      </c>
      <c r="F59" s="212">
        <f>D59*E59</f>
        <v/>
      </c>
      <c r="G59" s="213">
        <f>if(or(eq(Accounts!I54,"No Valet"),eq(Accounts!I54,"Has Valet")), F59 * AVERAGE(Accounts!I$2:I$34),F59*Accounts!I54)</f>
        <v/>
      </c>
      <c r="H59" s="213">
        <f>iferror(G59*360,"")</f>
        <v/>
      </c>
      <c r="I59" s="213">
        <f>H59*0.1</f>
        <v/>
      </c>
    </row>
    <row r="60" ht="54.75" customHeight="1" s="222">
      <c r="A60" s="210">
        <f>Accounts!A58</f>
        <v/>
      </c>
      <c r="B60" s="141">
        <f>Accounts!J58</f>
        <v/>
      </c>
      <c r="C60" s="211" t="n">
        <v>0.6</v>
      </c>
      <c r="D60" s="212">
        <f>Accounts!J55*C60</f>
        <v/>
      </c>
      <c r="E60" s="211" t="n">
        <v>0.4</v>
      </c>
      <c r="F60" s="212">
        <f>D60*E60</f>
        <v/>
      </c>
      <c r="G60" s="213">
        <f>if(or(eq(Accounts!I55,"No Valet"),eq(Accounts!I55,"Has Valet")), F60 * AVERAGE(Accounts!I$2:I$34),F60*Accounts!I55)</f>
        <v/>
      </c>
      <c r="H60" s="213">
        <f>iferror(G60*360,"")</f>
        <v/>
      </c>
      <c r="I60" s="213">
        <f>H60*0.1</f>
        <v/>
      </c>
    </row>
    <row r="61" ht="54.75" customHeight="1" s="222">
      <c r="A61" s="210">
        <f>Accounts!A59</f>
        <v/>
      </c>
      <c r="B61" s="141">
        <f>Accounts!J59</f>
        <v/>
      </c>
      <c r="C61" s="211" t="n">
        <v>0.6</v>
      </c>
      <c r="D61" s="212">
        <f>Accounts!J56*C61</f>
        <v/>
      </c>
      <c r="E61" s="211" t="n">
        <v>0.4</v>
      </c>
      <c r="F61" s="212">
        <f>D61*E61</f>
        <v/>
      </c>
      <c r="G61" s="213">
        <f>if(or(eq(Accounts!I56,"No Valet"),eq(Accounts!I56,"Has Valet")), F61 * AVERAGE(Accounts!I$2:I$34),F61*Accounts!I56)</f>
        <v/>
      </c>
      <c r="H61" s="213">
        <f>iferror(G61*360,"")</f>
        <v/>
      </c>
      <c r="I61" s="213">
        <f>H61*0.1</f>
        <v/>
      </c>
    </row>
    <row r="62" ht="54.75" customHeight="1" s="222">
      <c r="A62" s="210">
        <f>Accounts!A60</f>
        <v/>
      </c>
      <c r="B62" s="141">
        <f>Accounts!J60</f>
        <v/>
      </c>
      <c r="C62" s="211" t="n">
        <v>0.6</v>
      </c>
      <c r="D62" s="212">
        <f>Accounts!J57*C62</f>
        <v/>
      </c>
      <c r="E62" s="211" t="n">
        <v>0.4</v>
      </c>
      <c r="F62" s="212">
        <f>D62*E62</f>
        <v/>
      </c>
      <c r="G62" s="213">
        <f>if(or(eq(Accounts!I57,"No Valet"),eq(Accounts!I57,"Has Valet")), F62 * AVERAGE(Accounts!I$2:I$34),F62*Accounts!I57)</f>
        <v/>
      </c>
      <c r="H62" s="213">
        <f>iferror(G62*360,"")</f>
        <v/>
      </c>
      <c r="I62" s="213">
        <f>H62*0.1</f>
        <v/>
      </c>
    </row>
    <row r="63" ht="54.75" customHeight="1" s="222">
      <c r="A63" s="210">
        <f>Accounts!A61</f>
        <v/>
      </c>
      <c r="B63" s="141">
        <f>Accounts!J61</f>
        <v/>
      </c>
      <c r="C63" s="211" t="n">
        <v>0.6</v>
      </c>
      <c r="D63" s="212">
        <f>Accounts!J58*C63</f>
        <v/>
      </c>
      <c r="E63" s="211" t="n">
        <v>0.4</v>
      </c>
      <c r="F63" s="212">
        <f>D63*E63</f>
        <v/>
      </c>
      <c r="G63" s="213">
        <f>if(or(eq(Accounts!I58,"No Valet"),eq(Accounts!I58,"Has Valet")), F63 * AVERAGE(Accounts!I$2:I$34),F63*Accounts!I58)</f>
        <v/>
      </c>
      <c r="H63" s="213">
        <f>iferror(G63*360,"")</f>
        <v/>
      </c>
      <c r="I63" s="213">
        <f>H63*0.1</f>
        <v/>
      </c>
    </row>
    <row r="64" ht="54.75" customHeight="1" s="222">
      <c r="A64" s="210">
        <f>Accounts!A62</f>
        <v/>
      </c>
      <c r="B64" s="141">
        <f>Accounts!J62</f>
        <v/>
      </c>
      <c r="C64" s="211" t="n">
        <v>0.6</v>
      </c>
      <c r="D64" s="212">
        <f>Accounts!J59*C64</f>
        <v/>
      </c>
      <c r="E64" s="211" t="n">
        <v>0.4</v>
      </c>
      <c r="F64" s="212">
        <f>D64*E64</f>
        <v/>
      </c>
      <c r="G64" s="213">
        <f>if(or(eq(Accounts!I59,"No Valet"),eq(Accounts!I59,"Has Valet")), F64 * AVERAGE(Accounts!I$2:I$34),F64*Accounts!I59)</f>
        <v/>
      </c>
      <c r="H64" s="213">
        <f>iferror(G64*360,"")</f>
        <v/>
      </c>
      <c r="I64" s="213">
        <f>H64*0.1</f>
        <v/>
      </c>
    </row>
    <row r="65" ht="54.75" customHeight="1" s="222">
      <c r="A65" s="210">
        <f>Accounts!A63</f>
        <v/>
      </c>
      <c r="B65" s="141">
        <f>Accounts!J63</f>
        <v/>
      </c>
      <c r="C65" s="211" t="n">
        <v>0.6</v>
      </c>
      <c r="D65" s="212">
        <f>Accounts!J60*C65</f>
        <v/>
      </c>
      <c r="E65" s="211" t="n">
        <v>0.4</v>
      </c>
      <c r="F65" s="212">
        <f>D65*E65</f>
        <v/>
      </c>
      <c r="G65" s="213">
        <f>if(or(eq(Accounts!I60,"No Valet"),eq(Accounts!I60,"Has Valet")), F65 * AVERAGE(Accounts!I$2:I$34),F65*Accounts!I60)</f>
        <v/>
      </c>
      <c r="H65" s="213">
        <f>iferror(G65*360,"")</f>
        <v/>
      </c>
      <c r="I65" s="213">
        <f>H65*0.1</f>
        <v/>
      </c>
    </row>
    <row r="66" ht="54.75" customHeight="1" s="222">
      <c r="A66" s="210">
        <f>Accounts!A64</f>
        <v/>
      </c>
      <c r="B66" s="141">
        <f>Accounts!J64</f>
        <v/>
      </c>
      <c r="C66" s="211" t="n">
        <v>0.6</v>
      </c>
      <c r="D66" s="212">
        <f>Accounts!J61*C66</f>
        <v/>
      </c>
      <c r="E66" s="211" t="n">
        <v>0.4</v>
      </c>
      <c r="F66" s="212">
        <f>D66*E66</f>
        <v/>
      </c>
      <c r="G66" s="213">
        <f>if(or(eq(Accounts!I61,"No Valet"),eq(Accounts!I61,"Has Valet")), F66 * AVERAGE(Accounts!I$2:I$34),F66*Accounts!I61)</f>
        <v/>
      </c>
      <c r="H66" s="213">
        <f>iferror(G66*360,"")</f>
        <v/>
      </c>
      <c r="I66" s="213">
        <f>H66*0.1</f>
        <v/>
      </c>
    </row>
    <row r="67" ht="54.75" customHeight="1" s="222">
      <c r="A67" s="210">
        <f>Accounts!A65</f>
        <v/>
      </c>
      <c r="B67" s="141">
        <f>Accounts!J65</f>
        <v/>
      </c>
      <c r="C67" s="211" t="n">
        <v>0.6</v>
      </c>
      <c r="D67" s="212">
        <f>Accounts!J62*C67</f>
        <v/>
      </c>
      <c r="E67" s="211" t="n">
        <v>0.4</v>
      </c>
      <c r="F67" s="212">
        <f>D67*E67</f>
        <v/>
      </c>
      <c r="G67" s="213">
        <f>if(or(eq(Accounts!I62,"No Valet"),eq(Accounts!I62,"Has Valet")), F67 * AVERAGE(Accounts!I$2:I$34),F67*Accounts!I62)</f>
        <v/>
      </c>
      <c r="H67" s="213">
        <f>iferror(G67*360,"")</f>
        <v/>
      </c>
      <c r="I67" s="213">
        <f>H67*0.1</f>
        <v/>
      </c>
    </row>
    <row r="68" ht="54.75" customHeight="1" s="222">
      <c r="A68" s="210">
        <f>#REF!</f>
        <v/>
      </c>
      <c r="B68" s="141">
        <f>#REF!</f>
        <v/>
      </c>
      <c r="C68" s="211" t="n">
        <v>0.6</v>
      </c>
      <c r="D68" s="212">
        <f>Accounts!J63*C68</f>
        <v/>
      </c>
      <c r="E68" s="211" t="n">
        <v>0.4</v>
      </c>
      <c r="F68" s="212">
        <f>D68*E68</f>
        <v/>
      </c>
      <c r="G68" s="213">
        <f>if(or(eq(Accounts!I63,"No Valet"),eq(Accounts!I63,"Has Valet")), F68 * AVERAGE(Accounts!I$2:I$34),F68*Accounts!I63)</f>
        <v/>
      </c>
      <c r="H68" s="213">
        <f>iferror(G68*360,"")</f>
        <v/>
      </c>
      <c r="I68" s="213">
        <f>H68*0.1</f>
        <v/>
      </c>
    </row>
    <row r="69" ht="54.75" customHeight="1" s="222">
      <c r="A69" s="210">
        <f>Accounts!A66</f>
        <v/>
      </c>
      <c r="B69" s="141">
        <f>Accounts!J66</f>
        <v/>
      </c>
      <c r="C69" s="211" t="n">
        <v>0.6</v>
      </c>
      <c r="D69" s="212">
        <f>Accounts!J64*C69</f>
        <v/>
      </c>
      <c r="E69" s="211" t="n">
        <v>0.4</v>
      </c>
      <c r="F69" s="212">
        <f>D69*E69</f>
        <v/>
      </c>
      <c r="G69" s="213">
        <f>if(or(eq(Accounts!I64,"No Valet"),eq(Accounts!I64,"Has Valet")), F69 * AVERAGE(Accounts!I$2:I$34),F69*Accounts!I64)</f>
        <v/>
      </c>
      <c r="H69" s="213">
        <f>iferror(G69*360,"")</f>
        <v/>
      </c>
      <c r="I69" s="213">
        <f>H69*0.1</f>
        <v/>
      </c>
    </row>
    <row r="70" ht="54.75" customHeight="1" s="222">
      <c r="A70" s="210">
        <f>Accounts!A67</f>
        <v/>
      </c>
      <c r="B70" s="141">
        <f>Accounts!J67</f>
        <v/>
      </c>
      <c r="C70" s="211" t="n">
        <v>0.6</v>
      </c>
      <c r="D70" s="212">
        <f>Accounts!J65*C70</f>
        <v/>
      </c>
      <c r="E70" s="211" t="n">
        <v>0.4</v>
      </c>
      <c r="F70" s="212">
        <f>D70*E70</f>
        <v/>
      </c>
      <c r="G70" s="213">
        <f>if(or(eq(Accounts!I65,"No Valet"),eq(Accounts!I65,"Has Valet")), F70 * AVERAGE(Accounts!I$2:I$34),F70*Accounts!I65)</f>
        <v/>
      </c>
      <c r="H70" s="213">
        <f>iferror(G70*360,"")</f>
        <v/>
      </c>
      <c r="I70" s="213">
        <f>H70*0.1</f>
        <v/>
      </c>
    </row>
    <row r="71" ht="54.75" customHeight="1" s="222">
      <c r="A71" s="210">
        <f>Accounts!A68</f>
        <v/>
      </c>
      <c r="B71" s="141">
        <f>Accounts!J68</f>
        <v/>
      </c>
      <c r="C71" s="211" t="n">
        <v>0.6</v>
      </c>
      <c r="D71" s="212">
        <f>#REF!*C71</f>
        <v/>
      </c>
      <c r="E71" s="211" t="n">
        <v>0.4</v>
      </c>
      <c r="F71" s="212">
        <f>D71*E71</f>
        <v/>
      </c>
      <c r="G71" s="213">
        <f>if(or(eq(#REF!,"No Valet"),eq(#REF!,"Has Valet")), F71 * AVERAGE(Accounts!I$2:I$34),F71*#REF!)</f>
        <v/>
      </c>
      <c r="H71" s="213">
        <f>iferror(G71*360,"")</f>
        <v/>
      </c>
      <c r="I71" s="213">
        <f>H71*0.1</f>
        <v/>
      </c>
    </row>
    <row r="72" ht="54.75" customHeight="1" s="222">
      <c r="A72" s="210">
        <f>Accounts!A69</f>
        <v/>
      </c>
      <c r="B72" s="141">
        <f>Accounts!J69</f>
        <v/>
      </c>
      <c r="C72" s="211" t="n">
        <v>0.6</v>
      </c>
      <c r="D72" s="212">
        <f>Accounts!J66*C72</f>
        <v/>
      </c>
      <c r="E72" s="211" t="n">
        <v>0.4</v>
      </c>
      <c r="F72" s="212">
        <f>D72*E72</f>
        <v/>
      </c>
      <c r="G72" s="213">
        <f>if(or(eq(Accounts!I66,"No Valet"),eq(Accounts!I66,"Has Valet")), F72 * AVERAGE(Accounts!I$2:I$34),F72*Accounts!I66)</f>
        <v/>
      </c>
      <c r="H72" s="213">
        <f>iferror(G72*360,"")</f>
        <v/>
      </c>
      <c r="I72" s="213">
        <f>H72*0.1</f>
        <v/>
      </c>
    </row>
    <row r="73" ht="54.75" customHeight="1" s="222">
      <c r="A73" s="210">
        <f>Accounts!A70</f>
        <v/>
      </c>
      <c r="B73" s="141">
        <f>Accounts!J70</f>
        <v/>
      </c>
      <c r="C73" s="211" t="n">
        <v>0.6</v>
      </c>
      <c r="D73" s="212">
        <f>Accounts!J67*C73</f>
        <v/>
      </c>
      <c r="E73" s="211" t="n">
        <v>0.4</v>
      </c>
      <c r="F73" s="212">
        <f>D73*E73</f>
        <v/>
      </c>
      <c r="G73" s="213">
        <f>if(or(eq(Accounts!I67,"No Valet"),eq(Accounts!I67,"Has Valet")), F73 * AVERAGE(Accounts!I$2:I$34),F73*Accounts!I67)</f>
        <v/>
      </c>
      <c r="H73" s="213">
        <f>iferror(G73*360,"")</f>
        <v/>
      </c>
      <c r="I73" s="213">
        <f>H73*0.1</f>
        <v/>
      </c>
    </row>
    <row r="74" ht="54.75" customHeight="1" s="222">
      <c r="A74" s="210">
        <f>Accounts!A71</f>
        <v/>
      </c>
      <c r="B74" s="141">
        <f>Accounts!J71</f>
        <v/>
      </c>
      <c r="C74" s="211" t="n">
        <v>0.6</v>
      </c>
      <c r="D74" s="212">
        <f>Accounts!J68*C74</f>
        <v/>
      </c>
      <c r="E74" s="211" t="n">
        <v>0.4</v>
      </c>
      <c r="F74" s="212">
        <f>D74*E74</f>
        <v/>
      </c>
      <c r="G74" s="213">
        <f>if(or(eq(Accounts!I68,"No Valet"),eq(Accounts!I68,"Has Valet")), F74 * AVERAGE(Accounts!I$2:I$34),F74*Accounts!I68)</f>
        <v/>
      </c>
      <c r="H74" s="213">
        <f>iferror(G74*360,"")</f>
        <v/>
      </c>
      <c r="I74" s="213">
        <f>H74*0.1</f>
        <v/>
      </c>
    </row>
    <row r="75" ht="54.75" customHeight="1" s="222">
      <c r="A75" s="210">
        <f>Accounts!A72</f>
        <v/>
      </c>
      <c r="B75" s="141">
        <f>Accounts!J72</f>
        <v/>
      </c>
      <c r="C75" s="211" t="n">
        <v>0.6</v>
      </c>
      <c r="D75" s="212">
        <f>Accounts!J69*C75</f>
        <v/>
      </c>
      <c r="E75" s="211" t="n">
        <v>0.4</v>
      </c>
      <c r="F75" s="212">
        <f>D75*E75</f>
        <v/>
      </c>
      <c r="G75" s="213">
        <f>if(or(eq(Accounts!I69,"No Valet"),eq(Accounts!I69,"Has Valet")), F75 * AVERAGE(Accounts!I$2:I$34),F75*Accounts!I69)</f>
        <v/>
      </c>
      <c r="H75" s="213">
        <f>iferror(G75*360,"")</f>
        <v/>
      </c>
      <c r="I75" s="213">
        <f>H75*0.1</f>
        <v/>
      </c>
    </row>
    <row r="76" ht="54.75" customHeight="1" s="222">
      <c r="A76" s="210">
        <f>Accounts!A73</f>
        <v/>
      </c>
      <c r="B76" s="141">
        <f>Accounts!J73</f>
        <v/>
      </c>
      <c r="C76" s="211" t="n">
        <v>0.6</v>
      </c>
      <c r="D76" s="212">
        <f>Accounts!J70*C76</f>
        <v/>
      </c>
      <c r="E76" s="211" t="n">
        <v>0.4</v>
      </c>
      <c r="F76" s="212">
        <f>D76*E76</f>
        <v/>
      </c>
      <c r="G76" s="213">
        <f>if(or(eq(Accounts!I70,"No Valet"),eq(Accounts!I70,"Has Valet")), F76 * AVERAGE(Accounts!I$2:I$34),F76*Accounts!I70)</f>
        <v/>
      </c>
      <c r="H76" s="213">
        <f>iferror(G76*360,"")</f>
        <v/>
      </c>
      <c r="I76" s="213">
        <f>H76*0.1</f>
        <v/>
      </c>
    </row>
    <row r="77" ht="54.75" customHeight="1" s="222">
      <c r="A77" s="210">
        <f>Accounts!A74</f>
        <v/>
      </c>
      <c r="B77" s="141">
        <f>Accounts!J74</f>
        <v/>
      </c>
      <c r="C77" s="211" t="n">
        <v>0.6</v>
      </c>
      <c r="D77" s="212">
        <f>Accounts!J71*C77</f>
        <v/>
      </c>
      <c r="E77" s="211" t="n">
        <v>0.4</v>
      </c>
      <c r="F77" s="212">
        <f>D77*E77</f>
        <v/>
      </c>
      <c r="G77" s="213">
        <f>if(or(eq(Accounts!I71,"No Valet"),eq(Accounts!I71,"Has Valet")), F77 * AVERAGE(Accounts!I$2:I$34),F77*Accounts!I71)</f>
        <v/>
      </c>
      <c r="H77" s="213">
        <f>iferror(G77*360,"")</f>
        <v/>
      </c>
      <c r="I77" s="213">
        <f>H77*0.1</f>
        <v/>
      </c>
    </row>
    <row r="78" ht="54.75" customHeight="1" s="222">
      <c r="A78" s="210">
        <f>Accounts!A75</f>
        <v/>
      </c>
      <c r="B78" s="141">
        <f>Accounts!J75</f>
        <v/>
      </c>
      <c r="C78" s="211" t="n">
        <v>0.6</v>
      </c>
      <c r="D78" s="212">
        <f>Accounts!J72*C78</f>
        <v/>
      </c>
      <c r="E78" s="211" t="n">
        <v>0.4</v>
      </c>
      <c r="F78" s="212">
        <f>D78*E78</f>
        <v/>
      </c>
      <c r="G78" s="213">
        <f>if(or(eq(Accounts!I72,"No Valet"),eq(Accounts!I72,"Has Valet")), F78 * AVERAGE(Accounts!I$2:I$34),F78*Accounts!I72)</f>
        <v/>
      </c>
      <c r="H78" s="213">
        <f>iferror(G78*360,"")</f>
        <v/>
      </c>
      <c r="I78" s="213">
        <f>H78*0.1</f>
        <v/>
      </c>
    </row>
    <row r="79" ht="54.75" customHeight="1" s="222">
      <c r="A79" s="210">
        <f>Accounts!A76</f>
        <v/>
      </c>
      <c r="B79" s="141">
        <f>Accounts!J76</f>
        <v/>
      </c>
      <c r="C79" s="211" t="n">
        <v>0.6</v>
      </c>
      <c r="D79" s="212">
        <f>Accounts!J73*C79</f>
        <v/>
      </c>
      <c r="E79" s="211" t="n">
        <v>0.4</v>
      </c>
      <c r="F79" s="212">
        <f>D79*E79</f>
        <v/>
      </c>
      <c r="G79" s="213">
        <f>if(or(eq(Accounts!I73,"No Valet"),eq(Accounts!I73,"Has Valet")), F79 * AVERAGE(Accounts!I$2:I$34),F79*Accounts!I73)</f>
        <v/>
      </c>
      <c r="H79" s="213">
        <f>iferror(G79*360,"")</f>
        <v/>
      </c>
      <c r="I79" s="213">
        <f>H79*0.1</f>
        <v/>
      </c>
    </row>
    <row r="80" ht="54.75" customHeight="1" s="222">
      <c r="A80" s="210">
        <f>Accounts!A77</f>
        <v/>
      </c>
      <c r="B80" s="141">
        <f>Accounts!J77</f>
        <v/>
      </c>
      <c r="C80" s="211" t="n">
        <v>0.6</v>
      </c>
      <c r="D80" s="212">
        <f>Accounts!J74*C80</f>
        <v/>
      </c>
      <c r="E80" s="211" t="n">
        <v>0.4</v>
      </c>
      <c r="F80" s="212">
        <f>D80*E80</f>
        <v/>
      </c>
      <c r="G80" s="213">
        <f>if(or(eq(Accounts!I74,"No Valet"),eq(Accounts!I74,"Has Valet")), F80 * AVERAGE(Accounts!I$2:I$34),F80*Accounts!I74)</f>
        <v/>
      </c>
      <c r="H80" s="213">
        <f>iferror(G80*360,"")</f>
        <v/>
      </c>
      <c r="I80" s="213">
        <f>H80*0.1</f>
        <v/>
      </c>
    </row>
    <row r="81" ht="54.75" customHeight="1" s="222">
      <c r="A81" s="210">
        <f>Accounts!A78</f>
        <v/>
      </c>
      <c r="B81" s="141">
        <f>Accounts!J78</f>
        <v/>
      </c>
      <c r="C81" s="211" t="n">
        <v>0.6</v>
      </c>
      <c r="D81" s="212">
        <f>Accounts!J75*C81</f>
        <v/>
      </c>
      <c r="E81" s="211" t="n">
        <v>0.4</v>
      </c>
      <c r="F81" s="212">
        <f>D81*E81</f>
        <v/>
      </c>
      <c r="G81" s="213">
        <f>if(or(eq(Accounts!I75,"No Valet"),eq(Accounts!I75,"Has Valet")), F81 * AVERAGE(Accounts!I$2:I$34),F81*Accounts!I75)</f>
        <v/>
      </c>
      <c r="H81" s="213">
        <f>iferror(G81*360,"")</f>
        <v/>
      </c>
      <c r="I81" s="213">
        <f>H81*0.1</f>
        <v/>
      </c>
    </row>
    <row r="82" ht="54.75" customHeight="1" s="222">
      <c r="A82" s="210">
        <f>Accounts!A79</f>
        <v/>
      </c>
      <c r="B82" s="141">
        <f>Accounts!J79</f>
        <v/>
      </c>
      <c r="C82" s="211" t="n">
        <v>0.6</v>
      </c>
      <c r="D82" s="212">
        <f>Accounts!J76*C82</f>
        <v/>
      </c>
      <c r="E82" s="211" t="n">
        <v>0.4</v>
      </c>
      <c r="F82" s="212">
        <f>D82*E82</f>
        <v/>
      </c>
      <c r="G82" s="213">
        <f>if(or(eq(Accounts!I76,"No Valet"),eq(Accounts!I76,"Has Valet")), F82 * AVERAGE(Accounts!I$2:I$34),F82*Accounts!I76)</f>
        <v/>
      </c>
      <c r="H82" s="213">
        <f>iferror(G82*360,"")</f>
        <v/>
      </c>
      <c r="I82" s="213">
        <f>H82*0.1</f>
        <v/>
      </c>
    </row>
    <row r="83" ht="54.75" customHeight="1" s="222">
      <c r="A83" s="210">
        <f>Accounts!A80</f>
        <v/>
      </c>
      <c r="B83" s="141">
        <f>Accounts!J80</f>
        <v/>
      </c>
      <c r="C83" s="211" t="n">
        <v>0.6</v>
      </c>
      <c r="D83" s="212">
        <f>Accounts!J77*C83</f>
        <v/>
      </c>
      <c r="E83" s="211" t="n">
        <v>0.4</v>
      </c>
      <c r="F83" s="212">
        <f>D83*E83</f>
        <v/>
      </c>
      <c r="G83" s="213">
        <f>if(or(eq(Accounts!I77,"No Valet"),eq(Accounts!I77,"Has Valet")), F83 * AVERAGE(Accounts!I$2:I$34),F83*Accounts!I77)</f>
        <v/>
      </c>
      <c r="H83" s="213">
        <f>iferror(G83*360,"")</f>
        <v/>
      </c>
      <c r="I83" s="213">
        <f>H83*0.1</f>
        <v/>
      </c>
    </row>
    <row r="84" ht="54.75" customHeight="1" s="222">
      <c r="A84" s="210">
        <f>Accounts!A81</f>
        <v/>
      </c>
      <c r="B84" s="141">
        <f>Accounts!J81</f>
        <v/>
      </c>
      <c r="C84" s="211" t="n">
        <v>0.6</v>
      </c>
      <c r="D84" s="212">
        <f>Accounts!J78*C84</f>
        <v/>
      </c>
      <c r="E84" s="211" t="n">
        <v>0.4</v>
      </c>
      <c r="F84" s="212">
        <f>D84*E84</f>
        <v/>
      </c>
      <c r="G84" s="213">
        <f>if(or(eq(Accounts!I78,"No Valet"),eq(Accounts!I78,"Has Valet")), F84 * AVERAGE(Accounts!I$2:I$34),F84*Accounts!I78)</f>
        <v/>
      </c>
      <c r="H84" s="213">
        <f>iferror(G84*360,"")</f>
        <v/>
      </c>
      <c r="I84" s="213">
        <f>H84*0.1</f>
        <v/>
      </c>
    </row>
    <row r="85" ht="54.75" customHeight="1" s="222">
      <c r="A85" s="210">
        <f>Accounts!A82</f>
        <v/>
      </c>
      <c r="B85" s="141">
        <f>Accounts!J82</f>
        <v/>
      </c>
      <c r="C85" s="211" t="n">
        <v>0.6</v>
      </c>
      <c r="D85" s="212">
        <f>Accounts!J79*C85</f>
        <v/>
      </c>
      <c r="E85" s="211" t="n">
        <v>0.4</v>
      </c>
      <c r="F85" s="212">
        <f>D85*E85</f>
        <v/>
      </c>
      <c r="G85" s="213">
        <f>if(or(eq(Accounts!I79,"No Valet"),eq(Accounts!I79,"Has Valet")), F85 * AVERAGE(Accounts!I$2:I$34),F85*Accounts!I79)</f>
        <v/>
      </c>
      <c r="H85" s="213">
        <f>iferror(G85*360,"")</f>
        <v/>
      </c>
      <c r="I85" s="213">
        <f>H85*0.1</f>
        <v/>
      </c>
    </row>
    <row r="86" ht="54.75" customHeight="1" s="222">
      <c r="A86" s="210">
        <f>Accounts!A83</f>
        <v/>
      </c>
      <c r="B86" s="141">
        <f>Accounts!J83</f>
        <v/>
      </c>
      <c r="C86" s="211" t="n">
        <v>0.6</v>
      </c>
      <c r="D86" s="212">
        <f>Accounts!J80*C86</f>
        <v/>
      </c>
      <c r="E86" s="211" t="n">
        <v>0.4</v>
      </c>
      <c r="F86" s="212">
        <f>D86*E86</f>
        <v/>
      </c>
      <c r="G86" s="213">
        <f>if(or(eq(Accounts!I80,"No Valet"),eq(Accounts!I80,"Has Valet")), F86 * AVERAGE(Accounts!I$2:I$34),F86*Accounts!I80)</f>
        <v/>
      </c>
      <c r="H86" s="213">
        <f>iferror(G86*360,"")</f>
        <v/>
      </c>
      <c r="I86" s="213">
        <f>H86*0.1</f>
        <v/>
      </c>
    </row>
    <row r="87" ht="54.75" customHeight="1" s="222">
      <c r="A87" s="210">
        <f>Accounts!A84</f>
        <v/>
      </c>
      <c r="B87" s="141">
        <f>Accounts!J84</f>
        <v/>
      </c>
      <c r="C87" s="211" t="n">
        <v>0.6</v>
      </c>
      <c r="D87" s="212">
        <f>Accounts!J81*C87</f>
        <v/>
      </c>
      <c r="E87" s="211" t="n">
        <v>0.4</v>
      </c>
      <c r="F87" s="212">
        <f>D87*E87</f>
        <v/>
      </c>
      <c r="G87" s="213">
        <f>if(or(eq(Accounts!I81,"No Valet"),eq(Accounts!I81,"Has Valet")), F87 * AVERAGE(Accounts!I$2:I$34),F87*Accounts!I81)</f>
        <v/>
      </c>
      <c r="H87" s="213">
        <f>iferror(G87*360,"")</f>
        <v/>
      </c>
      <c r="I87" s="213">
        <f>H87*0.1</f>
        <v/>
      </c>
    </row>
    <row r="88" ht="54.75" customHeight="1" s="222">
      <c r="A88" s="210">
        <f>Accounts!A85</f>
        <v/>
      </c>
      <c r="B88" s="141">
        <f>Accounts!J85</f>
        <v/>
      </c>
      <c r="C88" s="211" t="n">
        <v>0.6</v>
      </c>
      <c r="D88" s="212">
        <f>Accounts!J82*C88</f>
        <v/>
      </c>
      <c r="E88" s="211" t="n">
        <v>0.4</v>
      </c>
      <c r="F88" s="212">
        <f>D88*E88</f>
        <v/>
      </c>
      <c r="G88" s="213">
        <f>if(or(eq(Accounts!I82,"No Valet"),eq(Accounts!I82,"Has Valet")), F88 * AVERAGE(Accounts!I$2:I$34),F88*Accounts!I82)</f>
        <v/>
      </c>
      <c r="H88" s="213">
        <f>iferror(G88*360,"")</f>
        <v/>
      </c>
      <c r="I88" s="213">
        <f>H88*0.1</f>
        <v/>
      </c>
    </row>
    <row r="89" ht="54.75" customHeight="1" s="222">
      <c r="A89" s="210">
        <f>#REF!</f>
        <v/>
      </c>
      <c r="B89" s="141">
        <f>#REF!</f>
        <v/>
      </c>
      <c r="C89" s="211" t="n">
        <v>0.6</v>
      </c>
      <c r="D89" s="212">
        <f>Accounts!J83*C89</f>
        <v/>
      </c>
      <c r="E89" s="211" t="n">
        <v>0.4</v>
      </c>
      <c r="F89" s="212">
        <f>D89*E89</f>
        <v/>
      </c>
      <c r="G89" s="213">
        <f>if(or(eq(Accounts!I83,"No Valet"),eq(Accounts!I83,"Has Valet")), F89 * AVERAGE(Accounts!I$2:I$34),F89*Accounts!I83)</f>
        <v/>
      </c>
      <c r="H89" s="213">
        <f>iferror(G89*360,"")</f>
        <v/>
      </c>
      <c r="I89" s="213">
        <f>H89*0.1</f>
        <v/>
      </c>
    </row>
    <row r="90" ht="54.75" customHeight="1" s="222">
      <c r="A90" s="210">
        <f>Accounts!A86</f>
        <v/>
      </c>
      <c r="B90" s="141">
        <f>Accounts!J86</f>
        <v/>
      </c>
      <c r="C90" s="211" t="n">
        <v>0.6</v>
      </c>
      <c r="D90" s="212">
        <f>Accounts!J84*C90</f>
        <v/>
      </c>
      <c r="E90" s="211" t="n">
        <v>0.4</v>
      </c>
      <c r="F90" s="212">
        <f>D90*E90</f>
        <v/>
      </c>
      <c r="G90" s="213">
        <f>if(or(eq(Accounts!I84,"No Valet"),eq(Accounts!I84,"Has Valet")), F90 * AVERAGE(Accounts!I$2:I$34),F90*Accounts!I84)</f>
        <v/>
      </c>
      <c r="H90" s="213">
        <f>iferror(G90*360,"")</f>
        <v/>
      </c>
      <c r="I90" s="213">
        <f>H90*0.1</f>
        <v/>
      </c>
    </row>
    <row r="91" ht="54.75" customHeight="1" s="222">
      <c r="A91" s="210">
        <f>Accounts!A87</f>
        <v/>
      </c>
      <c r="B91" s="141">
        <f>Accounts!J87</f>
        <v/>
      </c>
      <c r="C91" s="211" t="n">
        <v>0.6</v>
      </c>
      <c r="D91" s="212">
        <f>Accounts!J85*C91</f>
        <v/>
      </c>
      <c r="E91" s="211" t="n">
        <v>0.4</v>
      </c>
      <c r="F91" s="212">
        <f>D91*E91</f>
        <v/>
      </c>
      <c r="G91" s="213">
        <f>if(or(eq(Accounts!I85,"No Valet"),eq(Accounts!I85,"Has Valet")), F91 * AVERAGE(Accounts!I$2:I$34),F91*Accounts!I85)</f>
        <v/>
      </c>
      <c r="H91" s="213">
        <f>iferror(G91*360,"")</f>
        <v/>
      </c>
      <c r="I91" s="213">
        <f>H91*0.1</f>
        <v/>
      </c>
    </row>
    <row r="92" ht="54.75" customHeight="1" s="222">
      <c r="A92" s="210">
        <f>Accounts!A88</f>
        <v/>
      </c>
      <c r="B92" s="141">
        <f>Accounts!J88</f>
        <v/>
      </c>
      <c r="C92" s="211" t="n">
        <v>0.6</v>
      </c>
      <c r="D92" s="212">
        <f>#REF!*C92</f>
        <v/>
      </c>
      <c r="E92" s="211" t="n">
        <v>0.4</v>
      </c>
      <c r="F92" s="212">
        <f>D92*E92</f>
        <v/>
      </c>
      <c r="G92" s="213">
        <f>if(or(eq(#REF!,"No Valet"),eq(#REF!,"Has Valet")), F92 * AVERAGE(Accounts!I$2:I$34),F92*#REF!)</f>
        <v/>
      </c>
      <c r="H92" s="213">
        <f>iferror(G92*360,"")</f>
        <v/>
      </c>
      <c r="I92" s="213">
        <f>H92*0.1</f>
        <v/>
      </c>
    </row>
    <row r="93" ht="54.75" customHeight="1" s="222">
      <c r="A93" s="210">
        <f>Accounts!A89</f>
        <v/>
      </c>
      <c r="B93" s="141">
        <f>Accounts!J89</f>
        <v/>
      </c>
      <c r="C93" s="211" t="n">
        <v>0.6</v>
      </c>
      <c r="D93" s="212">
        <f>Accounts!J86*C93</f>
        <v/>
      </c>
      <c r="E93" s="211" t="n">
        <v>0.4</v>
      </c>
      <c r="F93" s="212">
        <f>D93*E93</f>
        <v/>
      </c>
      <c r="G93" s="213">
        <f>if(or(eq(Accounts!I86,"No Valet"),eq(Accounts!I86,"Has Valet")), F93 * AVERAGE(Accounts!I$2:I$34),F93*Accounts!I86)</f>
        <v/>
      </c>
      <c r="H93" s="213">
        <f>iferror(G93*360,"")</f>
        <v/>
      </c>
      <c r="I93" s="213">
        <f>H93*0.1</f>
        <v/>
      </c>
    </row>
    <row r="94" ht="54.75" customHeight="1" s="222">
      <c r="A94" s="210">
        <f>Accounts!A90</f>
        <v/>
      </c>
      <c r="B94" s="141">
        <f>Accounts!J90</f>
        <v/>
      </c>
      <c r="C94" s="211" t="n">
        <v>0.6</v>
      </c>
      <c r="D94" s="212">
        <f>Accounts!J87*C94</f>
        <v/>
      </c>
      <c r="E94" s="211" t="n">
        <v>0.4</v>
      </c>
      <c r="F94" s="212">
        <f>D94*E94</f>
        <v/>
      </c>
      <c r="G94" s="213">
        <f>if(or(eq(Accounts!I87,"No Valet"),eq(Accounts!I87,"Has Valet")), F94 * AVERAGE(Accounts!I$2:I$34),F94*Accounts!I87)</f>
        <v/>
      </c>
      <c r="H94" s="213">
        <f>iferror(G94*360,"")</f>
        <v/>
      </c>
      <c r="I94" s="213">
        <f>H94*0.1</f>
        <v/>
      </c>
    </row>
    <row r="95" ht="54.75" customHeight="1" s="222">
      <c r="A95" s="210">
        <f>Accounts!A91</f>
        <v/>
      </c>
      <c r="B95" s="141">
        <f>Accounts!J91</f>
        <v/>
      </c>
      <c r="C95" s="211" t="n">
        <v>0.6</v>
      </c>
      <c r="D95" s="212">
        <f>Accounts!J88*C95</f>
        <v/>
      </c>
      <c r="E95" s="211" t="n">
        <v>0.4</v>
      </c>
      <c r="F95" s="212">
        <f>D95*E95</f>
        <v/>
      </c>
      <c r="G95" s="213">
        <f>if(or(eq(Accounts!I88,"No Valet"),eq(Accounts!I88,"Has Valet")), F95 * AVERAGE(Accounts!I$2:I$34),F95*Accounts!I88)</f>
        <v/>
      </c>
      <c r="H95" s="213">
        <f>iferror(G95*360,"")</f>
        <v/>
      </c>
      <c r="I95" s="213">
        <f>H95*0.1</f>
        <v/>
      </c>
    </row>
    <row r="96" ht="54.75" customHeight="1" s="222">
      <c r="A96" s="210">
        <f>Accounts!A92</f>
        <v/>
      </c>
      <c r="B96" s="141">
        <f>Accounts!J92</f>
        <v/>
      </c>
      <c r="C96" s="211" t="n">
        <v>0.6</v>
      </c>
      <c r="D96" s="212">
        <f>Accounts!J89*C96</f>
        <v/>
      </c>
      <c r="E96" s="211" t="n">
        <v>0.4</v>
      </c>
      <c r="F96" s="212">
        <f>D96*E96</f>
        <v/>
      </c>
      <c r="G96" s="213">
        <f>if(or(eq(Accounts!I89,"No Valet"),eq(Accounts!I89,"Has Valet")), F96 * AVERAGE(Accounts!I$2:I$34),F96*Accounts!I89)</f>
        <v/>
      </c>
      <c r="H96" s="213">
        <f>iferror(G96*360,"")</f>
        <v/>
      </c>
      <c r="I96" s="213">
        <f>H96*0.1</f>
        <v/>
      </c>
    </row>
    <row r="97" ht="54.75" customHeight="1" s="222">
      <c r="A97" s="210">
        <f>Accounts!A93</f>
        <v/>
      </c>
      <c r="B97" s="141">
        <f>Accounts!J93</f>
        <v/>
      </c>
      <c r="C97" s="211" t="n">
        <v>0.6</v>
      </c>
      <c r="D97" s="212">
        <f>Accounts!J90*C97</f>
        <v/>
      </c>
      <c r="E97" s="211" t="n">
        <v>0.4</v>
      </c>
      <c r="F97" s="212">
        <f>D97*E97</f>
        <v/>
      </c>
      <c r="G97" s="213">
        <f>if(or(eq(Accounts!I90,"No Valet"),eq(Accounts!I90,"Has Valet")), F97 * AVERAGE(Accounts!I$2:I$34),F97*Accounts!I90)</f>
        <v/>
      </c>
      <c r="H97" s="213">
        <f>iferror(G97*360,"")</f>
        <v/>
      </c>
      <c r="I97" s="213">
        <f>H97*0.1</f>
        <v/>
      </c>
    </row>
    <row r="98" ht="54.75" customHeight="1" s="222">
      <c r="A98" s="210">
        <f>Accounts!A94</f>
        <v/>
      </c>
      <c r="B98" s="141">
        <f>Accounts!J94</f>
        <v/>
      </c>
      <c r="C98" s="211" t="n">
        <v>0.6</v>
      </c>
      <c r="D98" s="212">
        <f>Accounts!J91*C98</f>
        <v/>
      </c>
      <c r="E98" s="211" t="n">
        <v>0.4</v>
      </c>
      <c r="F98" s="212">
        <f>D98*E98</f>
        <v/>
      </c>
      <c r="G98" s="213">
        <f>if(or(eq(Accounts!I91,"No Valet"),eq(Accounts!I91,"Has Valet")), F98 * AVERAGE(Accounts!I$2:I$34),F98*Accounts!I91)</f>
        <v/>
      </c>
      <c r="H98" s="213">
        <f>iferror(G98*360,"")</f>
        <v/>
      </c>
      <c r="I98" s="213">
        <f>H98*0.1</f>
        <v/>
      </c>
    </row>
    <row r="99" ht="54.75" customHeight="1" s="222">
      <c r="A99" s="210">
        <f>#REF!</f>
        <v/>
      </c>
      <c r="B99" s="141">
        <f>#REF!</f>
        <v/>
      </c>
      <c r="C99" s="211" t="n">
        <v>0.6</v>
      </c>
      <c r="D99" s="212">
        <f>Accounts!J92*C99</f>
        <v/>
      </c>
      <c r="E99" s="211" t="n">
        <v>0.4</v>
      </c>
      <c r="F99" s="212">
        <f>D99*E99</f>
        <v/>
      </c>
      <c r="G99" s="213">
        <f>if(or(eq(Accounts!I92,"No Valet"),eq(Accounts!I92,"Has Valet")), F99 * AVERAGE(Accounts!I$2:I$34),F99*Accounts!I92)</f>
        <v/>
      </c>
      <c r="H99" s="213">
        <f>iferror(G99*360,"")</f>
        <v/>
      </c>
      <c r="I99" s="213">
        <f>H99*0.1</f>
        <v/>
      </c>
    </row>
    <row r="100" ht="54.75" customHeight="1" s="222">
      <c r="A100" s="210">
        <f>Accounts!A95</f>
        <v/>
      </c>
      <c r="B100" s="141">
        <f>Accounts!J95</f>
        <v/>
      </c>
      <c r="C100" s="211" t="n">
        <v>0.6</v>
      </c>
      <c r="D100" s="212">
        <f>Accounts!J93*C100</f>
        <v/>
      </c>
      <c r="E100" s="211" t="n">
        <v>0.4</v>
      </c>
      <c r="F100" s="212">
        <f>D100*E100</f>
        <v/>
      </c>
      <c r="G100" s="213">
        <f>if(or(eq(Accounts!I93,"No Valet"),eq(Accounts!I93,"Has Valet")), F100 * AVERAGE(Accounts!I$2:I$34),F100*Accounts!I93)</f>
        <v/>
      </c>
      <c r="H100" s="213">
        <f>iferror(G100*360,"")</f>
        <v/>
      </c>
      <c r="I100" s="213">
        <f>H100*0.1</f>
        <v/>
      </c>
    </row>
    <row r="101" ht="54.75" customHeight="1" s="222">
      <c r="A101" s="210">
        <f>Accounts!A96</f>
        <v/>
      </c>
      <c r="B101" s="141">
        <f>Accounts!J96</f>
        <v/>
      </c>
      <c r="C101" s="211" t="n">
        <v>0.6</v>
      </c>
      <c r="D101" s="212">
        <f>Accounts!J94*C101</f>
        <v/>
      </c>
      <c r="E101" s="211" t="n">
        <v>0.4</v>
      </c>
      <c r="F101" s="212">
        <f>D101*E101</f>
        <v/>
      </c>
      <c r="G101" s="213">
        <f>if(or(eq(Accounts!I94,"No Valet"),eq(Accounts!I94,"Has Valet")), F101 * AVERAGE(Accounts!I$2:I$34),F101*Accounts!I94)</f>
        <v/>
      </c>
      <c r="H101" s="213">
        <f>iferror(G101*360,"")</f>
        <v/>
      </c>
      <c r="I101" s="213">
        <f>H101*0.1</f>
        <v/>
      </c>
    </row>
    <row r="102" ht="54.75" customHeight="1" s="222">
      <c r="A102" s="210">
        <f>Accounts!A97</f>
        <v/>
      </c>
      <c r="B102" s="141">
        <f>Accounts!J97</f>
        <v/>
      </c>
      <c r="C102" s="211" t="n">
        <v>0.6</v>
      </c>
      <c r="D102" s="212">
        <f>#REF!*C102</f>
        <v/>
      </c>
      <c r="E102" s="211" t="n">
        <v>0.4</v>
      </c>
      <c r="F102" s="212">
        <f>D102*E102</f>
        <v/>
      </c>
      <c r="G102" s="213">
        <f>if(or(eq(#REF!,"No Valet"),eq(#REF!,"Has Valet")), F102 * AVERAGE(Accounts!I$2:I$34),F102*#REF!)</f>
        <v/>
      </c>
      <c r="H102" s="213">
        <f>iferror(G102*360,"")</f>
        <v/>
      </c>
      <c r="I102" s="213">
        <f>H102*0.1</f>
        <v/>
      </c>
    </row>
    <row r="103" ht="54.75" customHeight="1" s="222">
      <c r="A103" s="210">
        <f>#REF!</f>
        <v/>
      </c>
      <c r="B103" s="141">
        <f>#REF!</f>
        <v/>
      </c>
      <c r="C103" s="211" t="n">
        <v>0.6</v>
      </c>
      <c r="D103" s="212">
        <f>Accounts!J95*C103</f>
        <v/>
      </c>
      <c r="E103" s="211" t="n">
        <v>0.4</v>
      </c>
      <c r="F103" s="212">
        <f>D103*E103</f>
        <v/>
      </c>
      <c r="G103" s="213">
        <f>if(or(eq(Accounts!I95,"No Valet"),eq(Accounts!I95,"Has Valet")), F103 * AVERAGE(Accounts!I$2:I$34),F103*Accounts!I95)</f>
        <v/>
      </c>
      <c r="H103" s="213">
        <f>iferror(G103*360,"")</f>
        <v/>
      </c>
      <c r="I103" s="213">
        <f>H103*0.1</f>
        <v/>
      </c>
    </row>
    <row r="104" ht="54.75" customHeight="1" s="222">
      <c r="A104" s="210">
        <f>Accounts!A98</f>
        <v/>
      </c>
      <c r="B104" s="141">
        <f>Accounts!J98</f>
        <v/>
      </c>
      <c r="C104" s="211" t="n">
        <v>0.6</v>
      </c>
      <c r="D104" s="212">
        <f>Accounts!J96*C104</f>
        <v/>
      </c>
      <c r="E104" s="211" t="n">
        <v>0.4</v>
      </c>
      <c r="F104" s="212">
        <f>D104*E104</f>
        <v/>
      </c>
      <c r="G104" s="213">
        <f>if(or(eq(Accounts!I96,"No Valet"),eq(Accounts!I96,"Has Valet")), F104 * AVERAGE(Accounts!I$2:I$34),F104*Accounts!I96)</f>
        <v/>
      </c>
      <c r="H104" s="213">
        <f>iferror(G104*360,"")</f>
        <v/>
      </c>
      <c r="I104" s="213">
        <f>H104*0.1</f>
        <v/>
      </c>
    </row>
    <row r="105" ht="54.75" customHeight="1" s="222">
      <c r="A105" s="210">
        <f>Accounts!A99</f>
        <v/>
      </c>
      <c r="B105" s="141">
        <f>Accounts!J99</f>
        <v/>
      </c>
      <c r="C105" s="211" t="n">
        <v>0.6</v>
      </c>
      <c r="D105" s="212">
        <f>Accounts!J97*C105</f>
        <v/>
      </c>
      <c r="E105" s="211" t="n">
        <v>0.4</v>
      </c>
      <c r="F105" s="212">
        <f>D105*E105</f>
        <v/>
      </c>
      <c r="G105" s="213">
        <f>if(or(eq(Accounts!I97,"No Valet"),eq(Accounts!I97,"Has Valet")), F105 * AVERAGE(Accounts!I$2:I$34),F105*Accounts!I97)</f>
        <v/>
      </c>
      <c r="H105" s="213">
        <f>iferror(G105*360,"")</f>
        <v/>
      </c>
      <c r="I105" s="213">
        <f>H105*0.1</f>
        <v/>
      </c>
    </row>
    <row r="106" ht="54.75" customHeight="1" s="222">
      <c r="A106" s="210">
        <f>Accounts!A100</f>
        <v/>
      </c>
      <c r="B106" s="141">
        <f>Accounts!J100</f>
        <v/>
      </c>
      <c r="C106" s="211" t="n">
        <v>0.6</v>
      </c>
      <c r="D106" s="212">
        <f>#REF!*C106</f>
        <v/>
      </c>
      <c r="E106" s="211" t="n">
        <v>0.4</v>
      </c>
      <c r="F106" s="212">
        <f>D106*E106</f>
        <v/>
      </c>
      <c r="G106" s="213">
        <f>if(or(eq(#REF!,"No Valet"),eq(#REF!,"Has Valet")), F106 * AVERAGE(Accounts!I$2:I$34),F106*#REF!)</f>
        <v/>
      </c>
      <c r="H106" s="213">
        <f>iferror(G106*360,"")</f>
        <v/>
      </c>
      <c r="I106" s="213">
        <f>H106*0.1</f>
        <v/>
      </c>
    </row>
    <row r="107" ht="54.75" customHeight="1" s="222">
      <c r="A107" s="210">
        <f>Accounts!A101</f>
        <v/>
      </c>
      <c r="B107" s="141">
        <f>Accounts!J101</f>
        <v/>
      </c>
      <c r="C107" s="211" t="n">
        <v>0.6</v>
      </c>
      <c r="D107" s="212">
        <f>Accounts!J98*C107</f>
        <v/>
      </c>
      <c r="E107" s="211" t="n">
        <v>0.4</v>
      </c>
      <c r="F107" s="212">
        <f>D107*E107</f>
        <v/>
      </c>
      <c r="G107" s="213">
        <f>if(or(eq(Accounts!I98,"No Valet"),eq(Accounts!I98,"Has Valet")), F107 * AVERAGE(Accounts!I$2:I$34),F107*Accounts!I98)</f>
        <v/>
      </c>
      <c r="H107" s="213">
        <f>iferror(G107*360,"")</f>
        <v/>
      </c>
      <c r="I107" s="213">
        <f>H107*0.1</f>
        <v/>
      </c>
    </row>
    <row r="108" ht="54.75" customHeight="1" s="222">
      <c r="A108" s="210">
        <f>Accounts!A102</f>
        <v/>
      </c>
      <c r="B108" s="141">
        <f>Accounts!J102</f>
        <v/>
      </c>
      <c r="C108" s="211" t="n">
        <v>0.6</v>
      </c>
      <c r="D108" s="212">
        <f>Accounts!J99*C108</f>
        <v/>
      </c>
      <c r="E108" s="211" t="n">
        <v>0.4</v>
      </c>
      <c r="F108" s="212">
        <f>D108*E108</f>
        <v/>
      </c>
      <c r="G108" s="213">
        <f>if(or(eq(Accounts!I99,"No Valet"),eq(Accounts!I99,"Has Valet")), F108 * AVERAGE(Accounts!I$2:I$34),F108*Accounts!I99)</f>
        <v/>
      </c>
      <c r="H108" s="213">
        <f>iferror(G108*360,"")</f>
        <v/>
      </c>
      <c r="I108" s="213">
        <f>H108*0.1</f>
        <v/>
      </c>
    </row>
    <row r="109" ht="54.75" customHeight="1" s="222">
      <c r="A109" s="210">
        <f>Accounts!A103</f>
        <v/>
      </c>
      <c r="B109" s="141">
        <f>Accounts!J103</f>
        <v/>
      </c>
      <c r="C109" s="211" t="n">
        <v>0.6</v>
      </c>
      <c r="D109" s="212">
        <f>Accounts!J100*C109</f>
        <v/>
      </c>
      <c r="E109" s="211" t="n">
        <v>0.4</v>
      </c>
      <c r="F109" s="212">
        <f>D109*E109</f>
        <v/>
      </c>
      <c r="G109" s="213">
        <f>if(or(eq(Accounts!I100,"No Valet"),eq(Accounts!I100,"Has Valet")), F109 * AVERAGE(Accounts!I$2:I$34),F109*Accounts!I100)</f>
        <v/>
      </c>
      <c r="H109" s="213">
        <f>iferror(G109*360,"")</f>
        <v/>
      </c>
      <c r="I109" s="213">
        <f>H109*0.1</f>
        <v/>
      </c>
    </row>
    <row r="110" ht="54.75" customHeight="1" s="222">
      <c r="A110" s="210">
        <f>Accounts!A104</f>
        <v/>
      </c>
      <c r="B110" s="141">
        <f>Accounts!J104</f>
        <v/>
      </c>
      <c r="C110" s="211" t="n">
        <v>0.6</v>
      </c>
      <c r="D110" s="212">
        <f>Accounts!J101*C110</f>
        <v/>
      </c>
      <c r="E110" s="211" t="n">
        <v>0.4</v>
      </c>
      <c r="F110" s="212">
        <f>D110*E110</f>
        <v/>
      </c>
      <c r="G110" s="213">
        <f>if(or(eq(Accounts!I101,"No Valet"),eq(Accounts!I101,"Has Valet")), F110 * AVERAGE(Accounts!I$2:I$34),F110*Accounts!I101)</f>
        <v/>
      </c>
      <c r="H110" s="213">
        <f>iferror(G110*360,"")</f>
        <v/>
      </c>
      <c r="I110" s="213">
        <f>H110*0.1</f>
        <v/>
      </c>
    </row>
    <row r="111" ht="54.75" customHeight="1" s="222">
      <c r="A111" s="210">
        <f>Accounts!A105</f>
        <v/>
      </c>
      <c r="B111" s="141">
        <f>Accounts!J105</f>
        <v/>
      </c>
      <c r="C111" s="211" t="n">
        <v>0.6</v>
      </c>
      <c r="D111" s="212">
        <f>Accounts!J102*C111</f>
        <v/>
      </c>
      <c r="E111" s="211" t="n">
        <v>0.4</v>
      </c>
      <c r="F111" s="212">
        <f>D111*E111</f>
        <v/>
      </c>
      <c r="G111" s="213">
        <f>if(or(eq(Accounts!I102,"No Valet"),eq(Accounts!I102,"Has Valet")), F111 * AVERAGE(Accounts!I$2:I$34),F111*Accounts!I102)</f>
        <v/>
      </c>
      <c r="H111" s="213">
        <f>iferror(G111*360,"")</f>
        <v/>
      </c>
      <c r="I111" s="213">
        <f>H111*0.1</f>
        <v/>
      </c>
    </row>
    <row r="112" ht="54.75" customHeight="1" s="222">
      <c r="A112" s="210">
        <f>Accounts!A106</f>
        <v/>
      </c>
      <c r="B112" s="141">
        <f>Accounts!J106</f>
        <v/>
      </c>
      <c r="C112" s="211" t="n">
        <v>0.6</v>
      </c>
      <c r="D112" s="212">
        <f>Accounts!J103*C112</f>
        <v/>
      </c>
      <c r="E112" s="211" t="n">
        <v>0.4</v>
      </c>
      <c r="F112" s="212">
        <f>D112*E112</f>
        <v/>
      </c>
      <c r="G112" s="213">
        <f>if(or(eq(Accounts!I103,"No Valet"),eq(Accounts!I103,"Has Valet")), F112 * AVERAGE(Accounts!I$2:I$34),F112*Accounts!I103)</f>
        <v/>
      </c>
      <c r="H112" s="213">
        <f>iferror(G112*360,"")</f>
        <v/>
      </c>
      <c r="I112" s="213">
        <f>H112*0.1</f>
        <v/>
      </c>
    </row>
    <row r="113" ht="54.75" customHeight="1" s="222">
      <c r="A113" s="210">
        <f>Accounts!A107</f>
        <v/>
      </c>
      <c r="B113" s="141">
        <f>Accounts!J107</f>
        <v/>
      </c>
      <c r="C113" s="211" t="n">
        <v>0.6</v>
      </c>
      <c r="D113" s="212">
        <f>Accounts!J104*C113</f>
        <v/>
      </c>
      <c r="E113" s="211" t="n">
        <v>0.4</v>
      </c>
      <c r="F113" s="212">
        <f>D113*E113</f>
        <v/>
      </c>
      <c r="G113" s="213">
        <f>if(or(eq(Accounts!I104,"No Valet"),eq(Accounts!I104,"Has Valet")), F113 * AVERAGE(Accounts!I$2:I$34),F113*Accounts!I104)</f>
        <v/>
      </c>
      <c r="H113" s="213">
        <f>iferror(G113*360,"")</f>
        <v/>
      </c>
      <c r="I113" s="213">
        <f>H113*0.1</f>
        <v/>
      </c>
    </row>
    <row r="114" ht="54.75" customHeight="1" s="222">
      <c r="A114" s="210">
        <f>Accounts!A108</f>
        <v/>
      </c>
      <c r="B114" s="141">
        <f>Accounts!J108</f>
        <v/>
      </c>
      <c r="C114" s="211" t="n">
        <v>0.6</v>
      </c>
      <c r="D114" s="212">
        <f>Accounts!J105*C114</f>
        <v/>
      </c>
      <c r="E114" s="211" t="n">
        <v>0.4</v>
      </c>
      <c r="F114" s="212">
        <f>D114*E114</f>
        <v/>
      </c>
      <c r="G114" s="213">
        <f>if(or(eq(Accounts!I105,"No Valet"),eq(Accounts!I105,"Has Valet")), F114 * AVERAGE(Accounts!I$2:I$34),F114*Accounts!I105)</f>
        <v/>
      </c>
      <c r="H114" s="213">
        <f>iferror(G114*360,"")</f>
        <v/>
      </c>
      <c r="I114" s="213">
        <f>H114*0.1</f>
        <v/>
      </c>
    </row>
    <row r="115" ht="54.75" customHeight="1" s="222">
      <c r="A115" s="210">
        <f>Accounts!A109</f>
        <v/>
      </c>
      <c r="B115" s="141">
        <f>Accounts!J109</f>
        <v/>
      </c>
      <c r="C115" s="211" t="n">
        <v>0.6</v>
      </c>
      <c r="D115" s="212">
        <f>Accounts!J106*C115</f>
        <v/>
      </c>
      <c r="E115" s="211" t="n">
        <v>0.4</v>
      </c>
      <c r="F115" s="212">
        <f>D115*E115</f>
        <v/>
      </c>
      <c r="G115" s="213">
        <f>if(or(eq(Accounts!I106,"No Valet"),eq(Accounts!I106,"Has Valet")), F115 * AVERAGE(Accounts!I$2:I$34),F115*Accounts!I106)</f>
        <v/>
      </c>
      <c r="H115" s="213">
        <f>iferror(G115*360,"")</f>
        <v/>
      </c>
      <c r="I115" s="213">
        <f>H115*0.1</f>
        <v/>
      </c>
    </row>
    <row r="116" ht="54.75" customHeight="1" s="222">
      <c r="A116" s="210">
        <f>Accounts!A110</f>
        <v/>
      </c>
      <c r="B116" s="141">
        <f>Accounts!J110</f>
        <v/>
      </c>
      <c r="C116" s="211" t="n">
        <v>0.6</v>
      </c>
      <c r="D116" s="212">
        <f>Accounts!J107*C116</f>
        <v/>
      </c>
      <c r="E116" s="211" t="n">
        <v>0.4</v>
      </c>
      <c r="F116" s="212">
        <f>D116*E116</f>
        <v/>
      </c>
      <c r="G116" s="213">
        <f>if(or(eq(Accounts!I107,"No Valet"),eq(Accounts!I107,"Has Valet")), F116 * AVERAGE(Accounts!I$2:I$34),F116*Accounts!I107)</f>
        <v/>
      </c>
      <c r="H116" s="213">
        <f>iferror(G116*360,"")</f>
        <v/>
      </c>
      <c r="I116" s="213">
        <f>H116*0.1</f>
        <v/>
      </c>
    </row>
    <row r="117" ht="54.75" customHeight="1" s="222">
      <c r="A117" s="210">
        <f>Accounts!A111</f>
        <v/>
      </c>
      <c r="B117" s="141">
        <f>Accounts!J111</f>
        <v/>
      </c>
      <c r="C117" s="211" t="n">
        <v>0.6</v>
      </c>
      <c r="D117" s="212">
        <f>Accounts!J108*C117</f>
        <v/>
      </c>
      <c r="E117" s="211" t="n">
        <v>0.4</v>
      </c>
      <c r="F117" s="212">
        <f>D117*E117</f>
        <v/>
      </c>
      <c r="G117" s="213">
        <f>if(or(eq(Accounts!I108,"No Valet"),eq(Accounts!I108,"Has Valet")), F117 * AVERAGE(Accounts!I$2:I$34),F117*Accounts!I108)</f>
        <v/>
      </c>
      <c r="H117" s="213">
        <f>iferror(G117*360,"")</f>
        <v/>
      </c>
      <c r="I117" s="213">
        <f>H117*0.1</f>
        <v/>
      </c>
    </row>
    <row r="118" ht="54.75" customHeight="1" s="222">
      <c r="A118" s="210">
        <f>Accounts!A112</f>
        <v/>
      </c>
      <c r="B118" s="141">
        <f>Accounts!J112</f>
        <v/>
      </c>
      <c r="C118" s="211" t="n">
        <v>0.6</v>
      </c>
      <c r="D118" s="212">
        <f>Accounts!J109*C118</f>
        <v/>
      </c>
      <c r="E118" s="211" t="n">
        <v>0.4</v>
      </c>
      <c r="F118" s="212">
        <f>D118*E118</f>
        <v/>
      </c>
      <c r="G118" s="213">
        <f>if(or(eq(Accounts!I109,"No Valet"),eq(Accounts!I109,"Has Valet")), F118 * AVERAGE(Accounts!I$2:I$34),F118*Accounts!I109)</f>
        <v/>
      </c>
      <c r="H118" s="213">
        <f>iferror(G118*360,"")</f>
        <v/>
      </c>
      <c r="I118" s="213">
        <f>H118*0.1</f>
        <v/>
      </c>
    </row>
    <row r="119" ht="54.75" customHeight="1" s="222">
      <c r="A119" s="210">
        <f>Accounts!A113</f>
        <v/>
      </c>
      <c r="B119" s="141">
        <f>Accounts!J113</f>
        <v/>
      </c>
      <c r="C119" s="211" t="n">
        <v>0.6</v>
      </c>
      <c r="D119" s="212">
        <f>Accounts!J110*C119</f>
        <v/>
      </c>
      <c r="E119" s="211" t="n">
        <v>0.4</v>
      </c>
      <c r="F119" s="212">
        <f>D119*E119</f>
        <v/>
      </c>
      <c r="G119" s="213">
        <f>if(or(eq(Accounts!I110,"No Valet"),eq(Accounts!I110,"Has Valet")), F119 * AVERAGE(Accounts!I$2:I$34),F119*Accounts!I110)</f>
        <v/>
      </c>
      <c r="H119" s="213">
        <f>iferror(G119*360,"")</f>
        <v/>
      </c>
      <c r="I119" s="213">
        <f>H119*0.1</f>
        <v/>
      </c>
    </row>
    <row r="120" ht="54.75" customHeight="1" s="222">
      <c r="A120" s="210">
        <f>Accounts!A114</f>
        <v/>
      </c>
      <c r="B120" s="141">
        <f>Accounts!J114</f>
        <v/>
      </c>
      <c r="C120" s="211" t="n">
        <v>0.6</v>
      </c>
      <c r="D120" s="212">
        <f>Accounts!J111*C120</f>
        <v/>
      </c>
      <c r="E120" s="211" t="n">
        <v>0.4</v>
      </c>
      <c r="F120" s="212">
        <f>D120*E120</f>
        <v/>
      </c>
      <c r="G120" s="213">
        <f>if(or(eq(Accounts!I111,"No Valet"),eq(Accounts!I111,"Has Valet")), F120 * AVERAGE(Accounts!I$2:I$34),F120*Accounts!I111)</f>
        <v/>
      </c>
      <c r="H120" s="213">
        <f>iferror(G120*360,"")</f>
        <v/>
      </c>
      <c r="I120" s="213">
        <f>H120*0.1</f>
        <v/>
      </c>
    </row>
    <row r="121" ht="54.75" customHeight="1" s="222">
      <c r="A121" s="210">
        <f>Accounts!A115</f>
        <v/>
      </c>
      <c r="B121" s="141">
        <f>Accounts!J115</f>
        <v/>
      </c>
      <c r="C121" s="211" t="n">
        <v>0.6</v>
      </c>
      <c r="D121" s="212">
        <f>Accounts!J112*C121</f>
        <v/>
      </c>
      <c r="E121" s="211" t="n">
        <v>0.4</v>
      </c>
      <c r="F121" s="212">
        <f>D121*E121</f>
        <v/>
      </c>
      <c r="G121" s="213">
        <f>if(or(eq(Accounts!I112,"No Valet"),eq(Accounts!I112,"Has Valet")), F121 * AVERAGE(Accounts!I$2:I$34),F121*Accounts!I112)</f>
        <v/>
      </c>
      <c r="H121" s="213">
        <f>iferror(G121*360,"")</f>
        <v/>
      </c>
      <c r="I121" s="213">
        <f>H121*0.1</f>
        <v/>
      </c>
    </row>
    <row r="122" ht="54.75" customHeight="1" s="222">
      <c r="A122" s="210">
        <f>#REF!</f>
        <v/>
      </c>
      <c r="B122" s="141">
        <f>#REF!</f>
        <v/>
      </c>
      <c r="C122" s="211" t="n">
        <v>0.6</v>
      </c>
      <c r="D122" s="212">
        <f>Accounts!J113*C122</f>
        <v/>
      </c>
      <c r="E122" s="211" t="n">
        <v>0.4</v>
      </c>
      <c r="F122" s="212">
        <f>D122*E122</f>
        <v/>
      </c>
      <c r="G122" s="213">
        <f>if(or(eq(Accounts!I113,"No Valet"),eq(Accounts!I113,"Has Valet")), F122 * AVERAGE(Accounts!I$2:I$34),F122*Accounts!I113)</f>
        <v/>
      </c>
      <c r="H122" s="213">
        <f>iferror(G122*360,"")</f>
        <v/>
      </c>
      <c r="I122" s="213">
        <f>H122*0.1</f>
        <v/>
      </c>
    </row>
    <row r="123" ht="54.75" customHeight="1" s="222">
      <c r="A123" s="210">
        <f>Accounts!A116</f>
        <v/>
      </c>
      <c r="B123" s="141">
        <f>Accounts!J116</f>
        <v/>
      </c>
      <c r="C123" s="211" t="n">
        <v>0.6</v>
      </c>
      <c r="D123" s="212">
        <f>Accounts!J114*C123</f>
        <v/>
      </c>
      <c r="E123" s="211" t="n">
        <v>0.4</v>
      </c>
      <c r="F123" s="212">
        <f>D123*E123</f>
        <v/>
      </c>
      <c r="G123" s="213">
        <f>if(or(eq(Accounts!I114,"No Valet"),eq(Accounts!I114,"Has Valet")), F123 * AVERAGE(Accounts!I$2:I$34),F123*Accounts!I114)</f>
        <v/>
      </c>
      <c r="H123" s="213">
        <f>iferror(G123*360,"")</f>
        <v/>
      </c>
      <c r="I123" s="213">
        <f>H123*0.1</f>
        <v/>
      </c>
    </row>
    <row r="124" ht="54.75" customHeight="1" s="222">
      <c r="A124" s="210">
        <f>Accounts!A117</f>
        <v/>
      </c>
      <c r="B124" s="141">
        <f>Accounts!J117</f>
        <v/>
      </c>
      <c r="C124" s="211" t="n">
        <v>0.6</v>
      </c>
      <c r="D124" s="212">
        <f>Accounts!J115*C124</f>
        <v/>
      </c>
      <c r="E124" s="211" t="n">
        <v>0.4</v>
      </c>
      <c r="F124" s="212">
        <f>D124*E124</f>
        <v/>
      </c>
      <c r="G124" s="213">
        <f>if(or(eq(Accounts!I115,"No Valet"),eq(Accounts!I115,"Has Valet")), F124 * AVERAGE(Accounts!I$2:I$34),F124*Accounts!I115)</f>
        <v/>
      </c>
      <c r="H124" s="213">
        <f>iferror(G124*360,"")</f>
        <v/>
      </c>
      <c r="I124" s="213">
        <f>H124*0.1</f>
        <v/>
      </c>
    </row>
    <row r="125" ht="54.75" customHeight="1" s="222">
      <c r="A125" s="210">
        <f>Accounts!A118</f>
        <v/>
      </c>
      <c r="B125" s="141">
        <f>Accounts!J118</f>
        <v/>
      </c>
      <c r="C125" s="211" t="n">
        <v>0.6</v>
      </c>
      <c r="D125" s="212">
        <f>#REF!*C125</f>
        <v/>
      </c>
      <c r="E125" s="211" t="n">
        <v>0.4</v>
      </c>
      <c r="F125" s="212">
        <f>D125*E125</f>
        <v/>
      </c>
      <c r="G125" s="213">
        <f>if(or(eq(#REF!,"No Valet"),eq(#REF!,"Has Valet")), F125 * AVERAGE(Accounts!I$2:I$34),F125*#REF!)</f>
        <v/>
      </c>
      <c r="H125" s="213">
        <f>iferror(G125*360,"")</f>
        <v/>
      </c>
      <c r="I125" s="213">
        <f>H125*0.1</f>
        <v/>
      </c>
    </row>
    <row r="126" ht="54.75" customHeight="1" s="222">
      <c r="A126" s="210">
        <f>Accounts!A119</f>
        <v/>
      </c>
      <c r="B126" s="141">
        <f>Accounts!J119</f>
        <v/>
      </c>
      <c r="C126" s="211" t="n">
        <v>0.6</v>
      </c>
      <c r="D126" s="212">
        <f>Accounts!J116*C126</f>
        <v/>
      </c>
      <c r="E126" s="211" t="n">
        <v>0.4</v>
      </c>
      <c r="F126" s="212">
        <f>D126*E126</f>
        <v/>
      </c>
      <c r="G126" s="213">
        <f>if(or(eq(Accounts!I116,"No Valet"),eq(Accounts!I116,"Has Valet")), F126 * AVERAGE(Accounts!I$2:I$34),F126*Accounts!I116)</f>
        <v/>
      </c>
      <c r="H126" s="213">
        <f>iferror(G126*360,"")</f>
        <v/>
      </c>
      <c r="I126" s="213">
        <f>H126*0.1</f>
        <v/>
      </c>
    </row>
    <row r="127" ht="54.75" customHeight="1" s="222">
      <c r="A127" s="210">
        <f>Accounts!A120</f>
        <v/>
      </c>
      <c r="B127" s="141">
        <f>Accounts!J120</f>
        <v/>
      </c>
      <c r="C127" s="211" t="n">
        <v>0.6</v>
      </c>
      <c r="D127" s="212">
        <f>Accounts!J117*C127</f>
        <v/>
      </c>
      <c r="E127" s="211" t="n">
        <v>0.4</v>
      </c>
      <c r="F127" s="212">
        <f>D127*E127</f>
        <v/>
      </c>
      <c r="G127" s="213">
        <f>if(or(eq(Accounts!I117,"No Valet"),eq(Accounts!I117,"Has Valet")), F127 * AVERAGE(Accounts!I$2:I$34),F127*Accounts!I117)</f>
        <v/>
      </c>
      <c r="H127" s="213">
        <f>iferror(G127*360,"")</f>
        <v/>
      </c>
      <c r="I127" s="213">
        <f>H127*0.1</f>
        <v/>
      </c>
    </row>
    <row r="128" ht="54.75" customHeight="1" s="222">
      <c r="A128" s="210">
        <f>Accounts!A121</f>
        <v/>
      </c>
      <c r="B128" s="141">
        <f>Accounts!J121</f>
        <v/>
      </c>
      <c r="C128" s="211" t="n">
        <v>0.6</v>
      </c>
      <c r="D128" s="212">
        <f>Accounts!J118*C128</f>
        <v/>
      </c>
      <c r="E128" s="211" t="n">
        <v>0.4</v>
      </c>
      <c r="F128" s="212">
        <f>D128*E128</f>
        <v/>
      </c>
      <c r="G128" s="213">
        <f>if(or(eq(Accounts!I118,"No Valet"),eq(Accounts!I118,"Has Valet")), F128 * AVERAGE(Accounts!I$2:I$34),F128*Accounts!I118)</f>
        <v/>
      </c>
      <c r="H128" s="213">
        <f>iferror(G128*360,"")</f>
        <v/>
      </c>
      <c r="I128" s="213">
        <f>H128*0.1</f>
        <v/>
      </c>
    </row>
    <row r="129" ht="54.75" customHeight="1" s="222">
      <c r="A129" s="210">
        <f>Accounts!A122</f>
        <v/>
      </c>
      <c r="B129" s="141">
        <f>Accounts!J122</f>
        <v/>
      </c>
      <c r="C129" s="211" t="n">
        <v>0.6</v>
      </c>
      <c r="D129" s="212">
        <f>Accounts!J119*C129</f>
        <v/>
      </c>
      <c r="E129" s="211" t="n">
        <v>0.4</v>
      </c>
      <c r="F129" s="212">
        <f>D129*E129</f>
        <v/>
      </c>
      <c r="G129" s="213">
        <f>if(or(eq(Accounts!I119,"No Valet"),eq(Accounts!I119,"Has Valet")), F129 * AVERAGE(Accounts!I$2:I$34),F129*Accounts!I119)</f>
        <v/>
      </c>
      <c r="H129" s="213">
        <f>iferror(G129*360,"")</f>
        <v/>
      </c>
      <c r="I129" s="213">
        <f>H129*0.1</f>
        <v/>
      </c>
    </row>
    <row r="130" ht="54.75" customHeight="1" s="222">
      <c r="A130" s="210">
        <f>Accounts!A123</f>
        <v/>
      </c>
      <c r="B130" s="141">
        <f>Accounts!J123</f>
        <v/>
      </c>
      <c r="C130" s="211" t="n">
        <v>0.6</v>
      </c>
      <c r="D130" s="212">
        <f>Accounts!J120*C130</f>
        <v/>
      </c>
      <c r="E130" s="211" t="n">
        <v>0.4</v>
      </c>
      <c r="F130" s="212">
        <f>D130*E130</f>
        <v/>
      </c>
      <c r="G130" s="213">
        <f>if(or(eq(Accounts!I120,"No Valet"),eq(Accounts!I120,"Has Valet")), F130 * AVERAGE(Accounts!I$2:I$34),F130*Accounts!I120)</f>
        <v/>
      </c>
      <c r="H130" s="213">
        <f>iferror(G130*360,"")</f>
        <v/>
      </c>
      <c r="I130" s="213">
        <f>H130*0.1</f>
        <v/>
      </c>
    </row>
    <row r="131" ht="54.75" customHeight="1" s="222">
      <c r="A131" s="210">
        <f>Accounts!A124</f>
        <v/>
      </c>
      <c r="B131" s="141">
        <f>Accounts!J124</f>
        <v/>
      </c>
      <c r="C131" s="211" t="n">
        <v>0.6</v>
      </c>
      <c r="D131" s="212">
        <f>Accounts!J121*C131</f>
        <v/>
      </c>
      <c r="E131" s="211" t="n">
        <v>0.4</v>
      </c>
      <c r="F131" s="212">
        <f>D131*E131</f>
        <v/>
      </c>
      <c r="G131" s="213">
        <f>if(or(eq(Accounts!I121,"No Valet"),eq(Accounts!I121,"Has Valet")), F131 * AVERAGE(Accounts!I$2:I$34),F131*Accounts!I121)</f>
        <v/>
      </c>
      <c r="H131" s="213">
        <f>iferror(G131*360,"")</f>
        <v/>
      </c>
      <c r="I131" s="213">
        <f>H131*0.1</f>
        <v/>
      </c>
    </row>
    <row r="132" ht="54.75" customHeight="1" s="222">
      <c r="A132" s="210">
        <f>#REF!</f>
        <v/>
      </c>
      <c r="B132" s="141">
        <f>#REF!</f>
        <v/>
      </c>
      <c r="C132" s="211" t="n">
        <v>0.6</v>
      </c>
      <c r="D132" s="212">
        <f>Accounts!J122*C132</f>
        <v/>
      </c>
      <c r="E132" s="211" t="n">
        <v>0.4</v>
      </c>
      <c r="F132" s="212">
        <f>D132*E132</f>
        <v/>
      </c>
      <c r="G132" s="213">
        <f>if(or(eq(Accounts!I122,"No Valet"),eq(Accounts!I122,"Has Valet")), F132 * AVERAGE(Accounts!I$2:I$34),F132*Accounts!I122)</f>
        <v/>
      </c>
      <c r="H132" s="213">
        <f>iferror(G132*360,"")</f>
        <v/>
      </c>
      <c r="I132" s="213">
        <f>H132*0.1</f>
        <v/>
      </c>
    </row>
    <row r="133" ht="54.75" customHeight="1" s="222">
      <c r="A133" s="210">
        <f>Accounts!A125</f>
        <v/>
      </c>
      <c r="B133" s="141">
        <f>Accounts!J125</f>
        <v/>
      </c>
      <c r="C133" s="211" t="n">
        <v>0.6</v>
      </c>
      <c r="D133" s="212">
        <f>Accounts!J123*C133</f>
        <v/>
      </c>
      <c r="E133" s="211" t="n">
        <v>0.4</v>
      </c>
      <c r="F133" s="212">
        <f>D133*E133</f>
        <v/>
      </c>
      <c r="G133" s="213">
        <f>if(or(eq(Accounts!I123,"No Valet"),eq(Accounts!I123,"Has Valet")), F133 * AVERAGE(Accounts!I$2:I$34),F133*Accounts!I123)</f>
        <v/>
      </c>
      <c r="H133" s="213">
        <f>iferror(G133*360,"")</f>
        <v/>
      </c>
      <c r="I133" s="213">
        <f>H133*0.1</f>
        <v/>
      </c>
    </row>
    <row r="134" ht="54.75" customHeight="1" s="222">
      <c r="A134" s="210">
        <f>Accounts!A126</f>
        <v/>
      </c>
      <c r="B134" s="141">
        <f>Accounts!J126</f>
        <v/>
      </c>
      <c r="C134" s="211" t="n">
        <v>0.6</v>
      </c>
      <c r="D134" s="212">
        <f>Accounts!J124*C134</f>
        <v/>
      </c>
      <c r="E134" s="211" t="n">
        <v>0.4</v>
      </c>
      <c r="F134" s="212">
        <f>D134*E134</f>
        <v/>
      </c>
      <c r="G134" s="213">
        <f>if(or(eq(Accounts!I124,"No Valet"),eq(Accounts!I124,"Has Valet")), F134 * AVERAGE(Accounts!I$2:I$34),F134*Accounts!I124)</f>
        <v/>
      </c>
      <c r="H134" s="213">
        <f>iferror(G134*360,"")</f>
        <v/>
      </c>
      <c r="I134" s="213">
        <f>H134*0.1</f>
        <v/>
      </c>
    </row>
    <row r="135" ht="54.75" customHeight="1" s="222">
      <c r="A135" s="210">
        <f>Accounts!A127</f>
        <v/>
      </c>
      <c r="B135" s="141">
        <f>Accounts!J127</f>
        <v/>
      </c>
      <c r="C135" s="211" t="n">
        <v>0.6</v>
      </c>
      <c r="D135" s="212">
        <f>#REF!*C135</f>
        <v/>
      </c>
      <c r="E135" s="211" t="n">
        <v>0.4</v>
      </c>
      <c r="F135" s="212">
        <f>D135*E135</f>
        <v/>
      </c>
      <c r="G135" s="213">
        <f>if(or(eq(#REF!,"No Valet"),eq(#REF!,"Has Valet")), F135 * AVERAGE(Accounts!I$2:I$34),F135*#REF!)</f>
        <v/>
      </c>
      <c r="H135" s="213">
        <f>iferror(G135*360,"")</f>
        <v/>
      </c>
      <c r="I135" s="213">
        <f>H135*0.1</f>
        <v/>
      </c>
    </row>
    <row r="136" ht="54.75" customHeight="1" s="222">
      <c r="A136" s="210">
        <f>Accounts!A128</f>
        <v/>
      </c>
      <c r="B136" s="141">
        <f>Accounts!J128</f>
        <v/>
      </c>
      <c r="C136" s="211" t="n">
        <v>0.6</v>
      </c>
      <c r="D136" s="212">
        <f>Accounts!J125*C136</f>
        <v/>
      </c>
      <c r="E136" s="211" t="n">
        <v>0.4</v>
      </c>
      <c r="F136" s="212">
        <f>D136*E136</f>
        <v/>
      </c>
      <c r="G136" s="213">
        <f>if(or(eq(Accounts!I125,"No Valet"),eq(Accounts!I125,"Has Valet")), F136 * AVERAGE(Accounts!I$2:I$34),F136*Accounts!I125)</f>
        <v/>
      </c>
      <c r="H136" s="213">
        <f>iferror(G136*360,"")</f>
        <v/>
      </c>
      <c r="I136" s="213">
        <f>H136*0.1</f>
        <v/>
      </c>
    </row>
    <row r="137" ht="54.75" customHeight="1" s="222">
      <c r="A137" s="210">
        <f>Accounts!A129</f>
        <v/>
      </c>
      <c r="B137" s="141">
        <f>Accounts!J129</f>
        <v/>
      </c>
      <c r="C137" s="211" t="n">
        <v>0.6</v>
      </c>
      <c r="D137" s="212">
        <f>Accounts!J126*C137</f>
        <v/>
      </c>
      <c r="E137" s="211" t="n">
        <v>0.4</v>
      </c>
      <c r="F137" s="212">
        <f>D137*E137</f>
        <v/>
      </c>
      <c r="G137" s="213">
        <f>if(or(eq(Accounts!I126,"No Valet"),eq(Accounts!I126,"Has Valet")), F137 * AVERAGE(Accounts!I$2:I$34),F137*Accounts!I126)</f>
        <v/>
      </c>
      <c r="H137" s="213">
        <f>iferror(G137*360,"")</f>
        <v/>
      </c>
      <c r="I137" s="213">
        <f>H137*0.1</f>
        <v/>
      </c>
    </row>
    <row r="138" ht="54.75" customHeight="1" s="222">
      <c r="A138" s="210">
        <f>Accounts!A130</f>
        <v/>
      </c>
      <c r="B138" s="141">
        <f>Accounts!J130</f>
        <v/>
      </c>
      <c r="C138" s="211" t="n">
        <v>0.6</v>
      </c>
      <c r="D138" s="212">
        <f>Accounts!J127*C138</f>
        <v/>
      </c>
      <c r="E138" s="211" t="n">
        <v>0.4</v>
      </c>
      <c r="F138" s="212">
        <f>D138*E138</f>
        <v/>
      </c>
      <c r="G138" s="213">
        <f>if(or(eq(Accounts!I127,"No Valet"),eq(Accounts!I127,"Has Valet")), F138 * AVERAGE(Accounts!I$2:I$34),F138*Accounts!I127)</f>
        <v/>
      </c>
      <c r="H138" s="213">
        <f>iferror(G138*360,"")</f>
        <v/>
      </c>
      <c r="I138" s="213">
        <f>H138*0.1</f>
        <v/>
      </c>
    </row>
    <row r="139" ht="54.75" customHeight="1" s="222">
      <c r="A139" s="210">
        <f>Accounts!A131</f>
        <v/>
      </c>
      <c r="B139" s="141">
        <f>Accounts!J131</f>
        <v/>
      </c>
      <c r="C139" s="211" t="n">
        <v>0.6</v>
      </c>
      <c r="D139" s="212">
        <f>Accounts!J128*C139</f>
        <v/>
      </c>
      <c r="E139" s="211" t="n">
        <v>0.4</v>
      </c>
      <c r="F139" s="212">
        <f>D139*E139</f>
        <v/>
      </c>
      <c r="G139" s="213">
        <f>if(or(eq(Accounts!I128,"No Valet"),eq(Accounts!I128,"Has Valet")), F139 * AVERAGE(Accounts!I$2:I$34),F139*Accounts!I128)</f>
        <v/>
      </c>
      <c r="H139" s="213">
        <f>iferror(G139*360,"")</f>
        <v/>
      </c>
      <c r="I139" s="213">
        <f>H139*0.1</f>
        <v/>
      </c>
    </row>
    <row r="140" ht="54.75" customHeight="1" s="222">
      <c r="A140" s="210">
        <f>Accounts!A132</f>
        <v/>
      </c>
      <c r="B140" s="141">
        <f>Accounts!J132</f>
        <v/>
      </c>
      <c r="C140" s="211" t="n">
        <v>0.6</v>
      </c>
      <c r="D140" s="212">
        <f>Accounts!J129*C140</f>
        <v/>
      </c>
      <c r="E140" s="211" t="n">
        <v>0.4</v>
      </c>
      <c r="F140" s="212">
        <f>D140*E140</f>
        <v/>
      </c>
      <c r="G140" s="213">
        <f>if(or(eq(Accounts!I129,"No Valet"),eq(Accounts!I129,"Has Valet")), F140 * AVERAGE(Accounts!I$2:I$34),F140*Accounts!I129)</f>
        <v/>
      </c>
      <c r="H140" s="213">
        <f>iferror(G140*360,"")</f>
        <v/>
      </c>
      <c r="I140" s="213">
        <f>H140*0.1</f>
        <v/>
      </c>
    </row>
    <row r="141" ht="54.75" customHeight="1" s="222">
      <c r="A141" s="210">
        <f>#REF!</f>
        <v/>
      </c>
      <c r="B141" s="141">
        <f>#REF!</f>
        <v/>
      </c>
      <c r="C141" s="211" t="n">
        <v>0.6</v>
      </c>
      <c r="D141" s="212">
        <f>Accounts!J130*C141</f>
        <v/>
      </c>
      <c r="E141" s="211" t="n">
        <v>0.4</v>
      </c>
      <c r="F141" s="212">
        <f>D141*E141</f>
        <v/>
      </c>
      <c r="G141" s="213">
        <f>if(or(eq(Accounts!I130,"No Valet"),eq(Accounts!I130,"Has Valet")), F141 * AVERAGE(Accounts!I$2:I$34),F141*Accounts!I130)</f>
        <v/>
      </c>
      <c r="H141" s="213">
        <f>iferror(G141*360,"")</f>
        <v/>
      </c>
      <c r="I141" s="213">
        <f>H141*0.1</f>
        <v/>
      </c>
    </row>
    <row r="142" ht="54.75" customHeight="1" s="222">
      <c r="A142" s="210">
        <f>Accounts!A133</f>
        <v/>
      </c>
      <c r="B142" s="141">
        <f>Accounts!J133</f>
        <v/>
      </c>
      <c r="C142" s="211" t="n">
        <v>0.6</v>
      </c>
      <c r="D142" s="212">
        <f>Accounts!J131*C142</f>
        <v/>
      </c>
      <c r="E142" s="211" t="n">
        <v>0.4</v>
      </c>
      <c r="F142" s="212">
        <f>D142*E142</f>
        <v/>
      </c>
      <c r="G142" s="213">
        <f>if(or(eq(Accounts!I131,"No Valet"),eq(Accounts!I131,"Has Valet")), F142 * AVERAGE(Accounts!I$2:I$34),F142*Accounts!I131)</f>
        <v/>
      </c>
      <c r="H142" s="213">
        <f>iferror(G142*360,"")</f>
        <v/>
      </c>
      <c r="I142" s="213">
        <f>H142*0.1</f>
        <v/>
      </c>
    </row>
    <row r="143" ht="54.75" customHeight="1" s="222">
      <c r="A143" s="210">
        <f>Accounts!A134</f>
        <v/>
      </c>
      <c r="B143" s="141">
        <f>Accounts!J134</f>
        <v/>
      </c>
      <c r="C143" s="211" t="n">
        <v>0.6</v>
      </c>
      <c r="D143" s="212">
        <f>Accounts!J132*C143</f>
        <v/>
      </c>
      <c r="E143" s="211" t="n">
        <v>0.4</v>
      </c>
      <c r="F143" s="212">
        <f>D143*E143</f>
        <v/>
      </c>
      <c r="G143" s="213">
        <f>if(or(eq(Accounts!I132,"No Valet"),eq(Accounts!I132,"Has Valet")), F143 * AVERAGE(Accounts!I$2:I$34),F143*Accounts!I132)</f>
        <v/>
      </c>
      <c r="H143" s="213">
        <f>iferror(G143*360,"")</f>
        <v/>
      </c>
      <c r="I143" s="213">
        <f>H143*0.1</f>
        <v/>
      </c>
    </row>
    <row r="144" ht="54.75" customHeight="1" s="222">
      <c r="A144" s="210">
        <f>Accounts!A135</f>
        <v/>
      </c>
      <c r="B144" s="141">
        <f>Accounts!J135</f>
        <v/>
      </c>
      <c r="C144" s="211" t="n">
        <v>0.6</v>
      </c>
      <c r="D144" s="212">
        <f>#REF!*C144</f>
        <v/>
      </c>
      <c r="E144" s="211" t="n">
        <v>0.4</v>
      </c>
      <c r="F144" s="212">
        <f>D144*E144</f>
        <v/>
      </c>
      <c r="G144" s="213">
        <f>if(or(eq(#REF!,"No Valet"),eq(#REF!,"Has Valet")), F144 * AVERAGE(Accounts!I$2:I$34),F144*#REF!)</f>
        <v/>
      </c>
      <c r="H144" s="213">
        <f>iferror(G144*360,"")</f>
        <v/>
      </c>
      <c r="I144" s="213">
        <f>H144*0.1</f>
        <v/>
      </c>
    </row>
    <row r="145" ht="54.75" customHeight="1" s="222">
      <c r="A145" s="210">
        <f>Accounts!A136</f>
        <v/>
      </c>
      <c r="B145" s="141">
        <f>Accounts!J136</f>
        <v/>
      </c>
      <c r="C145" s="211" t="n">
        <v>0.6</v>
      </c>
      <c r="D145" s="212">
        <f>Accounts!J133*C145</f>
        <v/>
      </c>
      <c r="E145" s="211" t="n">
        <v>0.4</v>
      </c>
      <c r="F145" s="212">
        <f>D145*E145</f>
        <v/>
      </c>
      <c r="G145" s="213">
        <f>if(or(eq(Accounts!I133,"No Valet"),eq(Accounts!I133,"Has Valet")), F145 * AVERAGE(Accounts!I$2:I$34),F145*Accounts!I133)</f>
        <v/>
      </c>
      <c r="H145" s="213">
        <f>iferror(G145*360,"")</f>
        <v/>
      </c>
      <c r="I145" s="213">
        <f>H145*0.1</f>
        <v/>
      </c>
    </row>
    <row r="146" ht="54.75" customHeight="1" s="222">
      <c r="A146" s="210">
        <f>Accounts!A137</f>
        <v/>
      </c>
      <c r="B146" s="141">
        <f>Accounts!J137</f>
        <v/>
      </c>
      <c r="C146" s="211" t="n">
        <v>0.6</v>
      </c>
      <c r="D146" s="212">
        <f>Accounts!J134*C146</f>
        <v/>
      </c>
      <c r="E146" s="211" t="n">
        <v>0.4</v>
      </c>
      <c r="F146" s="212">
        <f>D146*E146</f>
        <v/>
      </c>
      <c r="G146" s="213">
        <f>if(or(eq(Accounts!I134,"No Valet"),eq(Accounts!I134,"Has Valet")), F146 * AVERAGE(Accounts!I$2:I$34),F146*Accounts!I134)</f>
        <v/>
      </c>
      <c r="H146" s="213">
        <f>iferror(G146*360,"")</f>
        <v/>
      </c>
      <c r="I146" s="213">
        <f>H146*0.1</f>
        <v/>
      </c>
    </row>
    <row r="147" ht="54.75" customHeight="1" s="222">
      <c r="A147" s="210">
        <f>Accounts!A138</f>
        <v/>
      </c>
      <c r="B147" s="141">
        <f>Accounts!J138</f>
        <v/>
      </c>
      <c r="C147" s="211" t="n">
        <v>0.6</v>
      </c>
      <c r="D147" s="212">
        <f>Accounts!J135*C147</f>
        <v/>
      </c>
      <c r="E147" s="211" t="n">
        <v>0.4</v>
      </c>
      <c r="F147" s="212">
        <f>D147*E147</f>
        <v/>
      </c>
      <c r="G147" s="213">
        <f>if(or(eq(Accounts!I135,"No Valet"),eq(Accounts!I135,"Has Valet")), F147 * AVERAGE(Accounts!I$2:I$34),F147*Accounts!I135)</f>
        <v/>
      </c>
      <c r="H147" s="213">
        <f>iferror(G147*360,"")</f>
        <v/>
      </c>
      <c r="I147" s="213">
        <f>H147*0.1</f>
        <v/>
      </c>
    </row>
    <row r="148" ht="54.75" customHeight="1" s="222">
      <c r="A148" s="210">
        <f>Accounts!A139</f>
        <v/>
      </c>
      <c r="B148" s="141">
        <f>Accounts!J139</f>
        <v/>
      </c>
      <c r="C148" s="211" t="n">
        <v>0.6</v>
      </c>
      <c r="D148" s="212">
        <f>Accounts!J136*C148</f>
        <v/>
      </c>
      <c r="E148" s="211" t="n">
        <v>0.4</v>
      </c>
      <c r="F148" s="212">
        <f>D148*E148</f>
        <v/>
      </c>
      <c r="G148" s="213">
        <f>if(or(eq(Accounts!I136,"No Valet"),eq(Accounts!I136,"Has Valet")), F148 * AVERAGE(Accounts!I$2:I$34),F148*Accounts!I136)</f>
        <v/>
      </c>
      <c r="H148" s="213">
        <f>iferror(G148*360,"")</f>
        <v/>
      </c>
      <c r="I148" s="213">
        <f>H148*0.1</f>
        <v/>
      </c>
    </row>
    <row r="149" ht="54.75" customHeight="1" s="222">
      <c r="A149" s="210">
        <f>Accounts!A140</f>
        <v/>
      </c>
      <c r="B149" s="141">
        <f>Accounts!J140</f>
        <v/>
      </c>
      <c r="C149" s="211" t="n">
        <v>0.6</v>
      </c>
      <c r="D149" s="212">
        <f>Accounts!J137*C149</f>
        <v/>
      </c>
      <c r="E149" s="211" t="n">
        <v>0.4</v>
      </c>
      <c r="F149" s="212">
        <f>D149*E149</f>
        <v/>
      </c>
      <c r="G149" s="213">
        <f>if(or(eq(Accounts!I137,"No Valet"),eq(Accounts!I137,"Has Valet")), F149 * AVERAGE(Accounts!I$2:I$34),F149*Accounts!I137)</f>
        <v/>
      </c>
      <c r="H149" s="213">
        <f>iferror(G149*360,"")</f>
        <v/>
      </c>
      <c r="I149" s="213">
        <f>H149*0.1</f>
        <v/>
      </c>
    </row>
    <row r="150" ht="54.75" customHeight="1" s="222">
      <c r="A150" s="210">
        <f>Accounts!A141</f>
        <v/>
      </c>
      <c r="B150" s="141">
        <f>Accounts!J141</f>
        <v/>
      </c>
      <c r="C150" s="211" t="n">
        <v>0.6</v>
      </c>
      <c r="D150" s="212">
        <f>Accounts!J138*C150</f>
        <v/>
      </c>
      <c r="E150" s="211" t="n">
        <v>0.4</v>
      </c>
      <c r="F150" s="212">
        <f>D150*E150</f>
        <v/>
      </c>
      <c r="G150" s="213">
        <f>if(or(eq(Accounts!I138,"No Valet"),eq(Accounts!I138,"Has Valet")), F150 * AVERAGE(Accounts!I$2:I$34),F150*Accounts!I138)</f>
        <v/>
      </c>
      <c r="H150" s="213">
        <f>iferror(G150*360,"")</f>
        <v/>
      </c>
      <c r="I150" s="213">
        <f>H150*0.1</f>
        <v/>
      </c>
    </row>
    <row r="151" ht="54.75" customHeight="1" s="222">
      <c r="A151" s="210">
        <f>#REF!</f>
        <v/>
      </c>
      <c r="B151" s="141">
        <f>#REF!</f>
        <v/>
      </c>
      <c r="C151" s="211" t="n">
        <v>0.6</v>
      </c>
      <c r="D151" s="212">
        <f>Accounts!J139*C151</f>
        <v/>
      </c>
      <c r="E151" s="211" t="n">
        <v>0.4</v>
      </c>
      <c r="F151" s="212">
        <f>D151*E151</f>
        <v/>
      </c>
      <c r="G151" s="213">
        <f>if(or(eq(Accounts!I139,"No Valet"),eq(Accounts!I139,"Has Valet")), F151 * AVERAGE(Accounts!I$2:I$34),F151*Accounts!I139)</f>
        <v/>
      </c>
      <c r="H151" s="213">
        <f>iferror(G151*360,"")</f>
        <v/>
      </c>
      <c r="I151" s="213">
        <f>H151*0.1</f>
        <v/>
      </c>
    </row>
    <row r="152" ht="54.75" customHeight="1" s="222">
      <c r="A152" s="210">
        <f>Accounts!A143</f>
        <v/>
      </c>
      <c r="B152" s="141">
        <f>Accounts!J143</f>
        <v/>
      </c>
      <c r="C152" s="211" t="n">
        <v>0.6</v>
      </c>
      <c r="D152" s="212">
        <f>Accounts!J140*C152</f>
        <v/>
      </c>
      <c r="E152" s="211" t="n">
        <v>0.4</v>
      </c>
      <c r="F152" s="212">
        <f>D152*E152</f>
        <v/>
      </c>
      <c r="G152" s="213">
        <f>if(or(eq(Accounts!I140,"No Valet"),eq(Accounts!I140,"Has Valet")), F152 * AVERAGE(Accounts!I$2:I$34),F152*Accounts!I140)</f>
        <v/>
      </c>
      <c r="H152" s="213">
        <f>iferror(G152*360,"")</f>
        <v/>
      </c>
      <c r="I152" s="213">
        <f>H152*0.1</f>
        <v/>
      </c>
    </row>
    <row r="153" ht="54.75" customHeight="1" s="222">
      <c r="A153" s="210">
        <f>Accounts!A142</f>
        <v/>
      </c>
      <c r="B153" s="141">
        <f>Accounts!J142</f>
        <v/>
      </c>
      <c r="C153" s="211" t="n">
        <v>0.6</v>
      </c>
      <c r="D153" s="212">
        <f>Accounts!J141*C153</f>
        <v/>
      </c>
      <c r="E153" s="211" t="n">
        <v>0.4</v>
      </c>
      <c r="F153" s="212">
        <f>D153*E153</f>
        <v/>
      </c>
      <c r="G153" s="213">
        <f>if(or(eq(Accounts!I141,"No Valet"),eq(Accounts!I141,"Has Valet")), F153 * AVERAGE(Accounts!I$2:I$34),F153*Accounts!I141)</f>
        <v/>
      </c>
      <c r="H153" s="213">
        <f>iferror(G153*360,"")</f>
        <v/>
      </c>
      <c r="I153" s="213">
        <f>H153*0.1</f>
        <v/>
      </c>
    </row>
    <row r="154" ht="54.75" customHeight="1" s="222">
      <c r="A154" s="210">
        <f>Accounts!A144</f>
        <v/>
      </c>
      <c r="B154" s="141">
        <f>Accounts!J144</f>
        <v/>
      </c>
      <c r="C154" s="211" t="n">
        <v>0.6</v>
      </c>
      <c r="D154" s="212">
        <f>#REF!*C154</f>
        <v/>
      </c>
      <c r="E154" s="211" t="n">
        <v>0.4</v>
      </c>
      <c r="F154" s="212">
        <f>D154*E154</f>
        <v/>
      </c>
      <c r="G154" s="213">
        <f>if(or(eq(#REF!,"No Valet"),eq(#REF!,"Has Valet")), F154 * AVERAGE(Accounts!I$2:I$34),F154*#REF!)</f>
        <v/>
      </c>
      <c r="H154" s="213">
        <f>iferror(G154*360,"")</f>
        <v/>
      </c>
      <c r="I154" s="213">
        <f>H154*0.1</f>
        <v/>
      </c>
    </row>
    <row r="155" ht="54.75" customHeight="1" s="222">
      <c r="A155" s="210">
        <f>Accounts!A145</f>
        <v/>
      </c>
      <c r="B155" s="141">
        <f>Accounts!J145</f>
        <v/>
      </c>
      <c r="C155" s="211" t="n">
        <v>0.6</v>
      </c>
      <c r="D155" s="212">
        <f>Accounts!J143*C155</f>
        <v/>
      </c>
      <c r="E155" s="211" t="n">
        <v>0.4</v>
      </c>
      <c r="F155" s="212">
        <f>D155*E155</f>
        <v/>
      </c>
      <c r="G155" s="213">
        <f>if(or(eq(Accounts!I143,"No Valet"),eq(Accounts!I143,"Has Valet")), F155 * AVERAGE(Accounts!I$2:I$34),F155*Accounts!I143)</f>
        <v/>
      </c>
      <c r="H155" s="213">
        <f>iferror(G155*360,"")</f>
        <v/>
      </c>
      <c r="I155" s="213">
        <f>H155*0.1</f>
        <v/>
      </c>
    </row>
    <row r="156" ht="54.75" customHeight="1" s="222">
      <c r="A156" s="210">
        <f>#REF!</f>
        <v/>
      </c>
      <c r="B156" s="141">
        <f>#REF!</f>
        <v/>
      </c>
      <c r="C156" s="211" t="n">
        <v>0.6</v>
      </c>
      <c r="D156" s="212">
        <f>Accounts!J142*C156</f>
        <v/>
      </c>
      <c r="E156" s="211" t="n">
        <v>0.4</v>
      </c>
      <c r="F156" s="212">
        <f>D156*E156</f>
        <v/>
      </c>
      <c r="G156" s="213">
        <f>if(or(eq(Accounts!I142,"No Valet"),eq(Accounts!I142,"Has Valet")), F156 * AVERAGE(Accounts!I$2:I$34),F156*Accounts!I142)</f>
        <v/>
      </c>
      <c r="H156" s="213">
        <f>iferror(G156*360,"")</f>
        <v/>
      </c>
      <c r="I156" s="213">
        <f>H156*0.1</f>
        <v/>
      </c>
    </row>
    <row r="157" ht="54.75" customHeight="1" s="222">
      <c r="A157" s="210">
        <f>#REF!</f>
        <v/>
      </c>
      <c r="B157" s="141">
        <f>#REF!</f>
        <v/>
      </c>
      <c r="C157" s="211" t="n">
        <v>0.6</v>
      </c>
      <c r="D157" s="212">
        <f>Accounts!J144*C157</f>
        <v/>
      </c>
      <c r="E157" s="211" t="n">
        <v>0.4</v>
      </c>
      <c r="F157" s="212">
        <f>D157*E157</f>
        <v/>
      </c>
      <c r="G157" s="213">
        <f>if(or(eq(Accounts!I144,"No Valet"),eq(Accounts!I144,"Has Valet")), F157 * AVERAGE(Accounts!I$2:I$34),F157*Accounts!I144)</f>
        <v/>
      </c>
      <c r="H157" s="213">
        <f>iferror(G157*360,"")</f>
        <v/>
      </c>
      <c r="I157" s="213">
        <f>H157*0.1</f>
        <v/>
      </c>
    </row>
    <row r="158" ht="54.75" customHeight="1" s="222">
      <c r="A158" s="210">
        <f>#REF!</f>
        <v/>
      </c>
      <c r="B158" s="141">
        <f>#REF!</f>
        <v/>
      </c>
      <c r="C158" s="211" t="n">
        <v>0.6</v>
      </c>
      <c r="D158" s="212">
        <f>Accounts!J145*C158</f>
        <v/>
      </c>
      <c r="E158" s="211" t="n">
        <v>0.4</v>
      </c>
      <c r="F158" s="212">
        <f>D158*E158</f>
        <v/>
      </c>
      <c r="G158" s="213">
        <f>if(or(eq(Accounts!I145,"No Valet"),eq(Accounts!I145,"Has Valet")), F158 * AVERAGE(Accounts!I$2:I$34),F158*Accounts!I145)</f>
        <v/>
      </c>
      <c r="H158" s="213">
        <f>iferror(G158*360,"")</f>
        <v/>
      </c>
      <c r="I158" s="213">
        <f>H158*0.1</f>
        <v/>
      </c>
    </row>
    <row r="159" ht="54.75" customHeight="1" s="222">
      <c r="A159" s="210">
        <f>#REF!</f>
        <v/>
      </c>
      <c r="B159" s="141">
        <f>#REF!</f>
        <v/>
      </c>
      <c r="C159" s="211" t="n">
        <v>0.6</v>
      </c>
      <c r="D159" s="212">
        <f>#REF!*C159</f>
        <v/>
      </c>
      <c r="E159" s="211" t="n">
        <v>0.4</v>
      </c>
      <c r="F159" s="212">
        <f>D159*E159</f>
        <v/>
      </c>
      <c r="G159" s="213">
        <f>if(or(eq(#REF!,"No Valet"),eq(#REF!,"Has Valet")), F159 * AVERAGE(Accounts!I$2:I$34),F159*#REF!)</f>
        <v/>
      </c>
      <c r="H159" s="213">
        <f>iferror(G159*360,"")</f>
        <v/>
      </c>
      <c r="I159" s="213">
        <f>H159*0.1</f>
        <v/>
      </c>
    </row>
    <row r="160" ht="54.75" customHeight="1" s="222">
      <c r="A160" s="210">
        <f>Accounts!A146</f>
        <v/>
      </c>
      <c r="B160" s="141">
        <f>Accounts!J146</f>
        <v/>
      </c>
      <c r="C160" s="211" t="n">
        <v>0.6</v>
      </c>
      <c r="D160" s="212">
        <f>#REF!*C160</f>
        <v/>
      </c>
      <c r="E160" s="211" t="n">
        <v>0.4</v>
      </c>
      <c r="F160" s="212">
        <f>D160*E160</f>
        <v/>
      </c>
      <c r="G160" s="213">
        <f>if(or(eq(#REF!,"No Valet"),eq(#REF!,"Has Valet")), F160 * AVERAGE(Accounts!I$2:I$34),F160*#REF!)</f>
        <v/>
      </c>
      <c r="H160" s="213">
        <f>iferror(G160*360,"")</f>
        <v/>
      </c>
      <c r="I160" s="213">
        <f>H160*0.1</f>
        <v/>
      </c>
    </row>
    <row r="161" ht="54.75" customHeight="1" s="222">
      <c r="A161" s="210">
        <f>Accounts!A147</f>
        <v/>
      </c>
      <c r="B161" s="141">
        <f>Accounts!J147</f>
        <v/>
      </c>
      <c r="C161" s="211" t="n">
        <v>0.6</v>
      </c>
      <c r="D161" s="212">
        <f>#REF!*C161</f>
        <v/>
      </c>
      <c r="E161" s="211" t="n">
        <v>0.4</v>
      </c>
      <c r="F161" s="212">
        <f>D161*E161</f>
        <v/>
      </c>
      <c r="G161" s="213">
        <f>if(or(eq(#REF!,"No Valet"),eq(#REF!,"Has Valet")), F161 * AVERAGE(Accounts!I$2:I$34),F161*#REF!)</f>
        <v/>
      </c>
      <c r="H161" s="213">
        <f>iferror(G161*360,"")</f>
        <v/>
      </c>
      <c r="I161" s="213">
        <f>H161*0.1</f>
        <v/>
      </c>
    </row>
    <row r="162" ht="54.75" customHeight="1" s="222">
      <c r="A162" s="210">
        <f>Accounts!A148</f>
        <v/>
      </c>
      <c r="B162" s="141">
        <f>Accounts!J148</f>
        <v/>
      </c>
      <c r="C162" s="211" t="n">
        <v>0.6</v>
      </c>
      <c r="D162" s="212">
        <f>#REF!*C162</f>
        <v/>
      </c>
      <c r="E162" s="211" t="n">
        <v>0.4</v>
      </c>
      <c r="F162" s="212">
        <f>D162*E162</f>
        <v/>
      </c>
      <c r="G162" s="213">
        <f>if(or(eq(#REF!,"No Valet"),eq(#REF!,"Has Valet")), F162 * AVERAGE(Accounts!I$2:I$34),F162*#REF!)</f>
        <v/>
      </c>
      <c r="H162" s="213">
        <f>iferror(G162*360,"")</f>
        <v/>
      </c>
      <c r="I162" s="213">
        <f>H162*0.1</f>
        <v/>
      </c>
    </row>
    <row r="163" ht="54.75" customHeight="1" s="222">
      <c r="A163" s="210">
        <f>Accounts!A149</f>
        <v/>
      </c>
      <c r="B163" s="141">
        <f>Accounts!J149</f>
        <v/>
      </c>
      <c r="C163" s="211" t="n">
        <v>0.6</v>
      </c>
      <c r="D163" s="212">
        <f>Accounts!J146*C163</f>
        <v/>
      </c>
      <c r="E163" s="211" t="n">
        <v>0.4</v>
      </c>
      <c r="F163" s="212">
        <f>D163*E163</f>
        <v/>
      </c>
      <c r="G163" s="213">
        <f>if(or(eq(Accounts!I146,"No Valet"),eq(Accounts!I146,"Has Valet")), F163 * AVERAGE(Accounts!I$2:I$34),F163*Accounts!I146)</f>
        <v/>
      </c>
      <c r="H163" s="213">
        <f>iferror(G163*360,"")</f>
        <v/>
      </c>
      <c r="I163" s="213">
        <f>H163*0.1</f>
        <v/>
      </c>
    </row>
    <row r="164" ht="54.75" customHeight="1" s="222">
      <c r="A164" s="210">
        <f>Accounts!A150</f>
        <v/>
      </c>
      <c r="B164" s="141">
        <f>Accounts!J150</f>
        <v/>
      </c>
      <c r="C164" s="211" t="n">
        <v>0.6</v>
      </c>
      <c r="D164" s="212">
        <f>Accounts!J147*C164</f>
        <v/>
      </c>
      <c r="E164" s="211" t="n">
        <v>0.4</v>
      </c>
      <c r="F164" s="212">
        <f>D164*E164</f>
        <v/>
      </c>
      <c r="G164" s="213">
        <f>if(or(eq(Accounts!I147,"No Valet"),eq(Accounts!I147,"Has Valet")), F164 * AVERAGE(Accounts!I$2:I$34),F164*Accounts!I147)</f>
        <v/>
      </c>
      <c r="H164" s="213">
        <f>iferror(G164*360,"")</f>
        <v/>
      </c>
      <c r="I164" s="213">
        <f>H164*0.1</f>
        <v/>
      </c>
    </row>
    <row r="165" ht="54.75" customHeight="1" s="222">
      <c r="A165" s="210">
        <f>Accounts!A151</f>
        <v/>
      </c>
      <c r="B165" s="141">
        <f>Accounts!J151</f>
        <v/>
      </c>
      <c r="C165" s="211" t="n">
        <v>0.6</v>
      </c>
      <c r="D165" s="212">
        <f>Accounts!J148*C165</f>
        <v/>
      </c>
      <c r="E165" s="211" t="n">
        <v>0.4</v>
      </c>
      <c r="F165" s="212">
        <f>D165*E165</f>
        <v/>
      </c>
      <c r="G165" s="213">
        <f>if(or(eq(Accounts!I148,"No Valet"),eq(Accounts!I148,"Has Valet")), F165 * AVERAGE(Accounts!I$2:I$34),F165*Accounts!I148)</f>
        <v/>
      </c>
      <c r="H165" s="213">
        <f>iferror(G165*360,"")</f>
        <v/>
      </c>
      <c r="I165" s="213">
        <f>H165*0.1</f>
        <v/>
      </c>
    </row>
    <row r="166" ht="54.75" customHeight="1" s="222">
      <c r="A166" s="210">
        <f>Accounts!A152</f>
        <v/>
      </c>
      <c r="B166" s="141">
        <f>Accounts!J152</f>
        <v/>
      </c>
      <c r="C166" s="211" t="n">
        <v>0.6</v>
      </c>
      <c r="D166" s="212">
        <f>Accounts!J149*C166</f>
        <v/>
      </c>
      <c r="E166" s="211" t="n">
        <v>0.4</v>
      </c>
      <c r="F166" s="212">
        <f>D166*E166</f>
        <v/>
      </c>
      <c r="G166" s="213">
        <f>if(or(eq(Accounts!I149,"No Valet"),eq(Accounts!I149,"Has Valet")), F166 * AVERAGE(Accounts!I$2:I$34),F166*Accounts!I149)</f>
        <v/>
      </c>
      <c r="H166" s="213">
        <f>iferror(G166*360,"")</f>
        <v/>
      </c>
      <c r="I166" s="213">
        <f>H166*0.1</f>
        <v/>
      </c>
    </row>
    <row r="167" ht="54.75" customHeight="1" s="222">
      <c r="A167" s="210">
        <f>Accounts!A153</f>
        <v/>
      </c>
      <c r="B167" s="141">
        <f>Accounts!J153</f>
        <v/>
      </c>
      <c r="C167" s="211" t="n">
        <v>0.6</v>
      </c>
      <c r="D167" s="212">
        <f>Accounts!J150*C167</f>
        <v/>
      </c>
      <c r="E167" s="211" t="n">
        <v>0.4</v>
      </c>
      <c r="F167" s="212">
        <f>D167*E167</f>
        <v/>
      </c>
      <c r="G167" s="213">
        <f>if(or(eq(Accounts!I150,"No Valet"),eq(Accounts!I150,"Has Valet")), F167 * AVERAGE(Accounts!I$2:I$34),F167*Accounts!I150)</f>
        <v/>
      </c>
      <c r="H167" s="213">
        <f>iferror(G167*360,"")</f>
        <v/>
      </c>
      <c r="I167" s="213">
        <f>H167*0.1</f>
        <v/>
      </c>
    </row>
    <row r="168" ht="54.75" customHeight="1" s="222">
      <c r="A168" s="210">
        <f>Accounts!A154</f>
        <v/>
      </c>
      <c r="B168" s="141">
        <f>Accounts!J154</f>
        <v/>
      </c>
      <c r="C168" s="211" t="n">
        <v>0.6</v>
      </c>
      <c r="D168" s="212">
        <f>Accounts!J151*C168</f>
        <v/>
      </c>
      <c r="E168" s="211" t="n">
        <v>0.4</v>
      </c>
      <c r="F168" s="212">
        <f>D168*E168</f>
        <v/>
      </c>
      <c r="G168" s="213">
        <f>if(or(eq(Accounts!I151,"No Valet"),eq(Accounts!I151,"Has Valet")), F168 * AVERAGE(Accounts!I$2:I$34),F168*Accounts!I151)</f>
        <v/>
      </c>
      <c r="H168" s="213">
        <f>iferror(G168*360,"")</f>
        <v/>
      </c>
      <c r="I168" s="213">
        <f>H168*0.1</f>
        <v/>
      </c>
    </row>
    <row r="169" ht="54.75" customHeight="1" s="222">
      <c r="A169" s="210">
        <f>Accounts!A158</f>
        <v/>
      </c>
      <c r="B169" s="141">
        <f>Accounts!J158</f>
        <v/>
      </c>
      <c r="C169" s="211" t="n">
        <v>0.6</v>
      </c>
      <c r="D169" s="212">
        <f>Accounts!J152*C169</f>
        <v/>
      </c>
      <c r="E169" s="211" t="n">
        <v>0.4</v>
      </c>
      <c r="F169" s="212">
        <f>D169*E169</f>
        <v/>
      </c>
      <c r="G169" s="213">
        <f>if(or(eq(Accounts!I152,"No Valet"),eq(Accounts!I152,"Has Valet")), F169 * AVERAGE(Accounts!I$2:I$34),F169*Accounts!I152)</f>
        <v/>
      </c>
      <c r="H169" s="213">
        <f>iferror(G169*360,"")</f>
        <v/>
      </c>
      <c r="I169" s="213">
        <f>H169*0.1</f>
        <v/>
      </c>
    </row>
    <row r="170" ht="54.75" customHeight="1" s="222">
      <c r="A170" s="210">
        <f>Accounts!A159</f>
        <v/>
      </c>
      <c r="B170" s="141">
        <f>Accounts!J159</f>
        <v/>
      </c>
      <c r="C170" s="211" t="n">
        <v>0.6</v>
      </c>
      <c r="D170" s="212">
        <f>Accounts!J153*C170</f>
        <v/>
      </c>
      <c r="E170" s="211" t="n">
        <v>0.4</v>
      </c>
      <c r="F170" s="212">
        <f>D170*E170</f>
        <v/>
      </c>
      <c r="G170" s="213">
        <f>if(or(eq(Accounts!I153,"No Valet"),eq(Accounts!I153,"Has Valet")), F170 * AVERAGE(Accounts!I$2:I$34),F170*Accounts!I153)</f>
        <v/>
      </c>
      <c r="H170" s="213">
        <f>iferror(G170*360,"")</f>
        <v/>
      </c>
      <c r="I170" s="213">
        <f>H170*0.1</f>
        <v/>
      </c>
    </row>
    <row r="171" ht="54.75" customHeight="1" s="222">
      <c r="A171" s="210">
        <f>Accounts!A160</f>
        <v/>
      </c>
      <c r="B171" s="141">
        <f>Accounts!J160</f>
        <v/>
      </c>
      <c r="C171" s="211" t="n">
        <v>0.6</v>
      </c>
      <c r="D171" s="212">
        <f>Accounts!J154*C171</f>
        <v/>
      </c>
      <c r="E171" s="211" t="n">
        <v>0.4</v>
      </c>
      <c r="F171" s="212">
        <f>D171*E171</f>
        <v/>
      </c>
      <c r="G171" s="213">
        <f>if(or(eq(Accounts!I154,"No Valet"),eq(Accounts!I154,"Has Valet")), F171 * AVERAGE(Accounts!I$2:I$34),F171*Accounts!I154)</f>
        <v/>
      </c>
      <c r="H171" s="213">
        <f>iferror(G171*360,"")</f>
        <v/>
      </c>
      <c r="I171" s="213">
        <f>H171*0.1</f>
        <v/>
      </c>
    </row>
    <row r="172" ht="54.75" customHeight="1" s="222">
      <c r="A172" s="210">
        <f>Accounts!A161</f>
        <v/>
      </c>
      <c r="B172" s="141">
        <f>Accounts!J161</f>
        <v/>
      </c>
      <c r="C172" s="211" t="n">
        <v>0.6</v>
      </c>
      <c r="D172" s="212">
        <f>Accounts!J158*C172</f>
        <v/>
      </c>
      <c r="E172" s="211" t="n">
        <v>0.4</v>
      </c>
      <c r="F172" s="212">
        <f>D172*E172</f>
        <v/>
      </c>
      <c r="G172" s="213">
        <f>if(or(eq(Accounts!I158,"No Valet"),eq(Accounts!I158,"Has Valet")), F172 * AVERAGE(Accounts!I$2:I$34),F172*Accounts!I158)</f>
        <v/>
      </c>
      <c r="H172" s="213">
        <f>iferror(G172*360,"")</f>
        <v/>
      </c>
      <c r="I172" s="213">
        <f>H172*0.1</f>
        <v/>
      </c>
    </row>
    <row r="173" ht="54.75" customHeight="1" s="222">
      <c r="A173" s="210">
        <f>Accounts!A162</f>
        <v/>
      </c>
      <c r="B173" s="141">
        <f>Accounts!J162</f>
        <v/>
      </c>
      <c r="C173" s="211" t="n">
        <v>0.6</v>
      </c>
      <c r="D173" s="212">
        <f>Accounts!J159*C173</f>
        <v/>
      </c>
      <c r="E173" s="211" t="n">
        <v>0.4</v>
      </c>
      <c r="F173" s="212">
        <f>D173*E173</f>
        <v/>
      </c>
      <c r="G173" s="213">
        <f>if(or(eq(Accounts!I159,"No Valet"),eq(Accounts!I159,"Has Valet")), F173 * AVERAGE(Accounts!I$2:I$34),F173*Accounts!I159)</f>
        <v/>
      </c>
      <c r="H173" s="213">
        <f>iferror(G173*360,"")</f>
        <v/>
      </c>
      <c r="I173" s="213">
        <f>H173*0.1</f>
        <v/>
      </c>
    </row>
    <row r="174" ht="54.75" customHeight="1" s="222">
      <c r="A174" s="210">
        <f>Accounts!A163</f>
        <v/>
      </c>
      <c r="B174" s="141">
        <f>Accounts!J163</f>
        <v/>
      </c>
      <c r="C174" s="211" t="n">
        <v>0.6</v>
      </c>
      <c r="D174" s="212">
        <f>Accounts!J160*C174</f>
        <v/>
      </c>
      <c r="E174" s="211" t="n">
        <v>0.4</v>
      </c>
      <c r="F174" s="212">
        <f>D174*E174</f>
        <v/>
      </c>
      <c r="G174" s="213">
        <f>if(or(eq(Accounts!I160,"No Valet"),eq(Accounts!I160,"Has Valet")), F174 * AVERAGE(Accounts!I$2:I$34),F174*Accounts!I160)</f>
        <v/>
      </c>
      <c r="H174" s="213">
        <f>iferror(G174*360,"")</f>
        <v/>
      </c>
      <c r="I174" s="213">
        <f>H174*0.1</f>
        <v/>
      </c>
    </row>
    <row r="175" ht="54.75" customHeight="1" s="222">
      <c r="A175" s="210">
        <f>Accounts!A164</f>
        <v/>
      </c>
      <c r="B175" s="141">
        <f>Accounts!J164</f>
        <v/>
      </c>
      <c r="C175" s="211" t="n">
        <v>0.6</v>
      </c>
      <c r="D175" s="212">
        <f>Accounts!J161*C175</f>
        <v/>
      </c>
      <c r="E175" s="211" t="n">
        <v>0.4</v>
      </c>
      <c r="F175" s="212">
        <f>D175*E175</f>
        <v/>
      </c>
      <c r="G175" s="213">
        <f>if(or(eq(Accounts!I161,"No Valet"),eq(Accounts!I161,"Has Valet")), F175 * AVERAGE(Accounts!I$2:I$34),F175*Accounts!I161)</f>
        <v/>
      </c>
      <c r="H175" s="213">
        <f>iferror(G175*360,"")</f>
        <v/>
      </c>
      <c r="I175" s="213">
        <f>H175*0.1</f>
        <v/>
      </c>
    </row>
    <row r="176" ht="54.75" customHeight="1" s="222">
      <c r="A176" s="210">
        <f>Accounts!A165</f>
        <v/>
      </c>
      <c r="B176" s="141">
        <f>Accounts!J165</f>
        <v/>
      </c>
      <c r="C176" s="211" t="n">
        <v>0.6</v>
      </c>
      <c r="D176" s="212">
        <f>Accounts!J162*C176</f>
        <v/>
      </c>
      <c r="E176" s="211" t="n">
        <v>0.4</v>
      </c>
      <c r="F176" s="212">
        <f>D176*E176</f>
        <v/>
      </c>
      <c r="G176" s="213">
        <f>if(or(eq(Accounts!I162,"No Valet"),eq(Accounts!I162,"Has Valet")), F176 * AVERAGE(Accounts!I$2:I$34),F176*Accounts!I162)</f>
        <v/>
      </c>
      <c r="H176" s="213">
        <f>iferror(G176*360,"")</f>
        <v/>
      </c>
      <c r="I176" s="213">
        <f>H176*0.1</f>
        <v/>
      </c>
    </row>
    <row r="177" ht="54.75" customHeight="1" s="222">
      <c r="A177" s="210">
        <f>Accounts!A166</f>
        <v/>
      </c>
      <c r="B177" s="141">
        <f>Accounts!J166</f>
        <v/>
      </c>
      <c r="C177" s="211" t="n">
        <v>0.6</v>
      </c>
      <c r="D177" s="212">
        <f>Accounts!J163*C177</f>
        <v/>
      </c>
      <c r="E177" s="211" t="n">
        <v>0.4</v>
      </c>
      <c r="F177" s="212">
        <f>D177*E177</f>
        <v/>
      </c>
      <c r="G177" s="213">
        <f>if(or(eq(Accounts!I163,"No Valet"),eq(Accounts!I163,"Has Valet")), F177 * AVERAGE(Accounts!I$2:I$34),F177*Accounts!I163)</f>
        <v/>
      </c>
      <c r="H177" s="213">
        <f>iferror(G177*360,"")</f>
        <v/>
      </c>
      <c r="I177" s="213">
        <f>H177*0.1</f>
        <v/>
      </c>
    </row>
    <row r="178" ht="54.75" customHeight="1" s="222">
      <c r="A178" s="210">
        <f>Accounts!A167</f>
        <v/>
      </c>
      <c r="B178" s="141">
        <f>Accounts!J167</f>
        <v/>
      </c>
      <c r="C178" s="211" t="n">
        <v>0.6</v>
      </c>
      <c r="D178" s="212">
        <f>Accounts!J164*C178</f>
        <v/>
      </c>
      <c r="E178" s="211" t="n">
        <v>0.4</v>
      </c>
      <c r="F178" s="212">
        <f>D178*E178</f>
        <v/>
      </c>
      <c r="G178" s="213">
        <f>if(or(eq(Accounts!I164,"No Valet"),eq(Accounts!I164,"Has Valet")), F178 * AVERAGE(Accounts!I$2:I$34),F178*Accounts!I164)</f>
        <v/>
      </c>
      <c r="H178" s="213">
        <f>iferror(G178*360,"")</f>
        <v/>
      </c>
      <c r="I178" s="213">
        <f>H178*0.1</f>
        <v/>
      </c>
    </row>
    <row r="179" ht="54.75" customHeight="1" s="222">
      <c r="A179" s="210">
        <f>Accounts!A168</f>
        <v/>
      </c>
      <c r="B179" s="141">
        <f>Accounts!J168</f>
        <v/>
      </c>
      <c r="C179" s="211" t="n">
        <v>0.6</v>
      </c>
      <c r="D179" s="212">
        <f>Accounts!J165*C179</f>
        <v/>
      </c>
      <c r="E179" s="211" t="n">
        <v>0.4</v>
      </c>
      <c r="F179" s="212">
        <f>D179*E179</f>
        <v/>
      </c>
      <c r="G179" s="213">
        <f>if(or(eq(Accounts!I165,"No Valet"),eq(Accounts!I165,"Has Valet")), F179 * AVERAGE(Accounts!I$2:I$34),F179*Accounts!I165)</f>
        <v/>
      </c>
      <c r="H179" s="213">
        <f>iferror(G179*360,"")</f>
        <v/>
      </c>
      <c r="I179" s="213">
        <f>H179*0.1</f>
        <v/>
      </c>
    </row>
    <row r="180" ht="54.75" customHeight="1" s="222">
      <c r="A180" s="210">
        <f>Accounts!A169</f>
        <v/>
      </c>
      <c r="B180" s="141">
        <f>Accounts!J169</f>
        <v/>
      </c>
      <c r="C180" s="211" t="n">
        <v>0.6</v>
      </c>
      <c r="D180" s="212">
        <f>Accounts!J166*C180</f>
        <v/>
      </c>
      <c r="E180" s="211" t="n">
        <v>0.4</v>
      </c>
      <c r="F180" s="212">
        <f>D180*E180</f>
        <v/>
      </c>
      <c r="G180" s="213">
        <f>if(or(eq(Accounts!I166,"No Valet"),eq(Accounts!I166,"Has Valet")), F180 * AVERAGE(Accounts!I$2:I$34),F180*Accounts!I166)</f>
        <v/>
      </c>
      <c r="H180" s="213">
        <f>iferror(G180*360,"")</f>
        <v/>
      </c>
      <c r="I180" s="213">
        <f>H180*0.1</f>
        <v/>
      </c>
    </row>
    <row r="181" ht="54.75" customHeight="1" s="222">
      <c r="A181" s="210">
        <f>Accounts!A170</f>
        <v/>
      </c>
      <c r="B181" s="141">
        <f>Accounts!J170</f>
        <v/>
      </c>
      <c r="C181" s="211" t="n">
        <v>0.6</v>
      </c>
      <c r="D181" s="212">
        <f>Accounts!J167*C181</f>
        <v/>
      </c>
      <c r="E181" s="211" t="n">
        <v>0.4</v>
      </c>
      <c r="F181" s="212">
        <f>D181*E181</f>
        <v/>
      </c>
      <c r="G181" s="213">
        <f>if(or(eq(Accounts!I167,"No Valet"),eq(Accounts!I167,"Has Valet")), F181 * AVERAGE(Accounts!I$2:I$34),F181*Accounts!I167)</f>
        <v/>
      </c>
      <c r="H181" s="213">
        <f>iferror(G181*360,"")</f>
        <v/>
      </c>
      <c r="I181" s="213">
        <f>H181*0.1</f>
        <v/>
      </c>
    </row>
    <row r="182" ht="54.75" customHeight="1" s="222">
      <c r="A182" s="210">
        <f>Accounts!A171</f>
        <v/>
      </c>
      <c r="B182" s="141">
        <f>Accounts!J171</f>
        <v/>
      </c>
      <c r="C182" s="211" t="n">
        <v>0.6</v>
      </c>
      <c r="D182" s="212">
        <f>Accounts!J168*C182</f>
        <v/>
      </c>
      <c r="E182" s="211" t="n">
        <v>0.4</v>
      </c>
      <c r="F182" s="212">
        <f>D182*E182</f>
        <v/>
      </c>
      <c r="G182" s="213">
        <f>if(or(eq(Accounts!I168,"No Valet"),eq(Accounts!I168,"Has Valet")), F182 * AVERAGE(Accounts!I$2:I$34),F182*Accounts!I168)</f>
        <v/>
      </c>
      <c r="H182" s="213">
        <f>iferror(G182*360,"")</f>
        <v/>
      </c>
      <c r="I182" s="213">
        <f>H182*0.1</f>
        <v/>
      </c>
    </row>
    <row r="183" ht="54.75" customHeight="1" s="222">
      <c r="A183" s="210">
        <f>Accounts!A172</f>
        <v/>
      </c>
      <c r="B183" s="141">
        <f>Accounts!J172</f>
        <v/>
      </c>
      <c r="C183" s="211" t="n">
        <v>0.6</v>
      </c>
      <c r="D183" s="212">
        <f>Accounts!J169*C183</f>
        <v/>
      </c>
      <c r="E183" s="211" t="n">
        <v>0.4</v>
      </c>
      <c r="F183" s="212">
        <f>D183*E183</f>
        <v/>
      </c>
      <c r="G183" s="213">
        <f>if(or(eq(Accounts!I169,"No Valet"),eq(Accounts!I169,"Has Valet")), F183 * AVERAGE(Accounts!I$2:I$34),F183*Accounts!I169)</f>
        <v/>
      </c>
      <c r="H183" s="213">
        <f>iferror(G183*360,"")</f>
        <v/>
      </c>
      <c r="I183" s="213">
        <f>H183*0.1</f>
        <v/>
      </c>
    </row>
    <row r="184" ht="54.75" customHeight="1" s="222">
      <c r="A184" s="210">
        <f>Accounts!A173</f>
        <v/>
      </c>
      <c r="B184" s="141">
        <f>Accounts!J173</f>
        <v/>
      </c>
      <c r="C184" s="211" t="n">
        <v>0.6</v>
      </c>
      <c r="D184" s="212">
        <f>Accounts!J170*C184</f>
        <v/>
      </c>
      <c r="E184" s="211" t="n">
        <v>0.4</v>
      </c>
      <c r="F184" s="212">
        <f>D184*E184</f>
        <v/>
      </c>
      <c r="G184" s="213">
        <f>if(or(eq(Accounts!I170,"No Valet"),eq(Accounts!I170,"Has Valet")), F184 * AVERAGE(Accounts!I$2:I$34),F184*Accounts!I170)</f>
        <v/>
      </c>
      <c r="H184" s="213">
        <f>iferror(G184*360,"")</f>
        <v/>
      </c>
      <c r="I184" s="213">
        <f>H184*0.1</f>
        <v/>
      </c>
    </row>
    <row r="185" ht="54.75" customHeight="1" s="222">
      <c r="A185" s="210">
        <f>Accounts!A174</f>
        <v/>
      </c>
      <c r="B185" s="141">
        <f>Accounts!J174</f>
        <v/>
      </c>
      <c r="C185" s="211" t="n">
        <v>0.6</v>
      </c>
      <c r="D185" s="212">
        <f>Accounts!J171*C185</f>
        <v/>
      </c>
      <c r="E185" s="211" t="n">
        <v>0.4</v>
      </c>
      <c r="F185" s="212">
        <f>D185*E185</f>
        <v/>
      </c>
      <c r="G185" s="213">
        <f>if(or(eq(Accounts!I171,"No Valet"),eq(Accounts!I171,"Has Valet")), F185 * AVERAGE(Accounts!I$2:I$34),F185*Accounts!I171)</f>
        <v/>
      </c>
      <c r="H185" s="213">
        <f>iferror(G185*360,"")</f>
        <v/>
      </c>
      <c r="I185" s="213">
        <f>H185*0.1</f>
        <v/>
      </c>
    </row>
    <row r="186" ht="54.75" customHeight="1" s="222">
      <c r="A186" s="210">
        <f>Accounts!A175</f>
        <v/>
      </c>
      <c r="B186" s="141">
        <f>Accounts!J175</f>
        <v/>
      </c>
      <c r="C186" s="211" t="n">
        <v>0.6</v>
      </c>
      <c r="D186" s="212">
        <f>Accounts!J172*C186</f>
        <v/>
      </c>
      <c r="E186" s="211" t="n">
        <v>0.4</v>
      </c>
      <c r="F186" s="212">
        <f>D186*E186</f>
        <v/>
      </c>
      <c r="G186" s="213">
        <f>if(or(eq(Accounts!I172,"No Valet"),eq(Accounts!I172,"Has Valet")), F186 * AVERAGE(Accounts!I$2:I$34),F186*Accounts!I172)</f>
        <v/>
      </c>
      <c r="H186" s="213">
        <f>iferror(G186*360,"")</f>
        <v/>
      </c>
      <c r="I186" s="213">
        <f>H186*0.1</f>
        <v/>
      </c>
    </row>
    <row r="187" ht="54.75" customHeight="1" s="222">
      <c r="A187" s="210">
        <f>Accounts!A176</f>
        <v/>
      </c>
      <c r="B187" s="141">
        <f>Accounts!J176</f>
        <v/>
      </c>
      <c r="C187" s="211" t="n">
        <v>0.6</v>
      </c>
      <c r="D187" s="212">
        <f>Accounts!J173*C187</f>
        <v/>
      </c>
      <c r="E187" s="211" t="n">
        <v>0.4</v>
      </c>
      <c r="F187" s="212">
        <f>D187*E187</f>
        <v/>
      </c>
      <c r="G187" s="213">
        <f>if(or(eq(Accounts!I173,"No Valet"),eq(Accounts!I173,"Has Valet")), F187 * AVERAGE(Accounts!I$2:I$34),F187*Accounts!I173)</f>
        <v/>
      </c>
      <c r="H187" s="213">
        <f>iferror(G187*360,"")</f>
        <v/>
      </c>
      <c r="I187" s="213">
        <f>H187*0.1</f>
        <v/>
      </c>
    </row>
    <row r="188" ht="54.75" customHeight="1" s="222">
      <c r="A188" s="210">
        <f>#REF!</f>
        <v/>
      </c>
      <c r="B188" s="141">
        <f>#REF!</f>
        <v/>
      </c>
      <c r="C188" s="211" t="n">
        <v>0.6</v>
      </c>
      <c r="D188" s="212">
        <f>Accounts!J174*C188</f>
        <v/>
      </c>
      <c r="E188" s="211" t="n">
        <v>0.4</v>
      </c>
      <c r="F188" s="212">
        <f>D188*E188</f>
        <v/>
      </c>
      <c r="G188" s="213">
        <f>if(or(eq(Accounts!I174,"No Valet"),eq(Accounts!I174,"Has Valet")), F188 * AVERAGE(Accounts!I$2:I$34),F188*Accounts!I174)</f>
        <v/>
      </c>
      <c r="H188" s="213">
        <f>iferror(G188*360,"")</f>
        <v/>
      </c>
      <c r="I188" s="213">
        <f>H188*0.1</f>
        <v/>
      </c>
    </row>
    <row r="189" ht="54.75" customHeight="1" s="222">
      <c r="A189" s="210">
        <f>Accounts!A177</f>
        <v/>
      </c>
      <c r="B189" s="141">
        <f>Accounts!J177</f>
        <v/>
      </c>
      <c r="C189" s="211" t="n">
        <v>0.6</v>
      </c>
      <c r="D189" s="212">
        <f>Accounts!J175*C189</f>
        <v/>
      </c>
      <c r="E189" s="211" t="n">
        <v>0.4</v>
      </c>
      <c r="F189" s="212">
        <f>D189*E189</f>
        <v/>
      </c>
      <c r="G189" s="213">
        <f>if(or(eq(Accounts!I175,"No Valet"),eq(Accounts!I175,"Has Valet")), F189 * AVERAGE(Accounts!I$2:I$34),F189*Accounts!I175)</f>
        <v/>
      </c>
      <c r="H189" s="213">
        <f>iferror(G189*360,"")</f>
        <v/>
      </c>
      <c r="I189" s="213">
        <f>H189*0.1</f>
        <v/>
      </c>
    </row>
    <row r="190" ht="54.75" customHeight="1" s="222">
      <c r="A190" s="210">
        <f>Accounts!A178</f>
        <v/>
      </c>
      <c r="B190" s="141">
        <f>Accounts!J178</f>
        <v/>
      </c>
      <c r="C190" s="211" t="n">
        <v>0.6</v>
      </c>
      <c r="D190" s="212">
        <f>Accounts!J176*C190</f>
        <v/>
      </c>
      <c r="E190" s="211" t="n">
        <v>0.4</v>
      </c>
      <c r="F190" s="212">
        <f>D190*E190</f>
        <v/>
      </c>
      <c r="G190" s="213">
        <f>if(or(eq(Accounts!I176,"No Valet"),eq(Accounts!I176,"Has Valet")), F190 * AVERAGE(Accounts!I$2:I$34),F190*Accounts!I176)</f>
        <v/>
      </c>
      <c r="H190" s="213">
        <f>iferror(G190*360,"")</f>
        <v/>
      </c>
      <c r="I190" s="213">
        <f>H190*0.1</f>
        <v/>
      </c>
    </row>
    <row r="191" ht="54.75" customHeight="1" s="222">
      <c r="A191" s="210">
        <f>Accounts!A179</f>
        <v/>
      </c>
      <c r="B191" s="141">
        <f>Accounts!J179</f>
        <v/>
      </c>
      <c r="C191" s="211" t="n">
        <v>0.6</v>
      </c>
      <c r="D191" s="212">
        <f>#REF!*C191</f>
        <v/>
      </c>
      <c r="E191" s="211" t="n">
        <v>0.4</v>
      </c>
      <c r="F191" s="212">
        <f>D191*E191</f>
        <v/>
      </c>
      <c r="G191" s="213">
        <f>if(or(eq(#REF!,"No Valet"),eq(#REF!,"Has Valet")), F191 * AVERAGE(Accounts!I$2:I$34),F191*#REF!)</f>
        <v/>
      </c>
      <c r="H191" s="213">
        <f>iferror(G191*360,"")</f>
        <v/>
      </c>
      <c r="I191" s="213">
        <f>H191*0.1</f>
        <v/>
      </c>
    </row>
    <row r="192" ht="54.75" customHeight="1" s="222">
      <c r="A192" s="210">
        <f>Accounts!A180</f>
        <v/>
      </c>
      <c r="B192" s="141">
        <f>Accounts!J180</f>
        <v/>
      </c>
      <c r="C192" s="211" t="n">
        <v>0.6</v>
      </c>
      <c r="D192" s="212">
        <f>Accounts!J177*C192</f>
        <v/>
      </c>
      <c r="E192" s="211" t="n">
        <v>0.4</v>
      </c>
      <c r="F192" s="212">
        <f>D192*E192</f>
        <v/>
      </c>
      <c r="G192" s="213">
        <f>if(or(eq(Accounts!I177,"No Valet"),eq(Accounts!I177,"Has Valet")), F192 * AVERAGE(Accounts!I$2:I$34),F192*Accounts!I177)</f>
        <v/>
      </c>
      <c r="H192" s="213">
        <f>iferror(G192*360,"")</f>
        <v/>
      </c>
      <c r="I192" s="213">
        <f>H192*0.1</f>
        <v/>
      </c>
    </row>
    <row r="193" ht="54.75" customHeight="1" s="222">
      <c r="A193" s="210">
        <f>Accounts!A181</f>
        <v/>
      </c>
      <c r="B193" s="141">
        <f>Accounts!J181</f>
        <v/>
      </c>
      <c r="C193" s="211" t="n">
        <v>0.6</v>
      </c>
      <c r="D193" s="212">
        <f>Accounts!J178*C193</f>
        <v/>
      </c>
      <c r="E193" s="211" t="n">
        <v>0.4</v>
      </c>
      <c r="F193" s="212">
        <f>D193*E193</f>
        <v/>
      </c>
      <c r="G193" s="213">
        <f>if(or(eq(Accounts!I178,"No Valet"),eq(Accounts!I178,"Has Valet")), F193 * AVERAGE(Accounts!I$2:I$34),F193*Accounts!I178)</f>
        <v/>
      </c>
      <c r="H193" s="213">
        <f>iferror(G193*360,"")</f>
        <v/>
      </c>
      <c r="I193" s="213">
        <f>H193*0.1</f>
        <v/>
      </c>
    </row>
    <row r="194" ht="54.75" customHeight="1" s="222">
      <c r="A194" s="210">
        <f>Accounts!A182</f>
        <v/>
      </c>
      <c r="B194" s="141">
        <f>Accounts!J182</f>
        <v/>
      </c>
      <c r="C194" s="211" t="n">
        <v>0.6</v>
      </c>
      <c r="D194" s="212">
        <f>Accounts!J179*C194</f>
        <v/>
      </c>
      <c r="E194" s="211" t="n">
        <v>0.4</v>
      </c>
      <c r="F194" s="212">
        <f>D194*E194</f>
        <v/>
      </c>
      <c r="G194" s="213">
        <f>if(or(eq(Accounts!I179,"No Valet"),eq(Accounts!I179,"Has Valet")), F194 * AVERAGE(Accounts!I$2:I$34),F194*Accounts!I179)</f>
        <v/>
      </c>
      <c r="H194" s="213">
        <f>iferror(G194*360,"")</f>
        <v/>
      </c>
      <c r="I194" s="213">
        <f>H194*0.1</f>
        <v/>
      </c>
    </row>
    <row r="195" ht="54.75" customHeight="1" s="222">
      <c r="A195" s="210">
        <f>Accounts!A183</f>
        <v/>
      </c>
      <c r="B195" s="141">
        <f>Accounts!J183</f>
        <v/>
      </c>
      <c r="C195" s="211" t="n">
        <v>0.6</v>
      </c>
      <c r="D195" s="212">
        <f>Accounts!J180*C195</f>
        <v/>
      </c>
      <c r="E195" s="211" t="n">
        <v>0.4</v>
      </c>
      <c r="F195" s="212">
        <f>D195*E195</f>
        <v/>
      </c>
      <c r="G195" s="213">
        <f>if(or(eq(Accounts!I180,"No Valet"),eq(Accounts!I180,"Has Valet")), F195 * AVERAGE(Accounts!I$2:I$34),F195*Accounts!I180)</f>
        <v/>
      </c>
      <c r="H195" s="213">
        <f>iferror(G195*360,"")</f>
        <v/>
      </c>
      <c r="I195" s="213">
        <f>H195*0.1</f>
        <v/>
      </c>
    </row>
    <row r="196" ht="54.75" customHeight="1" s="222">
      <c r="A196" s="210">
        <f>#REF!</f>
        <v/>
      </c>
      <c r="B196" s="141">
        <f>#REF!</f>
        <v/>
      </c>
      <c r="C196" s="211" t="n">
        <v>0.6</v>
      </c>
      <c r="D196" s="212">
        <f>Accounts!J181*C196</f>
        <v/>
      </c>
      <c r="E196" s="211" t="n">
        <v>0.4</v>
      </c>
      <c r="F196" s="212">
        <f>D196*E196</f>
        <v/>
      </c>
      <c r="G196" s="213">
        <f>if(or(eq(Accounts!I181,"No Valet"),eq(Accounts!I181,"Has Valet")), F196 * AVERAGE(Accounts!I$2:I$34),F196*Accounts!I181)</f>
        <v/>
      </c>
      <c r="H196" s="213">
        <f>iferror(G196*360,"")</f>
        <v/>
      </c>
      <c r="I196" s="213">
        <f>H196*0.1</f>
        <v/>
      </c>
    </row>
    <row r="197" ht="54.75" customHeight="1" s="222">
      <c r="A197" s="210">
        <f>Accounts!A184</f>
        <v/>
      </c>
      <c r="B197" s="141">
        <f>Accounts!J184</f>
        <v/>
      </c>
      <c r="C197" s="211" t="n">
        <v>0.6</v>
      </c>
      <c r="D197" s="212">
        <f>Accounts!J182*C197</f>
        <v/>
      </c>
      <c r="E197" s="211" t="n">
        <v>0.4</v>
      </c>
      <c r="F197" s="212">
        <f>D197*E197</f>
        <v/>
      </c>
      <c r="G197" s="213">
        <f>if(or(eq(Accounts!I182,"No Valet"),eq(Accounts!I182,"Has Valet")), F197 * AVERAGE(Accounts!I$2:I$34),F197*Accounts!I182)</f>
        <v/>
      </c>
      <c r="H197" s="213">
        <f>iferror(G197*360,"")</f>
        <v/>
      </c>
      <c r="I197" s="213">
        <f>H197*0.1</f>
        <v/>
      </c>
    </row>
    <row r="198" ht="54.75" customHeight="1" s="222">
      <c r="A198" s="210">
        <f>#REF!</f>
        <v/>
      </c>
      <c r="B198" s="141">
        <f>#REF!</f>
        <v/>
      </c>
      <c r="C198" s="211" t="n">
        <v>0.6</v>
      </c>
      <c r="D198" s="212">
        <f>Accounts!J183*C198</f>
        <v/>
      </c>
      <c r="E198" s="211" t="n">
        <v>0.4</v>
      </c>
      <c r="F198" s="212">
        <f>D198*E198</f>
        <v/>
      </c>
      <c r="G198" s="213">
        <f>if(or(eq(Accounts!I183,"No Valet"),eq(Accounts!I183,"Has Valet")), F198 * AVERAGE(Accounts!I$2:I$34),F198*Accounts!I183)</f>
        <v/>
      </c>
      <c r="H198" s="213">
        <f>iferror(G198*360,"")</f>
        <v/>
      </c>
      <c r="I198" s="213">
        <f>H198*0.1</f>
        <v/>
      </c>
    </row>
    <row r="199" ht="54.75" customHeight="1" s="222">
      <c r="A199" s="210">
        <f>#REF!</f>
        <v/>
      </c>
      <c r="B199" s="141">
        <f>#REF!</f>
        <v/>
      </c>
      <c r="C199" s="211" t="n">
        <v>0.6</v>
      </c>
      <c r="D199" s="212">
        <f>#REF!*C199</f>
        <v/>
      </c>
      <c r="E199" s="211" t="n">
        <v>0.4</v>
      </c>
      <c r="F199" s="212">
        <f>D199*E199</f>
        <v/>
      </c>
      <c r="G199" s="213">
        <f>if(or(eq(#REF!,"No Valet"),eq(#REF!,"Has Valet")), F199 * AVERAGE(Accounts!I$2:I$34),F199*#REF!)</f>
        <v/>
      </c>
      <c r="H199" s="213">
        <f>iferror(G199*360,"")</f>
        <v/>
      </c>
      <c r="I199" s="213">
        <f>H199*0.1</f>
        <v/>
      </c>
    </row>
    <row r="200" ht="54.75" customHeight="1" s="222">
      <c r="A200" s="210">
        <f>Accounts!A185</f>
        <v/>
      </c>
      <c r="B200" s="141">
        <f>Accounts!J185</f>
        <v/>
      </c>
      <c r="C200" s="211" t="n">
        <v>0.6</v>
      </c>
      <c r="D200" s="212">
        <f>Accounts!J184*C200</f>
        <v/>
      </c>
      <c r="E200" s="211" t="n">
        <v>0.4</v>
      </c>
      <c r="F200" s="212">
        <f>D200*E200</f>
        <v/>
      </c>
      <c r="G200" s="213">
        <f>if(or(eq(Accounts!I184,"No Valet"),eq(Accounts!I184,"Has Valet")), F200 * AVERAGE(Accounts!I$2:I$34),F200*Accounts!I184)</f>
        <v/>
      </c>
      <c r="H200" s="213">
        <f>iferror(G200*360,"")</f>
        <v/>
      </c>
      <c r="I200" s="213">
        <f>H200*0.1</f>
        <v/>
      </c>
    </row>
    <row r="201" ht="54.75" customHeight="1" s="222">
      <c r="A201" s="210">
        <f>Accounts!A186</f>
        <v/>
      </c>
      <c r="B201" s="141">
        <f>Accounts!J186</f>
        <v/>
      </c>
      <c r="C201" s="211" t="n">
        <v>0.6</v>
      </c>
      <c r="D201" s="212">
        <f>#REF!*C201</f>
        <v/>
      </c>
      <c r="E201" s="211" t="n">
        <v>0.4</v>
      </c>
      <c r="F201" s="212">
        <f>D201*E201</f>
        <v/>
      </c>
      <c r="G201" s="213">
        <f>if(or(eq(#REF!,"No Valet"),eq(#REF!,"Has Valet")), F201 * AVERAGE(Accounts!I$2:I$34),F201*#REF!)</f>
        <v/>
      </c>
      <c r="H201" s="213">
        <f>iferror(G201*360,"")</f>
        <v/>
      </c>
      <c r="I201" s="213">
        <f>H201*0.1</f>
        <v/>
      </c>
    </row>
    <row r="202" ht="54.75" customHeight="1" s="222">
      <c r="A202" s="210">
        <f>Accounts!A187</f>
        <v/>
      </c>
      <c r="B202" s="141">
        <f>Accounts!J187</f>
        <v/>
      </c>
      <c r="C202" s="211" t="n">
        <v>0.6</v>
      </c>
      <c r="D202" s="212">
        <f>#REF!*C202</f>
        <v/>
      </c>
      <c r="E202" s="211" t="n">
        <v>0.4</v>
      </c>
      <c r="F202" s="212">
        <f>D202*E202</f>
        <v/>
      </c>
      <c r="G202" s="213">
        <f>if(or(eq(#REF!,"No Valet"),eq(#REF!,"Has Valet")), F202 * AVERAGE(Accounts!I$2:I$34),F202*#REF!)</f>
        <v/>
      </c>
      <c r="H202" s="213">
        <f>iferror(G202*360,"")</f>
        <v/>
      </c>
      <c r="I202" s="213">
        <f>H202*0.1</f>
        <v/>
      </c>
    </row>
    <row r="203" ht="54.75" customHeight="1" s="222">
      <c r="A203" s="210">
        <f>#REF!</f>
        <v/>
      </c>
      <c r="B203" s="141">
        <f>#REF!</f>
        <v/>
      </c>
      <c r="C203" s="211" t="n">
        <v>0.6</v>
      </c>
      <c r="D203" s="212">
        <f>Accounts!J185*C203</f>
        <v/>
      </c>
      <c r="E203" s="211" t="n">
        <v>0.4</v>
      </c>
      <c r="F203" s="212">
        <f>D203*E203</f>
        <v/>
      </c>
      <c r="G203" s="213">
        <f>if(or(eq(Accounts!I185,"No Valet"),eq(Accounts!I185,"Has Valet")), F203 * AVERAGE(Accounts!I$2:I$34),F203*Accounts!I185)</f>
        <v/>
      </c>
      <c r="H203" s="213">
        <f>iferror(G203*360,"")</f>
        <v/>
      </c>
      <c r="I203" s="213">
        <f>H203*0.1</f>
        <v/>
      </c>
    </row>
    <row r="204" ht="54.75" customHeight="1" s="222">
      <c r="A204" s="210">
        <f>Accounts!A188</f>
        <v/>
      </c>
      <c r="B204" s="141">
        <f>Accounts!J188</f>
        <v/>
      </c>
      <c r="C204" s="211" t="n">
        <v>0.6</v>
      </c>
      <c r="D204" s="212">
        <f>Accounts!J186*C204</f>
        <v/>
      </c>
      <c r="E204" s="211" t="n">
        <v>0.4</v>
      </c>
      <c r="F204" s="212">
        <f>D204*E204</f>
        <v/>
      </c>
      <c r="G204" s="213">
        <f>if(or(eq(Accounts!I186,"No Valet"),eq(Accounts!I186,"Has Valet")), F204 * AVERAGE(Accounts!I$2:I$34),F204*Accounts!I186)</f>
        <v/>
      </c>
      <c r="H204" s="213">
        <f>iferror(G204*360,"")</f>
        <v/>
      </c>
      <c r="I204" s="213">
        <f>H204*0.1</f>
        <v/>
      </c>
    </row>
    <row r="205" ht="54.75" customHeight="1" s="222">
      <c r="A205" s="210">
        <f>Accounts!A189</f>
        <v/>
      </c>
      <c r="B205" s="141">
        <f>Accounts!J189</f>
        <v/>
      </c>
      <c r="C205" s="211" t="n">
        <v>0.6</v>
      </c>
      <c r="D205" s="212">
        <f>Accounts!J187*C205</f>
        <v/>
      </c>
      <c r="E205" s="211" t="n">
        <v>0.4</v>
      </c>
      <c r="F205" s="212">
        <f>D205*E205</f>
        <v/>
      </c>
      <c r="G205" s="213">
        <f>if(or(eq(Accounts!I187,"No Valet"),eq(Accounts!I187,"Has Valet")), F205 * AVERAGE(Accounts!I$2:I$34),F205*Accounts!I187)</f>
        <v/>
      </c>
      <c r="H205" s="213">
        <f>iferror(G205*360,"")</f>
        <v/>
      </c>
      <c r="I205" s="213">
        <f>H205*0.1</f>
        <v/>
      </c>
    </row>
    <row r="206" ht="54.75" customHeight="1" s="222">
      <c r="A206" s="210">
        <f>Accounts!A190</f>
        <v/>
      </c>
      <c r="B206" s="141">
        <f>Accounts!J190</f>
        <v/>
      </c>
      <c r="C206" s="211" t="n">
        <v>0.6</v>
      </c>
      <c r="D206" s="212">
        <f>#REF!*C206</f>
        <v/>
      </c>
      <c r="E206" s="211" t="n">
        <v>0.4</v>
      </c>
      <c r="F206" s="212">
        <f>D206*E206</f>
        <v/>
      </c>
      <c r="G206" s="213">
        <f>if(or(eq(#REF!,"No Valet"),eq(#REF!,"Has Valet")), F206 * AVERAGE(Accounts!I$2:I$34),F206*#REF!)</f>
        <v/>
      </c>
      <c r="H206" s="213">
        <f>iferror(G206*360,"")</f>
        <v/>
      </c>
      <c r="I206" s="213">
        <f>H206*0.1</f>
        <v/>
      </c>
    </row>
    <row r="207" ht="54.75" customHeight="1" s="222">
      <c r="A207" s="210">
        <f>#REF!</f>
        <v/>
      </c>
      <c r="B207" s="141">
        <f>#REF!</f>
        <v/>
      </c>
      <c r="C207" s="211" t="n">
        <v>0.6</v>
      </c>
      <c r="D207" s="212">
        <f>Accounts!J188*C207</f>
        <v/>
      </c>
      <c r="E207" s="211" t="n">
        <v>0.4</v>
      </c>
      <c r="F207" s="212">
        <f>D207*E207</f>
        <v/>
      </c>
      <c r="G207" s="213">
        <f>if(or(eq(Accounts!I188,"No Valet"),eq(Accounts!I188,"Has Valet")), F207 * AVERAGE(Accounts!I$2:I$34),F207*Accounts!I188)</f>
        <v/>
      </c>
      <c r="H207" s="213">
        <f>iferror(G207*360,"")</f>
        <v/>
      </c>
      <c r="I207" s="213">
        <f>H207*0.1</f>
        <v/>
      </c>
    </row>
    <row r="208" ht="54.75" customHeight="1" s="222">
      <c r="A208" s="210">
        <f>Accounts!A191</f>
        <v/>
      </c>
      <c r="B208" s="141">
        <f>Accounts!J191</f>
        <v/>
      </c>
      <c r="C208" s="211" t="n">
        <v>0.6</v>
      </c>
      <c r="D208" s="212">
        <f>Accounts!J189*C208</f>
        <v/>
      </c>
      <c r="E208" s="211" t="n">
        <v>0.4</v>
      </c>
      <c r="F208" s="212">
        <f>D208*E208</f>
        <v/>
      </c>
      <c r="G208" s="213">
        <f>if(or(eq(Accounts!I189,"No Valet"),eq(Accounts!I189,"Has Valet")), F208 * AVERAGE(Accounts!I$2:I$34),F208*Accounts!I189)</f>
        <v/>
      </c>
      <c r="H208" s="213">
        <f>iferror(G208*360,"")</f>
        <v/>
      </c>
      <c r="I208" s="213">
        <f>H208*0.1</f>
        <v/>
      </c>
    </row>
    <row r="209" ht="54.75" customHeight="1" s="222">
      <c r="A209" s="210">
        <f>#REF!</f>
        <v/>
      </c>
      <c r="B209" s="141">
        <f>#REF!</f>
        <v/>
      </c>
      <c r="C209" s="211" t="n">
        <v>0.6</v>
      </c>
      <c r="D209" s="212">
        <f>Accounts!J190*C209</f>
        <v/>
      </c>
      <c r="E209" s="211" t="n">
        <v>0.4</v>
      </c>
      <c r="F209" s="212">
        <f>D209*E209</f>
        <v/>
      </c>
      <c r="G209" s="213">
        <f>if(or(eq(Accounts!I190,"No Valet"),eq(Accounts!I190,"Has Valet")), F209 * AVERAGE(Accounts!I$2:I$34),F209*Accounts!I190)</f>
        <v/>
      </c>
      <c r="H209" s="213">
        <f>iferror(G209*360,"")</f>
        <v/>
      </c>
      <c r="I209" s="213">
        <f>H209*0.1</f>
        <v/>
      </c>
    </row>
    <row r="210" ht="54.75" customHeight="1" s="222">
      <c r="A210" s="210">
        <f>Accounts!A192</f>
        <v/>
      </c>
      <c r="B210" s="141">
        <f>Accounts!J192</f>
        <v/>
      </c>
      <c r="C210" s="211" t="n">
        <v>0.6</v>
      </c>
      <c r="D210" s="212">
        <f>#REF!*C210</f>
        <v/>
      </c>
      <c r="E210" s="211" t="n">
        <v>0.4</v>
      </c>
      <c r="F210" s="212">
        <f>D210*E210</f>
        <v/>
      </c>
      <c r="G210" s="213">
        <f>if(or(eq(#REF!,"No Valet"),eq(#REF!,"Has Valet")), F210 * AVERAGE(Accounts!I$2:I$34),F210*#REF!)</f>
        <v/>
      </c>
      <c r="H210" s="213">
        <f>iferror(G210*360,"")</f>
        <v/>
      </c>
      <c r="I210" s="213">
        <f>H210*0.1</f>
        <v/>
      </c>
    </row>
    <row r="211" ht="54.75" customHeight="1" s="222">
      <c r="A211" s="210">
        <f>Accounts!A193</f>
        <v/>
      </c>
      <c r="B211" s="141">
        <f>Accounts!J193</f>
        <v/>
      </c>
      <c r="C211" s="211" t="n">
        <v>0.6</v>
      </c>
      <c r="D211" s="212">
        <f>Accounts!J191*C211</f>
        <v/>
      </c>
      <c r="E211" s="211" t="n">
        <v>0.4</v>
      </c>
      <c r="F211" s="212">
        <f>D211*E211</f>
        <v/>
      </c>
      <c r="G211" s="213">
        <f>if(or(eq(Accounts!I191,"No Valet"),eq(Accounts!I191,"Has Valet")), F211 * AVERAGE(Accounts!I$2:I$34),F211*Accounts!I191)</f>
        <v/>
      </c>
      <c r="H211" s="213">
        <f>iferror(G211*360,"")</f>
        <v/>
      </c>
      <c r="I211" s="213">
        <f>H211*0.1</f>
        <v/>
      </c>
    </row>
    <row r="212" ht="54.75" customHeight="1" s="222">
      <c r="A212" s="210">
        <f>Accounts!A194</f>
        <v/>
      </c>
      <c r="B212" s="141">
        <f>Accounts!J194</f>
        <v/>
      </c>
      <c r="C212" s="211" t="n">
        <v>0.6</v>
      </c>
      <c r="D212" s="212">
        <f>#REF!*C212</f>
        <v/>
      </c>
      <c r="E212" s="211" t="n">
        <v>0.4</v>
      </c>
      <c r="F212" s="212">
        <f>D212*E212</f>
        <v/>
      </c>
      <c r="G212" s="213">
        <f>if(or(eq(#REF!,"No Valet"),eq(#REF!,"Has Valet")), F212 * AVERAGE(Accounts!I$2:I$34),F212*#REF!)</f>
        <v/>
      </c>
      <c r="H212" s="213">
        <f>iferror(G212*360,"")</f>
        <v/>
      </c>
      <c r="I212" s="213">
        <f>H212*0.1</f>
        <v/>
      </c>
    </row>
    <row r="213" ht="54.75" customHeight="1" s="222">
      <c r="A213" s="210">
        <f>Accounts!A195</f>
        <v/>
      </c>
      <c r="B213" s="141">
        <f>Accounts!J195</f>
        <v/>
      </c>
      <c r="C213" s="211" t="n">
        <v>0.6</v>
      </c>
      <c r="D213" s="212">
        <f>Accounts!J192*C213</f>
        <v/>
      </c>
      <c r="E213" s="211" t="n">
        <v>0.4</v>
      </c>
      <c r="F213" s="212">
        <f>D213*E213</f>
        <v/>
      </c>
      <c r="G213" s="213">
        <f>if(or(eq(Accounts!I192,"No Valet"),eq(Accounts!I192,"Has Valet")), F213 * AVERAGE(Accounts!I$2:I$34),F213*Accounts!I192)</f>
        <v/>
      </c>
      <c r="H213" s="213">
        <f>iferror(G213*360,"")</f>
        <v/>
      </c>
      <c r="I213" s="213">
        <f>H213*0.1</f>
        <v/>
      </c>
    </row>
    <row r="214" ht="54.75" customHeight="1" s="222">
      <c r="A214" s="210">
        <f>Accounts!A196</f>
        <v/>
      </c>
      <c r="B214" s="141">
        <f>Accounts!J196</f>
        <v/>
      </c>
      <c r="C214" s="211" t="n">
        <v>0.6</v>
      </c>
      <c r="D214" s="212">
        <f>Accounts!J193*C214</f>
        <v/>
      </c>
      <c r="E214" s="211" t="n">
        <v>0.4</v>
      </c>
      <c r="F214" s="212">
        <f>D214*E214</f>
        <v/>
      </c>
      <c r="G214" s="213">
        <f>if(or(eq(Accounts!I193,"No Valet"),eq(Accounts!I193,"Has Valet")), F214 * AVERAGE(Accounts!I$2:I$34),F214*Accounts!I193)</f>
        <v/>
      </c>
      <c r="H214" s="213">
        <f>iferror(G214*360,"")</f>
        <v/>
      </c>
      <c r="I214" s="213">
        <f>H214*0.1</f>
        <v/>
      </c>
    </row>
    <row r="215" ht="54.75" customHeight="1" s="222">
      <c r="A215" s="210">
        <f>Accounts!A197</f>
        <v/>
      </c>
      <c r="B215" s="141">
        <f>Accounts!J197</f>
        <v/>
      </c>
      <c r="C215" s="211" t="n">
        <v>0.6</v>
      </c>
      <c r="D215" s="212">
        <f>Accounts!J194*C215</f>
        <v/>
      </c>
      <c r="E215" s="211" t="n">
        <v>0.4</v>
      </c>
      <c r="F215" s="212">
        <f>D215*E215</f>
        <v/>
      </c>
      <c r="G215" s="213">
        <f>if(or(eq(Accounts!I194,"No Valet"),eq(Accounts!I194,"Has Valet")), F215 * AVERAGE(Accounts!I$2:I$34),F215*Accounts!I194)</f>
        <v/>
      </c>
      <c r="H215" s="213">
        <f>iferror(G215*360,"")</f>
        <v/>
      </c>
      <c r="I215" s="213">
        <f>H215*0.1</f>
        <v/>
      </c>
    </row>
    <row r="216" ht="54.75" customHeight="1" s="222">
      <c r="A216" s="210">
        <f>Accounts!A198</f>
        <v/>
      </c>
      <c r="B216" s="141">
        <f>Accounts!J198</f>
        <v/>
      </c>
      <c r="C216" s="211" t="n">
        <v>0.6</v>
      </c>
      <c r="D216" s="212">
        <f>Accounts!J195*C216</f>
        <v/>
      </c>
      <c r="E216" s="211" t="n">
        <v>0.4</v>
      </c>
      <c r="F216" s="212">
        <f>D216*E216</f>
        <v/>
      </c>
      <c r="G216" s="213">
        <f>if(or(eq(Accounts!I195,"No Valet"),eq(Accounts!I195,"Has Valet")), F216 * AVERAGE(Accounts!I$2:I$34),F216*Accounts!I195)</f>
        <v/>
      </c>
      <c r="H216" s="213">
        <f>iferror(G216*360,"")</f>
        <v/>
      </c>
      <c r="I216" s="213">
        <f>H216*0.1</f>
        <v/>
      </c>
    </row>
    <row r="217" ht="54.75" customHeight="1" s="222">
      <c r="A217" s="210">
        <f>Accounts!A199</f>
        <v/>
      </c>
      <c r="B217" s="141">
        <f>Accounts!J199</f>
        <v/>
      </c>
      <c r="C217" s="211" t="n">
        <v>0.6</v>
      </c>
      <c r="D217" s="212">
        <f>Accounts!J196*C217</f>
        <v/>
      </c>
      <c r="E217" s="211" t="n">
        <v>0.4</v>
      </c>
      <c r="F217" s="212">
        <f>D217*E217</f>
        <v/>
      </c>
      <c r="G217" s="213">
        <f>if(or(eq(Accounts!I196,"No Valet"),eq(Accounts!I196,"Has Valet")), F217 * AVERAGE(Accounts!I$2:I$34),F217*Accounts!I196)</f>
        <v/>
      </c>
      <c r="H217" s="213">
        <f>iferror(G217*360,"")</f>
        <v/>
      </c>
      <c r="I217" s="213">
        <f>H217*0.1</f>
        <v/>
      </c>
    </row>
    <row r="218" ht="54.75" customHeight="1" s="222">
      <c r="A218" s="210">
        <f>#REF!</f>
        <v/>
      </c>
      <c r="B218" s="141">
        <f>#REF!</f>
        <v/>
      </c>
      <c r="C218" s="211" t="n">
        <v>0.6</v>
      </c>
      <c r="D218" s="212">
        <f>Accounts!J197*C218</f>
        <v/>
      </c>
      <c r="E218" s="211" t="n">
        <v>0.4</v>
      </c>
      <c r="F218" s="212">
        <f>D218*E218</f>
        <v/>
      </c>
      <c r="G218" s="213">
        <f>if(or(eq(Accounts!I197,"No Valet"),eq(Accounts!I197,"Has Valet")), F218 * AVERAGE(Accounts!I$2:I$34),F218*Accounts!I197)</f>
        <v/>
      </c>
      <c r="H218" s="213">
        <f>iferror(G218*360,"")</f>
        <v/>
      </c>
      <c r="I218" s="213">
        <f>H218*0.1</f>
        <v/>
      </c>
    </row>
    <row r="219" ht="54.75" customHeight="1" s="222">
      <c r="A219" s="210">
        <f>Accounts!A200</f>
        <v/>
      </c>
      <c r="B219" s="141">
        <f>Accounts!J200</f>
        <v/>
      </c>
      <c r="C219" s="211" t="n">
        <v>0.6</v>
      </c>
      <c r="D219" s="212">
        <f>Accounts!J198*C219</f>
        <v/>
      </c>
      <c r="E219" s="211" t="n">
        <v>0.4</v>
      </c>
      <c r="F219" s="212">
        <f>D219*E219</f>
        <v/>
      </c>
      <c r="G219" s="213">
        <f>if(or(eq(Accounts!I198,"No Valet"),eq(Accounts!I198,"Has Valet")), F219 * AVERAGE(Accounts!I$2:I$34),F219*Accounts!I198)</f>
        <v/>
      </c>
      <c r="H219" s="213">
        <f>iferror(G219*360,"")</f>
        <v/>
      </c>
      <c r="I219" s="213">
        <f>H219*0.1</f>
        <v/>
      </c>
    </row>
    <row r="220" ht="54.75" customHeight="1" s="222">
      <c r="A220" s="210">
        <f>Accounts!A201</f>
        <v/>
      </c>
      <c r="B220" s="141">
        <f>Accounts!J201</f>
        <v/>
      </c>
      <c r="C220" s="211" t="n">
        <v>0.6</v>
      </c>
      <c r="D220" s="212">
        <f>Accounts!J199*C220</f>
        <v/>
      </c>
      <c r="E220" s="211" t="n">
        <v>0.4</v>
      </c>
      <c r="F220" s="212">
        <f>D220*E220</f>
        <v/>
      </c>
      <c r="G220" s="213">
        <f>if(or(eq(Accounts!I199,"No Valet"),eq(Accounts!I199,"Has Valet")), F220 * AVERAGE(Accounts!I$2:I$34),F220*Accounts!I199)</f>
        <v/>
      </c>
      <c r="H220" s="213">
        <f>iferror(G220*360,"")</f>
        <v/>
      </c>
      <c r="I220" s="213">
        <f>H220*0.1</f>
        <v/>
      </c>
    </row>
    <row r="221" ht="54.75" customHeight="1" s="222">
      <c r="A221" s="210">
        <f>Accounts!A202</f>
        <v/>
      </c>
      <c r="B221" s="141">
        <f>Accounts!J202</f>
        <v/>
      </c>
      <c r="C221" s="211" t="n">
        <v>0.6</v>
      </c>
      <c r="D221" s="212">
        <f>#REF!*C221</f>
        <v/>
      </c>
      <c r="E221" s="211" t="n">
        <v>0.4</v>
      </c>
      <c r="F221" s="212">
        <f>D221*E221</f>
        <v/>
      </c>
      <c r="G221" s="213">
        <f>if(or(eq(#REF!,"No Valet"),eq(#REF!,"Has Valet")), F221 * AVERAGE(Accounts!I$2:I$34),F221*#REF!)</f>
        <v/>
      </c>
      <c r="H221" s="213">
        <f>iferror(G221*360,"")</f>
        <v/>
      </c>
      <c r="I221" s="213">
        <f>H221*0.1</f>
        <v/>
      </c>
    </row>
    <row r="222" ht="54.75" customHeight="1" s="222">
      <c r="A222" s="210">
        <f>Accounts!A203</f>
        <v/>
      </c>
      <c r="B222" s="141">
        <f>Accounts!J203</f>
        <v/>
      </c>
      <c r="C222" s="211" t="n">
        <v>0.6</v>
      </c>
      <c r="D222" s="212">
        <f>Accounts!J200*C222</f>
        <v/>
      </c>
      <c r="E222" s="211" t="n">
        <v>0.4</v>
      </c>
      <c r="F222" s="212">
        <f>D222*E222</f>
        <v/>
      </c>
      <c r="G222" s="213">
        <f>if(or(eq(Accounts!I200,"No Valet"),eq(Accounts!I200,"Has Valet")), F222 * AVERAGE(Accounts!I$2:I$34),F222*Accounts!I200)</f>
        <v/>
      </c>
      <c r="H222" s="213">
        <f>iferror(G222*360,"")</f>
        <v/>
      </c>
      <c r="I222" s="213">
        <f>H222*0.1</f>
        <v/>
      </c>
    </row>
    <row r="223" ht="54.75" customHeight="1" s="222">
      <c r="A223" s="210">
        <f>Accounts!A204</f>
        <v/>
      </c>
      <c r="B223" s="141">
        <f>Accounts!J204</f>
        <v/>
      </c>
      <c r="C223" s="211" t="n">
        <v>0.6</v>
      </c>
      <c r="D223" s="212">
        <f>Accounts!J201*C223</f>
        <v/>
      </c>
      <c r="E223" s="211" t="n">
        <v>0.4</v>
      </c>
      <c r="F223" s="212">
        <f>D223*E223</f>
        <v/>
      </c>
      <c r="G223" s="213">
        <f>if(or(eq(Accounts!I201,"No Valet"),eq(Accounts!I201,"Has Valet")), F223 * AVERAGE(Accounts!I$2:I$34),F223*Accounts!I201)</f>
        <v/>
      </c>
      <c r="H223" s="213">
        <f>iferror(G223*360,"")</f>
        <v/>
      </c>
      <c r="I223" s="213">
        <f>H223*0.1</f>
        <v/>
      </c>
    </row>
    <row r="224" ht="54.75" customHeight="1" s="222">
      <c r="A224" s="210">
        <f>Accounts!A205</f>
        <v/>
      </c>
      <c r="B224" s="141">
        <f>Accounts!J205</f>
        <v/>
      </c>
      <c r="C224" s="211" t="n">
        <v>0.6</v>
      </c>
      <c r="D224" s="212">
        <f>Accounts!J202*C224</f>
        <v/>
      </c>
      <c r="E224" s="211" t="n">
        <v>0.4</v>
      </c>
      <c r="F224" s="212">
        <f>D224*E224</f>
        <v/>
      </c>
      <c r="G224" s="213">
        <f>if(or(eq(Accounts!I202,"No Valet"),eq(Accounts!I202,"Has Valet")), F224 * AVERAGE(Accounts!I$2:I$34),F224*Accounts!I202)</f>
        <v/>
      </c>
      <c r="H224" s="213">
        <f>iferror(G224*360,"")</f>
        <v/>
      </c>
      <c r="I224" s="213">
        <f>H224*0.1</f>
        <v/>
      </c>
    </row>
    <row r="225" ht="54.75" customHeight="1" s="222">
      <c r="A225" s="210">
        <f>Accounts!A206</f>
        <v/>
      </c>
      <c r="B225" s="141">
        <f>Accounts!J206</f>
        <v/>
      </c>
      <c r="C225" s="211" t="n">
        <v>0.6</v>
      </c>
      <c r="D225" s="212">
        <f>Accounts!J203*C225</f>
        <v/>
      </c>
      <c r="E225" s="211" t="n">
        <v>0.4</v>
      </c>
      <c r="F225" s="212">
        <f>D225*E225</f>
        <v/>
      </c>
      <c r="G225" s="213">
        <f>if(or(eq(Accounts!I203,"No Valet"),eq(Accounts!I203,"Has Valet")), F225 * AVERAGE(Accounts!I$2:I$34),F225*Accounts!I203)</f>
        <v/>
      </c>
      <c r="H225" s="213">
        <f>iferror(G225*360,"")</f>
        <v/>
      </c>
      <c r="I225" s="213">
        <f>H225*0.1</f>
        <v/>
      </c>
    </row>
    <row r="226" ht="54.75" customHeight="1" s="222">
      <c r="A226" s="210">
        <f>Accounts!A207</f>
        <v/>
      </c>
      <c r="B226" s="141">
        <f>Accounts!J207</f>
        <v/>
      </c>
      <c r="C226" s="211" t="n">
        <v>0.6</v>
      </c>
      <c r="D226" s="212">
        <f>Accounts!J204*C226</f>
        <v/>
      </c>
      <c r="E226" s="211" t="n">
        <v>0.4</v>
      </c>
      <c r="F226" s="212">
        <f>D226*E226</f>
        <v/>
      </c>
      <c r="G226" s="213">
        <f>if(or(eq(Accounts!I204,"No Valet"),eq(Accounts!I204,"Has Valet")), F226 * AVERAGE(Accounts!I$2:I$34),F226*Accounts!I204)</f>
        <v/>
      </c>
      <c r="H226" s="213">
        <f>iferror(G226*360,"")</f>
        <v/>
      </c>
      <c r="I226" s="213">
        <f>H226*0.1</f>
        <v/>
      </c>
    </row>
    <row r="227" ht="54.75" customHeight="1" s="222">
      <c r="A227" s="210">
        <f>Accounts!A208</f>
        <v/>
      </c>
      <c r="B227" s="141">
        <f>Accounts!J208</f>
        <v/>
      </c>
      <c r="C227" s="211" t="n">
        <v>0.6</v>
      </c>
      <c r="D227" s="212">
        <f>Accounts!J205*C227</f>
        <v/>
      </c>
      <c r="E227" s="211" t="n">
        <v>0.4</v>
      </c>
      <c r="F227" s="212">
        <f>D227*E227</f>
        <v/>
      </c>
      <c r="G227" s="213">
        <f>if(or(eq(Accounts!I205,"No Valet"),eq(Accounts!I205,"Has Valet")), F227 * AVERAGE(Accounts!I$2:I$34),F227*Accounts!I205)</f>
        <v/>
      </c>
      <c r="H227" s="213">
        <f>iferror(G227*360,"")</f>
        <v/>
      </c>
      <c r="I227" s="213">
        <f>H227*0.1</f>
        <v/>
      </c>
    </row>
    <row r="228" ht="54.75" customHeight="1" s="222">
      <c r="A228" s="210">
        <f>Accounts!A209</f>
        <v/>
      </c>
      <c r="B228" s="141">
        <f>Accounts!J209</f>
        <v/>
      </c>
      <c r="C228" s="211" t="n">
        <v>0.6</v>
      </c>
      <c r="D228" s="212">
        <f>Accounts!J206*C228</f>
        <v/>
      </c>
      <c r="E228" s="211" t="n">
        <v>0.4</v>
      </c>
      <c r="F228" s="212">
        <f>D228*E228</f>
        <v/>
      </c>
      <c r="G228" s="213">
        <f>if(or(eq(Accounts!I206,"No Valet"),eq(Accounts!I206,"Has Valet")), F228 * AVERAGE(Accounts!I$2:I$34),F228*Accounts!I206)</f>
        <v/>
      </c>
      <c r="H228" s="213">
        <f>iferror(G228*360,"")</f>
        <v/>
      </c>
      <c r="I228" s="213">
        <f>H228*0.1</f>
        <v/>
      </c>
    </row>
    <row r="229" ht="54.75" customHeight="1" s="222">
      <c r="A229" s="210">
        <f>Accounts!A210</f>
        <v/>
      </c>
      <c r="B229" s="141">
        <f>Accounts!J210</f>
        <v/>
      </c>
      <c r="C229" s="211" t="n">
        <v>0.6</v>
      </c>
      <c r="D229" s="212">
        <f>Accounts!J207*C229</f>
        <v/>
      </c>
      <c r="E229" s="211" t="n">
        <v>0.4</v>
      </c>
      <c r="F229" s="212">
        <f>D229*E229</f>
        <v/>
      </c>
      <c r="G229" s="213">
        <f>if(or(eq(Accounts!I207,"No Valet"),eq(Accounts!I207,"Has Valet")), F229 * AVERAGE(Accounts!I$2:I$34),F229*Accounts!I207)</f>
        <v/>
      </c>
      <c r="H229" s="213">
        <f>iferror(G229*360,"")</f>
        <v/>
      </c>
      <c r="I229" s="213">
        <f>H229*0.1</f>
        <v/>
      </c>
    </row>
    <row r="230" ht="54.75" customHeight="1" s="222">
      <c r="A230" s="210">
        <f>Accounts!A211</f>
        <v/>
      </c>
      <c r="B230" s="141">
        <f>Accounts!J211</f>
        <v/>
      </c>
      <c r="C230" s="211" t="n">
        <v>0.6</v>
      </c>
      <c r="D230" s="212">
        <f>Accounts!J208*C230</f>
        <v/>
      </c>
      <c r="E230" s="211" t="n">
        <v>0.4</v>
      </c>
      <c r="F230" s="212">
        <f>D230*E230</f>
        <v/>
      </c>
      <c r="G230" s="213">
        <f>if(or(eq(Accounts!I208,"No Valet"),eq(Accounts!I208,"Has Valet")), F230 * AVERAGE(Accounts!I$2:I$34),F230*Accounts!I208)</f>
        <v/>
      </c>
      <c r="H230" s="213">
        <f>iferror(G230*360,"")</f>
        <v/>
      </c>
      <c r="I230" s="213">
        <f>H230*0.1</f>
        <v/>
      </c>
    </row>
    <row r="231" ht="54.75" customHeight="1" s="222">
      <c r="A231" s="210">
        <f>#REF!</f>
        <v/>
      </c>
      <c r="B231" s="141">
        <f>#REF!</f>
        <v/>
      </c>
      <c r="C231" s="211" t="n">
        <v>0.6</v>
      </c>
      <c r="D231" s="212">
        <f>Accounts!J209*C231</f>
        <v/>
      </c>
      <c r="E231" s="211" t="n">
        <v>0.4</v>
      </c>
      <c r="F231" s="212">
        <f>D231*E231</f>
        <v/>
      </c>
      <c r="G231" s="213">
        <f>if(or(eq(Accounts!I209,"No Valet"),eq(Accounts!I209,"Has Valet")), F231 * AVERAGE(Accounts!I$2:I$34),F231*Accounts!I209)</f>
        <v/>
      </c>
      <c r="H231" s="213">
        <f>iferror(G231*360,"")</f>
        <v/>
      </c>
      <c r="I231" s="213">
        <f>H231*0.1</f>
        <v/>
      </c>
    </row>
    <row r="232" ht="54.75" customHeight="1" s="222">
      <c r="A232" s="210">
        <f>Accounts!A212</f>
        <v/>
      </c>
      <c r="B232" s="141">
        <f>Accounts!J212</f>
        <v/>
      </c>
      <c r="C232" s="211" t="n">
        <v>0.6</v>
      </c>
      <c r="D232" s="212">
        <f>Accounts!J210*C232</f>
        <v/>
      </c>
      <c r="E232" s="211" t="n">
        <v>0.4</v>
      </c>
      <c r="F232" s="212">
        <f>D232*E232</f>
        <v/>
      </c>
      <c r="G232" s="213">
        <f>if(or(eq(Accounts!I210,"No Valet"),eq(Accounts!I210,"Has Valet")), F232 * AVERAGE(Accounts!I$2:I$34),F232*Accounts!I210)</f>
        <v/>
      </c>
      <c r="H232" s="213">
        <f>iferror(G232*360,"")</f>
        <v/>
      </c>
      <c r="I232" s="213">
        <f>H232*0.1</f>
        <v/>
      </c>
    </row>
    <row r="233" ht="54.75" customHeight="1" s="222">
      <c r="A233" s="210">
        <f>Accounts!A213</f>
        <v/>
      </c>
      <c r="B233" s="141">
        <f>Accounts!J213</f>
        <v/>
      </c>
      <c r="C233" s="211" t="n">
        <v>0.6</v>
      </c>
      <c r="D233" s="212">
        <f>Accounts!J211*C233</f>
        <v/>
      </c>
      <c r="E233" s="211" t="n">
        <v>0.4</v>
      </c>
      <c r="F233" s="212">
        <f>D233*E233</f>
        <v/>
      </c>
      <c r="G233" s="213">
        <f>if(or(eq(Accounts!I211,"No Valet"),eq(Accounts!I211,"Has Valet")), F233 * AVERAGE(Accounts!I$2:I$34),F233*Accounts!I211)</f>
        <v/>
      </c>
      <c r="H233" s="213">
        <f>iferror(G233*360,"")</f>
        <v/>
      </c>
      <c r="I233" s="213">
        <f>H233*0.1</f>
        <v/>
      </c>
    </row>
    <row r="234" ht="54.75" customHeight="1" s="222">
      <c r="A234" s="210">
        <f>Accounts!A214</f>
        <v/>
      </c>
      <c r="B234" s="141">
        <f>Accounts!J214</f>
        <v/>
      </c>
      <c r="C234" s="211" t="n">
        <v>0.6</v>
      </c>
      <c r="D234" s="212">
        <f>#REF!*C234</f>
        <v/>
      </c>
      <c r="E234" s="211" t="n">
        <v>0.4</v>
      </c>
      <c r="F234" s="212">
        <f>D234*E234</f>
        <v/>
      </c>
      <c r="G234" s="213">
        <f>if(or(eq(#REF!,"No Valet"),eq(#REF!,"Has Valet")), F234 * AVERAGE(Accounts!I$2:I$34),F234*#REF!)</f>
        <v/>
      </c>
      <c r="H234" s="213">
        <f>iferror(G234*360,"")</f>
        <v/>
      </c>
      <c r="I234" s="213">
        <f>H234*0.1</f>
        <v/>
      </c>
    </row>
    <row r="235" ht="54.75" customHeight="1" s="222">
      <c r="A235" s="210">
        <f>Accounts!A215</f>
        <v/>
      </c>
      <c r="B235" s="141">
        <f>Accounts!J215</f>
        <v/>
      </c>
      <c r="C235" s="211" t="n">
        <v>0.6</v>
      </c>
      <c r="D235" s="212">
        <f>Accounts!J212*C235</f>
        <v/>
      </c>
      <c r="E235" s="211" t="n">
        <v>0.4</v>
      </c>
      <c r="F235" s="212">
        <f>D235*E235</f>
        <v/>
      </c>
      <c r="G235" s="213">
        <f>if(or(eq(Accounts!I212,"No Valet"),eq(Accounts!I212,"Has Valet")), F235 * AVERAGE(Accounts!I$2:I$34),F235*Accounts!I212)</f>
        <v/>
      </c>
      <c r="H235" s="213">
        <f>iferror(G235*360,"")</f>
        <v/>
      </c>
      <c r="I235" s="213">
        <f>H235*0.1</f>
        <v/>
      </c>
    </row>
    <row r="236" ht="54.75" customHeight="1" s="222">
      <c r="A236" s="210">
        <f>Accounts!A216</f>
        <v/>
      </c>
      <c r="B236" s="141">
        <f>Accounts!J216</f>
        <v/>
      </c>
      <c r="C236" s="211" t="n">
        <v>0.6</v>
      </c>
      <c r="D236" s="212">
        <f>Accounts!J213*C236</f>
        <v/>
      </c>
      <c r="E236" s="211" t="n">
        <v>0.4</v>
      </c>
      <c r="F236" s="212">
        <f>D236*E236</f>
        <v/>
      </c>
      <c r="G236" s="213">
        <f>if(or(eq(Accounts!I213,"No Valet"),eq(Accounts!I213,"Has Valet")), F236 * AVERAGE(Accounts!I$2:I$34),F236*Accounts!I213)</f>
        <v/>
      </c>
      <c r="H236" s="213">
        <f>iferror(G236*360,"")</f>
        <v/>
      </c>
      <c r="I236" s="213">
        <f>H236*0.1</f>
        <v/>
      </c>
    </row>
    <row r="237" ht="54.75" customHeight="1" s="222">
      <c r="A237" s="210">
        <f>Accounts!A217</f>
        <v/>
      </c>
      <c r="B237" s="141">
        <f>Accounts!J217</f>
        <v/>
      </c>
      <c r="C237" s="211" t="n">
        <v>0.6</v>
      </c>
      <c r="D237" s="212">
        <f>Accounts!J214*C237</f>
        <v/>
      </c>
      <c r="E237" s="211" t="n">
        <v>0.4</v>
      </c>
      <c r="F237" s="212">
        <f>D237*E237</f>
        <v/>
      </c>
      <c r="G237" s="213">
        <f>if(or(eq(Accounts!I214,"No Valet"),eq(Accounts!I214,"Has Valet")), F237 * AVERAGE(Accounts!I$2:I$34),F237*Accounts!I214)</f>
        <v/>
      </c>
      <c r="H237" s="213">
        <f>iferror(G237*360,"")</f>
        <v/>
      </c>
      <c r="I237" s="213">
        <f>H237*0.1</f>
        <v/>
      </c>
    </row>
    <row r="238" ht="54.75" customHeight="1" s="222">
      <c r="A238" s="210">
        <f>Accounts!A218</f>
        <v/>
      </c>
      <c r="B238" s="141">
        <f>Accounts!J218</f>
        <v/>
      </c>
      <c r="C238" s="211" t="n">
        <v>0.6</v>
      </c>
      <c r="D238" s="212">
        <f>Accounts!J215*C238</f>
        <v/>
      </c>
      <c r="E238" s="211" t="n">
        <v>0.4</v>
      </c>
      <c r="F238" s="212">
        <f>D238*E238</f>
        <v/>
      </c>
      <c r="G238" s="213">
        <f>if(or(eq(Accounts!I215,"No Valet"),eq(Accounts!I215,"Has Valet")), F238 * AVERAGE(Accounts!I$2:I$34),F238*Accounts!I215)</f>
        <v/>
      </c>
      <c r="H238" s="213">
        <f>iferror(G238*360,"")</f>
        <v/>
      </c>
      <c r="I238" s="213">
        <f>H238*0.1</f>
        <v/>
      </c>
    </row>
    <row r="239" ht="54.75" customHeight="1" s="222">
      <c r="A239" s="210">
        <f>#REF!</f>
        <v/>
      </c>
      <c r="B239" s="141">
        <f>#REF!</f>
        <v/>
      </c>
      <c r="C239" s="211" t="n">
        <v>0.6</v>
      </c>
      <c r="D239" s="212">
        <f>Accounts!J216*C239</f>
        <v/>
      </c>
      <c r="E239" s="211" t="n">
        <v>0.4</v>
      </c>
      <c r="F239" s="212">
        <f>D239*E239</f>
        <v/>
      </c>
      <c r="G239" s="213">
        <f>if(or(eq(Accounts!I216,"No Valet"),eq(Accounts!I216,"Has Valet")), F239 * AVERAGE(Accounts!I$2:I$34),F239*Accounts!I216)</f>
        <v/>
      </c>
      <c r="H239" s="213">
        <f>iferror(G239*360,"")</f>
        <v/>
      </c>
      <c r="I239" s="213">
        <f>H239*0.1</f>
        <v/>
      </c>
    </row>
    <row r="240" ht="54.75" customHeight="1" s="222">
      <c r="A240" s="210">
        <f>Accounts!A219</f>
        <v/>
      </c>
      <c r="B240" s="141">
        <f>Accounts!J219</f>
        <v/>
      </c>
      <c r="C240" s="211" t="n">
        <v>0.6</v>
      </c>
      <c r="D240" s="212">
        <f>Accounts!J217*C240</f>
        <v/>
      </c>
      <c r="E240" s="211" t="n">
        <v>0.4</v>
      </c>
      <c r="F240" s="212">
        <f>D240*E240</f>
        <v/>
      </c>
      <c r="G240" s="213">
        <f>if(or(eq(Accounts!I217,"No Valet"),eq(Accounts!I217,"Has Valet")), F240 * AVERAGE(Accounts!I$2:I$34),F240*Accounts!I217)</f>
        <v/>
      </c>
      <c r="H240" s="213">
        <f>iferror(G240*360,"")</f>
        <v/>
      </c>
      <c r="I240" s="213">
        <f>H240*0.1</f>
        <v/>
      </c>
    </row>
    <row r="241" ht="54.75" customHeight="1" s="222">
      <c r="A241" s="210">
        <f>Accounts!A220</f>
        <v/>
      </c>
      <c r="B241" s="141">
        <f>Accounts!J220</f>
        <v/>
      </c>
      <c r="C241" s="211" t="n">
        <v>0.6</v>
      </c>
      <c r="D241" s="212">
        <f>Accounts!J218*C241</f>
        <v/>
      </c>
      <c r="E241" s="211" t="n">
        <v>0.4</v>
      </c>
      <c r="F241" s="212">
        <f>D241*E241</f>
        <v/>
      </c>
      <c r="G241" s="213">
        <f>if(or(eq(Accounts!I218,"No Valet"),eq(Accounts!I218,"Has Valet")), F241 * AVERAGE(Accounts!I$2:I$34),F241*Accounts!I218)</f>
        <v/>
      </c>
      <c r="H241" s="213">
        <f>iferror(G241*360,"")</f>
        <v/>
      </c>
      <c r="I241" s="213">
        <f>H241*0.1</f>
        <v/>
      </c>
    </row>
    <row r="242" ht="54.75" customHeight="1" s="222">
      <c r="A242" s="210">
        <f>Accounts!A221</f>
        <v/>
      </c>
      <c r="B242" s="141">
        <f>Accounts!J221</f>
        <v/>
      </c>
      <c r="C242" s="211" t="n">
        <v>0.6</v>
      </c>
      <c r="D242" s="212">
        <f>#REF!*C242</f>
        <v/>
      </c>
      <c r="E242" s="211" t="n">
        <v>0.4</v>
      </c>
      <c r="F242" s="212">
        <f>D242*E242</f>
        <v/>
      </c>
      <c r="G242" s="213">
        <f>if(or(eq(#REF!,"No Valet"),eq(#REF!,"Has Valet")), F242 * AVERAGE(Accounts!I$2:I$34),F242*#REF!)</f>
        <v/>
      </c>
      <c r="H242" s="213">
        <f>iferror(G242*360,"")</f>
        <v/>
      </c>
      <c r="I242" s="213">
        <f>H242*0.1</f>
        <v/>
      </c>
    </row>
    <row r="243" ht="54.75" customHeight="1" s="222">
      <c r="A243" s="210">
        <f>Accounts!A222</f>
        <v/>
      </c>
      <c r="B243" s="141">
        <f>Accounts!J222</f>
        <v/>
      </c>
      <c r="C243" s="211" t="n">
        <v>0.6</v>
      </c>
      <c r="D243" s="212">
        <f>Accounts!J219*C243</f>
        <v/>
      </c>
      <c r="E243" s="211" t="n">
        <v>0.4</v>
      </c>
      <c r="F243" s="212">
        <f>D243*E243</f>
        <v/>
      </c>
      <c r="G243" s="213">
        <f>if(or(eq(Accounts!I219,"No Valet"),eq(Accounts!I219,"Has Valet")), F243 * AVERAGE(Accounts!I$2:I$34),F243*Accounts!I219)</f>
        <v/>
      </c>
      <c r="H243" s="213">
        <f>iferror(G243*360,"")</f>
        <v/>
      </c>
      <c r="I243" s="213">
        <f>H243*0.1</f>
        <v/>
      </c>
    </row>
    <row r="244" ht="54.75" customHeight="1" s="222">
      <c r="A244" s="210">
        <f>Accounts!A223</f>
        <v/>
      </c>
      <c r="B244" s="141">
        <f>Accounts!J223</f>
        <v/>
      </c>
      <c r="C244" s="211" t="n">
        <v>0.6</v>
      </c>
      <c r="D244" s="212">
        <f>Accounts!J220*C244</f>
        <v/>
      </c>
      <c r="E244" s="211" t="n">
        <v>0.4</v>
      </c>
      <c r="F244" s="212">
        <f>D244*E244</f>
        <v/>
      </c>
      <c r="G244" s="213">
        <f>if(or(eq(Accounts!I220,"No Valet"),eq(Accounts!I220,"Has Valet")), F244 * AVERAGE(Accounts!I$2:I$34),F244*Accounts!I220)</f>
        <v/>
      </c>
      <c r="H244" s="213">
        <f>iferror(G244*360,"")</f>
        <v/>
      </c>
      <c r="I244" s="213">
        <f>H244*0.1</f>
        <v/>
      </c>
    </row>
    <row r="245" ht="54.75" customHeight="1" s="222">
      <c r="A245" s="210">
        <f>Accounts!A224</f>
        <v/>
      </c>
      <c r="B245" s="141">
        <f>Accounts!J224</f>
        <v/>
      </c>
      <c r="C245" s="211" t="n">
        <v>0.6</v>
      </c>
      <c r="D245" s="212">
        <f>Accounts!J221*C245</f>
        <v/>
      </c>
      <c r="E245" s="211" t="n">
        <v>0.4</v>
      </c>
      <c r="F245" s="212">
        <f>D245*E245</f>
        <v/>
      </c>
      <c r="G245" s="213">
        <f>if(or(eq(Accounts!I221,"No Valet"),eq(Accounts!I221,"Has Valet")), F245 * AVERAGE(Accounts!I$2:I$34),F245*Accounts!I221)</f>
        <v/>
      </c>
      <c r="H245" s="213">
        <f>iferror(G245*360,"")</f>
        <v/>
      </c>
      <c r="I245" s="213">
        <f>H245*0.1</f>
        <v/>
      </c>
    </row>
    <row r="246" ht="54.75" customHeight="1" s="222">
      <c r="A246" s="210">
        <f>Accounts!A225</f>
        <v/>
      </c>
      <c r="B246" s="141">
        <f>Accounts!J225</f>
        <v/>
      </c>
      <c r="C246" s="211" t="n">
        <v>0.6</v>
      </c>
      <c r="D246" s="212">
        <f>Accounts!J222*C246</f>
        <v/>
      </c>
      <c r="E246" s="211" t="n">
        <v>0.4</v>
      </c>
      <c r="F246" s="212">
        <f>D246*E246</f>
        <v/>
      </c>
      <c r="G246" s="213">
        <f>if(or(eq(Accounts!I222,"No Valet"),eq(Accounts!I222,"Has Valet")), F246 * AVERAGE(Accounts!I$2:I$34),F246*Accounts!I222)</f>
        <v/>
      </c>
      <c r="H246" s="213">
        <f>iferror(G246*360,"")</f>
        <v/>
      </c>
      <c r="I246" s="213">
        <f>H246*0.1</f>
        <v/>
      </c>
    </row>
    <row r="247" ht="54.75" customHeight="1" s="222">
      <c r="A247" s="210">
        <f>Accounts!A226</f>
        <v/>
      </c>
      <c r="B247" s="141">
        <f>Accounts!J226</f>
        <v/>
      </c>
      <c r="C247" s="211" t="n">
        <v>0.6</v>
      </c>
      <c r="D247" s="212">
        <f>Accounts!J223*C247</f>
        <v/>
      </c>
      <c r="E247" s="211" t="n">
        <v>0.4</v>
      </c>
      <c r="F247" s="212">
        <f>D247*E247</f>
        <v/>
      </c>
      <c r="G247" s="213">
        <f>if(or(eq(Accounts!I223,"No Valet"),eq(Accounts!I223,"Has Valet")), F247 * AVERAGE(Accounts!I$2:I$34),F247*Accounts!I223)</f>
        <v/>
      </c>
      <c r="H247" s="213">
        <f>iferror(G247*360,"")</f>
        <v/>
      </c>
      <c r="I247" s="213">
        <f>H247*0.1</f>
        <v/>
      </c>
    </row>
    <row r="248" ht="54.75" customHeight="1" s="222">
      <c r="A248" s="210">
        <f>Accounts!A227</f>
        <v/>
      </c>
      <c r="B248" s="141">
        <f>Accounts!J227</f>
        <v/>
      </c>
      <c r="C248" s="211" t="n">
        <v>0.6</v>
      </c>
      <c r="D248" s="212">
        <f>Accounts!J224*C248</f>
        <v/>
      </c>
      <c r="E248" s="211" t="n">
        <v>0.4</v>
      </c>
      <c r="F248" s="212">
        <f>D248*E248</f>
        <v/>
      </c>
      <c r="G248" s="213">
        <f>if(or(eq(Accounts!I224,"No Valet"),eq(Accounts!I224,"Has Valet")), F248 * AVERAGE(Accounts!I$2:I$34),F248*Accounts!I224)</f>
        <v/>
      </c>
      <c r="H248" s="213">
        <f>iferror(G248*360,"")</f>
        <v/>
      </c>
      <c r="I248" s="213">
        <f>H248*0.1</f>
        <v/>
      </c>
    </row>
    <row r="249" ht="54.75" customHeight="1" s="222">
      <c r="A249" s="210">
        <f>Accounts!A228</f>
        <v/>
      </c>
      <c r="B249" s="141">
        <f>Accounts!J228</f>
        <v/>
      </c>
      <c r="C249" s="211" t="n">
        <v>0.6</v>
      </c>
      <c r="D249" s="212">
        <f>Accounts!J225*C249</f>
        <v/>
      </c>
      <c r="E249" s="211" t="n">
        <v>0.4</v>
      </c>
      <c r="F249" s="212">
        <f>D249*E249</f>
        <v/>
      </c>
      <c r="G249" s="213">
        <f>if(or(eq(Accounts!I225,"No Valet"),eq(Accounts!I225,"Has Valet")), F249 * AVERAGE(Accounts!I$2:I$34),F249*Accounts!I225)</f>
        <v/>
      </c>
      <c r="H249" s="213">
        <f>iferror(G249*360,"")</f>
        <v/>
      </c>
      <c r="I249" s="213">
        <f>H249*0.1</f>
        <v/>
      </c>
    </row>
    <row r="250" ht="54.75" customHeight="1" s="222">
      <c r="A250" s="210">
        <f>Accounts!A229</f>
        <v/>
      </c>
      <c r="B250" s="141">
        <f>Accounts!J229</f>
        <v/>
      </c>
      <c r="C250" s="211" t="n">
        <v>0.6</v>
      </c>
      <c r="D250" s="212">
        <f>Accounts!J226*C250</f>
        <v/>
      </c>
      <c r="E250" s="211" t="n">
        <v>0.4</v>
      </c>
      <c r="F250" s="212">
        <f>D250*E250</f>
        <v/>
      </c>
      <c r="G250" s="213">
        <f>if(or(eq(Accounts!I226,"No Valet"),eq(Accounts!I226,"Has Valet")), F250 * AVERAGE(Accounts!I$2:I$34),F250*Accounts!I226)</f>
        <v/>
      </c>
      <c r="H250" s="213">
        <f>iferror(G250*360,"")</f>
        <v/>
      </c>
      <c r="I250" s="213">
        <f>H250*0.1</f>
        <v/>
      </c>
    </row>
    <row r="251" ht="54.75" customHeight="1" s="222">
      <c r="A251" s="210">
        <f>Accounts!A230</f>
        <v/>
      </c>
      <c r="B251" s="141">
        <f>Accounts!J230</f>
        <v/>
      </c>
      <c r="C251" s="211" t="n">
        <v>0.6</v>
      </c>
      <c r="D251" s="212">
        <f>Accounts!J227*C251</f>
        <v/>
      </c>
      <c r="E251" s="211" t="n">
        <v>0.4</v>
      </c>
      <c r="F251" s="212">
        <f>D251*E251</f>
        <v/>
      </c>
      <c r="G251" s="213">
        <f>if(or(eq(Accounts!I227,"No Valet"),eq(Accounts!I227,"Has Valet")), F251 * AVERAGE(Accounts!I$2:I$34),F251*Accounts!I227)</f>
        <v/>
      </c>
      <c r="H251" s="213">
        <f>iferror(G251*360,"")</f>
        <v/>
      </c>
      <c r="I251" s="213">
        <f>H251*0.1</f>
        <v/>
      </c>
    </row>
    <row r="252" ht="54.75" customHeight="1" s="222">
      <c r="A252" s="210">
        <f>Accounts!A231</f>
        <v/>
      </c>
      <c r="B252" s="141">
        <f>Accounts!J231</f>
        <v/>
      </c>
      <c r="C252" s="211" t="n">
        <v>0.6</v>
      </c>
      <c r="D252" s="212">
        <f>Accounts!J228*C252</f>
        <v/>
      </c>
      <c r="E252" s="211" t="n">
        <v>0.4</v>
      </c>
      <c r="F252" s="212">
        <f>D252*E252</f>
        <v/>
      </c>
      <c r="G252" s="213">
        <f>if(or(eq(Accounts!I228,"No Valet"),eq(Accounts!I228,"Has Valet")), F252 * AVERAGE(Accounts!I$2:I$34),F252*Accounts!I228)</f>
        <v/>
      </c>
      <c r="H252" s="213">
        <f>iferror(G252*360,"")</f>
        <v/>
      </c>
      <c r="I252" s="213">
        <f>H252*0.1</f>
        <v/>
      </c>
    </row>
    <row r="253" ht="54.75" customHeight="1" s="222">
      <c r="A253" s="210">
        <f>Accounts!A232</f>
        <v/>
      </c>
      <c r="B253" s="141">
        <f>Accounts!J232</f>
        <v/>
      </c>
      <c r="C253" s="211" t="n">
        <v>0.6</v>
      </c>
      <c r="D253" s="212">
        <f>Accounts!J229*C253</f>
        <v/>
      </c>
      <c r="E253" s="211" t="n">
        <v>0.4</v>
      </c>
      <c r="F253" s="212">
        <f>D253*E253</f>
        <v/>
      </c>
      <c r="G253" s="213">
        <f>if(or(eq(Accounts!I229,"No Valet"),eq(Accounts!I229,"Has Valet")), F253 * AVERAGE(Accounts!I$2:I$34),F253*Accounts!I229)</f>
        <v/>
      </c>
      <c r="H253" s="213">
        <f>iferror(G253*360,"")</f>
        <v/>
      </c>
      <c r="I253" s="213">
        <f>H253*0.1</f>
        <v/>
      </c>
    </row>
    <row r="254" ht="54.75" customHeight="1" s="222">
      <c r="A254" s="210">
        <f>#REF!</f>
        <v/>
      </c>
      <c r="B254" s="141">
        <f>#REF!</f>
        <v/>
      </c>
      <c r="C254" s="211" t="n">
        <v>0.6</v>
      </c>
      <c r="D254" s="212">
        <f>Accounts!J230*C254</f>
        <v/>
      </c>
      <c r="E254" s="211" t="n">
        <v>0.4</v>
      </c>
      <c r="F254" s="212">
        <f>D254*E254</f>
        <v/>
      </c>
      <c r="G254" s="213">
        <f>if(or(eq(Accounts!I230,"No Valet"),eq(Accounts!I230,"Has Valet")), F254 * AVERAGE(Accounts!I$2:I$34),F254*Accounts!I230)</f>
        <v/>
      </c>
      <c r="H254" s="213">
        <f>iferror(G254*360,"")</f>
        <v/>
      </c>
      <c r="I254" s="213">
        <f>H254*0.1</f>
        <v/>
      </c>
    </row>
    <row r="255" ht="54.75" customHeight="1" s="222">
      <c r="A255" s="210">
        <f>Accounts!A233</f>
        <v/>
      </c>
      <c r="B255" s="141">
        <f>Accounts!J233</f>
        <v/>
      </c>
      <c r="C255" s="211" t="n">
        <v>0.6</v>
      </c>
      <c r="D255" s="212">
        <f>Accounts!J231*C255</f>
        <v/>
      </c>
      <c r="E255" s="211" t="n">
        <v>0.4</v>
      </c>
      <c r="F255" s="212">
        <f>D255*E255</f>
        <v/>
      </c>
      <c r="G255" s="213">
        <f>if(or(eq(Accounts!I231,"No Valet"),eq(Accounts!I231,"Has Valet")), F255 * AVERAGE(Accounts!I$2:I$34),F255*Accounts!I231)</f>
        <v/>
      </c>
      <c r="H255" s="213">
        <f>iferror(G255*360,"")</f>
        <v/>
      </c>
      <c r="I255" s="213">
        <f>H255*0.1</f>
        <v/>
      </c>
    </row>
    <row r="256" ht="54.75" customHeight="1" s="222">
      <c r="A256" s="210">
        <f>Accounts!A234</f>
        <v/>
      </c>
      <c r="B256" s="141">
        <f>Accounts!J234</f>
        <v/>
      </c>
      <c r="C256" s="211" t="n">
        <v>0.6</v>
      </c>
      <c r="D256" s="212">
        <f>Accounts!J232*C256</f>
        <v/>
      </c>
      <c r="E256" s="211" t="n">
        <v>0.4</v>
      </c>
      <c r="F256" s="212">
        <f>D256*E256</f>
        <v/>
      </c>
      <c r="G256" s="213">
        <f>if(or(eq(Accounts!I232,"No Valet"),eq(Accounts!I232,"Has Valet")), F256 * AVERAGE(Accounts!I$2:I$34),F256*Accounts!I232)</f>
        <v/>
      </c>
      <c r="H256" s="213">
        <f>iferror(G256*360,"")</f>
        <v/>
      </c>
      <c r="I256" s="213">
        <f>H256*0.1</f>
        <v/>
      </c>
    </row>
    <row r="257" ht="54.75" customHeight="1" s="222">
      <c r="A257" s="210">
        <f>Accounts!A235</f>
        <v/>
      </c>
      <c r="B257" s="141">
        <f>Accounts!J235</f>
        <v/>
      </c>
      <c r="C257" s="211" t="n">
        <v>0.6</v>
      </c>
      <c r="D257" s="212">
        <f>#REF!*C257</f>
        <v/>
      </c>
      <c r="E257" s="211" t="n">
        <v>0.4</v>
      </c>
      <c r="F257" s="212">
        <f>D257*E257</f>
        <v/>
      </c>
      <c r="G257" s="213">
        <f>if(or(eq(#REF!,"No Valet"),eq(#REF!,"Has Valet")), F257 * AVERAGE(Accounts!I$2:I$34),F257*#REF!)</f>
        <v/>
      </c>
      <c r="H257" s="213">
        <f>iferror(G257*360,"")</f>
        <v/>
      </c>
      <c r="I257" s="213">
        <f>H257*0.1</f>
        <v/>
      </c>
    </row>
    <row r="258" ht="54.75" customHeight="1" s="222">
      <c r="A258" s="210">
        <f>Accounts!A236</f>
        <v/>
      </c>
      <c r="B258" s="141">
        <f>Accounts!J236</f>
        <v/>
      </c>
      <c r="C258" s="211" t="n">
        <v>0.6</v>
      </c>
      <c r="D258" s="212">
        <f>Accounts!J233*C258</f>
        <v/>
      </c>
      <c r="E258" s="211" t="n">
        <v>0.4</v>
      </c>
      <c r="F258" s="212">
        <f>D258*E258</f>
        <v/>
      </c>
      <c r="G258" s="213">
        <f>if(or(eq(Accounts!I233,"No Valet"),eq(Accounts!I233,"Has Valet")), F258 * AVERAGE(Accounts!I$2:I$34),F258*Accounts!I233)</f>
        <v/>
      </c>
      <c r="H258" s="213">
        <f>iferror(G258*360,"")</f>
        <v/>
      </c>
      <c r="I258" s="213">
        <f>H258*0.1</f>
        <v/>
      </c>
    </row>
    <row r="259" ht="54.75" customHeight="1" s="222">
      <c r="A259" s="210">
        <f>Accounts!A237</f>
        <v/>
      </c>
      <c r="B259" s="141">
        <f>Accounts!J237</f>
        <v/>
      </c>
      <c r="C259" s="211" t="n">
        <v>0.6</v>
      </c>
      <c r="D259" s="212">
        <f>Accounts!J234*C259</f>
        <v/>
      </c>
      <c r="E259" s="211" t="n">
        <v>0.4</v>
      </c>
      <c r="F259" s="212">
        <f>D259*E259</f>
        <v/>
      </c>
      <c r="G259" s="213">
        <f>if(or(eq(Accounts!I234,"No Valet"),eq(Accounts!I234,"Has Valet")), F259 * AVERAGE(Accounts!I$2:I$34),F259*Accounts!I234)</f>
        <v/>
      </c>
      <c r="H259" s="213">
        <f>iferror(G259*360,"")</f>
        <v/>
      </c>
      <c r="I259" s="213">
        <f>H259*0.1</f>
        <v/>
      </c>
    </row>
    <row r="260" ht="54.75" customHeight="1" s="222">
      <c r="A260" s="210">
        <f>Accounts!A238</f>
        <v/>
      </c>
      <c r="B260" s="141">
        <f>Accounts!J238</f>
        <v/>
      </c>
      <c r="C260" s="211" t="n">
        <v>0.6</v>
      </c>
      <c r="D260" s="212">
        <f>Accounts!J235*C260</f>
        <v/>
      </c>
      <c r="E260" s="211" t="n">
        <v>0.4</v>
      </c>
      <c r="F260" s="212">
        <f>D260*E260</f>
        <v/>
      </c>
      <c r="G260" s="213">
        <f>if(or(eq(Accounts!I235,"No Valet"),eq(Accounts!I235,"Has Valet")), F260 * AVERAGE(Accounts!I$2:I$34),F260*Accounts!I235)</f>
        <v/>
      </c>
      <c r="H260" s="213">
        <f>iferror(G260*360,"")</f>
        <v/>
      </c>
      <c r="I260" s="213">
        <f>H260*0.1</f>
        <v/>
      </c>
    </row>
    <row r="261" ht="54.75" customHeight="1" s="222">
      <c r="A261" s="210">
        <f>Accounts!A239</f>
        <v/>
      </c>
      <c r="B261" s="141">
        <f>Accounts!J239</f>
        <v/>
      </c>
      <c r="C261" s="211" t="n">
        <v>0.6</v>
      </c>
      <c r="D261" s="212">
        <f>Accounts!J236*C261</f>
        <v/>
      </c>
      <c r="E261" s="211" t="n">
        <v>0.4</v>
      </c>
      <c r="F261" s="212">
        <f>D261*E261</f>
        <v/>
      </c>
      <c r="G261" s="213">
        <f>if(or(eq(Accounts!I236,"No Valet"),eq(Accounts!I236,"Has Valet")), F261 * AVERAGE(Accounts!I$2:I$34),F261*Accounts!I236)</f>
        <v/>
      </c>
      <c r="H261" s="213">
        <f>iferror(G261*360,"")</f>
        <v/>
      </c>
      <c r="I261" s="213">
        <f>H261*0.1</f>
        <v/>
      </c>
    </row>
    <row r="262" ht="54.75" customHeight="1" s="222">
      <c r="A262" s="210">
        <f>Accounts!A240</f>
        <v/>
      </c>
      <c r="B262" s="141">
        <f>Accounts!J240</f>
        <v/>
      </c>
      <c r="C262" s="211" t="n">
        <v>0.6</v>
      </c>
      <c r="D262" s="212">
        <f>Accounts!J237*C262</f>
        <v/>
      </c>
      <c r="E262" s="211" t="n">
        <v>0.4</v>
      </c>
      <c r="F262" s="212">
        <f>D262*E262</f>
        <v/>
      </c>
      <c r="G262" s="213">
        <f>if(or(eq(Accounts!I237,"No Valet"),eq(Accounts!I237,"Has Valet")), F262 * AVERAGE(Accounts!I$2:I$34),F262*Accounts!I237)</f>
        <v/>
      </c>
      <c r="H262" s="213">
        <f>iferror(G262*360,"")</f>
        <v/>
      </c>
      <c r="I262" s="213">
        <f>H262*0.1</f>
        <v/>
      </c>
    </row>
    <row r="263" ht="54.75" customHeight="1" s="222">
      <c r="A263" s="210">
        <f>Accounts!A241</f>
        <v/>
      </c>
      <c r="B263" s="141">
        <f>Accounts!J238</f>
        <v/>
      </c>
      <c r="C263" s="211" t="n">
        <v>0.6</v>
      </c>
      <c r="D263" s="212">
        <f>Accounts!J238*C263</f>
        <v/>
      </c>
      <c r="E263" s="211" t="n">
        <v>0.4</v>
      </c>
      <c r="F263" s="212">
        <f>D263*E263</f>
        <v/>
      </c>
      <c r="G263" s="213">
        <f>if(or(eq(Accounts!I238,"No Valet"),eq(Accounts!I238,"Has Valet")), F263 * AVERAGE(Accounts!I$2:I$34),F263*Accounts!I238)</f>
        <v/>
      </c>
      <c r="H263" s="213">
        <f>iferror(G263*360,"")</f>
        <v/>
      </c>
      <c r="I263" s="213">
        <f>H263*0.1</f>
        <v/>
      </c>
    </row>
    <row r="264" ht="54.75" customHeight="1" s="222">
      <c r="A264" s="210">
        <f>Accounts!A242</f>
        <v/>
      </c>
      <c r="B264" s="141">
        <f>Accounts!J239</f>
        <v/>
      </c>
      <c r="C264" s="211" t="n">
        <v>0.6</v>
      </c>
      <c r="D264" s="212">
        <f>Accounts!J239*C264</f>
        <v/>
      </c>
      <c r="E264" s="211" t="n">
        <v>0.4</v>
      </c>
      <c r="F264" s="212">
        <f>D264*E264</f>
        <v/>
      </c>
      <c r="G264" s="213">
        <f>if(or(eq(Accounts!I239,"No Valet"),eq(Accounts!I239,"Has Valet")), F264 * AVERAGE(Accounts!I$2:I$34),F264*Accounts!I239)</f>
        <v/>
      </c>
      <c r="H264" s="213">
        <f>iferror(G264*360,"")</f>
        <v/>
      </c>
      <c r="I264" s="213">
        <f>H264*0.1</f>
        <v/>
      </c>
    </row>
    <row r="265" ht="54.75" customHeight="1" s="222">
      <c r="A265" s="210">
        <f>Accounts!A243</f>
        <v/>
      </c>
      <c r="B265" s="141">
        <f>Accounts!J240</f>
        <v/>
      </c>
      <c r="C265" s="211" t="n">
        <v>0.6</v>
      </c>
      <c r="D265" s="212">
        <f>Accounts!J240*C265</f>
        <v/>
      </c>
      <c r="E265" s="211" t="n">
        <v>0.4</v>
      </c>
      <c r="F265" s="212">
        <f>D265*E265</f>
        <v/>
      </c>
      <c r="G265" s="213">
        <f>if(or(eq(Accounts!I240,"No Valet"),eq(Accounts!I240,"Has Valet")), F265 * AVERAGE(Accounts!I$2:I$34),F265*Accounts!I240)</f>
        <v/>
      </c>
      <c r="H265" s="213">
        <f>iferror(G265*360,"")</f>
        <v/>
      </c>
      <c r="I265" s="213">
        <f>H265*0.1</f>
        <v/>
      </c>
    </row>
    <row r="266" ht="54.75" customHeight="1" s="222">
      <c r="A266" s="210">
        <f>Accounts!A244</f>
        <v/>
      </c>
      <c r="B266" s="141">
        <f>Accounts!J241</f>
        <v/>
      </c>
      <c r="C266" s="211" t="n">
        <v>0.6</v>
      </c>
      <c r="D266" s="212">
        <f>Accounts!J241*C266</f>
        <v/>
      </c>
      <c r="E266" s="211" t="n">
        <v>0.4</v>
      </c>
      <c r="F266" s="212">
        <f>D266*E266</f>
        <v/>
      </c>
      <c r="G266" s="213">
        <f>if(or(eq(Accounts!I241,"No Valet"),eq(Accounts!I241,"Has Valet")), F266 * AVERAGE(Accounts!I$2:I$34),F266*Accounts!I241)</f>
        <v/>
      </c>
      <c r="H266" s="213">
        <f>iferror(G266*360,"")</f>
        <v/>
      </c>
      <c r="I266" s="213">
        <f>H266*0.1</f>
        <v/>
      </c>
    </row>
    <row r="267" ht="54.75" customHeight="1" s="222">
      <c r="A267" s="210">
        <f>Accounts!A245</f>
        <v/>
      </c>
      <c r="B267" s="141">
        <f>Accounts!J242</f>
        <v/>
      </c>
      <c r="C267" s="211" t="n">
        <v>0.6</v>
      </c>
      <c r="D267" s="212">
        <f>Accounts!J242*C267</f>
        <v/>
      </c>
      <c r="E267" s="211" t="n">
        <v>0.4</v>
      </c>
      <c r="F267" s="212">
        <f>D267*E267</f>
        <v/>
      </c>
      <c r="G267" s="213">
        <f>if(or(eq(Accounts!I242,"No Valet"),eq(Accounts!I242,"Has Valet")), F267 * AVERAGE(Accounts!I$2:I$34),F267*Accounts!I242)</f>
        <v/>
      </c>
      <c r="H267" s="213">
        <f>iferror(G267*360,"")</f>
        <v/>
      </c>
      <c r="I267" s="213">
        <f>H267*0.1</f>
        <v/>
      </c>
    </row>
    <row r="268" ht="54.75" customHeight="1" s="222">
      <c r="A268" s="210">
        <f>Accounts!A246</f>
        <v/>
      </c>
      <c r="B268" s="141">
        <f>Accounts!J243</f>
        <v/>
      </c>
      <c r="C268" s="211" t="n">
        <v>0.6</v>
      </c>
      <c r="D268" s="212">
        <f>Accounts!J243*C268</f>
        <v/>
      </c>
      <c r="E268" s="211" t="n">
        <v>0.4</v>
      </c>
      <c r="F268" s="212">
        <f>D268*E268</f>
        <v/>
      </c>
      <c r="G268" s="213">
        <f>if(or(eq(Accounts!I243,"No Valet"),eq(Accounts!I243,"Has Valet")), F268 * AVERAGE(Accounts!I$2:I$34),F268*Accounts!I243)</f>
        <v/>
      </c>
      <c r="H268" s="213">
        <f>iferror(G268*360,"")</f>
        <v/>
      </c>
      <c r="I268" s="213">
        <f>H268*0.1</f>
        <v/>
      </c>
    </row>
    <row r="269" ht="54.75" customHeight="1" s="222">
      <c r="A269" s="210">
        <f>Accounts!A247</f>
        <v/>
      </c>
      <c r="B269" s="141">
        <f>Accounts!J244</f>
        <v/>
      </c>
      <c r="C269" s="211" t="n">
        <v>0.6</v>
      </c>
      <c r="D269" s="212">
        <f>Accounts!J244*C269</f>
        <v/>
      </c>
      <c r="E269" s="211" t="n">
        <v>0.4</v>
      </c>
      <c r="F269" s="212">
        <f>D269*E269</f>
        <v/>
      </c>
      <c r="G269" s="213">
        <f>if(or(eq(Accounts!I244,"No Valet"),eq(Accounts!I244,"Has Valet")), F269 * AVERAGE(Accounts!I$2:I$34),F269*Accounts!I244)</f>
        <v/>
      </c>
      <c r="H269" s="213">
        <f>iferror(G269*360,"")</f>
        <v/>
      </c>
      <c r="I269" s="213">
        <f>H269*0.1</f>
        <v/>
      </c>
    </row>
    <row r="270" ht="54.75" customHeight="1" s="222">
      <c r="A270" s="210">
        <f>Accounts!A248</f>
        <v/>
      </c>
      <c r="B270" s="141">
        <f>Accounts!J245</f>
        <v/>
      </c>
      <c r="C270" s="211" t="n">
        <v>0.6</v>
      </c>
      <c r="D270" s="212">
        <f>Accounts!J245*C270</f>
        <v/>
      </c>
      <c r="E270" s="211" t="n">
        <v>0.4</v>
      </c>
      <c r="F270" s="212">
        <f>D270*E270</f>
        <v/>
      </c>
      <c r="G270" s="213">
        <f>if(or(eq(Accounts!I245,"No Valet"),eq(Accounts!I245,"Has Valet")), F270 * AVERAGE(Accounts!I$2:I$34),F270*Accounts!I245)</f>
        <v/>
      </c>
      <c r="H270" s="213">
        <f>iferror(G270*360,"")</f>
        <v/>
      </c>
      <c r="I270" s="213">
        <f>H270*0.1</f>
        <v/>
      </c>
    </row>
    <row r="271" ht="54.75" customHeight="1" s="222">
      <c r="A271" s="210">
        <f>Accounts!A249</f>
        <v/>
      </c>
      <c r="B271" s="141">
        <f>Accounts!J246</f>
        <v/>
      </c>
      <c r="C271" s="211" t="n">
        <v>0.6</v>
      </c>
      <c r="D271" s="212">
        <f>Accounts!J246*C271</f>
        <v/>
      </c>
      <c r="E271" s="211" t="n">
        <v>0.4</v>
      </c>
      <c r="F271" s="212">
        <f>D271*E271</f>
        <v/>
      </c>
      <c r="G271" s="213">
        <f>if(or(eq(Accounts!I246,"No Valet"),eq(Accounts!I246,"Has Valet")), F271 * AVERAGE(Accounts!I$2:I$34),F271*Accounts!I246)</f>
        <v/>
      </c>
      <c r="H271" s="213">
        <f>iferror(G271*360,"")</f>
        <v/>
      </c>
      <c r="I271" s="213">
        <f>H271*0.1</f>
        <v/>
      </c>
    </row>
    <row r="272" ht="54.75" customHeight="1" s="222">
      <c r="A272" s="210">
        <f>Accounts!A250</f>
        <v/>
      </c>
      <c r="B272" s="141">
        <f>Accounts!J247</f>
        <v/>
      </c>
      <c r="C272" s="211" t="n">
        <v>0.6</v>
      </c>
      <c r="D272" s="212">
        <f>Accounts!J247*C272</f>
        <v/>
      </c>
      <c r="E272" s="211" t="n">
        <v>0.4</v>
      </c>
      <c r="F272" s="212">
        <f>D272*E272</f>
        <v/>
      </c>
      <c r="G272" s="213">
        <f>if(or(eq(Accounts!I247,"No Valet"),eq(Accounts!I247,"Has Valet")), F272 * AVERAGE(Accounts!I$2:I$34),F272*Accounts!I247)</f>
        <v/>
      </c>
      <c r="H272" s="213">
        <f>iferror(G272*360,"")</f>
        <v/>
      </c>
      <c r="I272" s="213">
        <f>H272*0.1</f>
        <v/>
      </c>
    </row>
    <row r="273" ht="54.75" customHeight="1" s="222">
      <c r="A273" s="210">
        <f>Accounts!A251</f>
        <v/>
      </c>
      <c r="B273" s="141">
        <f>Accounts!J248</f>
        <v/>
      </c>
      <c r="C273" s="211" t="n">
        <v>0.6</v>
      </c>
      <c r="D273" s="212">
        <f>Accounts!J248*C273</f>
        <v/>
      </c>
      <c r="E273" s="211" t="n">
        <v>0.4</v>
      </c>
      <c r="F273" s="212">
        <f>D273*E273</f>
        <v/>
      </c>
      <c r="G273" s="213">
        <f>if(or(eq(Accounts!I248,"No Valet"),eq(Accounts!I248,"Has Valet")), F273 * AVERAGE(Accounts!I$2:I$34),F273*Accounts!I248)</f>
        <v/>
      </c>
      <c r="H273" s="213">
        <f>iferror(G273*360,"")</f>
        <v/>
      </c>
      <c r="I273" s="213">
        <f>H273*0.1</f>
        <v/>
      </c>
    </row>
    <row r="274" ht="54.75" customHeight="1" s="222">
      <c r="A274" s="210">
        <f>Accounts!A252</f>
        <v/>
      </c>
      <c r="B274" s="141">
        <f>Accounts!J249</f>
        <v/>
      </c>
      <c r="C274" s="211" t="n">
        <v>0.6</v>
      </c>
      <c r="D274" s="212">
        <f>Accounts!J249*C274</f>
        <v/>
      </c>
      <c r="E274" s="211" t="n">
        <v>0.4</v>
      </c>
      <c r="F274" s="212">
        <f>D274*E274</f>
        <v/>
      </c>
      <c r="G274" s="213">
        <f>if(or(eq(Accounts!I249,"No Valet"),eq(Accounts!I249,"Has Valet")), F274 * AVERAGE(Accounts!I$2:I$34),F274*Accounts!I249)</f>
        <v/>
      </c>
      <c r="H274" s="213">
        <f>iferror(G274*360,"")</f>
        <v/>
      </c>
      <c r="I274" s="213">
        <f>H274*0.1</f>
        <v/>
      </c>
    </row>
    <row r="275" ht="54.75" customHeight="1" s="222">
      <c r="A275" s="210">
        <f>#REF!</f>
        <v/>
      </c>
      <c r="B275" s="141">
        <f>Accounts!J250</f>
        <v/>
      </c>
      <c r="C275" s="211" t="n">
        <v>0.6</v>
      </c>
      <c r="D275" s="212">
        <f>Accounts!J250*C275</f>
        <v/>
      </c>
      <c r="E275" s="211" t="n">
        <v>0.4</v>
      </c>
      <c r="F275" s="212">
        <f>D275*E275</f>
        <v/>
      </c>
      <c r="G275" s="213">
        <f>if(or(eq(Accounts!I250,"No Valet"),eq(Accounts!I250,"Has Valet")), F275 * AVERAGE(Accounts!I$2:I$34),F275*Accounts!I250)</f>
        <v/>
      </c>
      <c r="H275" s="213">
        <f>iferror(G275*360,"")</f>
        <v/>
      </c>
      <c r="I275" s="213">
        <f>H275*0.1</f>
        <v/>
      </c>
    </row>
    <row r="276" ht="54.75" customHeight="1" s="222">
      <c r="A276" s="210">
        <f>Accounts!A253</f>
        <v/>
      </c>
      <c r="B276" s="141">
        <f>Accounts!J251</f>
        <v/>
      </c>
      <c r="C276" s="211" t="n">
        <v>0.6</v>
      </c>
      <c r="D276" s="212">
        <f>Accounts!J251*C276</f>
        <v/>
      </c>
      <c r="E276" s="211" t="n">
        <v>0.4</v>
      </c>
      <c r="F276" s="212">
        <f>D276*E276</f>
        <v/>
      </c>
      <c r="G276" s="213">
        <f>if(or(eq(Accounts!I251,"No Valet"),eq(Accounts!I251,"Has Valet")), F276 * AVERAGE(Accounts!I$2:I$34),F276*Accounts!I251)</f>
        <v/>
      </c>
      <c r="H276" s="213">
        <f>iferror(G276*360,"")</f>
        <v/>
      </c>
      <c r="I276" s="213">
        <f>H276*0.1</f>
        <v/>
      </c>
    </row>
    <row r="277" ht="54.75" customHeight="1" s="222">
      <c r="A277" s="210">
        <f>Accounts!A254</f>
        <v/>
      </c>
      <c r="B277" s="141">
        <f>Accounts!J252</f>
        <v/>
      </c>
      <c r="C277" s="211" t="n">
        <v>0.6</v>
      </c>
      <c r="D277" s="212">
        <f>Accounts!J252*C277</f>
        <v/>
      </c>
      <c r="E277" s="211" t="n">
        <v>0.4</v>
      </c>
      <c r="F277" s="212">
        <f>D277*E277</f>
        <v/>
      </c>
      <c r="G277" s="213">
        <f>if(or(eq(Accounts!I252,"No Valet"),eq(Accounts!I252,"Has Valet")), F277 * AVERAGE(Accounts!I$2:I$34),F277*Accounts!I252)</f>
        <v/>
      </c>
      <c r="H277" s="213">
        <f>iferror(G277*360,"")</f>
        <v/>
      </c>
      <c r="I277" s="213">
        <f>H277*0.1</f>
        <v/>
      </c>
    </row>
    <row r="278" ht="54.75" customHeight="1" s="222">
      <c r="A278" s="210">
        <f>Accounts!A255</f>
        <v/>
      </c>
      <c r="B278" s="141">
        <f>#REF!</f>
        <v/>
      </c>
      <c r="C278" s="211" t="n">
        <v>0.6</v>
      </c>
      <c r="D278" s="212">
        <f>#REF!*C278</f>
        <v/>
      </c>
      <c r="E278" s="211" t="n">
        <v>0.4</v>
      </c>
      <c r="F278" s="212">
        <f>D278*E278</f>
        <v/>
      </c>
      <c r="G278" s="213">
        <f>if(or(eq(#REF!,"No Valet"),eq(#REF!,"Has Valet")), F278 * AVERAGE(Accounts!I$2:I$34),F278*#REF!)</f>
        <v/>
      </c>
      <c r="H278" s="213">
        <f>iferror(G278*360,"")</f>
        <v/>
      </c>
      <c r="I278" s="213">
        <f>H278*0.1</f>
        <v/>
      </c>
    </row>
    <row r="279" ht="54.75" customHeight="1" s="222">
      <c r="A279" s="210">
        <f>Accounts!A256</f>
        <v/>
      </c>
      <c r="B279" s="141">
        <f>Accounts!J253</f>
        <v/>
      </c>
      <c r="C279" s="211" t="n">
        <v>0.6</v>
      </c>
      <c r="D279" s="212">
        <f>Accounts!J253*C279</f>
        <v/>
      </c>
      <c r="E279" s="211" t="n">
        <v>0.4</v>
      </c>
      <c r="F279" s="212">
        <f>D279*E279</f>
        <v/>
      </c>
      <c r="G279" s="213">
        <f>if(or(eq(Accounts!I253,"No Valet"),eq(Accounts!I253,"Has Valet")), F279 * AVERAGE(Accounts!I$2:I$34),F279*Accounts!I253)</f>
        <v/>
      </c>
      <c r="H279" s="213">
        <f>iferror(G279*360,"")</f>
        <v/>
      </c>
      <c r="I279" s="213">
        <f>H279*0.1</f>
        <v/>
      </c>
    </row>
    <row r="280" ht="54.75" customHeight="1" s="222">
      <c r="A280" s="210">
        <f>Accounts!A257</f>
        <v/>
      </c>
      <c r="B280" s="141">
        <f>Accounts!J254</f>
        <v/>
      </c>
      <c r="C280" s="211" t="n">
        <v>0.6</v>
      </c>
      <c r="D280" s="212">
        <f>Accounts!J254*C280</f>
        <v/>
      </c>
      <c r="E280" s="211" t="n">
        <v>0.4</v>
      </c>
      <c r="F280" s="212">
        <f>D280*E280</f>
        <v/>
      </c>
      <c r="G280" s="213">
        <f>if(or(eq(Accounts!I254,"No Valet"),eq(Accounts!I254,"Has Valet")), F280 * AVERAGE(Accounts!I$2:I$34),F280*Accounts!I254)</f>
        <v/>
      </c>
      <c r="H280" s="213">
        <f>iferror(G280*360,"")</f>
        <v/>
      </c>
      <c r="I280" s="213">
        <f>H280*0.1</f>
        <v/>
      </c>
    </row>
    <row r="281" ht="54.75" customHeight="1" s="222">
      <c r="A281" s="210">
        <f>Accounts!A258</f>
        <v/>
      </c>
      <c r="B281" s="141">
        <f>Accounts!J255</f>
        <v/>
      </c>
      <c r="C281" s="211" t="n">
        <v>0.6</v>
      </c>
      <c r="D281" s="212">
        <f>Accounts!J255*C281</f>
        <v/>
      </c>
      <c r="E281" s="211" t="n">
        <v>0.4</v>
      </c>
      <c r="F281" s="212">
        <f>D281*E281</f>
        <v/>
      </c>
      <c r="G281" s="213">
        <f>if(or(eq(Accounts!I255,"No Valet"),eq(Accounts!I255,"Has Valet")), F281 * AVERAGE(Accounts!I$2:I$34),F281*Accounts!I255)</f>
        <v/>
      </c>
      <c r="H281" s="213">
        <f>iferror(G281*360,"")</f>
        <v/>
      </c>
      <c r="I281" s="213">
        <f>H281*0.1</f>
        <v/>
      </c>
    </row>
    <row r="282" ht="54.75" customHeight="1" s="222">
      <c r="A282" s="210">
        <f>Accounts!A259</f>
        <v/>
      </c>
      <c r="B282" s="141">
        <f>Accounts!J256</f>
        <v/>
      </c>
      <c r="C282" s="211" t="n">
        <v>0.6</v>
      </c>
      <c r="D282" s="212">
        <f>Accounts!J256*C282</f>
        <v/>
      </c>
      <c r="E282" s="211" t="n">
        <v>0.4</v>
      </c>
      <c r="F282" s="212">
        <f>D282*E282</f>
        <v/>
      </c>
      <c r="G282" s="213">
        <f>if(or(eq(Accounts!I256,"No Valet"),eq(Accounts!I256,"Has Valet")), F282 * AVERAGE(Accounts!I$2:I$34),F282*Accounts!I256)</f>
        <v/>
      </c>
      <c r="H282" s="213">
        <f>iferror(G282*360,"")</f>
        <v/>
      </c>
      <c r="I282" s="213">
        <f>H282*0.1</f>
        <v/>
      </c>
    </row>
    <row r="283" ht="54.75" customHeight="1" s="222">
      <c r="A283" s="210">
        <f>Accounts!A260</f>
        <v/>
      </c>
      <c r="B283" s="141">
        <f>Accounts!J257</f>
        <v/>
      </c>
      <c r="C283" s="211" t="n">
        <v>0.6</v>
      </c>
      <c r="D283" s="212">
        <f>Accounts!J257*C283</f>
        <v/>
      </c>
      <c r="E283" s="211" t="n">
        <v>0.4</v>
      </c>
      <c r="F283" s="212">
        <f>D283*E283</f>
        <v/>
      </c>
      <c r="G283" s="213">
        <f>if(or(eq(Accounts!I257,"No Valet"),eq(Accounts!I257,"Has Valet")), F283 * AVERAGE(Accounts!I$2:I$34),F283*Accounts!I257)</f>
        <v/>
      </c>
      <c r="H283" s="213">
        <f>iferror(G283*360,"")</f>
        <v/>
      </c>
      <c r="I283" s="213">
        <f>H283*0.1</f>
        <v/>
      </c>
    </row>
    <row r="284" ht="54.75" customHeight="1" s="222">
      <c r="A284" s="210">
        <f>Accounts!A261</f>
        <v/>
      </c>
      <c r="B284" s="141">
        <f>Accounts!J258</f>
        <v/>
      </c>
      <c r="C284" s="211" t="n">
        <v>0.6</v>
      </c>
      <c r="D284" s="212">
        <f>Accounts!J258*C284</f>
        <v/>
      </c>
      <c r="E284" s="211" t="n">
        <v>0.4</v>
      </c>
      <c r="F284" s="212">
        <f>D284*E284</f>
        <v/>
      </c>
      <c r="G284" s="213">
        <f>if(or(eq(Accounts!I258,"No Valet"),eq(Accounts!I258,"Has Valet")), F284 * AVERAGE(Accounts!I$2:I$34),F284*Accounts!I258)</f>
        <v/>
      </c>
      <c r="H284" s="213">
        <f>iferror(G284*360,"")</f>
        <v/>
      </c>
      <c r="I284" s="213">
        <f>H284*0.1</f>
        <v/>
      </c>
    </row>
    <row r="285" ht="54.75" customHeight="1" s="222">
      <c r="A285" s="210">
        <f>Accounts!A262</f>
        <v/>
      </c>
      <c r="B285" s="141">
        <f>Accounts!J259</f>
        <v/>
      </c>
      <c r="C285" s="211" t="n">
        <v>0.6</v>
      </c>
      <c r="D285" s="212">
        <f>Accounts!J259*C285</f>
        <v/>
      </c>
      <c r="E285" s="211" t="n">
        <v>0.4</v>
      </c>
      <c r="F285" s="212">
        <f>D285*E285</f>
        <v/>
      </c>
      <c r="G285" s="213">
        <f>if(or(eq(Accounts!I259,"No Valet"),eq(Accounts!I259,"Has Valet")), F285 * AVERAGE(Accounts!I$2:I$34),F285*Accounts!I259)</f>
        <v/>
      </c>
      <c r="H285" s="213">
        <f>iferror(G285*360,"")</f>
        <v/>
      </c>
      <c r="I285" s="213">
        <f>H285*0.1</f>
        <v/>
      </c>
    </row>
    <row r="286" ht="54.75" customHeight="1" s="222">
      <c r="A286" s="210">
        <f>Accounts!A263</f>
        <v/>
      </c>
      <c r="B286" s="141">
        <f>Accounts!J260</f>
        <v/>
      </c>
      <c r="C286" s="211" t="n">
        <v>0.6</v>
      </c>
      <c r="D286" s="212">
        <f>Accounts!J260*C286</f>
        <v/>
      </c>
      <c r="E286" s="211" t="n">
        <v>0.4</v>
      </c>
      <c r="F286" s="212">
        <f>D286*E286</f>
        <v/>
      </c>
      <c r="G286" s="213">
        <f>if(or(eq(Accounts!I260,"No Valet"),eq(Accounts!I260,"Has Valet")), F286 * AVERAGE(Accounts!I$2:I$34),F286*Accounts!I260)</f>
        <v/>
      </c>
      <c r="H286" s="213">
        <f>iferror(G286*360,"")</f>
        <v/>
      </c>
      <c r="I286" s="213">
        <f>H286*0.1</f>
        <v/>
      </c>
    </row>
    <row r="287" ht="54.75" customHeight="1" s="222">
      <c r="A287" s="210">
        <f>#REF!</f>
        <v/>
      </c>
      <c r="B287" s="141">
        <f>Accounts!J261</f>
        <v/>
      </c>
      <c r="C287" s="211" t="n">
        <v>0.6</v>
      </c>
      <c r="D287" s="212">
        <f>Accounts!J261*C287</f>
        <v/>
      </c>
      <c r="E287" s="211" t="n">
        <v>0.4</v>
      </c>
      <c r="F287" s="212">
        <f>D287*E287</f>
        <v/>
      </c>
      <c r="G287" s="213">
        <f>if(or(eq(Accounts!I261,"No Valet"),eq(Accounts!I261,"Has Valet")), F287 * AVERAGE(Accounts!I$2:I$34),F287*Accounts!I261)</f>
        <v/>
      </c>
      <c r="H287" s="213">
        <f>iferror(G287*360,"")</f>
        <v/>
      </c>
      <c r="I287" s="213">
        <f>H287*0.1</f>
        <v/>
      </c>
    </row>
    <row r="288" ht="54.75" customHeight="1" s="222">
      <c r="A288" s="210">
        <f>Accounts!A264</f>
        <v/>
      </c>
      <c r="B288" s="141">
        <f>Accounts!J262</f>
        <v/>
      </c>
      <c r="C288" s="211" t="n">
        <v>0.6</v>
      </c>
      <c r="D288" s="212">
        <f>Accounts!J262*C288</f>
        <v/>
      </c>
      <c r="E288" s="211" t="n">
        <v>0.4</v>
      </c>
      <c r="F288" s="212">
        <f>D288*E288</f>
        <v/>
      </c>
      <c r="G288" s="213">
        <f>if(or(eq(Accounts!I262,"No Valet"),eq(Accounts!I262,"Has Valet")), F288 * AVERAGE(Accounts!I$2:I$34),F288*Accounts!I262)</f>
        <v/>
      </c>
      <c r="H288" s="213">
        <f>iferror(G288*360,"")</f>
        <v/>
      </c>
      <c r="I288" s="213">
        <f>H288*0.1</f>
        <v/>
      </c>
    </row>
    <row r="289" ht="54.75" customHeight="1" s="222">
      <c r="A289" s="210">
        <f>Accounts!A265</f>
        <v/>
      </c>
      <c r="B289" s="141">
        <f>Accounts!J263</f>
        <v/>
      </c>
      <c r="C289" s="211" t="n">
        <v>0.6</v>
      </c>
      <c r="D289" s="212">
        <f>Accounts!J263*C289</f>
        <v/>
      </c>
      <c r="E289" s="211" t="n">
        <v>0.4</v>
      </c>
      <c r="F289" s="212">
        <f>D289*E289</f>
        <v/>
      </c>
      <c r="G289" s="213">
        <f>if(or(eq(Accounts!I263,"No Valet"),eq(Accounts!I263,"Has Valet")), F289 * AVERAGE(Accounts!I$2:I$34),F289*Accounts!I263)</f>
        <v/>
      </c>
      <c r="H289" s="213">
        <f>iferror(G289*360,"")</f>
        <v/>
      </c>
      <c r="I289" s="213">
        <f>H289*0.1</f>
        <v/>
      </c>
    </row>
    <row r="290" ht="54.75" customHeight="1" s="222">
      <c r="A290" s="210">
        <f>Accounts!A266</f>
        <v/>
      </c>
      <c r="B290" s="141">
        <f>#REF!</f>
        <v/>
      </c>
      <c r="C290" s="211" t="n">
        <v>0.6</v>
      </c>
      <c r="D290" s="212">
        <f>#REF!*C290</f>
        <v/>
      </c>
      <c r="E290" s="211" t="n">
        <v>0.4</v>
      </c>
      <c r="F290" s="212">
        <f>D290*E290</f>
        <v/>
      </c>
      <c r="G290" s="213">
        <f>if(or(eq(#REF!,"No Valet"),eq(#REF!,"Has Valet")), F290 * AVERAGE(Accounts!I$2:I$34),F290*#REF!)</f>
        <v/>
      </c>
      <c r="H290" s="213">
        <f>iferror(G290*360,"")</f>
        <v/>
      </c>
      <c r="I290" s="213">
        <f>H290*0.1</f>
        <v/>
      </c>
    </row>
    <row r="291" ht="54.75" customHeight="1" s="222">
      <c r="A291" s="210">
        <f>Accounts!A267</f>
        <v/>
      </c>
      <c r="B291" s="141">
        <f>Accounts!J264</f>
        <v/>
      </c>
      <c r="C291" s="211" t="n">
        <v>0.6</v>
      </c>
      <c r="D291" s="212">
        <f>Accounts!J264*C291</f>
        <v/>
      </c>
      <c r="E291" s="211" t="n">
        <v>0.4</v>
      </c>
      <c r="F291" s="212">
        <f>D291*E291</f>
        <v/>
      </c>
      <c r="G291" s="213">
        <f>if(or(eq(Accounts!I264,"No Valet"),eq(Accounts!I264,"Has Valet")), F291 * AVERAGE(Accounts!I$2:I$34),F291*Accounts!I264)</f>
        <v/>
      </c>
      <c r="H291" s="213">
        <f>iferror(G291*360,"")</f>
        <v/>
      </c>
      <c r="I291" s="213">
        <f>H291*0.1</f>
        <v/>
      </c>
    </row>
    <row r="292" ht="54.75" customHeight="1" s="222">
      <c r="A292" s="210">
        <f>Accounts!A268</f>
        <v/>
      </c>
      <c r="B292" s="141">
        <f>Accounts!J265</f>
        <v/>
      </c>
      <c r="C292" s="211" t="n">
        <v>0.6</v>
      </c>
      <c r="D292" s="212">
        <f>Accounts!J265*C292</f>
        <v/>
      </c>
      <c r="E292" s="211" t="n">
        <v>0.4</v>
      </c>
      <c r="F292" s="212">
        <f>D292*E292</f>
        <v/>
      </c>
      <c r="G292" s="213">
        <f>if(or(eq(Accounts!I265,"No Valet"),eq(Accounts!I265,"Has Valet")), F292 * AVERAGE(Accounts!I$2:I$34),F292*Accounts!I265)</f>
        <v/>
      </c>
      <c r="H292" s="213">
        <f>iferror(G292*360,"")</f>
        <v/>
      </c>
      <c r="I292" s="213">
        <f>H292*0.1</f>
        <v/>
      </c>
    </row>
    <row r="293" ht="54.75" customHeight="1" s="222">
      <c r="A293" s="210">
        <f>#REF!</f>
        <v/>
      </c>
      <c r="B293" s="141">
        <f>Accounts!J266</f>
        <v/>
      </c>
      <c r="C293" s="211" t="n">
        <v>0.6</v>
      </c>
      <c r="D293" s="212">
        <f>Accounts!J266*C293</f>
        <v/>
      </c>
      <c r="E293" s="211" t="n">
        <v>0.4</v>
      </c>
      <c r="F293" s="212">
        <f>D293*E293</f>
        <v/>
      </c>
      <c r="G293" s="213">
        <f>if(or(eq(Accounts!I266,"No Valet"),eq(Accounts!I266,"Has Valet")), F293 * AVERAGE(Accounts!I$2:I$34),F293*Accounts!I266)</f>
        <v/>
      </c>
      <c r="H293" s="213">
        <f>iferror(G293*360,"")</f>
        <v/>
      </c>
      <c r="I293" s="213">
        <f>H293*0.1</f>
        <v/>
      </c>
    </row>
    <row r="294" ht="54.75" customHeight="1" s="222">
      <c r="A294" s="210">
        <f>Accounts!A269</f>
        <v/>
      </c>
      <c r="B294" s="141">
        <f>Accounts!J267</f>
        <v/>
      </c>
      <c r="C294" s="211" t="n">
        <v>0.6</v>
      </c>
      <c r="D294" s="212">
        <f>Accounts!J267*C294</f>
        <v/>
      </c>
      <c r="E294" s="211" t="n">
        <v>0.4</v>
      </c>
      <c r="F294" s="212">
        <f>D294*E294</f>
        <v/>
      </c>
      <c r="G294" s="213">
        <f>if(or(eq(Accounts!I267,"No Valet"),eq(Accounts!I267,"Has Valet")), F294 * AVERAGE(Accounts!I$2:I$34),F294*Accounts!I267)</f>
        <v/>
      </c>
      <c r="H294" s="213">
        <f>iferror(G294*360,"")</f>
        <v/>
      </c>
      <c r="I294" s="213">
        <f>H294*0.1</f>
        <v/>
      </c>
    </row>
    <row r="295" ht="54.75" customHeight="1" s="222">
      <c r="A295" s="210">
        <f>Accounts!A270</f>
        <v/>
      </c>
      <c r="B295" s="141">
        <f>Accounts!J268</f>
        <v/>
      </c>
      <c r="C295" s="211" t="n">
        <v>0.6</v>
      </c>
      <c r="D295" s="212">
        <f>Accounts!J268*C295</f>
        <v/>
      </c>
      <c r="E295" s="211" t="n">
        <v>0.4</v>
      </c>
      <c r="F295" s="212">
        <f>D295*E295</f>
        <v/>
      </c>
      <c r="G295" s="213">
        <f>if(or(eq(Accounts!I268,"No Valet"),eq(Accounts!I268,"Has Valet")), F295 * AVERAGE(Accounts!I$2:I$34),F295*Accounts!I268)</f>
        <v/>
      </c>
      <c r="H295" s="213">
        <f>iferror(G295*360,"")</f>
        <v/>
      </c>
      <c r="I295" s="213">
        <f>H295*0.1</f>
        <v/>
      </c>
    </row>
    <row r="296" ht="54.75" customHeight="1" s="222">
      <c r="A296" s="210">
        <f>Accounts!A271</f>
        <v/>
      </c>
      <c r="B296" s="141">
        <f>#REF!</f>
        <v/>
      </c>
      <c r="C296" s="211" t="n">
        <v>0.6</v>
      </c>
      <c r="D296" s="212">
        <f>#REF!*C296</f>
        <v/>
      </c>
      <c r="E296" s="211" t="n">
        <v>0.4</v>
      </c>
      <c r="F296" s="212">
        <f>D296*E296</f>
        <v/>
      </c>
      <c r="G296" s="213">
        <f>if(or(eq(#REF!,"No Valet"),eq(#REF!,"Has Valet")), F296 * AVERAGE(Accounts!I$2:I$34),F296*#REF!)</f>
        <v/>
      </c>
      <c r="H296" s="213">
        <f>iferror(G296*360,"")</f>
        <v/>
      </c>
      <c r="I296" s="213">
        <f>H296*0.1</f>
        <v/>
      </c>
    </row>
    <row r="297" ht="54.75" customHeight="1" s="222">
      <c r="A297" s="210">
        <f>Accounts!A272</f>
        <v/>
      </c>
      <c r="B297" s="141">
        <f>Accounts!J269</f>
        <v/>
      </c>
      <c r="C297" s="211" t="n">
        <v>0.6</v>
      </c>
      <c r="D297" s="212">
        <f>Accounts!J269*C297</f>
        <v/>
      </c>
      <c r="E297" s="211" t="n">
        <v>0.4</v>
      </c>
      <c r="F297" s="212">
        <f>D297*E297</f>
        <v/>
      </c>
      <c r="G297" s="213">
        <f>if(or(eq(Accounts!I269,"No Valet"),eq(Accounts!I269,"Has Valet")), F297 * AVERAGE(Accounts!I$2:I$34),F297*Accounts!I269)</f>
        <v/>
      </c>
      <c r="H297" s="213">
        <f>iferror(G297*360,"")</f>
        <v/>
      </c>
      <c r="I297" s="213">
        <f>H297*0.1</f>
        <v/>
      </c>
    </row>
    <row r="298" ht="54.75" customHeight="1" s="222">
      <c r="A298" s="210">
        <f>Accounts!A273</f>
        <v/>
      </c>
      <c r="B298" s="141">
        <f>Accounts!J270</f>
        <v/>
      </c>
      <c r="C298" s="211" t="n">
        <v>0.6</v>
      </c>
      <c r="D298" s="212">
        <f>Accounts!J270*C298</f>
        <v/>
      </c>
      <c r="E298" s="211" t="n">
        <v>0.4</v>
      </c>
      <c r="F298" s="212">
        <f>D298*E298</f>
        <v/>
      </c>
      <c r="G298" s="213">
        <f>if(or(eq(Accounts!I270,"No Valet"),eq(Accounts!I270,"Has Valet")), F298 * AVERAGE(Accounts!I$2:I$34),F298*Accounts!I270)</f>
        <v/>
      </c>
      <c r="H298" s="213">
        <f>iferror(G298*360,"")</f>
        <v/>
      </c>
      <c r="I298" s="213">
        <f>H298*0.1</f>
        <v/>
      </c>
    </row>
    <row r="299" ht="54.75" customHeight="1" s="222">
      <c r="A299" s="210">
        <f>Accounts!A274</f>
        <v/>
      </c>
      <c r="B299" s="141">
        <f>Accounts!J271</f>
        <v/>
      </c>
      <c r="C299" s="211" t="n">
        <v>0.6</v>
      </c>
      <c r="D299" s="212">
        <f>Accounts!J271*C299</f>
        <v/>
      </c>
      <c r="E299" s="211" t="n">
        <v>0.4</v>
      </c>
      <c r="F299" s="212">
        <f>D299*E299</f>
        <v/>
      </c>
      <c r="G299" s="213">
        <f>if(or(eq(Accounts!I271,"No Valet"),eq(Accounts!I271,"Has Valet")), F299 * AVERAGE(Accounts!I$2:I$34),F299*Accounts!I271)</f>
        <v/>
      </c>
      <c r="H299" s="213">
        <f>iferror(G299*360,"")</f>
        <v/>
      </c>
      <c r="I299" s="213">
        <f>H299*0.1</f>
        <v/>
      </c>
    </row>
    <row r="300" ht="54.75" customHeight="1" s="222">
      <c r="A300" s="210">
        <f>Accounts!A275</f>
        <v/>
      </c>
      <c r="B300" s="141">
        <f>Accounts!J272</f>
        <v/>
      </c>
      <c r="C300" s="211" t="n">
        <v>0.6</v>
      </c>
      <c r="D300" s="212">
        <f>Accounts!J272*C300</f>
        <v/>
      </c>
      <c r="E300" s="211" t="n">
        <v>0.4</v>
      </c>
      <c r="F300" s="212">
        <f>D300*E300</f>
        <v/>
      </c>
      <c r="G300" s="213">
        <f>if(or(eq(Accounts!I272,"No Valet"),eq(Accounts!I272,"Has Valet")), F300 * AVERAGE(Accounts!I$2:I$34),F300*Accounts!I272)</f>
        <v/>
      </c>
      <c r="H300" s="213">
        <f>iferror(G300*360,"")</f>
        <v/>
      </c>
      <c r="I300" s="213">
        <f>H300*0.1</f>
        <v/>
      </c>
    </row>
    <row r="301" ht="54.75" customHeight="1" s="222">
      <c r="A301" s="210">
        <f>Accounts!A276</f>
        <v/>
      </c>
      <c r="B301" s="141">
        <f>Accounts!J273</f>
        <v/>
      </c>
      <c r="C301" s="211" t="n">
        <v>0.6</v>
      </c>
      <c r="D301" s="212">
        <f>Accounts!J273*C301</f>
        <v/>
      </c>
      <c r="E301" s="211" t="n">
        <v>0.4</v>
      </c>
      <c r="F301" s="212">
        <f>D301*E301</f>
        <v/>
      </c>
      <c r="G301" s="213">
        <f>if(or(eq(Accounts!I273,"No Valet"),eq(Accounts!I273,"Has Valet")), F301 * AVERAGE(Accounts!I$2:I$34),F301*Accounts!I273)</f>
        <v/>
      </c>
      <c r="H301" s="213">
        <f>iferror(G301*360,"")</f>
        <v/>
      </c>
      <c r="I301" s="213">
        <f>H301*0.1</f>
        <v/>
      </c>
    </row>
    <row r="302" ht="54.75" customHeight="1" s="222">
      <c r="A302" s="210">
        <f>Accounts!A277</f>
        <v/>
      </c>
      <c r="B302" s="141">
        <f>Accounts!J274</f>
        <v/>
      </c>
      <c r="C302" s="211" t="n">
        <v>0.6</v>
      </c>
      <c r="D302" s="212">
        <f>Accounts!J274*C302</f>
        <v/>
      </c>
      <c r="E302" s="211" t="n">
        <v>0.4</v>
      </c>
      <c r="F302" s="212">
        <f>D302*E302</f>
        <v/>
      </c>
      <c r="G302" s="213">
        <f>if(or(eq(Accounts!I274,"No Valet"),eq(Accounts!I274,"Has Valet")), F302 * AVERAGE(Accounts!I$2:I$34),F302*Accounts!I274)</f>
        <v/>
      </c>
      <c r="H302" s="213">
        <f>iferror(G302*360,"")</f>
        <v/>
      </c>
      <c r="I302" s="213">
        <f>H302*0.1</f>
        <v/>
      </c>
    </row>
    <row r="303" ht="54.75" customHeight="1" s="222">
      <c r="A303" s="210">
        <f>Accounts!A278</f>
        <v/>
      </c>
      <c r="B303" s="141">
        <f>Accounts!J275</f>
        <v/>
      </c>
      <c r="C303" s="211" t="n">
        <v>0.6</v>
      </c>
      <c r="D303" s="212">
        <f>Accounts!J275*C303</f>
        <v/>
      </c>
      <c r="E303" s="211" t="n">
        <v>0.4</v>
      </c>
      <c r="F303" s="212">
        <f>D303*E303</f>
        <v/>
      </c>
      <c r="G303" s="213">
        <f>if(or(eq(Accounts!I275,"No Valet"),eq(Accounts!I275,"Has Valet")), F303 * AVERAGE(Accounts!I$2:I$34),F303*Accounts!I275)</f>
        <v/>
      </c>
      <c r="H303" s="213">
        <f>iferror(G303*360,"")</f>
        <v/>
      </c>
      <c r="I303" s="213">
        <f>H303*0.1</f>
        <v/>
      </c>
    </row>
    <row r="304" ht="54.75" customHeight="1" s="222">
      <c r="A304" s="210">
        <f>Accounts!A279</f>
        <v/>
      </c>
      <c r="B304" s="141">
        <f>Accounts!J276</f>
        <v/>
      </c>
      <c r="C304" s="211" t="n">
        <v>0.6</v>
      </c>
      <c r="D304" s="212">
        <f>Accounts!J276*C304</f>
        <v/>
      </c>
      <c r="E304" s="211" t="n">
        <v>0.4</v>
      </c>
      <c r="F304" s="212">
        <f>D304*E304</f>
        <v/>
      </c>
      <c r="G304" s="213">
        <f>if(or(eq(Accounts!I276,"No Valet"),eq(Accounts!I276,"Has Valet")), F304 * AVERAGE(Accounts!I$2:I$34),F304*Accounts!I276)</f>
        <v/>
      </c>
      <c r="H304" s="213">
        <f>iferror(G304*360,"")</f>
        <v/>
      </c>
      <c r="I304" s="213">
        <f>H304*0.1</f>
        <v/>
      </c>
    </row>
    <row r="305" ht="54.75" customHeight="1" s="222">
      <c r="A305" s="210">
        <f>Accounts!A280</f>
        <v/>
      </c>
      <c r="B305" s="141">
        <f>Accounts!J277</f>
        <v/>
      </c>
      <c r="C305" s="211" t="n">
        <v>0.6</v>
      </c>
      <c r="D305" s="212">
        <f>Accounts!J277*C305</f>
        <v/>
      </c>
      <c r="E305" s="211" t="n">
        <v>0.4</v>
      </c>
      <c r="F305" s="212">
        <f>D305*E305</f>
        <v/>
      </c>
      <c r="G305" s="213">
        <f>if(or(eq(Accounts!I277,"No Valet"),eq(Accounts!I277,"Has Valet")), F305 * AVERAGE(Accounts!I$2:I$34),F305*Accounts!I277)</f>
        <v/>
      </c>
      <c r="H305" s="213">
        <f>iferror(G305*360,"")</f>
        <v/>
      </c>
      <c r="I305" s="213">
        <f>H305*0.1</f>
        <v/>
      </c>
    </row>
    <row r="306" ht="54.75" customHeight="1" s="222">
      <c r="A306" s="210">
        <f>Accounts!A282</f>
        <v/>
      </c>
      <c r="B306" s="141">
        <f>Accounts!J278</f>
        <v/>
      </c>
      <c r="C306" s="211" t="n">
        <v>0.6</v>
      </c>
      <c r="D306" s="212">
        <f>Accounts!J278*C306</f>
        <v/>
      </c>
      <c r="E306" s="211" t="n">
        <v>0.4</v>
      </c>
      <c r="F306" s="212">
        <f>D306*E306</f>
        <v/>
      </c>
      <c r="G306" s="213">
        <f>if(or(eq(Accounts!I278,"No Valet"),eq(Accounts!I278,"Has Valet")), F306 * AVERAGE(Accounts!I$2:I$34),F306*Accounts!I278)</f>
        <v/>
      </c>
      <c r="H306" s="213">
        <f>iferror(G306*360,"")</f>
        <v/>
      </c>
      <c r="I306" s="213">
        <f>H306*0.1</f>
        <v/>
      </c>
    </row>
    <row r="307" ht="54.75" customHeight="1" s="222">
      <c r="A307" s="210">
        <f>Accounts!A283</f>
        <v/>
      </c>
      <c r="B307" s="141">
        <f>Accounts!J279</f>
        <v/>
      </c>
      <c r="C307" s="211" t="n">
        <v>0.6</v>
      </c>
      <c r="D307" s="212">
        <f>Accounts!J279*C307</f>
        <v/>
      </c>
      <c r="E307" s="211" t="n">
        <v>0.4</v>
      </c>
      <c r="F307" s="212">
        <f>D307*E307</f>
        <v/>
      </c>
      <c r="G307" s="213">
        <f>if(or(eq(Accounts!I279,"No Valet"),eq(Accounts!I279,"Has Valet")), F307 * AVERAGE(Accounts!I$2:I$34),F307*Accounts!I279)</f>
        <v/>
      </c>
      <c r="H307" s="213">
        <f>iferror(G307*360,"")</f>
        <v/>
      </c>
      <c r="I307" s="213">
        <f>H307*0.1</f>
        <v/>
      </c>
    </row>
    <row r="308" ht="54.75" customHeight="1" s="222">
      <c r="A308" s="210">
        <f>Accounts!A281</f>
        <v/>
      </c>
      <c r="B308" s="141">
        <f>Accounts!J280</f>
        <v/>
      </c>
      <c r="C308" s="211" t="n">
        <v>0.6</v>
      </c>
      <c r="D308" s="212">
        <f>Accounts!J280*C308</f>
        <v/>
      </c>
      <c r="E308" s="211" t="n">
        <v>0.4</v>
      </c>
      <c r="F308" s="212">
        <f>D308*E308</f>
        <v/>
      </c>
      <c r="G308" s="213">
        <f>if(or(eq(Accounts!I280,"No Valet"),eq(Accounts!I280,"Has Valet")), F308 * AVERAGE(Accounts!I$2:I$34),F308*Accounts!I280)</f>
        <v/>
      </c>
      <c r="H308" s="213">
        <f>iferror(G308*360,"")</f>
        <v/>
      </c>
      <c r="I308" s="213">
        <f>H308*0.1</f>
        <v/>
      </c>
    </row>
    <row r="309" ht="54.75" customHeight="1" s="222">
      <c r="A309" s="210">
        <f>Accounts!A284</f>
        <v/>
      </c>
      <c r="B309" s="141">
        <f>Accounts!J282</f>
        <v/>
      </c>
      <c r="C309" s="211" t="n">
        <v>0.6</v>
      </c>
      <c r="D309" s="212">
        <f>Accounts!J282*C309</f>
        <v/>
      </c>
      <c r="E309" s="211" t="n">
        <v>0.4</v>
      </c>
      <c r="F309" s="212">
        <f>D309*E309</f>
        <v/>
      </c>
      <c r="G309" s="213">
        <f>if(or(eq(Accounts!I282,"No Valet"),eq(Accounts!I282,"Has Valet")), F309 * AVERAGE(Accounts!I$2:I$34),F309*Accounts!I282)</f>
        <v/>
      </c>
      <c r="H309" s="213">
        <f>iferror(G309*360,"")</f>
        <v/>
      </c>
      <c r="I309" s="213">
        <f>H309*0.1</f>
        <v/>
      </c>
    </row>
    <row r="310" ht="54.75" customHeight="1" s="222">
      <c r="A310" s="210">
        <f>Accounts!A285</f>
        <v/>
      </c>
      <c r="B310" s="141">
        <f>Accounts!J283</f>
        <v/>
      </c>
      <c r="C310" s="211" t="n">
        <v>0.6</v>
      </c>
      <c r="D310" s="212">
        <f>Accounts!J283*C310</f>
        <v/>
      </c>
      <c r="E310" s="211" t="n">
        <v>0.4</v>
      </c>
      <c r="F310" s="212">
        <f>D310*E310</f>
        <v/>
      </c>
      <c r="G310" s="213">
        <f>if(or(eq(Accounts!I283,"No Valet"),eq(Accounts!I283,"Has Valet")), F310 * AVERAGE(Accounts!I$2:I$34),F310*Accounts!I283)</f>
        <v/>
      </c>
      <c r="H310" s="213">
        <f>iferror(G310*360,"")</f>
        <v/>
      </c>
      <c r="I310" s="213">
        <f>H310*0.1</f>
        <v/>
      </c>
    </row>
    <row r="311" ht="54.75" customHeight="1" s="222">
      <c r="A311" s="210">
        <f>Accounts!A286</f>
        <v/>
      </c>
      <c r="B311" s="141">
        <f>Accounts!J281</f>
        <v/>
      </c>
      <c r="C311" s="211" t="n">
        <v>0.6</v>
      </c>
      <c r="D311" s="212">
        <f>Accounts!J281*C311</f>
        <v/>
      </c>
      <c r="E311" s="211" t="n">
        <v>0.4</v>
      </c>
      <c r="F311" s="212">
        <f>D311*E311</f>
        <v/>
      </c>
      <c r="G311" s="213">
        <f>if(or(eq(Accounts!I281,"No Valet"),eq(Accounts!I281,"Has Valet")), F311 * AVERAGE(Accounts!I$2:I$34),F311*Accounts!I281)</f>
        <v/>
      </c>
      <c r="H311" s="213">
        <f>iferror(G311*360,"")</f>
        <v/>
      </c>
      <c r="I311" s="213">
        <f>H311*0.1</f>
        <v/>
      </c>
    </row>
    <row r="312" ht="54.75" customHeight="1" s="222">
      <c r="A312" s="210">
        <f>Accounts!A287</f>
        <v/>
      </c>
      <c r="B312" s="141">
        <f>Accounts!J284</f>
        <v/>
      </c>
      <c r="C312" s="211" t="n">
        <v>0.6</v>
      </c>
      <c r="D312" s="212">
        <f>Accounts!J284*C312</f>
        <v/>
      </c>
      <c r="E312" s="211" t="n">
        <v>0.4</v>
      </c>
      <c r="F312" s="212">
        <f>D312*E312</f>
        <v/>
      </c>
      <c r="G312" s="213">
        <f>if(or(eq(Accounts!I284,"No Valet"),eq(Accounts!I284,"Has Valet")), F312 * AVERAGE(Accounts!I$2:I$34),F312*Accounts!I284)</f>
        <v/>
      </c>
      <c r="H312" s="213">
        <f>iferror(G312*360,"")</f>
        <v/>
      </c>
      <c r="I312" s="213">
        <f>H312*0.1</f>
        <v/>
      </c>
    </row>
    <row r="313" ht="54.75" customHeight="1" s="222">
      <c r="A313" s="210">
        <f>Accounts!A288</f>
        <v/>
      </c>
      <c r="B313" s="141">
        <f>Accounts!J285</f>
        <v/>
      </c>
      <c r="C313" s="211" t="n">
        <v>0.6</v>
      </c>
      <c r="D313" s="212">
        <f>Accounts!J285*C313</f>
        <v/>
      </c>
      <c r="E313" s="211" t="n">
        <v>0.4</v>
      </c>
      <c r="F313" s="212">
        <f>D313*E313</f>
        <v/>
      </c>
      <c r="G313" s="213">
        <f>if(or(eq(Accounts!I285,"No Valet"),eq(Accounts!I285,"Has Valet")), F313 * AVERAGE(Accounts!I$2:I$34),F313*Accounts!I285)</f>
        <v/>
      </c>
      <c r="H313" s="213">
        <f>iferror(G313*360,"")</f>
        <v/>
      </c>
      <c r="I313" s="213">
        <f>H313*0.1</f>
        <v/>
      </c>
    </row>
    <row r="314" ht="54.75" customHeight="1" s="222">
      <c r="A314" s="210">
        <f>Accounts!A289</f>
        <v/>
      </c>
      <c r="B314" s="141">
        <f>Accounts!J286</f>
        <v/>
      </c>
      <c r="C314" s="211" t="n">
        <v>0.6</v>
      </c>
      <c r="D314" s="212">
        <f>Accounts!J286*C314</f>
        <v/>
      </c>
      <c r="E314" s="211" t="n">
        <v>0.4</v>
      </c>
      <c r="F314" s="212">
        <f>D314*E314</f>
        <v/>
      </c>
      <c r="G314" s="213">
        <f>if(or(eq(Accounts!I286,"No Valet"),eq(Accounts!I286,"Has Valet")), F314 * AVERAGE(Accounts!I$2:I$34),F314*Accounts!I286)</f>
        <v/>
      </c>
      <c r="H314" s="213">
        <f>iferror(G314*360,"")</f>
        <v/>
      </c>
      <c r="I314" s="213">
        <f>H314*0.1</f>
        <v/>
      </c>
    </row>
    <row r="315" ht="54.75" customHeight="1" s="222">
      <c r="A315" s="210">
        <f>Accounts!A290</f>
        <v/>
      </c>
      <c r="B315" s="141">
        <f>Accounts!J287</f>
        <v/>
      </c>
      <c r="C315" s="211" t="n">
        <v>0.6</v>
      </c>
      <c r="D315" s="212">
        <f>Accounts!J287*C315</f>
        <v/>
      </c>
      <c r="E315" s="211" t="n">
        <v>0.4</v>
      </c>
      <c r="F315" s="212">
        <f>D315*E315</f>
        <v/>
      </c>
      <c r="G315" s="213">
        <f>if(or(eq(Accounts!I287,"No Valet"),eq(Accounts!I287,"Has Valet")), F315 * AVERAGE(Accounts!I$2:I$34),F315*Accounts!I287)</f>
        <v/>
      </c>
      <c r="H315" s="213">
        <f>iferror(G315*360,"")</f>
        <v/>
      </c>
      <c r="I315" s="213">
        <f>H315*0.1</f>
        <v/>
      </c>
    </row>
    <row r="316" ht="54.75" customHeight="1" s="222">
      <c r="A316" s="210">
        <f>Accounts!A291</f>
        <v/>
      </c>
      <c r="B316" s="141">
        <f>Accounts!J288</f>
        <v/>
      </c>
      <c r="C316" s="211" t="n">
        <v>0.6</v>
      </c>
      <c r="D316" s="212">
        <f>Accounts!J288*C316</f>
        <v/>
      </c>
      <c r="E316" s="211" t="n">
        <v>0.4</v>
      </c>
      <c r="F316" s="212">
        <f>D316*E316</f>
        <v/>
      </c>
      <c r="G316" s="213">
        <f>if(or(eq(Accounts!I288,"No Valet"),eq(Accounts!I288,"Has Valet")), F316 * AVERAGE(Accounts!I$2:I$34),F316*Accounts!I288)</f>
        <v/>
      </c>
      <c r="H316" s="213">
        <f>iferror(G316*360,"")</f>
        <v/>
      </c>
      <c r="I316" s="213">
        <f>H316*0.1</f>
        <v/>
      </c>
    </row>
    <row r="317" ht="54.75" customHeight="1" s="222">
      <c r="A317" s="210">
        <f>Accounts!A292</f>
        <v/>
      </c>
      <c r="B317" s="141">
        <f>Accounts!J289</f>
        <v/>
      </c>
      <c r="C317" s="211" t="n">
        <v>0.6</v>
      </c>
      <c r="D317" s="212">
        <f>Accounts!J289*C317</f>
        <v/>
      </c>
      <c r="E317" s="211" t="n">
        <v>0.4</v>
      </c>
      <c r="F317" s="212">
        <f>D317*E317</f>
        <v/>
      </c>
      <c r="G317" s="213">
        <f>if(or(eq(Accounts!I289,"No Valet"),eq(Accounts!I289,"Has Valet")), F317 * AVERAGE(Accounts!I$2:I$34),F317*Accounts!I289)</f>
        <v/>
      </c>
      <c r="H317" s="213">
        <f>iferror(G317*360,"")</f>
        <v/>
      </c>
      <c r="I317" s="213">
        <f>H317*0.1</f>
        <v/>
      </c>
    </row>
    <row r="318" ht="54.75" customHeight="1" s="222">
      <c r="A318" s="210">
        <f>Accounts!A293</f>
        <v/>
      </c>
      <c r="B318" s="141">
        <f>Accounts!J290</f>
        <v/>
      </c>
      <c r="C318" s="211" t="n">
        <v>0.6</v>
      </c>
      <c r="D318" s="212">
        <f>Accounts!J290*C318</f>
        <v/>
      </c>
      <c r="E318" s="211" t="n">
        <v>0.4</v>
      </c>
      <c r="F318" s="212">
        <f>D318*E318</f>
        <v/>
      </c>
      <c r="G318" s="213">
        <f>if(or(eq(Accounts!I290,"No Valet"),eq(Accounts!I290,"Has Valet")), F318 * AVERAGE(Accounts!I$2:I$34),F318*Accounts!I290)</f>
        <v/>
      </c>
      <c r="H318" s="213">
        <f>iferror(G318*360,"")</f>
        <v/>
      </c>
      <c r="I318" s="213">
        <f>H318*0.1</f>
        <v/>
      </c>
    </row>
    <row r="319" ht="54.75" customHeight="1" s="222">
      <c r="A319" s="210">
        <f>Accounts!A294</f>
        <v/>
      </c>
      <c r="B319" s="141">
        <f>Accounts!J291</f>
        <v/>
      </c>
      <c r="C319" s="211" t="n">
        <v>0.6</v>
      </c>
      <c r="D319" s="212">
        <f>Accounts!J291*C319</f>
        <v/>
      </c>
      <c r="E319" s="211" t="n">
        <v>0.4</v>
      </c>
      <c r="F319" s="212">
        <f>D319*E319</f>
        <v/>
      </c>
      <c r="G319" s="213">
        <f>if(or(eq(Accounts!I291,"No Valet"),eq(Accounts!I291,"Has Valet")), F319 * AVERAGE(Accounts!I$2:I$34),F319*Accounts!I291)</f>
        <v/>
      </c>
      <c r="H319" s="213">
        <f>iferror(G319*360,"")</f>
        <v/>
      </c>
      <c r="I319" s="213">
        <f>H319*0.1</f>
        <v/>
      </c>
    </row>
    <row r="320" ht="54.75" customHeight="1" s="222">
      <c r="A320" s="210">
        <f>Accounts!A295</f>
        <v/>
      </c>
      <c r="B320" s="141">
        <f>Accounts!J292</f>
        <v/>
      </c>
      <c r="C320" s="211" t="n">
        <v>0.6</v>
      </c>
      <c r="D320" s="212">
        <f>Accounts!J292*C320</f>
        <v/>
      </c>
      <c r="E320" s="211" t="n">
        <v>0.4</v>
      </c>
      <c r="F320" s="212">
        <f>D320*E320</f>
        <v/>
      </c>
      <c r="G320" s="213">
        <f>if(or(eq(Accounts!I292,"No Valet"),eq(Accounts!I292,"Has Valet")), F320 * AVERAGE(Accounts!I$2:I$34),F320*Accounts!I292)</f>
        <v/>
      </c>
      <c r="H320" s="213">
        <f>iferror(G320*360,"")</f>
        <v/>
      </c>
      <c r="I320" s="213">
        <f>H320*0.1</f>
        <v/>
      </c>
    </row>
    <row r="321" ht="54.75" customHeight="1" s="222">
      <c r="A321" s="210">
        <f>Accounts!A296</f>
        <v/>
      </c>
      <c r="B321" s="141">
        <f>Accounts!J293</f>
        <v/>
      </c>
      <c r="C321" s="211" t="n">
        <v>0.6</v>
      </c>
      <c r="D321" s="212">
        <f>Accounts!J293*C321</f>
        <v/>
      </c>
      <c r="E321" s="211" t="n">
        <v>0.4</v>
      </c>
      <c r="F321" s="212">
        <f>D321*E321</f>
        <v/>
      </c>
      <c r="G321" s="213">
        <f>if(or(eq(Accounts!I293,"No Valet"),eq(Accounts!I293,"Has Valet")), F321 * AVERAGE(Accounts!I$2:I$34),F321*Accounts!I293)</f>
        <v/>
      </c>
      <c r="H321" s="213">
        <f>iferror(G321*360,"")</f>
        <v/>
      </c>
      <c r="I321" s="213">
        <f>H321*0.1</f>
        <v/>
      </c>
    </row>
    <row r="322" ht="54.75" customHeight="1" s="222">
      <c r="A322" s="210">
        <f>Accounts!A297</f>
        <v/>
      </c>
      <c r="B322" s="141">
        <f>Accounts!J294</f>
        <v/>
      </c>
      <c r="C322" s="211" t="n">
        <v>0.6</v>
      </c>
      <c r="D322" s="212">
        <f>Accounts!J294*C322</f>
        <v/>
      </c>
      <c r="E322" s="211" t="n">
        <v>0.4</v>
      </c>
      <c r="F322" s="212">
        <f>D322*E322</f>
        <v/>
      </c>
      <c r="G322" s="213">
        <f>if(or(eq(Accounts!I294,"No Valet"),eq(Accounts!I294,"Has Valet")), F322 * AVERAGE(Accounts!I$2:I$34),F322*Accounts!I294)</f>
        <v/>
      </c>
      <c r="H322" s="213">
        <f>iferror(G322*360,"")</f>
        <v/>
      </c>
      <c r="I322" s="213">
        <f>H322*0.1</f>
        <v/>
      </c>
    </row>
    <row r="323" ht="54.75" customHeight="1" s="222">
      <c r="A323" s="210">
        <f>Accounts!A298</f>
        <v/>
      </c>
      <c r="B323" s="141">
        <f>Accounts!J295</f>
        <v/>
      </c>
      <c r="C323" s="211" t="n">
        <v>0.6</v>
      </c>
      <c r="D323" s="212">
        <f>Accounts!J295*C323</f>
        <v/>
      </c>
      <c r="E323" s="211" t="n">
        <v>0.4</v>
      </c>
      <c r="F323" s="212">
        <f>D323*E323</f>
        <v/>
      </c>
      <c r="G323" s="213">
        <f>if(or(eq(Accounts!I295,"No Valet"),eq(Accounts!I295,"Has Valet")), F323 * AVERAGE(Accounts!I$2:I$34),F323*Accounts!I295)</f>
        <v/>
      </c>
      <c r="H323" s="213">
        <f>iferror(G323*360,"")</f>
        <v/>
      </c>
      <c r="I323" s="213">
        <f>H323*0.1</f>
        <v/>
      </c>
    </row>
    <row r="324" ht="54.75" customHeight="1" s="222">
      <c r="A324" s="210">
        <f>Accounts!A299</f>
        <v/>
      </c>
      <c r="B324" s="141">
        <f>Accounts!J296</f>
        <v/>
      </c>
      <c r="C324" s="211" t="n">
        <v>0.6</v>
      </c>
      <c r="D324" s="212">
        <f>Accounts!J296*C324</f>
        <v/>
      </c>
      <c r="E324" s="211" t="n">
        <v>0.4</v>
      </c>
      <c r="F324" s="212">
        <f>D324*E324</f>
        <v/>
      </c>
      <c r="G324" s="213">
        <f>if(or(eq(Accounts!I296,"No Valet"),eq(Accounts!I296,"Has Valet")), F324 * AVERAGE(Accounts!I$2:I$34),F324*Accounts!I296)</f>
        <v/>
      </c>
      <c r="H324" s="213">
        <f>iferror(G324*360,"")</f>
        <v/>
      </c>
      <c r="I324" s="213">
        <f>H324*0.1</f>
        <v/>
      </c>
    </row>
    <row r="325" ht="54.75" customHeight="1" s="222">
      <c r="A325" s="210">
        <f>Accounts!A300</f>
        <v/>
      </c>
      <c r="B325" s="141">
        <f>Accounts!J297</f>
        <v/>
      </c>
      <c r="C325" s="211" t="n">
        <v>0.6</v>
      </c>
      <c r="D325" s="212">
        <f>Accounts!J297*C325</f>
        <v/>
      </c>
      <c r="E325" s="211" t="n">
        <v>0.4</v>
      </c>
      <c r="F325" s="212">
        <f>D325*E325</f>
        <v/>
      </c>
      <c r="G325" s="213">
        <f>if(or(eq(Accounts!I297,"No Valet"),eq(Accounts!I297,"Has Valet")), F325 * AVERAGE(Accounts!I$2:I$34),F325*Accounts!I297)</f>
        <v/>
      </c>
      <c r="H325" s="213">
        <f>iferror(G325*360,"")</f>
        <v/>
      </c>
      <c r="I325" s="213">
        <f>H325*0.1</f>
        <v/>
      </c>
    </row>
    <row r="326" ht="54.75" customHeight="1" s="222">
      <c r="A326" s="210">
        <f>Accounts!A301</f>
        <v/>
      </c>
      <c r="B326" s="141">
        <f>Accounts!J298</f>
        <v/>
      </c>
      <c r="C326" s="211" t="n">
        <v>0.6</v>
      </c>
      <c r="D326" s="212">
        <f>Accounts!J298*C326</f>
        <v/>
      </c>
      <c r="E326" s="211" t="n">
        <v>0.4</v>
      </c>
      <c r="F326" s="212">
        <f>D326*E326</f>
        <v/>
      </c>
      <c r="G326" s="213">
        <f>if(or(eq(Accounts!I298,"No Valet"),eq(Accounts!I298,"Has Valet")), F326 * AVERAGE(Accounts!I$2:I$34),F326*Accounts!I298)</f>
        <v/>
      </c>
      <c r="H326" s="213">
        <f>iferror(G326*360,"")</f>
        <v/>
      </c>
      <c r="I326" s="213">
        <f>H326*0.1</f>
        <v/>
      </c>
    </row>
    <row r="327" ht="54.75" customHeight="1" s="222">
      <c r="A327" s="210">
        <f>Accounts!A302</f>
        <v/>
      </c>
      <c r="B327" s="141">
        <f>Accounts!J299</f>
        <v/>
      </c>
      <c r="C327" s="211" t="n">
        <v>0.6</v>
      </c>
      <c r="D327" s="212">
        <f>Accounts!J299*C327</f>
        <v/>
      </c>
      <c r="E327" s="211" t="n">
        <v>0.4</v>
      </c>
      <c r="F327" s="212">
        <f>D327*E327</f>
        <v/>
      </c>
      <c r="G327" s="213">
        <f>if(or(eq(Accounts!I299,"No Valet"),eq(Accounts!I299,"Has Valet")), F327 * AVERAGE(Accounts!I$2:I$34),F327*Accounts!I299)</f>
        <v/>
      </c>
      <c r="H327" s="213">
        <f>iferror(G327*360,"")</f>
        <v/>
      </c>
      <c r="I327" s="213">
        <f>H327*0.1</f>
        <v/>
      </c>
    </row>
    <row r="328" ht="54.75" customHeight="1" s="222">
      <c r="A328" s="210">
        <f>Accounts!A303</f>
        <v/>
      </c>
      <c r="B328" s="141">
        <f>Accounts!J300</f>
        <v/>
      </c>
      <c r="C328" s="211" t="n">
        <v>0.6</v>
      </c>
      <c r="D328" s="212">
        <f>Accounts!J300*C328</f>
        <v/>
      </c>
      <c r="E328" s="211" t="n">
        <v>0.4</v>
      </c>
      <c r="F328" s="212">
        <f>D328*E328</f>
        <v/>
      </c>
      <c r="G328" s="213">
        <f>if(or(eq(Accounts!I300,"No Valet"),eq(Accounts!I300,"Has Valet")), F328 * AVERAGE(Accounts!I$2:I$34),F328*Accounts!I300)</f>
        <v/>
      </c>
      <c r="H328" s="213">
        <f>iferror(G328*360,"")</f>
        <v/>
      </c>
      <c r="I328" s="213">
        <f>H328*0.1</f>
        <v/>
      </c>
    </row>
    <row r="329" ht="54.75" customHeight="1" s="222">
      <c r="A329" s="210">
        <f>Accounts!A304</f>
        <v/>
      </c>
      <c r="B329" s="141">
        <f>Accounts!J301</f>
        <v/>
      </c>
      <c r="C329" s="211" t="n">
        <v>0.6</v>
      </c>
      <c r="D329" s="212">
        <f>Accounts!J301*C329</f>
        <v/>
      </c>
      <c r="E329" s="211" t="n">
        <v>0.4</v>
      </c>
      <c r="F329" s="212">
        <f>D329*E329</f>
        <v/>
      </c>
      <c r="G329" s="213">
        <f>if(or(eq(Accounts!I301,"No Valet"),eq(Accounts!I301,"Has Valet")), F329 * AVERAGE(Accounts!I$2:I$34),F329*Accounts!I301)</f>
        <v/>
      </c>
      <c r="H329" s="213">
        <f>iferror(G329*360,"")</f>
        <v/>
      </c>
      <c r="I329" s="213">
        <f>H329*0.1</f>
        <v/>
      </c>
    </row>
    <row r="330" ht="54.75" customHeight="1" s="222">
      <c r="A330" s="210">
        <f>Accounts!A305</f>
        <v/>
      </c>
      <c r="B330" s="141">
        <f>Accounts!J302</f>
        <v/>
      </c>
      <c r="C330" s="211" t="n">
        <v>0.6</v>
      </c>
      <c r="D330" s="212">
        <f>Accounts!J302*C330</f>
        <v/>
      </c>
      <c r="E330" s="211" t="n">
        <v>0.4</v>
      </c>
      <c r="F330" s="212">
        <f>D330*E330</f>
        <v/>
      </c>
      <c r="G330" s="213">
        <f>if(or(eq(Accounts!I302,"No Valet"),eq(Accounts!I302,"Has Valet")), F330 * AVERAGE(Accounts!I$2:I$34),F330*Accounts!I302)</f>
        <v/>
      </c>
      <c r="H330" s="213">
        <f>iferror(G330*360,"")</f>
        <v/>
      </c>
      <c r="I330" s="213">
        <f>H330*0.1</f>
        <v/>
      </c>
    </row>
    <row r="331" ht="54.75" customHeight="1" s="222">
      <c r="A331" s="210">
        <f>Accounts!A306</f>
        <v/>
      </c>
      <c r="B331" s="141">
        <f>Accounts!J303</f>
        <v/>
      </c>
      <c r="C331" s="211" t="n">
        <v>0.6</v>
      </c>
      <c r="D331" s="212">
        <f>Accounts!J303*C331</f>
        <v/>
      </c>
      <c r="E331" s="211" t="n">
        <v>0.4</v>
      </c>
      <c r="F331" s="212">
        <f>D331*E331</f>
        <v/>
      </c>
      <c r="G331" s="213">
        <f>if(or(eq(Accounts!I303,"No Valet"),eq(Accounts!I303,"Has Valet")), F331 * AVERAGE(Accounts!I$2:I$34),F331*Accounts!I303)</f>
        <v/>
      </c>
      <c r="H331" s="213">
        <f>iferror(G331*360,"")</f>
        <v/>
      </c>
      <c r="I331" s="213">
        <f>H331*0.1</f>
        <v/>
      </c>
    </row>
    <row r="332" ht="54.75" customHeight="1" s="222">
      <c r="A332" s="210">
        <f>Accounts!A307</f>
        <v/>
      </c>
      <c r="B332" s="141">
        <f>Accounts!J304</f>
        <v/>
      </c>
      <c r="C332" s="211" t="n">
        <v>0.6</v>
      </c>
      <c r="D332" s="212">
        <f>Accounts!J304*C332</f>
        <v/>
      </c>
      <c r="E332" s="211" t="n">
        <v>0.4</v>
      </c>
      <c r="F332" s="212">
        <f>D332*E332</f>
        <v/>
      </c>
      <c r="G332" s="213">
        <f>if(or(eq(Accounts!I304,"No Valet"),eq(Accounts!I304,"Has Valet")), F332 * AVERAGE(Accounts!I$2:I$34),F332*Accounts!I304)</f>
        <v/>
      </c>
      <c r="H332" s="213">
        <f>iferror(G332*360,"")</f>
        <v/>
      </c>
      <c r="I332" s="213">
        <f>H332*0.1</f>
        <v/>
      </c>
    </row>
    <row r="333" ht="54.75" customHeight="1" s="222">
      <c r="A333" s="210">
        <f>Accounts!A308</f>
        <v/>
      </c>
      <c r="B333" s="141">
        <f>Accounts!J305</f>
        <v/>
      </c>
      <c r="C333" s="211" t="n">
        <v>0.6</v>
      </c>
      <c r="D333" s="212">
        <f>Accounts!J305*C333</f>
        <v/>
      </c>
      <c r="E333" s="211" t="n">
        <v>0.4</v>
      </c>
      <c r="F333" s="212">
        <f>D333*E333</f>
        <v/>
      </c>
      <c r="G333" s="213">
        <f>if(or(eq(Accounts!I305,"No Valet"),eq(Accounts!I305,"Has Valet")), F333 * AVERAGE(Accounts!I$2:I$34),F333*Accounts!I305)</f>
        <v/>
      </c>
      <c r="H333" s="213">
        <f>iferror(G333*360,"")</f>
        <v/>
      </c>
      <c r="I333" s="213">
        <f>H333*0.1</f>
        <v/>
      </c>
    </row>
    <row r="334" ht="54.75" customHeight="1" s="222">
      <c r="A334" s="210">
        <f>Accounts!A309</f>
        <v/>
      </c>
      <c r="B334" s="141">
        <f>Accounts!J306</f>
        <v/>
      </c>
      <c r="C334" s="211" t="n">
        <v>0.6</v>
      </c>
      <c r="D334" s="212">
        <f>Accounts!J306*C334</f>
        <v/>
      </c>
      <c r="E334" s="211" t="n">
        <v>0.4</v>
      </c>
      <c r="F334" s="212">
        <f>D334*E334</f>
        <v/>
      </c>
      <c r="G334" s="213">
        <f>if(or(eq(Accounts!I306,"No Valet"),eq(Accounts!I306,"Has Valet")), F334 * AVERAGE(Accounts!I$2:I$34),F334*Accounts!I306)</f>
        <v/>
      </c>
      <c r="H334" s="213">
        <f>iferror(G334*360,"")</f>
        <v/>
      </c>
      <c r="I334" s="213">
        <f>H334*0.1</f>
        <v/>
      </c>
    </row>
    <row r="335" ht="54.75" customHeight="1" s="222">
      <c r="A335" s="210">
        <f>Accounts!A310</f>
        <v/>
      </c>
      <c r="B335" s="141">
        <f>Accounts!J307</f>
        <v/>
      </c>
      <c r="C335" s="211" t="n">
        <v>0.6</v>
      </c>
      <c r="D335" s="212">
        <f>Accounts!J307*C335</f>
        <v/>
      </c>
      <c r="E335" s="211" t="n">
        <v>0.4</v>
      </c>
      <c r="F335" s="212">
        <f>D335*E335</f>
        <v/>
      </c>
      <c r="G335" s="213">
        <f>if(or(eq(Accounts!I307,"No Valet"),eq(Accounts!I307,"Has Valet")), F335 * AVERAGE(Accounts!I$2:I$34),F335*Accounts!I307)</f>
        <v/>
      </c>
      <c r="H335" s="213">
        <f>iferror(G335*360,"")</f>
        <v/>
      </c>
      <c r="I335" s="213">
        <f>H335*0.1</f>
        <v/>
      </c>
    </row>
    <row r="336" ht="54.75" customHeight="1" s="222">
      <c r="A336" s="210">
        <f>Accounts!A311</f>
        <v/>
      </c>
      <c r="B336" s="141">
        <f>Accounts!J308</f>
        <v/>
      </c>
      <c r="C336" s="211" t="n">
        <v>0.6</v>
      </c>
      <c r="D336" s="212">
        <f>Accounts!J308*C336</f>
        <v/>
      </c>
      <c r="E336" s="211" t="n">
        <v>0.4</v>
      </c>
      <c r="F336" s="212">
        <f>D336*E336</f>
        <v/>
      </c>
      <c r="G336" s="213">
        <f>if(or(eq(Accounts!I308,"No Valet"),eq(Accounts!I308,"Has Valet")), F336 * AVERAGE(Accounts!I$2:I$34),F336*Accounts!I308)</f>
        <v/>
      </c>
      <c r="H336" s="213">
        <f>iferror(G336*360,"")</f>
        <v/>
      </c>
      <c r="I336" s="213">
        <f>H336*0.1</f>
        <v/>
      </c>
    </row>
    <row r="337" ht="54.75" customHeight="1" s="222">
      <c r="A337" s="210">
        <f>Accounts!A312</f>
        <v/>
      </c>
      <c r="B337" s="141">
        <f>Accounts!J309</f>
        <v/>
      </c>
      <c r="C337" s="211" t="n">
        <v>0.6</v>
      </c>
      <c r="D337" s="212">
        <f>Accounts!J309*C337</f>
        <v/>
      </c>
      <c r="E337" s="211" t="n">
        <v>0.4</v>
      </c>
      <c r="F337" s="212">
        <f>D337*E337</f>
        <v/>
      </c>
      <c r="G337" s="213">
        <f>if(or(eq(Accounts!I309,"No Valet"),eq(Accounts!I309,"Has Valet")), F337 * AVERAGE(Accounts!I$2:I$34),F337*Accounts!I309)</f>
        <v/>
      </c>
      <c r="H337" s="213">
        <f>iferror(G337*360,"")</f>
        <v/>
      </c>
      <c r="I337" s="213">
        <f>H337*0.1</f>
        <v/>
      </c>
    </row>
    <row r="338" ht="54.75" customHeight="1" s="222">
      <c r="A338" s="210">
        <f>Accounts!A313</f>
        <v/>
      </c>
      <c r="B338" s="141">
        <f>Accounts!J310</f>
        <v/>
      </c>
      <c r="C338" s="211" t="n">
        <v>0.6</v>
      </c>
      <c r="D338" s="212">
        <f>Accounts!J310*C338</f>
        <v/>
      </c>
      <c r="E338" s="211" t="n">
        <v>0.4</v>
      </c>
      <c r="F338" s="212">
        <f>D338*E338</f>
        <v/>
      </c>
      <c r="G338" s="213">
        <f>if(or(eq(Accounts!I310,"No Valet"),eq(Accounts!I310,"Has Valet")), F338 * AVERAGE(Accounts!I$2:I$34),F338*Accounts!I310)</f>
        <v/>
      </c>
      <c r="H338" s="213">
        <f>iferror(G338*360,"")</f>
        <v/>
      </c>
      <c r="I338" s="213">
        <f>H338*0.1</f>
        <v/>
      </c>
    </row>
    <row r="339" ht="54.75" customHeight="1" s="222">
      <c r="A339" s="210">
        <f>Accounts!A314</f>
        <v/>
      </c>
      <c r="B339" s="141">
        <f>Accounts!J311</f>
        <v/>
      </c>
      <c r="C339" s="211" t="n">
        <v>0.6</v>
      </c>
      <c r="D339" s="212">
        <f>Accounts!J311*C339</f>
        <v/>
      </c>
      <c r="E339" s="211" t="n">
        <v>0.4</v>
      </c>
      <c r="F339" s="212">
        <f>D339*E339</f>
        <v/>
      </c>
      <c r="G339" s="213">
        <f>if(or(eq(Accounts!I311,"No Valet"),eq(Accounts!I311,"Has Valet")), F339 * AVERAGE(Accounts!I$2:I$34),F339*Accounts!I311)</f>
        <v/>
      </c>
      <c r="H339" s="213">
        <f>iferror(G339*360,"")</f>
        <v/>
      </c>
      <c r="I339" s="213">
        <f>H339*0.1</f>
        <v/>
      </c>
    </row>
    <row r="340" ht="54.75" customHeight="1" s="222">
      <c r="A340" s="210">
        <f>Accounts!A315</f>
        <v/>
      </c>
      <c r="B340" s="141">
        <f>Accounts!J312</f>
        <v/>
      </c>
      <c r="C340" s="211" t="n">
        <v>0.6</v>
      </c>
      <c r="D340" s="212">
        <f>Accounts!J312*C340</f>
        <v/>
      </c>
      <c r="E340" s="211" t="n">
        <v>0.4</v>
      </c>
      <c r="F340" s="212">
        <f>D340*E340</f>
        <v/>
      </c>
      <c r="G340" s="213">
        <f>if(or(eq(Accounts!I312,"No Valet"),eq(Accounts!I312,"Has Valet")), F340 * AVERAGE(Accounts!I$2:I$34),F340*Accounts!I312)</f>
        <v/>
      </c>
      <c r="H340" s="213">
        <f>iferror(G340*360,"")</f>
        <v/>
      </c>
      <c r="I340" s="213">
        <f>H340*0.1</f>
        <v/>
      </c>
    </row>
    <row r="341" ht="54.75" customHeight="1" s="222">
      <c r="A341" s="210">
        <f>Accounts!A316</f>
        <v/>
      </c>
      <c r="B341" s="141">
        <f>Accounts!J313</f>
        <v/>
      </c>
      <c r="C341" s="211" t="n">
        <v>0.6</v>
      </c>
      <c r="D341" s="212">
        <f>Accounts!J313*C341</f>
        <v/>
      </c>
      <c r="E341" s="211" t="n">
        <v>0.4</v>
      </c>
      <c r="F341" s="212">
        <f>D341*E341</f>
        <v/>
      </c>
      <c r="G341" s="213">
        <f>if(or(eq(Accounts!I313,"No Valet"),eq(Accounts!I313,"Has Valet")), F341 * AVERAGE(Accounts!I$2:I$34),F341*Accounts!I313)</f>
        <v/>
      </c>
      <c r="H341" s="213">
        <f>iferror(G341*360,"")</f>
        <v/>
      </c>
      <c r="I341" s="213">
        <f>H341*0.1</f>
        <v/>
      </c>
    </row>
    <row r="342" ht="54.75" customHeight="1" s="222">
      <c r="A342" s="210">
        <f>Accounts!A317</f>
        <v/>
      </c>
      <c r="B342" s="141">
        <f>Accounts!J314</f>
        <v/>
      </c>
      <c r="C342" s="211" t="n">
        <v>0.6</v>
      </c>
      <c r="D342" s="212">
        <f>Accounts!J314*C342</f>
        <v/>
      </c>
      <c r="E342" s="211" t="n">
        <v>0.4</v>
      </c>
      <c r="F342" s="212">
        <f>D342*E342</f>
        <v/>
      </c>
      <c r="G342" s="213">
        <f>if(or(eq(Accounts!I314,"No Valet"),eq(Accounts!I314,"Has Valet")), F342 * AVERAGE(Accounts!I$2:I$34),F342*Accounts!I314)</f>
        <v/>
      </c>
      <c r="H342" s="213">
        <f>iferror(G342*360,"")</f>
        <v/>
      </c>
      <c r="I342" s="213">
        <f>H342*0.1</f>
        <v/>
      </c>
    </row>
    <row r="343" ht="54.75" customHeight="1" s="222">
      <c r="A343" s="210">
        <f>Accounts!A318</f>
        <v/>
      </c>
      <c r="B343" s="141">
        <f>Accounts!J315</f>
        <v/>
      </c>
      <c r="C343" s="211" t="n">
        <v>0.6</v>
      </c>
      <c r="D343" s="212">
        <f>Accounts!J315*C343</f>
        <v/>
      </c>
      <c r="E343" s="211" t="n">
        <v>0.4</v>
      </c>
      <c r="F343" s="212">
        <f>D343*E343</f>
        <v/>
      </c>
      <c r="G343" s="213">
        <f>if(or(eq(Accounts!I315,"No Valet"),eq(Accounts!I315,"Has Valet")), F343 * AVERAGE(Accounts!I$2:I$34),F343*Accounts!I315)</f>
        <v/>
      </c>
      <c r="H343" s="213">
        <f>iferror(G343*360,"")</f>
        <v/>
      </c>
      <c r="I343" s="213">
        <f>H343*0.1</f>
        <v/>
      </c>
    </row>
    <row r="344" ht="54.75" customHeight="1" s="222">
      <c r="A344" s="210">
        <f>Accounts!A319</f>
        <v/>
      </c>
      <c r="B344" s="141">
        <f>Accounts!J316</f>
        <v/>
      </c>
      <c r="C344" s="211" t="n">
        <v>0.6</v>
      </c>
      <c r="D344" s="212">
        <f>Accounts!J316*C344</f>
        <v/>
      </c>
      <c r="E344" s="211" t="n">
        <v>0.4</v>
      </c>
      <c r="F344" s="212">
        <f>D344*E344</f>
        <v/>
      </c>
      <c r="G344" s="213">
        <f>if(or(eq(Accounts!I316,"No Valet"),eq(Accounts!I316,"Has Valet")), F344 * AVERAGE(Accounts!I$2:I$34),F344*Accounts!I316)</f>
        <v/>
      </c>
      <c r="H344" s="213">
        <f>iferror(G344*360,"")</f>
        <v/>
      </c>
      <c r="I344" s="213">
        <f>H344*0.1</f>
        <v/>
      </c>
    </row>
    <row r="345" ht="54.75" customHeight="1" s="222">
      <c r="A345" s="210">
        <f>Accounts!A320</f>
        <v/>
      </c>
      <c r="B345" s="141">
        <f>Accounts!J317</f>
        <v/>
      </c>
      <c r="C345" s="211" t="n">
        <v>0.6</v>
      </c>
      <c r="D345" s="212">
        <f>Accounts!J317*C345</f>
        <v/>
      </c>
      <c r="E345" s="211" t="n">
        <v>0.4</v>
      </c>
      <c r="F345" s="212">
        <f>D345*E345</f>
        <v/>
      </c>
      <c r="G345" s="213">
        <f>if(or(eq(Accounts!I317,"No Valet"),eq(Accounts!I317,"Has Valet")), F345 * AVERAGE(Accounts!I$2:I$34),F345*Accounts!I317)</f>
        <v/>
      </c>
      <c r="H345" s="213">
        <f>iferror(G345*360,"")</f>
        <v/>
      </c>
      <c r="I345" s="213">
        <f>H345*0.1</f>
        <v/>
      </c>
    </row>
    <row r="346" ht="54.75" customHeight="1" s="222">
      <c r="A346" s="210">
        <f>Accounts!A321</f>
        <v/>
      </c>
      <c r="B346" s="141">
        <f>Accounts!J318</f>
        <v/>
      </c>
      <c r="C346" s="211" t="n">
        <v>0.6</v>
      </c>
      <c r="D346" s="212">
        <f>Accounts!J318*C346</f>
        <v/>
      </c>
      <c r="E346" s="211" t="n">
        <v>0.4</v>
      </c>
      <c r="F346" s="212">
        <f>D346*E346</f>
        <v/>
      </c>
      <c r="G346" s="213">
        <f>if(or(eq(Accounts!I318,"No Valet"),eq(Accounts!I318,"Has Valet")), F346 * AVERAGE(Accounts!I$2:I$34),F346*Accounts!I318)</f>
        <v/>
      </c>
      <c r="H346" s="213">
        <f>iferror(G346*360,"")</f>
        <v/>
      </c>
      <c r="I346" s="213">
        <f>H346*0.1</f>
        <v/>
      </c>
    </row>
    <row r="347" ht="54.75" customHeight="1" s="222">
      <c r="A347" s="210">
        <f>Accounts!A322</f>
        <v/>
      </c>
      <c r="B347" s="141">
        <f>Accounts!J319</f>
        <v/>
      </c>
      <c r="C347" s="211" t="n">
        <v>0.6</v>
      </c>
      <c r="D347" s="212">
        <f>Accounts!J319*C347</f>
        <v/>
      </c>
      <c r="E347" s="211" t="n">
        <v>0.4</v>
      </c>
      <c r="F347" s="212">
        <f>D347*E347</f>
        <v/>
      </c>
      <c r="G347" s="213">
        <f>if(or(eq(Accounts!I319,"No Valet"),eq(Accounts!I319,"Has Valet")), F347 * AVERAGE(Accounts!I$2:I$34),F347*Accounts!I319)</f>
        <v/>
      </c>
      <c r="H347" s="213">
        <f>iferror(G347*360,"")</f>
        <v/>
      </c>
      <c r="I347" s="213">
        <f>H347*0.1</f>
        <v/>
      </c>
    </row>
    <row r="348" ht="54.75" customHeight="1" s="222">
      <c r="A348" s="210">
        <f>Accounts!A323</f>
        <v/>
      </c>
      <c r="B348" s="141">
        <f>Accounts!J320</f>
        <v/>
      </c>
      <c r="C348" s="211" t="n">
        <v>0.6</v>
      </c>
      <c r="D348" s="212">
        <f>Accounts!J320*C348</f>
        <v/>
      </c>
      <c r="E348" s="211" t="n">
        <v>0.4</v>
      </c>
      <c r="F348" s="212">
        <f>D348*E348</f>
        <v/>
      </c>
      <c r="G348" s="213">
        <f>if(or(eq(Accounts!I320,"No Valet"),eq(Accounts!I320,"Has Valet")), F348 * AVERAGE(Accounts!I$2:I$34),F348*Accounts!I320)</f>
        <v/>
      </c>
      <c r="H348" s="213">
        <f>iferror(G348*360,"")</f>
        <v/>
      </c>
      <c r="I348" s="213">
        <f>H348*0.1</f>
        <v/>
      </c>
    </row>
    <row r="349" ht="54.75" customHeight="1" s="222">
      <c r="A349" s="210">
        <f>Accounts!A324</f>
        <v/>
      </c>
      <c r="B349" s="141">
        <f>Accounts!J321</f>
        <v/>
      </c>
      <c r="C349" s="211" t="n">
        <v>0.6</v>
      </c>
      <c r="D349" s="212">
        <f>Accounts!J321*C349</f>
        <v/>
      </c>
      <c r="E349" s="211" t="n">
        <v>0.4</v>
      </c>
      <c r="F349" s="212">
        <f>D349*E349</f>
        <v/>
      </c>
      <c r="G349" s="213">
        <f>if(or(eq(Accounts!I321,"No Valet"),eq(Accounts!I321,"Has Valet")), F349 * AVERAGE(Accounts!I$2:I$34),F349*Accounts!I321)</f>
        <v/>
      </c>
      <c r="H349" s="213">
        <f>iferror(G349*360,"")</f>
        <v/>
      </c>
      <c r="I349" s="213">
        <f>H349*0.1</f>
        <v/>
      </c>
    </row>
    <row r="350" ht="54.75" customHeight="1" s="222">
      <c r="A350" s="210">
        <f>Accounts!A325</f>
        <v/>
      </c>
      <c r="B350" s="141">
        <f>Accounts!J322</f>
        <v/>
      </c>
      <c r="C350" s="211" t="n">
        <v>0.6</v>
      </c>
      <c r="D350" s="212">
        <f>Accounts!J322*C350</f>
        <v/>
      </c>
      <c r="E350" s="211" t="n">
        <v>0.4</v>
      </c>
      <c r="F350" s="212">
        <f>D350*E350</f>
        <v/>
      </c>
      <c r="G350" s="213">
        <f>if(or(eq(Accounts!I322,"No Valet"),eq(Accounts!I322,"Has Valet")), F350 * AVERAGE(Accounts!I$2:I$34),F350*Accounts!I322)</f>
        <v/>
      </c>
      <c r="H350" s="213">
        <f>iferror(G350*360,"")</f>
        <v/>
      </c>
      <c r="I350" s="213">
        <f>H350*0.1</f>
        <v/>
      </c>
    </row>
    <row r="351" ht="54.75" customHeight="1" s="222">
      <c r="A351" s="210">
        <f>Accounts!A326</f>
        <v/>
      </c>
      <c r="B351" s="141">
        <f>Accounts!J323</f>
        <v/>
      </c>
      <c r="C351" s="211" t="n">
        <v>0.6</v>
      </c>
      <c r="D351" s="212">
        <f>Accounts!J323*C351</f>
        <v/>
      </c>
      <c r="E351" s="211" t="n">
        <v>0.4</v>
      </c>
      <c r="F351" s="212">
        <f>D351*E351</f>
        <v/>
      </c>
      <c r="G351" s="213">
        <f>if(or(eq(Accounts!I323,"No Valet"),eq(Accounts!I323,"Has Valet")), F351 * AVERAGE(Accounts!I$2:I$34),F351*Accounts!I323)</f>
        <v/>
      </c>
      <c r="H351" s="213">
        <f>iferror(G351*360,"")</f>
        <v/>
      </c>
      <c r="I351" s="213">
        <f>H351*0.1</f>
        <v/>
      </c>
    </row>
    <row r="352" ht="54.75" customHeight="1" s="222">
      <c r="A352" s="210">
        <f>Accounts!A327</f>
        <v/>
      </c>
      <c r="B352" s="141">
        <f>Accounts!J324</f>
        <v/>
      </c>
      <c r="C352" s="211" t="n">
        <v>0.6</v>
      </c>
      <c r="D352" s="212">
        <f>Accounts!J324*C352</f>
        <v/>
      </c>
      <c r="E352" s="211" t="n">
        <v>0.4</v>
      </c>
      <c r="F352" s="212">
        <f>D352*E352</f>
        <v/>
      </c>
      <c r="G352" s="213">
        <f>if(or(eq(Accounts!I324,"No Valet"),eq(Accounts!I324,"Has Valet")), F352 * AVERAGE(Accounts!I$2:I$34),F352*Accounts!I324)</f>
        <v/>
      </c>
      <c r="H352" s="213">
        <f>iferror(G352*360,"")</f>
        <v/>
      </c>
      <c r="I352" s="213">
        <f>H352*0.1</f>
        <v/>
      </c>
    </row>
    <row r="353" ht="54.75" customHeight="1" s="222">
      <c r="A353" s="210">
        <f>Accounts!A328</f>
        <v/>
      </c>
      <c r="B353" s="141">
        <f>Accounts!J325</f>
        <v/>
      </c>
      <c r="C353" s="211" t="n">
        <v>0.6</v>
      </c>
      <c r="D353" s="212">
        <f>Accounts!J325*C353</f>
        <v/>
      </c>
      <c r="E353" s="211" t="n">
        <v>0.4</v>
      </c>
      <c r="F353" s="212">
        <f>D353*E353</f>
        <v/>
      </c>
      <c r="G353" s="213">
        <f>if(or(eq(Accounts!I325,"No Valet"),eq(Accounts!I325,"Has Valet")), F353 * AVERAGE(Accounts!I$2:I$34),F353*Accounts!I325)</f>
        <v/>
      </c>
      <c r="H353" s="213">
        <f>iferror(G353*360,"")</f>
        <v/>
      </c>
      <c r="I353" s="213">
        <f>H353*0.1</f>
        <v/>
      </c>
    </row>
    <row r="354" ht="54.75" customHeight="1" s="222">
      <c r="A354" s="210">
        <f>Accounts!A329</f>
        <v/>
      </c>
      <c r="B354" s="141">
        <f>Accounts!J326</f>
        <v/>
      </c>
      <c r="C354" s="211" t="n">
        <v>0.6</v>
      </c>
      <c r="D354" s="212">
        <f>Accounts!J326*C354</f>
        <v/>
      </c>
      <c r="E354" s="211" t="n">
        <v>0.4</v>
      </c>
      <c r="F354" s="212">
        <f>D354*E354</f>
        <v/>
      </c>
      <c r="G354" s="213">
        <f>if(or(eq(Accounts!I326,"No Valet"),eq(Accounts!I326,"Has Valet")), F354 * AVERAGE(Accounts!I$2:I$34),F354*Accounts!I326)</f>
        <v/>
      </c>
      <c r="H354" s="213">
        <f>iferror(G354*360,"")</f>
        <v/>
      </c>
      <c r="I354" s="213">
        <f>H354*0.1</f>
        <v/>
      </c>
    </row>
    <row r="355" ht="54.75" customHeight="1" s="222">
      <c r="A355" s="210">
        <f>Accounts!A330</f>
        <v/>
      </c>
      <c r="B355" s="141">
        <f>Accounts!J327</f>
        <v/>
      </c>
      <c r="C355" s="211" t="n">
        <v>0.6</v>
      </c>
      <c r="D355" s="212">
        <f>Accounts!J327*C355</f>
        <v/>
      </c>
      <c r="E355" s="211" t="n">
        <v>0.4</v>
      </c>
      <c r="F355" s="212">
        <f>D355*E355</f>
        <v/>
      </c>
      <c r="G355" s="213">
        <f>if(or(eq(Accounts!I327,"No Valet"),eq(Accounts!I327,"Has Valet")), F355 * AVERAGE(Accounts!I$2:I$34),F355*Accounts!I327)</f>
        <v/>
      </c>
      <c r="H355" s="213">
        <f>iferror(G355*360,"")</f>
        <v/>
      </c>
      <c r="I355" s="213">
        <f>H355*0.1</f>
        <v/>
      </c>
    </row>
    <row r="356" ht="54.75" customHeight="1" s="222">
      <c r="A356" s="210">
        <f>Accounts!A331</f>
        <v/>
      </c>
      <c r="B356" s="141">
        <f>Accounts!J328</f>
        <v/>
      </c>
      <c r="C356" s="211" t="n">
        <v>0.6</v>
      </c>
      <c r="D356" s="212">
        <f>Accounts!J328*C356</f>
        <v/>
      </c>
      <c r="E356" s="211" t="n">
        <v>0.4</v>
      </c>
      <c r="F356" s="212">
        <f>D356*E356</f>
        <v/>
      </c>
      <c r="G356" s="213">
        <f>if(or(eq(Accounts!I328,"No Valet"),eq(Accounts!I328,"Has Valet")), F356 * AVERAGE(Accounts!I$2:I$34),F356*Accounts!I328)</f>
        <v/>
      </c>
      <c r="H356" s="213">
        <f>iferror(G356*360,"")</f>
        <v/>
      </c>
      <c r="I356" s="213">
        <f>H356*0.1</f>
        <v/>
      </c>
    </row>
    <row r="357" ht="54.75" customHeight="1" s="222">
      <c r="A357" s="210">
        <f>Accounts!A332</f>
        <v/>
      </c>
      <c r="B357" s="141">
        <f>Accounts!J329</f>
        <v/>
      </c>
      <c r="C357" s="211" t="n">
        <v>0.6</v>
      </c>
      <c r="D357" s="212">
        <f>Accounts!J329*C357</f>
        <v/>
      </c>
      <c r="E357" s="211" t="n">
        <v>0.4</v>
      </c>
      <c r="F357" s="212">
        <f>D357*E357</f>
        <v/>
      </c>
      <c r="G357" s="213">
        <f>if(or(eq(Accounts!I329,"No Valet"),eq(Accounts!I329,"Has Valet")), F357 * AVERAGE(Accounts!I$2:I$34),F357*Accounts!I329)</f>
        <v/>
      </c>
      <c r="H357" s="213">
        <f>iferror(G357*360,"")</f>
        <v/>
      </c>
      <c r="I357" s="213">
        <f>H357*0.1</f>
        <v/>
      </c>
    </row>
    <row r="358" ht="54.75" customHeight="1" s="222">
      <c r="A358" s="210">
        <f>Accounts!A333</f>
        <v/>
      </c>
      <c r="B358" s="141">
        <f>Accounts!J330</f>
        <v/>
      </c>
      <c r="C358" s="211" t="n">
        <v>0.6</v>
      </c>
      <c r="D358" s="212">
        <f>Accounts!J330*C358</f>
        <v/>
      </c>
      <c r="E358" s="211" t="n">
        <v>0.4</v>
      </c>
      <c r="F358" s="212">
        <f>D358*E358</f>
        <v/>
      </c>
      <c r="G358" s="213">
        <f>if(or(eq(Accounts!I330,"No Valet"),eq(Accounts!I330,"Has Valet")), F358 * AVERAGE(Accounts!I$2:I$34),F358*Accounts!I330)</f>
        <v/>
      </c>
      <c r="H358" s="213">
        <f>iferror(G358*360,"")</f>
        <v/>
      </c>
      <c r="I358" s="213">
        <f>H358*0.1</f>
        <v/>
      </c>
    </row>
    <row r="359" ht="54.75" customHeight="1" s="222">
      <c r="A359" s="210">
        <f>Accounts!A334</f>
        <v/>
      </c>
      <c r="B359" s="141">
        <f>Accounts!J331</f>
        <v/>
      </c>
      <c r="C359" s="211" t="n">
        <v>0.6</v>
      </c>
      <c r="D359" s="212">
        <f>Accounts!J331*C359</f>
        <v/>
      </c>
      <c r="E359" s="211" t="n">
        <v>0.4</v>
      </c>
      <c r="F359" s="212">
        <f>D359*E359</f>
        <v/>
      </c>
      <c r="G359" s="213">
        <f>if(or(eq(Accounts!I331,"No Valet"),eq(Accounts!I331,"Has Valet")), F359 * AVERAGE(Accounts!I$2:I$34),F359*Accounts!I331)</f>
        <v/>
      </c>
      <c r="H359" s="213">
        <f>iferror(G359*360,"")</f>
        <v/>
      </c>
      <c r="I359" s="213">
        <f>H359*0.1</f>
        <v/>
      </c>
    </row>
    <row r="360" ht="54.75" customHeight="1" s="222">
      <c r="A360" s="210">
        <f>Accounts!A335</f>
        <v/>
      </c>
      <c r="B360" s="141">
        <f>Accounts!J332</f>
        <v/>
      </c>
      <c r="C360" s="211" t="n">
        <v>0.6</v>
      </c>
      <c r="D360" s="212">
        <f>Accounts!J332*C360</f>
        <v/>
      </c>
      <c r="E360" s="211" t="n">
        <v>0.4</v>
      </c>
      <c r="F360" s="212">
        <f>D360*E360</f>
        <v/>
      </c>
      <c r="G360" s="213">
        <f>if(or(eq(Accounts!I332,"No Valet"),eq(Accounts!I332,"Has Valet")), F360 * AVERAGE(Accounts!I$2:I$34),F360*Accounts!I332)</f>
        <v/>
      </c>
      <c r="H360" s="213">
        <f>iferror(G360*360,"")</f>
        <v/>
      </c>
      <c r="I360" s="213">
        <f>H360*0.1</f>
        <v/>
      </c>
    </row>
    <row r="361" ht="54.75" customHeight="1" s="222">
      <c r="A361" s="210">
        <f>Accounts!A336</f>
        <v/>
      </c>
      <c r="B361" s="141">
        <f>Accounts!J333</f>
        <v/>
      </c>
      <c r="C361" s="211" t="n">
        <v>0.6</v>
      </c>
      <c r="D361" s="212">
        <f>Accounts!J333*C361</f>
        <v/>
      </c>
      <c r="E361" s="211" t="n">
        <v>0.4</v>
      </c>
      <c r="F361" s="212">
        <f>D361*E361</f>
        <v/>
      </c>
      <c r="G361" s="213">
        <f>if(or(eq(Accounts!I333,"No Valet"),eq(Accounts!I333,"Has Valet")), F361 * AVERAGE(Accounts!I$2:I$34),F361*Accounts!I333)</f>
        <v/>
      </c>
      <c r="H361" s="213">
        <f>iferror(G361*360,"")</f>
        <v/>
      </c>
      <c r="I361" s="213">
        <f>H361*0.1</f>
        <v/>
      </c>
    </row>
    <row r="362" ht="54.75" customHeight="1" s="222">
      <c r="A362" s="210">
        <f>Accounts!A337</f>
        <v/>
      </c>
      <c r="B362" s="141">
        <f>Accounts!J334</f>
        <v/>
      </c>
      <c r="C362" s="211" t="n">
        <v>0.6</v>
      </c>
      <c r="D362" s="212">
        <f>Accounts!J334*C362</f>
        <v/>
      </c>
      <c r="E362" s="211" t="n">
        <v>0.4</v>
      </c>
      <c r="F362" s="212">
        <f>D362*E362</f>
        <v/>
      </c>
      <c r="G362" s="213">
        <f>if(or(eq(Accounts!I334,"No Valet"),eq(Accounts!I334,"Has Valet")), F362 * AVERAGE(Accounts!I$2:I$34),F362*Accounts!I334)</f>
        <v/>
      </c>
      <c r="H362" s="213">
        <f>iferror(G362*360,"")</f>
        <v/>
      </c>
      <c r="I362" s="213">
        <f>H362*0.1</f>
        <v/>
      </c>
    </row>
    <row r="363" ht="54.75" customHeight="1" s="222">
      <c r="A363" s="210">
        <f>Accounts!A338</f>
        <v/>
      </c>
      <c r="B363" s="141">
        <f>Accounts!J335</f>
        <v/>
      </c>
      <c r="C363" s="211" t="n">
        <v>0.6</v>
      </c>
      <c r="D363" s="212">
        <f>Accounts!J335*C363</f>
        <v/>
      </c>
      <c r="E363" s="211" t="n">
        <v>0.4</v>
      </c>
      <c r="F363" s="212">
        <f>D363*E363</f>
        <v/>
      </c>
      <c r="G363" s="213">
        <f>if(or(eq(Accounts!I335,"No Valet"),eq(Accounts!I335,"Has Valet")), F363 * AVERAGE(Accounts!I$2:I$34),F363*Accounts!I335)</f>
        <v/>
      </c>
      <c r="H363" s="213">
        <f>iferror(G363*360,"")</f>
        <v/>
      </c>
      <c r="I363" s="213">
        <f>H363*0.1</f>
        <v/>
      </c>
    </row>
    <row r="364" ht="54.75" customHeight="1" s="222">
      <c r="A364" s="210">
        <f>Accounts!A339</f>
        <v/>
      </c>
      <c r="B364" s="141">
        <f>Accounts!J336</f>
        <v/>
      </c>
      <c r="C364" s="211" t="n">
        <v>0.6</v>
      </c>
      <c r="D364" s="212">
        <f>Accounts!J336*C364</f>
        <v/>
      </c>
      <c r="E364" s="211" t="n">
        <v>0.4</v>
      </c>
      <c r="F364" s="212">
        <f>D364*E364</f>
        <v/>
      </c>
      <c r="G364" s="213">
        <f>if(or(eq(Accounts!I336,"No Valet"),eq(Accounts!I336,"Has Valet")), F364 * AVERAGE(Accounts!I$2:I$34),F364*Accounts!I336)</f>
        <v/>
      </c>
      <c r="H364" s="213">
        <f>iferror(G364*360,"")</f>
        <v/>
      </c>
      <c r="I364" s="213">
        <f>H364*0.1</f>
        <v/>
      </c>
    </row>
    <row r="365" ht="54.75" customHeight="1" s="222">
      <c r="A365" s="210">
        <f>Accounts!A340</f>
        <v/>
      </c>
      <c r="B365" s="141">
        <f>Accounts!J337</f>
        <v/>
      </c>
      <c r="C365" s="211" t="n">
        <v>0.6</v>
      </c>
      <c r="D365" s="212">
        <f>Accounts!J337*C365</f>
        <v/>
      </c>
      <c r="E365" s="211" t="n">
        <v>0.4</v>
      </c>
      <c r="F365" s="212">
        <f>D365*E365</f>
        <v/>
      </c>
      <c r="G365" s="213">
        <f>if(or(eq(Accounts!I337,"No Valet"),eq(Accounts!I337,"Has Valet")), F365 * AVERAGE(Accounts!I$2:I$34),F365*Accounts!I337)</f>
        <v/>
      </c>
      <c r="H365" s="213">
        <f>iferror(G365*360,"")</f>
        <v/>
      </c>
      <c r="I365" s="213">
        <f>H365*0.1</f>
        <v/>
      </c>
    </row>
    <row r="366" ht="54.75" customHeight="1" s="222">
      <c r="A366" s="210">
        <f>#REF!</f>
        <v/>
      </c>
      <c r="B366" s="141">
        <f>Accounts!J338</f>
        <v/>
      </c>
      <c r="C366" s="211" t="n">
        <v>0.6</v>
      </c>
      <c r="D366" s="212">
        <f>Accounts!J338*C366</f>
        <v/>
      </c>
      <c r="E366" s="211" t="n">
        <v>0.4</v>
      </c>
      <c r="F366" s="212">
        <f>D366*E366</f>
        <v/>
      </c>
      <c r="G366" s="213">
        <f>if(or(eq(Accounts!I338,"No Valet"),eq(Accounts!I338,"Has Valet")), F366 * AVERAGE(Accounts!I$2:I$34),F366*Accounts!I338)</f>
        <v/>
      </c>
      <c r="H366" s="213">
        <f>iferror(G366*360,"")</f>
        <v/>
      </c>
      <c r="I366" s="213">
        <f>H366*0.1</f>
        <v/>
      </c>
    </row>
    <row r="367" ht="54.75" customHeight="1" s="222">
      <c r="A367" s="210">
        <f>Accounts!A341</f>
        <v/>
      </c>
      <c r="B367" s="141">
        <f>Accounts!J339</f>
        <v/>
      </c>
      <c r="C367" s="211" t="n">
        <v>0.6</v>
      </c>
      <c r="D367" s="212">
        <f>Accounts!J339*C367</f>
        <v/>
      </c>
      <c r="E367" s="211" t="n">
        <v>0.4</v>
      </c>
      <c r="F367" s="212">
        <f>D367*E367</f>
        <v/>
      </c>
      <c r="G367" s="213">
        <f>if(or(eq(Accounts!I339,"No Valet"),eq(Accounts!I339,"Has Valet")), F367 * AVERAGE(Accounts!I$2:I$34),F367*Accounts!I339)</f>
        <v/>
      </c>
      <c r="H367" s="213">
        <f>iferror(G367*360,"")</f>
        <v/>
      </c>
      <c r="I367" s="213">
        <f>H367*0.1</f>
        <v/>
      </c>
    </row>
    <row r="368" ht="54.75" customHeight="1" s="222">
      <c r="A368" s="210">
        <f>Accounts!A342</f>
        <v/>
      </c>
      <c r="B368" s="141">
        <f>Accounts!J340</f>
        <v/>
      </c>
      <c r="C368" s="211" t="n">
        <v>0.6</v>
      </c>
      <c r="D368" s="212">
        <f>Accounts!J340*C368</f>
        <v/>
      </c>
      <c r="E368" s="211" t="n">
        <v>0.4</v>
      </c>
      <c r="F368" s="212">
        <f>D368*E368</f>
        <v/>
      </c>
      <c r="G368" s="213">
        <f>if(or(eq(Accounts!I340,"No Valet"),eq(Accounts!I340,"Has Valet")), F368 * AVERAGE(Accounts!I$2:I$34),F368*Accounts!I340)</f>
        <v/>
      </c>
      <c r="H368" s="213">
        <f>iferror(G368*360,"")</f>
        <v/>
      </c>
      <c r="I368" s="213">
        <f>H368*0.1</f>
        <v/>
      </c>
    </row>
    <row r="369" ht="54.75" customHeight="1" s="222">
      <c r="A369" s="210">
        <f>Accounts!A343</f>
        <v/>
      </c>
      <c r="B369" s="141">
        <f>#REF!</f>
        <v/>
      </c>
      <c r="C369" s="211" t="n">
        <v>0.6</v>
      </c>
      <c r="D369" s="212">
        <f>#REF!*C369</f>
        <v/>
      </c>
      <c r="E369" s="211" t="n">
        <v>0.4</v>
      </c>
      <c r="F369" s="212">
        <f>D369*E369</f>
        <v/>
      </c>
      <c r="G369" s="213">
        <f>if(or(eq(#REF!,"No Valet"),eq(#REF!,"Has Valet")), F369 * AVERAGE(Accounts!I$2:I$34),F369*#REF!)</f>
        <v/>
      </c>
      <c r="H369" s="213">
        <f>iferror(G369*360,"")</f>
        <v/>
      </c>
      <c r="I369" s="213">
        <f>H369*0.1</f>
        <v/>
      </c>
    </row>
    <row r="370" ht="54.75" customHeight="1" s="222">
      <c r="A370" s="210">
        <f>Accounts!A344</f>
        <v/>
      </c>
      <c r="B370" s="141">
        <f>Accounts!J341</f>
        <v/>
      </c>
      <c r="C370" s="211" t="n">
        <v>0.6</v>
      </c>
      <c r="D370" s="212">
        <f>Accounts!J341*C370</f>
        <v/>
      </c>
      <c r="E370" s="211" t="n">
        <v>0.4</v>
      </c>
      <c r="F370" s="212">
        <f>D370*E370</f>
        <v/>
      </c>
      <c r="G370" s="213">
        <f>if(or(eq(Accounts!I341,"No Valet"),eq(Accounts!I341,"Has Valet")), F370 * AVERAGE(Accounts!I$2:I$34),F370*Accounts!I341)</f>
        <v/>
      </c>
      <c r="H370" s="213">
        <f>iferror(G370*360,"")</f>
        <v/>
      </c>
      <c r="I370" s="213">
        <f>H370*0.1</f>
        <v/>
      </c>
    </row>
    <row r="371" ht="54.75" customHeight="1" s="222">
      <c r="A371" s="210">
        <f>Accounts!A345</f>
        <v/>
      </c>
      <c r="B371" s="141">
        <f>Accounts!J342</f>
        <v/>
      </c>
      <c r="C371" s="211" t="n">
        <v>0.6</v>
      </c>
      <c r="D371" s="212">
        <f>Accounts!J342*C371</f>
        <v/>
      </c>
      <c r="E371" s="211" t="n">
        <v>0.4</v>
      </c>
      <c r="F371" s="212">
        <f>D371*E371</f>
        <v/>
      </c>
      <c r="G371" s="213">
        <f>if(or(eq(Accounts!I342,"No Valet"),eq(Accounts!I342,"Has Valet")), F371 * AVERAGE(Accounts!I$2:I$34),F371*Accounts!I342)</f>
        <v/>
      </c>
      <c r="H371" s="213">
        <f>iferror(G371*360,"")</f>
        <v/>
      </c>
      <c r="I371" s="213">
        <f>H371*0.1</f>
        <v/>
      </c>
    </row>
    <row r="372" ht="54.75" customHeight="1" s="222">
      <c r="A372" s="210">
        <f>#REF!</f>
        <v/>
      </c>
      <c r="B372" s="141">
        <f>Accounts!J343</f>
        <v/>
      </c>
      <c r="C372" s="211" t="n">
        <v>0.6</v>
      </c>
      <c r="D372" s="212">
        <f>Accounts!J343*C372</f>
        <v/>
      </c>
      <c r="E372" s="211" t="n">
        <v>0.4</v>
      </c>
      <c r="F372" s="212">
        <f>D372*E372</f>
        <v/>
      </c>
      <c r="G372" s="213">
        <f>if(or(eq(Accounts!I343,"No Valet"),eq(Accounts!I343,"Has Valet")), F372 * AVERAGE(Accounts!I$2:I$34),F372*Accounts!I343)</f>
        <v/>
      </c>
      <c r="H372" s="213">
        <f>iferror(G372*360,"")</f>
        <v/>
      </c>
      <c r="I372" s="213">
        <f>H372*0.1</f>
        <v/>
      </c>
    </row>
    <row r="373" ht="54.75" customHeight="1" s="222">
      <c r="A373" s="210">
        <f>Accounts!A346</f>
        <v/>
      </c>
      <c r="B373" s="141">
        <f>Accounts!J344</f>
        <v/>
      </c>
      <c r="C373" s="211" t="n">
        <v>0.6</v>
      </c>
      <c r="D373" s="212">
        <f>Accounts!J344*C373</f>
        <v/>
      </c>
      <c r="E373" s="211" t="n">
        <v>0.4</v>
      </c>
      <c r="F373" s="212">
        <f>D373*E373</f>
        <v/>
      </c>
      <c r="G373" s="213">
        <f>if(or(eq(Accounts!I344,"No Valet"),eq(Accounts!I344,"Has Valet")), F373 * AVERAGE(Accounts!I$2:I$34),F373*Accounts!I344)</f>
        <v/>
      </c>
      <c r="H373" s="213">
        <f>iferror(G373*360,"")</f>
        <v/>
      </c>
      <c r="I373" s="213">
        <f>H373*0.1</f>
        <v/>
      </c>
    </row>
    <row r="374" ht="54.75" customHeight="1" s="222">
      <c r="A374" s="210">
        <f>Accounts!A347</f>
        <v/>
      </c>
      <c r="B374" s="141">
        <f>Accounts!J345</f>
        <v/>
      </c>
      <c r="C374" s="211" t="n">
        <v>0.6</v>
      </c>
      <c r="D374" s="212">
        <f>Accounts!J345*C374</f>
        <v/>
      </c>
      <c r="E374" s="211" t="n">
        <v>0.4</v>
      </c>
      <c r="F374" s="212">
        <f>D374*E374</f>
        <v/>
      </c>
      <c r="G374" s="213">
        <f>if(or(eq(Accounts!I345,"No Valet"),eq(Accounts!I345,"Has Valet")), F374 * AVERAGE(Accounts!I$2:I$34),F374*Accounts!I345)</f>
        <v/>
      </c>
      <c r="H374" s="213">
        <f>iferror(G374*360,"")</f>
        <v/>
      </c>
      <c r="I374" s="213">
        <f>H374*0.1</f>
        <v/>
      </c>
    </row>
    <row r="375" ht="54.75" customHeight="1" s="222">
      <c r="A375" s="210">
        <f>Accounts!A348</f>
        <v/>
      </c>
      <c r="B375" s="141">
        <f>#REF!</f>
        <v/>
      </c>
      <c r="C375" s="211" t="n">
        <v>0.6</v>
      </c>
      <c r="D375" s="212">
        <f>#REF!*C375</f>
        <v/>
      </c>
      <c r="E375" s="211" t="n">
        <v>0.4</v>
      </c>
      <c r="F375" s="212">
        <f>D375*E375</f>
        <v/>
      </c>
      <c r="G375" s="213">
        <f>if(or(eq(#REF!,"No Valet"),eq(#REF!,"Has Valet")), F375 * AVERAGE(Accounts!I$2:I$34),F375*#REF!)</f>
        <v/>
      </c>
      <c r="H375" s="213">
        <f>iferror(G375*360,"")</f>
        <v/>
      </c>
      <c r="I375" s="213">
        <f>H375*0.1</f>
        <v/>
      </c>
    </row>
    <row r="376" ht="54.75" customHeight="1" s="222">
      <c r="A376" s="210">
        <f>Accounts!A349</f>
        <v/>
      </c>
      <c r="B376" s="141">
        <f>Accounts!J346</f>
        <v/>
      </c>
      <c r="C376" s="211" t="n">
        <v>0.6</v>
      </c>
      <c r="D376" s="212">
        <f>Accounts!J346*C376</f>
        <v/>
      </c>
      <c r="E376" s="211" t="n">
        <v>0.4</v>
      </c>
      <c r="F376" s="212">
        <f>D376*E376</f>
        <v/>
      </c>
      <c r="G376" s="213">
        <f>if(or(eq(Accounts!I346,"No Valet"),eq(Accounts!I346,"Has Valet")), F376 * AVERAGE(Accounts!I$2:I$34),F376*Accounts!I346)</f>
        <v/>
      </c>
      <c r="H376" s="213">
        <f>iferror(G376*360,"")</f>
        <v/>
      </c>
      <c r="I376" s="213">
        <f>H376*0.1</f>
        <v/>
      </c>
    </row>
    <row r="377" ht="54.75" customHeight="1" s="222">
      <c r="A377" s="210">
        <f>Accounts!A350</f>
        <v/>
      </c>
      <c r="B377" s="141">
        <f>Accounts!J347</f>
        <v/>
      </c>
      <c r="C377" s="211" t="n">
        <v>0.6</v>
      </c>
      <c r="D377" s="212">
        <f>Accounts!J347*C377</f>
        <v/>
      </c>
      <c r="E377" s="211" t="n">
        <v>0.4</v>
      </c>
      <c r="F377" s="212">
        <f>D377*E377</f>
        <v/>
      </c>
      <c r="G377" s="213">
        <f>if(or(eq(Accounts!I347,"No Valet"),eq(Accounts!I347,"Has Valet")), F377 * AVERAGE(Accounts!I$2:I$34),F377*Accounts!I347)</f>
        <v/>
      </c>
      <c r="H377" s="213">
        <f>iferror(G377*360,"")</f>
        <v/>
      </c>
      <c r="I377" s="213">
        <f>H377*0.1</f>
        <v/>
      </c>
    </row>
    <row r="378" ht="54.75" customHeight="1" s="222">
      <c r="A378" s="210">
        <f>Accounts!A351</f>
        <v/>
      </c>
      <c r="B378" s="141">
        <f>Accounts!J348</f>
        <v/>
      </c>
      <c r="C378" s="211" t="n">
        <v>0.6</v>
      </c>
      <c r="D378" s="212">
        <f>Accounts!J348*C378</f>
        <v/>
      </c>
      <c r="E378" s="211" t="n">
        <v>0.4</v>
      </c>
      <c r="F378" s="212">
        <f>D378*E378</f>
        <v/>
      </c>
      <c r="G378" s="213">
        <f>if(or(eq(Accounts!I348,"No Valet"),eq(Accounts!I348,"Has Valet")), F378 * AVERAGE(Accounts!I$2:I$34),F378*Accounts!I348)</f>
        <v/>
      </c>
      <c r="H378" s="213">
        <f>iferror(G378*360,"")</f>
        <v/>
      </c>
      <c r="I378" s="213">
        <f>H378*0.1</f>
        <v/>
      </c>
    </row>
    <row r="379" ht="54.75" customHeight="1" s="222">
      <c r="A379" s="210">
        <f>Accounts!A352</f>
        <v/>
      </c>
      <c r="B379" s="141">
        <f>Accounts!J349</f>
        <v/>
      </c>
      <c r="C379" s="211" t="n">
        <v>0.6</v>
      </c>
      <c r="D379" s="212">
        <f>Accounts!J349*C379</f>
        <v/>
      </c>
      <c r="E379" s="211" t="n">
        <v>0.4</v>
      </c>
      <c r="F379" s="212">
        <f>D379*E379</f>
        <v/>
      </c>
      <c r="G379" s="213">
        <f>if(or(eq(Accounts!I349,"No Valet"),eq(Accounts!I349,"Has Valet")), F379 * AVERAGE(Accounts!I$2:I$34),F379*Accounts!I349)</f>
        <v/>
      </c>
      <c r="H379" s="213">
        <f>iferror(G379*360,"")</f>
        <v/>
      </c>
      <c r="I379" s="213">
        <f>H379*0.1</f>
        <v/>
      </c>
    </row>
    <row r="380" ht="54.75" customHeight="1" s="222">
      <c r="A380" s="210">
        <f>Accounts!A353</f>
        <v/>
      </c>
      <c r="B380" s="141">
        <f>Accounts!J350</f>
        <v/>
      </c>
      <c r="C380" s="211" t="n">
        <v>0.6</v>
      </c>
      <c r="D380" s="212">
        <f>Accounts!J350*C380</f>
        <v/>
      </c>
      <c r="E380" s="211" t="n">
        <v>0.4</v>
      </c>
      <c r="F380" s="212">
        <f>D380*E380</f>
        <v/>
      </c>
      <c r="G380" s="213">
        <f>if(or(eq(Accounts!I350,"No Valet"),eq(Accounts!I350,"Has Valet")), F380 * AVERAGE(Accounts!I$2:I$34),F380*Accounts!I350)</f>
        <v/>
      </c>
      <c r="H380" s="213">
        <f>iferror(G380*360,"")</f>
        <v/>
      </c>
      <c r="I380" s="213">
        <f>H380*0.1</f>
        <v/>
      </c>
    </row>
    <row r="381" ht="54.75" customHeight="1" s="222">
      <c r="A381" s="210">
        <f>Accounts!A354</f>
        <v/>
      </c>
      <c r="B381" s="141">
        <f>Accounts!J351</f>
        <v/>
      </c>
      <c r="C381" s="211" t="n">
        <v>0.6</v>
      </c>
      <c r="D381" s="212">
        <f>Accounts!J351*C381</f>
        <v/>
      </c>
      <c r="E381" s="211" t="n">
        <v>0.4</v>
      </c>
      <c r="F381" s="212">
        <f>D381*E381</f>
        <v/>
      </c>
      <c r="G381" s="213">
        <f>if(or(eq(Accounts!I351,"No Valet"),eq(Accounts!I351,"Has Valet")), F381 * AVERAGE(Accounts!I$2:I$34),F381*Accounts!I351)</f>
        <v/>
      </c>
      <c r="H381" s="213">
        <f>iferror(G381*360,"")</f>
        <v/>
      </c>
      <c r="I381" s="213">
        <f>H381*0.1</f>
        <v/>
      </c>
    </row>
    <row r="382" ht="54.75" customHeight="1" s="222">
      <c r="A382" s="210">
        <f>Accounts!A355</f>
        <v/>
      </c>
      <c r="B382" s="141">
        <f>Accounts!J352</f>
        <v/>
      </c>
      <c r="C382" s="211" t="n">
        <v>0.6</v>
      </c>
      <c r="D382" s="212">
        <f>Accounts!J352*C382</f>
        <v/>
      </c>
      <c r="E382" s="211" t="n">
        <v>0.4</v>
      </c>
      <c r="F382" s="212">
        <f>D382*E382</f>
        <v/>
      </c>
      <c r="G382" s="213">
        <f>if(or(eq(Accounts!I352,"No Valet"),eq(Accounts!I352,"Has Valet")), F382 * AVERAGE(Accounts!I$2:I$34),F382*Accounts!I352)</f>
        <v/>
      </c>
      <c r="H382" s="213">
        <f>iferror(G382*360,"")</f>
        <v/>
      </c>
      <c r="I382" s="213">
        <f>H382*0.1</f>
        <v/>
      </c>
    </row>
    <row r="383" ht="54.75" customHeight="1" s="222">
      <c r="A383" s="210">
        <f>Accounts!A356</f>
        <v/>
      </c>
      <c r="B383" s="141">
        <f>Accounts!J353</f>
        <v/>
      </c>
      <c r="C383" s="211" t="n">
        <v>0.6</v>
      </c>
      <c r="D383" s="212">
        <f>Accounts!J353*C383</f>
        <v/>
      </c>
      <c r="E383" s="211" t="n">
        <v>0.4</v>
      </c>
      <c r="F383" s="212">
        <f>D383*E383</f>
        <v/>
      </c>
      <c r="G383" s="213">
        <f>if(or(eq(Accounts!I353,"No Valet"),eq(Accounts!I353,"Has Valet")), F383 * AVERAGE(Accounts!I$2:I$34),F383*Accounts!I353)</f>
        <v/>
      </c>
      <c r="H383" s="213">
        <f>iferror(G383*360,"")</f>
        <v/>
      </c>
      <c r="I383" s="213">
        <f>H383*0.1</f>
        <v/>
      </c>
    </row>
    <row r="384" ht="54.75" customHeight="1" s="222">
      <c r="A384" s="210">
        <f>Accounts!A357</f>
        <v/>
      </c>
      <c r="B384" s="141">
        <f>Accounts!J354</f>
        <v/>
      </c>
      <c r="C384" s="211" t="n">
        <v>0.6</v>
      </c>
      <c r="D384" s="212">
        <f>Accounts!J354*C384</f>
        <v/>
      </c>
      <c r="E384" s="211" t="n">
        <v>0.4</v>
      </c>
      <c r="F384" s="212">
        <f>D384*E384</f>
        <v/>
      </c>
      <c r="G384" s="213">
        <f>if(or(eq(Accounts!I354,"No Valet"),eq(Accounts!I354,"Has Valet")), F384 * AVERAGE(Accounts!I$2:I$34),F384*Accounts!I354)</f>
        <v/>
      </c>
      <c r="H384" s="213">
        <f>iferror(G384*360,"")</f>
        <v/>
      </c>
      <c r="I384" s="213">
        <f>H384*0.1</f>
        <v/>
      </c>
    </row>
    <row r="385" ht="54.75" customHeight="1" s="222">
      <c r="A385" s="210">
        <f>Accounts!A358</f>
        <v/>
      </c>
      <c r="B385" s="141">
        <f>Accounts!J355</f>
        <v/>
      </c>
      <c r="C385" s="211" t="n">
        <v>0.6</v>
      </c>
      <c r="D385" s="212">
        <f>Accounts!J355*C385</f>
        <v/>
      </c>
      <c r="E385" s="211" t="n">
        <v>0.4</v>
      </c>
      <c r="F385" s="212">
        <f>D385*E385</f>
        <v/>
      </c>
      <c r="G385" s="213">
        <f>if(or(eq(Accounts!I355,"No Valet"),eq(Accounts!I355,"Has Valet")), F385 * AVERAGE(Accounts!I$2:I$34),F385*Accounts!I355)</f>
        <v/>
      </c>
      <c r="H385" s="213">
        <f>iferror(G385*360,"")</f>
        <v/>
      </c>
      <c r="I385" s="213">
        <f>H385*0.1</f>
        <v/>
      </c>
    </row>
    <row r="386" ht="54.75" customHeight="1" s="222">
      <c r="A386" s="210">
        <f>Accounts!A359</f>
        <v/>
      </c>
      <c r="B386" s="141">
        <f>Accounts!J356</f>
        <v/>
      </c>
      <c r="C386" s="211" t="n">
        <v>0.6</v>
      </c>
      <c r="D386" s="212">
        <f>Accounts!J356*C386</f>
        <v/>
      </c>
      <c r="E386" s="211" t="n">
        <v>0.4</v>
      </c>
      <c r="F386" s="212">
        <f>D386*E386</f>
        <v/>
      </c>
      <c r="G386" s="213">
        <f>if(or(eq(Accounts!I356,"No Valet"),eq(Accounts!I356,"Has Valet")), F386 * AVERAGE(Accounts!I$2:I$34),F386*Accounts!I356)</f>
        <v/>
      </c>
      <c r="H386" s="213">
        <f>iferror(G386*360,"")</f>
        <v/>
      </c>
      <c r="I386" s="213">
        <f>H386*0.1</f>
        <v/>
      </c>
    </row>
    <row r="387" ht="54.75" customHeight="1" s="222">
      <c r="A387" s="210">
        <f>Accounts!A360</f>
        <v/>
      </c>
      <c r="B387" s="141">
        <f>Accounts!J357</f>
        <v/>
      </c>
      <c r="C387" s="211" t="n">
        <v>0.6</v>
      </c>
      <c r="D387" s="212">
        <f>Accounts!J357*C387</f>
        <v/>
      </c>
      <c r="E387" s="211" t="n">
        <v>0.4</v>
      </c>
      <c r="F387" s="212">
        <f>D387*E387</f>
        <v/>
      </c>
      <c r="G387" s="213">
        <f>if(or(eq(Accounts!I357,"No Valet"),eq(Accounts!I357,"Has Valet")), F387 * AVERAGE(Accounts!I$2:I$34),F387*Accounts!I357)</f>
        <v/>
      </c>
      <c r="H387" s="213">
        <f>iferror(G387*360,"")</f>
        <v/>
      </c>
      <c r="I387" s="213">
        <f>H387*0.1</f>
        <v/>
      </c>
    </row>
    <row r="388" ht="54.75" customHeight="1" s="222">
      <c r="A388" s="210">
        <f>Accounts!A361</f>
        <v/>
      </c>
      <c r="B388" s="141">
        <f>Accounts!J358</f>
        <v/>
      </c>
      <c r="C388" s="211" t="n">
        <v>0.6</v>
      </c>
      <c r="D388" s="212">
        <f>Accounts!J358*C388</f>
        <v/>
      </c>
      <c r="E388" s="211" t="n">
        <v>0.4</v>
      </c>
      <c r="F388" s="212">
        <f>D388*E388</f>
        <v/>
      </c>
      <c r="G388" s="213">
        <f>if(or(eq(Accounts!I358,"No Valet"),eq(Accounts!I358,"Has Valet")), F388 * AVERAGE(Accounts!I$2:I$34),F388*Accounts!I358)</f>
        <v/>
      </c>
      <c r="H388" s="213">
        <f>iferror(G388*360,"")</f>
        <v/>
      </c>
      <c r="I388" s="213">
        <f>H388*0.1</f>
        <v/>
      </c>
    </row>
    <row r="389" ht="54.75" customHeight="1" s="222">
      <c r="A389" s="210">
        <f>Accounts!A362</f>
        <v/>
      </c>
      <c r="B389" s="141">
        <f>Accounts!J359</f>
        <v/>
      </c>
      <c r="C389" s="211" t="n">
        <v>0.6</v>
      </c>
      <c r="D389" s="212">
        <f>Accounts!J359*C389</f>
        <v/>
      </c>
      <c r="E389" s="211" t="n">
        <v>0.4</v>
      </c>
      <c r="F389" s="212">
        <f>D389*E389</f>
        <v/>
      </c>
      <c r="G389" s="213">
        <f>if(or(eq(Accounts!I359,"No Valet"),eq(Accounts!I359,"Has Valet")), F389 * AVERAGE(Accounts!I$2:I$34),F389*Accounts!I359)</f>
        <v/>
      </c>
      <c r="H389" s="213">
        <f>iferror(G389*360,"")</f>
        <v/>
      </c>
      <c r="I389" s="213">
        <f>H389*0.1</f>
        <v/>
      </c>
    </row>
    <row r="390" ht="54.75" customHeight="1" s="222">
      <c r="A390" s="210">
        <f>Accounts!A363</f>
        <v/>
      </c>
      <c r="B390" s="141">
        <f>Accounts!J360</f>
        <v/>
      </c>
      <c r="C390" s="211" t="n">
        <v>0.6</v>
      </c>
      <c r="D390" s="212">
        <f>Accounts!J360*C390</f>
        <v/>
      </c>
      <c r="E390" s="211" t="n">
        <v>0.4</v>
      </c>
      <c r="F390" s="212">
        <f>D390*E390</f>
        <v/>
      </c>
      <c r="G390" s="213">
        <f>if(or(eq(Accounts!I360,"No Valet"),eq(Accounts!I360,"Has Valet")), F390 * AVERAGE(Accounts!I$2:I$34),F390*Accounts!I360)</f>
        <v/>
      </c>
      <c r="H390" s="213">
        <f>iferror(G390*360,"")</f>
        <v/>
      </c>
      <c r="I390" s="213">
        <f>H390*0.1</f>
        <v/>
      </c>
    </row>
    <row r="391" ht="54.75" customHeight="1" s="222">
      <c r="A391" s="210">
        <f>Accounts!A364</f>
        <v/>
      </c>
      <c r="B391" s="141">
        <f>Accounts!J361</f>
        <v/>
      </c>
      <c r="C391" s="211" t="n">
        <v>0.6</v>
      </c>
      <c r="D391" s="212">
        <f>Accounts!J361*C391</f>
        <v/>
      </c>
      <c r="E391" s="211" t="n">
        <v>0.4</v>
      </c>
      <c r="F391" s="212">
        <f>D391*E391</f>
        <v/>
      </c>
      <c r="G391" s="213">
        <f>if(or(eq(Accounts!I361,"No Valet"),eq(Accounts!I361,"Has Valet")), F391 * AVERAGE(Accounts!I$2:I$34),F391*Accounts!I361)</f>
        <v/>
      </c>
      <c r="H391" s="213">
        <f>iferror(G391*360,"")</f>
        <v/>
      </c>
      <c r="I391" s="213">
        <f>H391*0.1</f>
        <v/>
      </c>
    </row>
    <row r="392" ht="54.75" customHeight="1" s="222">
      <c r="A392" s="210">
        <f>Accounts!A365</f>
        <v/>
      </c>
      <c r="B392" s="141">
        <f>Accounts!J362</f>
        <v/>
      </c>
      <c r="C392" s="211" t="n">
        <v>0.6</v>
      </c>
      <c r="D392" s="212">
        <f>Accounts!J362*C392</f>
        <v/>
      </c>
      <c r="E392" s="211" t="n">
        <v>0.4</v>
      </c>
      <c r="F392" s="212">
        <f>D392*E392</f>
        <v/>
      </c>
      <c r="G392" s="213">
        <f>if(or(eq(Accounts!I362,"No Valet"),eq(Accounts!I362,"Has Valet")), F392 * AVERAGE(Accounts!I$2:I$34),F392*Accounts!I362)</f>
        <v/>
      </c>
      <c r="H392" s="213">
        <f>iferror(G392*360,"")</f>
        <v/>
      </c>
      <c r="I392" s="213">
        <f>H392*0.1</f>
        <v/>
      </c>
    </row>
    <row r="393" ht="54.75" customHeight="1" s="222">
      <c r="A393" s="210">
        <f>Accounts!A366</f>
        <v/>
      </c>
      <c r="B393" s="141">
        <f>Accounts!J363</f>
        <v/>
      </c>
      <c r="C393" s="211" t="n">
        <v>0.6</v>
      </c>
      <c r="D393" s="212">
        <f>Accounts!J363*C393</f>
        <v/>
      </c>
      <c r="E393" s="211" t="n">
        <v>0.4</v>
      </c>
      <c r="F393" s="212">
        <f>D393*E393</f>
        <v/>
      </c>
      <c r="G393" s="213">
        <f>if(or(eq(Accounts!I363,"No Valet"),eq(Accounts!I363,"Has Valet")), F393 * AVERAGE(Accounts!I$2:I$34),F393*Accounts!I363)</f>
        <v/>
      </c>
      <c r="H393" s="213">
        <f>iferror(G393*360,"")</f>
        <v/>
      </c>
      <c r="I393" s="213">
        <f>H393*0.1</f>
        <v/>
      </c>
    </row>
    <row r="394" ht="54.75" customHeight="1" s="222">
      <c r="A394" s="210">
        <f>Accounts!A367</f>
        <v/>
      </c>
      <c r="B394" s="141">
        <f>Accounts!J364</f>
        <v/>
      </c>
      <c r="C394" s="211" t="n">
        <v>0.6</v>
      </c>
      <c r="D394" s="212">
        <f>Accounts!J364*C394</f>
        <v/>
      </c>
      <c r="E394" s="211" t="n">
        <v>0.4</v>
      </c>
      <c r="F394" s="212">
        <f>D394*E394</f>
        <v/>
      </c>
      <c r="G394" s="213">
        <f>if(or(eq(Accounts!I364,"No Valet"),eq(Accounts!I364,"Has Valet")), F394 * AVERAGE(Accounts!I$2:I$34),F394*Accounts!I364)</f>
        <v/>
      </c>
      <c r="H394" s="213">
        <f>iferror(G394*360,"")</f>
        <v/>
      </c>
      <c r="I394" s="213">
        <f>H394*0.1</f>
        <v/>
      </c>
    </row>
    <row r="395" ht="54.75" customHeight="1" s="222">
      <c r="A395" s="210">
        <f>Accounts!A368</f>
        <v/>
      </c>
      <c r="B395" s="141">
        <f>Accounts!J365</f>
        <v/>
      </c>
      <c r="C395" s="211" t="n">
        <v>0.6</v>
      </c>
      <c r="D395" s="212">
        <f>Accounts!J365*C395</f>
        <v/>
      </c>
      <c r="E395" s="211" t="n">
        <v>0.4</v>
      </c>
      <c r="F395" s="212">
        <f>D395*E395</f>
        <v/>
      </c>
      <c r="G395" s="213">
        <f>if(or(eq(Accounts!I365,"No Valet"),eq(Accounts!I365,"Has Valet")), F395 * AVERAGE(Accounts!I$2:I$34),F395*Accounts!I365)</f>
        <v/>
      </c>
      <c r="H395" s="213">
        <f>iferror(G395*360,"")</f>
        <v/>
      </c>
      <c r="I395" s="213">
        <f>H395*0.1</f>
        <v/>
      </c>
    </row>
    <row r="396" ht="54.75" customHeight="1" s="222">
      <c r="A396" s="210">
        <f>Accounts!A369</f>
        <v/>
      </c>
      <c r="B396" s="141">
        <f>Accounts!J366</f>
        <v/>
      </c>
      <c r="C396" s="211" t="n">
        <v>0.6</v>
      </c>
      <c r="D396" s="212">
        <f>Accounts!J366*C396</f>
        <v/>
      </c>
      <c r="E396" s="211" t="n">
        <v>0.4</v>
      </c>
      <c r="F396" s="212">
        <f>D396*E396</f>
        <v/>
      </c>
      <c r="G396" s="213">
        <f>if(or(eq(Accounts!I366,"No Valet"),eq(Accounts!I366,"Has Valet")), F396 * AVERAGE(Accounts!I$2:I$34),F396*Accounts!I366)</f>
        <v/>
      </c>
      <c r="H396" s="213">
        <f>iferror(G396*360,"")</f>
        <v/>
      </c>
      <c r="I396" s="213">
        <f>H396*0.1</f>
        <v/>
      </c>
    </row>
    <row r="397" ht="54.75" customHeight="1" s="222">
      <c r="A397" s="210">
        <f>Accounts!A370</f>
        <v/>
      </c>
      <c r="B397" s="141">
        <f>Accounts!J367</f>
        <v/>
      </c>
      <c r="C397" s="211" t="n">
        <v>0.6</v>
      </c>
      <c r="D397" s="212">
        <f>Accounts!J367*C397</f>
        <v/>
      </c>
      <c r="E397" s="211" t="n">
        <v>0.4</v>
      </c>
      <c r="F397" s="212">
        <f>D397*E397</f>
        <v/>
      </c>
      <c r="G397" s="213">
        <f>if(or(eq(Accounts!I367,"No Valet"),eq(Accounts!I367,"Has Valet")), F397 * AVERAGE(Accounts!I$2:I$34),F397*Accounts!I367)</f>
        <v/>
      </c>
      <c r="H397" s="213">
        <f>iferror(G397*360,"")</f>
        <v/>
      </c>
      <c r="I397" s="213">
        <f>H397*0.1</f>
        <v/>
      </c>
    </row>
    <row r="398" ht="54.75" customHeight="1" s="222">
      <c r="A398" s="210">
        <f>Accounts!A371</f>
        <v/>
      </c>
      <c r="B398" s="141">
        <f>Accounts!J368</f>
        <v/>
      </c>
      <c r="C398" s="211" t="n">
        <v>0.6</v>
      </c>
      <c r="D398" s="212">
        <f>Accounts!J368*C398</f>
        <v/>
      </c>
      <c r="E398" s="211" t="n">
        <v>0.4</v>
      </c>
      <c r="F398" s="212">
        <f>D398*E398</f>
        <v/>
      </c>
      <c r="G398" s="213">
        <f>if(or(eq(Accounts!I368,"No Valet"),eq(Accounts!I368,"Has Valet")), F398 * AVERAGE(Accounts!I$2:I$34),F398*Accounts!I368)</f>
        <v/>
      </c>
      <c r="H398" s="213">
        <f>iferror(G398*360,"")</f>
        <v/>
      </c>
      <c r="I398" s="213">
        <f>H398*0.1</f>
        <v/>
      </c>
    </row>
    <row r="399" ht="54.75" customHeight="1" s="222">
      <c r="A399" s="210">
        <f>Accounts!A372</f>
        <v/>
      </c>
      <c r="B399" s="141">
        <f>Accounts!J369</f>
        <v/>
      </c>
      <c r="C399" s="211" t="n">
        <v>0.6</v>
      </c>
      <c r="D399" s="212">
        <f>Accounts!J369*C399</f>
        <v/>
      </c>
      <c r="E399" s="211" t="n">
        <v>0.4</v>
      </c>
      <c r="F399" s="212">
        <f>D399*E399</f>
        <v/>
      </c>
      <c r="G399" s="213">
        <f>if(or(eq(Accounts!I369,"No Valet"),eq(Accounts!I369,"Has Valet")), F399 * AVERAGE(Accounts!I$2:I$34),F399*Accounts!I369)</f>
        <v/>
      </c>
      <c r="H399" s="213">
        <f>iferror(G399*360,"")</f>
        <v/>
      </c>
      <c r="I399" s="213">
        <f>H399*0.1</f>
        <v/>
      </c>
    </row>
    <row r="400" ht="54.75" customHeight="1" s="222">
      <c r="A400" s="210">
        <f>Accounts!A373</f>
        <v/>
      </c>
      <c r="B400" s="141">
        <f>Accounts!J370</f>
        <v/>
      </c>
      <c r="C400" s="211" t="n">
        <v>0.6</v>
      </c>
      <c r="D400" s="212">
        <f>Accounts!J370*C400</f>
        <v/>
      </c>
      <c r="E400" s="211" t="n">
        <v>0.4</v>
      </c>
      <c r="F400" s="212">
        <f>D400*E400</f>
        <v/>
      </c>
      <c r="G400" s="213">
        <f>if(or(eq(Accounts!I370,"No Valet"),eq(Accounts!I370,"Has Valet")), F400 * AVERAGE(Accounts!I$2:I$34),F400*Accounts!I370)</f>
        <v/>
      </c>
      <c r="H400" s="213">
        <f>iferror(G400*360,"")</f>
        <v/>
      </c>
      <c r="I400" s="213">
        <f>H400*0.1</f>
        <v/>
      </c>
    </row>
    <row r="401" ht="54.75" customHeight="1" s="222">
      <c r="A401" s="210">
        <f>Accounts!A446</f>
        <v/>
      </c>
      <c r="B401" s="141">
        <f>Accounts!J371</f>
        <v/>
      </c>
      <c r="C401" s="211" t="n">
        <v>0.6</v>
      </c>
      <c r="D401" s="212">
        <f>Accounts!J371*C401</f>
        <v/>
      </c>
      <c r="E401" s="211" t="n">
        <v>0.4</v>
      </c>
      <c r="F401" s="212">
        <f>D401*E401</f>
        <v/>
      </c>
      <c r="G401" s="213">
        <f>if(or(eq(Accounts!I371,"No Valet"),eq(Accounts!I371,"Has Valet")), F401 * AVERAGE(Accounts!I$2:I$34),F401*Accounts!I371)</f>
        <v/>
      </c>
      <c r="H401" s="213">
        <f>iferror(G401*360,"")</f>
        <v/>
      </c>
      <c r="I401" s="213">
        <f>H401*0.1</f>
        <v/>
      </c>
    </row>
    <row r="402" ht="54.75" customHeight="1" s="222">
      <c r="A402" s="210">
        <f>Accounts!A447</f>
        <v/>
      </c>
      <c r="B402" s="141">
        <f>Accounts!J372</f>
        <v/>
      </c>
      <c r="C402" s="211" t="n">
        <v>0.6</v>
      </c>
      <c r="D402" s="212">
        <f>Accounts!J372*C402</f>
        <v/>
      </c>
      <c r="E402" s="211" t="n">
        <v>0.4</v>
      </c>
      <c r="F402" s="212">
        <f>D402*E402</f>
        <v/>
      </c>
      <c r="G402" s="213">
        <f>if(or(eq(Accounts!I372,"No Valet"),eq(Accounts!I372,"Has Valet")), F402 * AVERAGE(Accounts!I$2:I$34),F402*Accounts!I372)</f>
        <v/>
      </c>
      <c r="H402" s="213">
        <f>iferror(G402*360,"")</f>
        <v/>
      </c>
      <c r="I402" s="213">
        <f>H402*0.1</f>
        <v/>
      </c>
    </row>
    <row r="403" ht="54.75" customHeight="1" s="222">
      <c r="A403" s="210">
        <f>Accounts!A448</f>
        <v/>
      </c>
      <c r="B403" s="141">
        <f>Accounts!J373</f>
        <v/>
      </c>
      <c r="C403" s="211" t="n">
        <v>0.6</v>
      </c>
      <c r="D403" s="212">
        <f>Accounts!J373*C403</f>
        <v/>
      </c>
      <c r="E403" s="211" t="n">
        <v>0.4</v>
      </c>
      <c r="F403" s="212">
        <f>D403*E403</f>
        <v/>
      </c>
      <c r="G403" s="213">
        <f>if(or(eq(Accounts!I373,"No Valet"),eq(Accounts!I373,"Has Valet")), F403 * AVERAGE(Accounts!I$2:I$34),F403*Accounts!I373)</f>
        <v/>
      </c>
      <c r="H403" s="213">
        <f>iferror(G403*360,"")</f>
        <v/>
      </c>
      <c r="I403" s="213">
        <f>H403*0.1</f>
        <v/>
      </c>
    </row>
    <row r="404" ht="54.75" customHeight="1" s="222">
      <c r="A404" s="210">
        <f>Accounts!A449</f>
        <v/>
      </c>
      <c r="B404" s="141">
        <f>#REF!</f>
        <v/>
      </c>
      <c r="C404" s="211" t="n">
        <v>0.6</v>
      </c>
      <c r="D404" s="212">
        <f>#REF!*C404</f>
        <v/>
      </c>
      <c r="E404" s="211" t="n">
        <v>0.4</v>
      </c>
      <c r="F404" s="212">
        <f>D404*E404</f>
        <v/>
      </c>
      <c r="G404" s="213">
        <f>if(or(eq(#REF!,"No Valet"),eq(#REF!,"Has Valet")), F404 * AVERAGE(Accounts!I$2:I$34),F404*#REF!)</f>
        <v/>
      </c>
      <c r="H404" s="213">
        <f>iferror(G404*360,"")</f>
        <v/>
      </c>
      <c r="I404" s="213">
        <f>H404*0.1</f>
        <v/>
      </c>
    </row>
    <row r="405" ht="54.75" customHeight="1" s="222">
      <c r="A405" s="210">
        <f>Accounts!A450</f>
        <v/>
      </c>
      <c r="B405" s="141">
        <f>#REF!</f>
        <v/>
      </c>
      <c r="C405" s="211" t="n">
        <v>0.6</v>
      </c>
      <c r="D405" s="212">
        <f>#REF!*C405</f>
        <v/>
      </c>
      <c r="E405" s="211" t="n">
        <v>0.4</v>
      </c>
      <c r="F405" s="212">
        <f>D405*E405</f>
        <v/>
      </c>
      <c r="G405" s="213">
        <f>if(or(eq(#REF!,"No Valet"),eq(#REF!,"Has Valet")), F405 * AVERAGE(Accounts!I$2:I$34),F405*#REF!)</f>
        <v/>
      </c>
      <c r="H405" s="213">
        <f>iferror(G405*360,"")</f>
        <v/>
      </c>
      <c r="I405" s="213">
        <f>H405*0.1</f>
        <v/>
      </c>
    </row>
    <row r="406" ht="54.75" customHeight="1" s="222">
      <c r="A406" s="210">
        <f>Accounts!A451</f>
        <v/>
      </c>
      <c r="B406" s="141">
        <f>#REF!</f>
        <v/>
      </c>
      <c r="C406" s="211" t="n">
        <v>0.6</v>
      </c>
      <c r="D406" s="212">
        <f>#REF!*C406</f>
        <v/>
      </c>
      <c r="E406" s="211" t="n">
        <v>0.4</v>
      </c>
      <c r="F406" s="212">
        <f>D406*E406</f>
        <v/>
      </c>
      <c r="G406" s="213">
        <f>if(or(eq(#REF!,"No Valet"),eq(#REF!,"Has Valet")), F406 * AVERAGE(Accounts!I$2:I$34),F406*#REF!)</f>
        <v/>
      </c>
      <c r="H406" s="213">
        <f>iferror(G406*360,"")</f>
        <v/>
      </c>
      <c r="I406" s="213">
        <f>H406*0.1</f>
        <v/>
      </c>
    </row>
    <row r="407" ht="54.75" customHeight="1" s="222">
      <c r="A407" s="210">
        <f>Accounts!A452</f>
        <v/>
      </c>
      <c r="B407" s="141">
        <f>#REF!</f>
        <v/>
      </c>
      <c r="C407" s="211" t="n">
        <v>0.6</v>
      </c>
      <c r="D407" s="212">
        <f>#REF!*C407</f>
        <v/>
      </c>
      <c r="E407" s="211" t="n">
        <v>0.4</v>
      </c>
      <c r="F407" s="212">
        <f>D407*E407</f>
        <v/>
      </c>
      <c r="G407" s="213">
        <f>if(or(eq(#REF!,"No Valet"),eq(#REF!,"Has Valet")), F407 * AVERAGE(Accounts!I$2:I$34),F407*#REF!)</f>
        <v/>
      </c>
      <c r="H407" s="213">
        <f>iferror(G407*360,"")</f>
        <v/>
      </c>
      <c r="I407" s="213">
        <f>H407*0.1</f>
        <v/>
      </c>
    </row>
    <row r="408" ht="54.75" customHeight="1" s="222">
      <c r="A408" s="210">
        <f>Accounts!A453</f>
        <v/>
      </c>
      <c r="B408" s="141">
        <f>#REF!</f>
        <v/>
      </c>
      <c r="C408" s="211" t="n">
        <v>0.6</v>
      </c>
      <c r="D408" s="212">
        <f>#REF!*C408</f>
        <v/>
      </c>
      <c r="E408" s="211" t="n">
        <v>0.4</v>
      </c>
      <c r="F408" s="212">
        <f>D408*E408</f>
        <v/>
      </c>
      <c r="G408" s="213">
        <f>if(or(eq(#REF!,"No Valet"),eq(#REF!,"Has Valet")), F408 * AVERAGE(Accounts!I$2:I$34),F408*#REF!)</f>
        <v/>
      </c>
      <c r="H408" s="213">
        <f>iferror(G408*360,"")</f>
        <v/>
      </c>
      <c r="I408" s="213">
        <f>H408*0.1</f>
        <v/>
      </c>
    </row>
    <row r="409" ht="54.75" customHeight="1" s="222">
      <c r="A409" s="210">
        <f>Accounts!A454</f>
        <v/>
      </c>
      <c r="B409" s="141">
        <f>#REF!</f>
        <v/>
      </c>
      <c r="C409" s="211" t="n">
        <v>0.6</v>
      </c>
      <c r="D409" s="212">
        <f>#REF!*C409</f>
        <v/>
      </c>
      <c r="E409" s="211" t="n">
        <v>0.4</v>
      </c>
      <c r="F409" s="212">
        <f>D409*E409</f>
        <v/>
      </c>
      <c r="G409" s="213">
        <f>if(or(eq(#REF!,"No Valet"),eq(#REF!,"Has Valet")), F409 * AVERAGE(Accounts!I$2:I$34),F409*#REF!)</f>
        <v/>
      </c>
      <c r="H409" s="213">
        <f>iferror(G409*360,"")</f>
        <v/>
      </c>
      <c r="I409" s="213">
        <f>H409*0.1</f>
        <v/>
      </c>
    </row>
    <row r="410" ht="54.75" customHeight="1" s="222">
      <c r="A410" s="210">
        <f>Accounts!A455</f>
        <v/>
      </c>
      <c r="B410" s="141">
        <f>#REF!</f>
        <v/>
      </c>
      <c r="C410" s="211" t="n">
        <v>0.6</v>
      </c>
      <c r="D410" s="212">
        <f>#REF!*C410</f>
        <v/>
      </c>
      <c r="E410" s="211" t="n">
        <v>0.4</v>
      </c>
      <c r="F410" s="212">
        <f>D410*E410</f>
        <v/>
      </c>
      <c r="G410" s="213">
        <f>if(or(eq(#REF!,"No Valet"),eq(#REF!,"Has Valet")), F410 * AVERAGE(Accounts!I$2:I$34),F410*#REF!)</f>
        <v/>
      </c>
      <c r="H410" s="213">
        <f>iferror(G410*360,"")</f>
        <v/>
      </c>
      <c r="I410" s="213">
        <f>H410*0.1</f>
        <v/>
      </c>
    </row>
    <row r="411" ht="54.75" customHeight="1" s="222">
      <c r="A411" s="210">
        <f>Accounts!A456</f>
        <v/>
      </c>
      <c r="B411" s="141">
        <f>#REF!</f>
        <v/>
      </c>
      <c r="C411" s="211" t="n">
        <v>0.6</v>
      </c>
      <c r="D411" s="212">
        <f>#REF!*C411</f>
        <v/>
      </c>
      <c r="E411" s="211" t="n">
        <v>0.4</v>
      </c>
      <c r="F411" s="212">
        <f>D411*E411</f>
        <v/>
      </c>
      <c r="G411" s="213">
        <f>if(or(eq(#REF!,"No Valet"),eq(#REF!,"Has Valet")), F411 * AVERAGE(Accounts!I$2:I$34),F411*#REF!)</f>
        <v/>
      </c>
      <c r="H411" s="213">
        <f>iferror(G411*360,"")</f>
        <v/>
      </c>
      <c r="I411" s="213">
        <f>H411*0.1</f>
        <v/>
      </c>
    </row>
    <row r="412" ht="54.75" customHeight="1" s="222">
      <c r="A412" s="210">
        <f>Accounts!A457</f>
        <v/>
      </c>
      <c r="B412" s="141">
        <f>#REF!</f>
        <v/>
      </c>
      <c r="C412" s="211" t="n">
        <v>0.6</v>
      </c>
      <c r="D412" s="212">
        <f>#REF!*C412</f>
        <v/>
      </c>
      <c r="E412" s="211" t="n">
        <v>0.4</v>
      </c>
      <c r="F412" s="212">
        <f>D412*E412</f>
        <v/>
      </c>
      <c r="G412" s="213">
        <f>if(or(eq(#REF!,"No Valet"),eq(#REF!,"Has Valet")), F412 * AVERAGE(Accounts!I$2:I$34),F412*#REF!)</f>
        <v/>
      </c>
      <c r="H412" s="213">
        <f>iferror(G412*360,"")</f>
        <v/>
      </c>
      <c r="I412" s="213">
        <f>H412*0.1</f>
        <v/>
      </c>
    </row>
    <row r="413" ht="54.75" customHeight="1" s="222">
      <c r="A413" s="210">
        <f>Accounts!A458</f>
        <v/>
      </c>
      <c r="B413" s="141">
        <f>#REF!</f>
        <v/>
      </c>
      <c r="C413" s="211" t="n">
        <v>0.6</v>
      </c>
      <c r="D413" s="212">
        <f>#REF!*C413</f>
        <v/>
      </c>
      <c r="E413" s="211" t="n">
        <v>0.4</v>
      </c>
      <c r="F413" s="212">
        <f>D413*E413</f>
        <v/>
      </c>
      <c r="G413" s="213">
        <f>if(or(eq(#REF!,"No Valet"),eq(#REF!,"Has Valet")), F413 * AVERAGE(Accounts!I$2:I$34),F413*#REF!)</f>
        <v/>
      </c>
      <c r="H413" s="213">
        <f>iferror(G413*360,"")</f>
        <v/>
      </c>
      <c r="I413" s="213">
        <f>H413*0.1</f>
        <v/>
      </c>
    </row>
    <row r="414" ht="54.75" customHeight="1" s="222">
      <c r="A414" s="210">
        <f>Accounts!A459</f>
        <v/>
      </c>
      <c r="B414" s="141">
        <f>#REF!</f>
        <v/>
      </c>
      <c r="C414" s="211" t="n">
        <v>0.6</v>
      </c>
      <c r="D414" s="212">
        <f>#REF!*C414</f>
        <v/>
      </c>
      <c r="E414" s="211" t="n">
        <v>0.4</v>
      </c>
      <c r="F414" s="212">
        <f>D414*E414</f>
        <v/>
      </c>
      <c r="G414" s="213">
        <f>if(or(eq(#REF!,"No Valet"),eq(#REF!,"Has Valet")), F414 * AVERAGE(Accounts!I$2:I$34),F414*#REF!)</f>
        <v/>
      </c>
      <c r="H414" s="213">
        <f>iferror(G414*360,"")</f>
        <v/>
      </c>
      <c r="I414" s="213">
        <f>H414*0.1</f>
        <v/>
      </c>
    </row>
    <row r="415" ht="54.75" customHeight="1" s="222">
      <c r="A415" s="210">
        <f>Accounts!A460</f>
        <v/>
      </c>
      <c r="B415" s="141">
        <f>#REF!</f>
        <v/>
      </c>
      <c r="C415" s="211" t="n">
        <v>0.6</v>
      </c>
      <c r="D415" s="212">
        <f>#REF!*C415</f>
        <v/>
      </c>
      <c r="E415" s="211" t="n">
        <v>0.4</v>
      </c>
      <c r="F415" s="212">
        <f>D415*E415</f>
        <v/>
      </c>
      <c r="G415" s="213">
        <f>if(or(eq(#REF!,"No Valet"),eq(#REF!,"Has Valet")), F415 * AVERAGE(Accounts!I$2:I$34),F415*#REF!)</f>
        <v/>
      </c>
      <c r="H415" s="213">
        <f>iferror(G415*360,"")</f>
        <v/>
      </c>
      <c r="I415" s="213">
        <f>H415*0.1</f>
        <v/>
      </c>
    </row>
    <row r="416" ht="54.75" customHeight="1" s="222">
      <c r="A416" s="210">
        <f>Accounts!A461</f>
        <v/>
      </c>
      <c r="B416" s="141">
        <f>#REF!</f>
        <v/>
      </c>
      <c r="C416" s="211" t="n">
        <v>0.6</v>
      </c>
      <c r="D416" s="212">
        <f>#REF!*C416</f>
        <v/>
      </c>
      <c r="E416" s="211" t="n">
        <v>0.4</v>
      </c>
      <c r="F416" s="212">
        <f>D416*E416</f>
        <v/>
      </c>
      <c r="G416" s="213">
        <f>if(or(eq(#REF!,"No Valet"),eq(#REF!,"Has Valet")), F416 * AVERAGE(Accounts!I$2:I$34),F416*#REF!)</f>
        <v/>
      </c>
      <c r="H416" s="213">
        <f>iferror(G416*360,"")</f>
        <v/>
      </c>
      <c r="I416" s="213">
        <f>H416*0.1</f>
        <v/>
      </c>
    </row>
    <row r="417" ht="54.75" customHeight="1" s="222">
      <c r="A417" s="210">
        <f>Accounts!A462</f>
        <v/>
      </c>
      <c r="B417" s="141">
        <f>#REF!</f>
        <v/>
      </c>
      <c r="C417" s="211" t="n">
        <v>0.6</v>
      </c>
      <c r="D417" s="212">
        <f>#REF!*C417</f>
        <v/>
      </c>
      <c r="E417" s="211" t="n">
        <v>0.4</v>
      </c>
      <c r="F417" s="212">
        <f>D417*E417</f>
        <v/>
      </c>
      <c r="G417" s="213">
        <f>if(or(eq(#REF!,"No Valet"),eq(#REF!,"Has Valet")), F417 * AVERAGE(Accounts!I$2:I$34),F417*#REF!)</f>
        <v/>
      </c>
      <c r="H417" s="213">
        <f>iferror(G417*360,"")</f>
        <v/>
      </c>
      <c r="I417" s="213">
        <f>H417*0.1</f>
        <v/>
      </c>
    </row>
    <row r="418" ht="54.75" customHeight="1" s="222">
      <c r="A418" s="210">
        <f>Accounts!A463</f>
        <v/>
      </c>
      <c r="B418" s="141">
        <f>#REF!</f>
        <v/>
      </c>
      <c r="C418" s="211" t="n">
        <v>0.6</v>
      </c>
      <c r="D418" s="212">
        <f>#REF!*C418</f>
        <v/>
      </c>
      <c r="E418" s="211" t="n">
        <v>0.4</v>
      </c>
      <c r="F418" s="212">
        <f>D418*E418</f>
        <v/>
      </c>
      <c r="G418" s="213">
        <f>if(or(eq(#REF!,"No Valet"),eq(#REF!,"Has Valet")), F418 * AVERAGE(Accounts!I$2:I$34),F418*#REF!)</f>
        <v/>
      </c>
      <c r="H418" s="213">
        <f>iferror(G418*360,"")</f>
        <v/>
      </c>
      <c r="I418" s="213">
        <f>H418*0.1</f>
        <v/>
      </c>
    </row>
    <row r="419" ht="54.75" customHeight="1" s="222">
      <c r="A419" s="210">
        <f>#REF!</f>
        <v/>
      </c>
      <c r="B419" s="141">
        <f>#REF!</f>
        <v/>
      </c>
      <c r="C419" s="211" t="n">
        <v>0.6</v>
      </c>
      <c r="D419" s="212">
        <f>#REF!*C419</f>
        <v/>
      </c>
      <c r="E419" s="211" t="n">
        <v>0.4</v>
      </c>
      <c r="F419" s="212">
        <f>D419*E419</f>
        <v/>
      </c>
      <c r="G419" s="213">
        <f>if(or(eq(#REF!,"No Valet"),eq(#REF!,"Has Valet")), F419 * AVERAGE(Accounts!I$2:I$34),F419*#REF!)</f>
        <v/>
      </c>
      <c r="H419" s="213">
        <f>iferror(G419*360,"")</f>
        <v/>
      </c>
      <c r="I419" s="213">
        <f>H419*0.1</f>
        <v/>
      </c>
    </row>
    <row r="420" ht="54.75" customHeight="1" s="222">
      <c r="A420" s="210">
        <f>#REF!</f>
        <v/>
      </c>
      <c r="B420" s="141">
        <f>#REF!</f>
        <v/>
      </c>
      <c r="C420" s="211" t="n">
        <v>0.6</v>
      </c>
      <c r="D420" s="212">
        <f>#REF!*C420</f>
        <v/>
      </c>
      <c r="E420" s="211" t="n">
        <v>0.4</v>
      </c>
      <c r="F420" s="212">
        <f>D420*E420</f>
        <v/>
      </c>
      <c r="G420" s="213">
        <f>if(or(eq(#REF!,"No Valet"),eq(#REF!,"Has Valet")), F420 * AVERAGE(Accounts!I$2:I$34),F420*#REF!)</f>
        <v/>
      </c>
      <c r="H420" s="213">
        <f>iferror(G420*360,"")</f>
        <v/>
      </c>
      <c r="I420" s="213">
        <f>H420*0.1</f>
        <v/>
      </c>
    </row>
    <row r="421" ht="54.75" customHeight="1" s="222">
      <c r="A421" s="210">
        <f>#REF!</f>
        <v/>
      </c>
      <c r="B421" s="141">
        <f>#REF!</f>
        <v/>
      </c>
      <c r="C421" s="211" t="n">
        <v>0.6</v>
      </c>
      <c r="D421" s="212">
        <f>#REF!*C421</f>
        <v/>
      </c>
      <c r="E421" s="211" t="n">
        <v>0.4</v>
      </c>
      <c r="F421" s="212">
        <f>D421*E421</f>
        <v/>
      </c>
      <c r="G421" s="213">
        <f>if(or(eq(#REF!,"No Valet"),eq(#REF!,"Has Valet")), F421 * AVERAGE(Accounts!I$2:I$34),F421*#REF!)</f>
        <v/>
      </c>
      <c r="H421" s="213">
        <f>iferror(G421*360,"")</f>
        <v/>
      </c>
      <c r="I421" s="213">
        <f>H421*0.1</f>
        <v/>
      </c>
    </row>
    <row r="422" ht="54.75" customHeight="1" s="222">
      <c r="A422" s="210">
        <f>#REF!</f>
        <v/>
      </c>
      <c r="B422" s="141">
        <f>#REF!</f>
        <v/>
      </c>
      <c r="C422" s="211" t="n">
        <v>0.6</v>
      </c>
      <c r="D422" s="212">
        <f>#REF!*C422</f>
        <v/>
      </c>
      <c r="E422" s="211" t="n">
        <v>0.4</v>
      </c>
      <c r="F422" s="212">
        <f>D422*E422</f>
        <v/>
      </c>
      <c r="G422" s="213">
        <f>if(or(eq(#REF!,"No Valet"),eq(#REF!,"Has Valet")), F422 * AVERAGE(Accounts!I$2:I$34),F422*#REF!)</f>
        <v/>
      </c>
      <c r="H422" s="213">
        <f>iferror(G422*360,"")</f>
        <v/>
      </c>
      <c r="I422" s="213">
        <f>H422*0.1</f>
        <v/>
      </c>
    </row>
    <row r="423" ht="54.75" customHeight="1" s="222">
      <c r="A423" s="210">
        <f>#REF!</f>
        <v/>
      </c>
      <c r="B423" s="141">
        <f>#REF!</f>
        <v/>
      </c>
      <c r="C423" s="211" t="n">
        <v>0.6</v>
      </c>
      <c r="D423" s="212">
        <f>#REF!*C423</f>
        <v/>
      </c>
      <c r="E423" s="211" t="n">
        <v>0.4</v>
      </c>
      <c r="F423" s="212">
        <f>D423*E423</f>
        <v/>
      </c>
      <c r="G423" s="213">
        <f>if(or(eq(#REF!,"No Valet"),eq(#REF!,"Has Valet")), F423 * AVERAGE(Accounts!I$2:I$34),F423*#REF!)</f>
        <v/>
      </c>
      <c r="H423" s="213">
        <f>iferror(G423*360,"")</f>
        <v/>
      </c>
      <c r="I423" s="213">
        <f>H423*0.1</f>
        <v/>
      </c>
    </row>
    <row r="424" ht="54.75" customHeight="1" s="222">
      <c r="A424" s="210">
        <f>#REF!</f>
        <v/>
      </c>
      <c r="B424" s="141">
        <f>#REF!</f>
        <v/>
      </c>
      <c r="C424" s="211" t="n">
        <v>0.6</v>
      </c>
      <c r="D424" s="212">
        <f>#REF!*C424</f>
        <v/>
      </c>
      <c r="E424" s="211" t="n">
        <v>0.4</v>
      </c>
      <c r="F424" s="212">
        <f>D424*E424</f>
        <v/>
      </c>
      <c r="G424" s="213">
        <f>if(or(eq(#REF!,"No Valet"),eq(#REF!,"Has Valet")), F424 * AVERAGE(Accounts!I$2:I$34),F424*#REF!)</f>
        <v/>
      </c>
      <c r="H424" s="213">
        <f>iferror(G424*360,"")</f>
        <v/>
      </c>
      <c r="I424" s="213">
        <f>H424*0.1</f>
        <v/>
      </c>
    </row>
    <row r="425" ht="54.75" customHeight="1" s="222">
      <c r="A425" s="210">
        <f>#REF!</f>
        <v/>
      </c>
      <c r="B425" s="141">
        <f>#REF!</f>
        <v/>
      </c>
      <c r="C425" s="211" t="n">
        <v>0.6</v>
      </c>
      <c r="D425" s="212">
        <f>#REF!*C425</f>
        <v/>
      </c>
      <c r="E425" s="211" t="n">
        <v>0.4</v>
      </c>
      <c r="F425" s="212">
        <f>D425*E425</f>
        <v/>
      </c>
      <c r="G425" s="213">
        <f>if(or(eq(#REF!,"No Valet"),eq(#REF!,"Has Valet")), F425 * AVERAGE(Accounts!I$2:I$34),F425*#REF!)</f>
        <v/>
      </c>
      <c r="H425" s="213">
        <f>iferror(G425*360,"")</f>
        <v/>
      </c>
      <c r="I425" s="213">
        <f>H425*0.1</f>
        <v/>
      </c>
    </row>
    <row r="426" ht="54.75" customHeight="1" s="222">
      <c r="A426" s="210">
        <f>#REF!</f>
        <v/>
      </c>
      <c r="B426" s="141">
        <f>#REF!</f>
        <v/>
      </c>
      <c r="C426" s="211" t="n">
        <v>0.6</v>
      </c>
      <c r="D426" s="212">
        <f>#REF!*C426</f>
        <v/>
      </c>
      <c r="E426" s="211" t="n">
        <v>0.4</v>
      </c>
      <c r="F426" s="212">
        <f>D426*E426</f>
        <v/>
      </c>
      <c r="G426" s="213">
        <f>if(or(eq(#REF!,"No Valet"),eq(#REF!,"Has Valet")), F426 * AVERAGE(Accounts!I$2:I$34),F426*#REF!)</f>
        <v/>
      </c>
      <c r="H426" s="213">
        <f>iferror(G426*360,"")</f>
        <v/>
      </c>
      <c r="I426" s="213">
        <f>H426*0.1</f>
        <v/>
      </c>
    </row>
    <row r="427" ht="54.75" customHeight="1" s="222">
      <c r="A427" s="210">
        <f>#REF!</f>
        <v/>
      </c>
      <c r="B427" s="141">
        <f>#REF!</f>
        <v/>
      </c>
      <c r="C427" s="211" t="n">
        <v>0.6</v>
      </c>
      <c r="D427" s="212">
        <f>#REF!*C427</f>
        <v/>
      </c>
      <c r="E427" s="211" t="n">
        <v>0.4</v>
      </c>
      <c r="F427" s="212">
        <f>D427*E427</f>
        <v/>
      </c>
      <c r="G427" s="213">
        <f>if(or(eq(#REF!,"No Valet"),eq(#REF!,"Has Valet")), F427 * AVERAGE(Accounts!I$2:I$34),F427*#REF!)</f>
        <v/>
      </c>
      <c r="H427" s="213">
        <f>iferror(G427*360,"")</f>
        <v/>
      </c>
      <c r="I427" s="213">
        <f>H427*0.1</f>
        <v/>
      </c>
    </row>
    <row r="428" ht="54.75" customHeight="1" s="222">
      <c r="A428" s="210">
        <f>#REF!</f>
        <v/>
      </c>
      <c r="B428" s="141">
        <f>#REF!</f>
        <v/>
      </c>
      <c r="C428" s="211" t="n">
        <v>0.6</v>
      </c>
      <c r="D428" s="212">
        <f>#REF!*C428</f>
        <v/>
      </c>
      <c r="E428" s="211" t="n">
        <v>0.4</v>
      </c>
      <c r="F428" s="212">
        <f>D428*E428</f>
        <v/>
      </c>
      <c r="G428" s="213">
        <f>if(or(eq(#REF!,"No Valet"),eq(#REF!,"Has Valet")), F428 * AVERAGE(Accounts!I$2:I$34),F428*#REF!)</f>
        <v/>
      </c>
      <c r="H428" s="213">
        <f>iferror(G428*360,"")</f>
        <v/>
      </c>
      <c r="I428" s="213">
        <f>H428*0.1</f>
        <v/>
      </c>
    </row>
    <row r="429" ht="54.75" customHeight="1" s="222">
      <c r="A429" s="210">
        <f>#REF!</f>
        <v/>
      </c>
      <c r="B429" s="141">
        <f>#REF!</f>
        <v/>
      </c>
      <c r="C429" s="211" t="n">
        <v>0.6</v>
      </c>
      <c r="D429" s="212">
        <f>#REF!*C429</f>
        <v/>
      </c>
      <c r="E429" s="211" t="n">
        <v>0.4</v>
      </c>
      <c r="F429" s="212">
        <f>D429*E429</f>
        <v/>
      </c>
      <c r="G429" s="213">
        <f>if(or(eq(#REF!,"No Valet"),eq(#REF!,"Has Valet")), F429 * AVERAGE(Accounts!I$2:I$34),F429*#REF!)</f>
        <v/>
      </c>
      <c r="H429" s="213">
        <f>iferror(G429*360,"")</f>
        <v/>
      </c>
      <c r="I429" s="213">
        <f>H429*0.1</f>
        <v/>
      </c>
    </row>
    <row r="430" ht="54.75" customHeight="1" s="222">
      <c r="A430" s="210">
        <f>#REF!</f>
        <v/>
      </c>
      <c r="B430" s="141">
        <f>#REF!</f>
        <v/>
      </c>
      <c r="C430" s="211" t="n">
        <v>0.6</v>
      </c>
      <c r="D430" s="212">
        <f>#REF!*C430</f>
        <v/>
      </c>
      <c r="E430" s="211" t="n">
        <v>0.4</v>
      </c>
      <c r="F430" s="212">
        <f>D430*E430</f>
        <v/>
      </c>
      <c r="G430" s="213">
        <f>if(or(eq(#REF!,"No Valet"),eq(#REF!,"Has Valet")), F430 * AVERAGE(Accounts!I$2:I$34),F430*#REF!)</f>
        <v/>
      </c>
      <c r="H430" s="213">
        <f>iferror(G430*360,"")</f>
        <v/>
      </c>
      <c r="I430" s="213">
        <f>H430*0.1</f>
        <v/>
      </c>
    </row>
    <row r="431" ht="54.75" customHeight="1" s="222">
      <c r="A431" s="210">
        <f>#REF!</f>
        <v/>
      </c>
      <c r="B431" s="141">
        <f>#REF!</f>
        <v/>
      </c>
      <c r="C431" s="211" t="n">
        <v>0.6</v>
      </c>
      <c r="D431" s="212">
        <f>#REF!*C431</f>
        <v/>
      </c>
      <c r="E431" s="211" t="n">
        <v>0.4</v>
      </c>
      <c r="F431" s="212">
        <f>D431*E431</f>
        <v/>
      </c>
      <c r="G431" s="213">
        <f>if(or(eq(#REF!,"No Valet"),eq(#REF!,"Has Valet")), F431 * AVERAGE(Accounts!I$2:I$34),F431*#REF!)</f>
        <v/>
      </c>
      <c r="H431" s="213">
        <f>iferror(G431*360,"")</f>
        <v/>
      </c>
      <c r="I431" s="213">
        <f>H431*0.1</f>
        <v/>
      </c>
    </row>
    <row r="432" ht="54.75" customHeight="1" s="222">
      <c r="A432" s="210">
        <f>#REF!</f>
        <v/>
      </c>
      <c r="B432" s="141">
        <f>#REF!</f>
        <v/>
      </c>
      <c r="C432" s="211" t="n">
        <v>0.6</v>
      </c>
      <c r="D432" s="212">
        <f>#REF!*C432</f>
        <v/>
      </c>
      <c r="E432" s="211" t="n">
        <v>0.4</v>
      </c>
      <c r="F432" s="212">
        <f>D432*E432</f>
        <v/>
      </c>
      <c r="G432" s="213">
        <f>if(or(eq(#REF!,"No Valet"),eq(#REF!,"Has Valet")), F432 * AVERAGE(Accounts!I$2:I$34),F432*#REF!)</f>
        <v/>
      </c>
      <c r="H432" s="213">
        <f>iferror(G432*360,"")</f>
        <v/>
      </c>
      <c r="I432" s="213">
        <f>H432*0.1</f>
        <v/>
      </c>
    </row>
    <row r="433" ht="54.75" customHeight="1" s="222">
      <c r="A433" s="210">
        <f>#REF!</f>
        <v/>
      </c>
      <c r="B433" s="141">
        <f>#REF!</f>
        <v/>
      </c>
      <c r="C433" s="211" t="n">
        <v>0.6</v>
      </c>
      <c r="D433" s="212">
        <f>#REF!*C433</f>
        <v/>
      </c>
      <c r="E433" s="211" t="n">
        <v>0.4</v>
      </c>
      <c r="F433" s="212">
        <f>D433*E433</f>
        <v/>
      </c>
      <c r="G433" s="213">
        <f>if(or(eq(#REF!,"No Valet"),eq(#REF!,"Has Valet")), F433 * AVERAGE(Accounts!I$2:I$34),F433*#REF!)</f>
        <v/>
      </c>
      <c r="H433" s="213">
        <f>iferror(G433*360,"")</f>
        <v/>
      </c>
      <c r="I433" s="213">
        <f>H433*0.1</f>
        <v/>
      </c>
    </row>
    <row r="434" ht="54.75" customHeight="1" s="222">
      <c r="A434" s="210">
        <f>#REF!</f>
        <v/>
      </c>
      <c r="B434" s="141">
        <f>#REF!</f>
        <v/>
      </c>
      <c r="C434" s="211" t="n">
        <v>0.6</v>
      </c>
      <c r="D434" s="212">
        <f>#REF!*C434</f>
        <v/>
      </c>
      <c r="E434" s="211" t="n">
        <v>0.4</v>
      </c>
      <c r="F434" s="212">
        <f>D434*E434</f>
        <v/>
      </c>
      <c r="G434" s="213">
        <f>if(or(eq(#REF!,"No Valet"),eq(#REF!,"Has Valet")), F434 * AVERAGE(Accounts!I$2:I$34),F434*#REF!)</f>
        <v/>
      </c>
      <c r="H434" s="213">
        <f>iferror(G434*360,"")</f>
        <v/>
      </c>
      <c r="I434" s="213">
        <f>H434*0.1</f>
        <v/>
      </c>
    </row>
    <row r="435" ht="54.75" customHeight="1" s="222">
      <c r="A435" s="210">
        <f>#REF!</f>
        <v/>
      </c>
      <c r="B435" s="141">
        <f>#REF!</f>
        <v/>
      </c>
      <c r="C435" s="211" t="n">
        <v>0.6</v>
      </c>
      <c r="D435" s="212">
        <f>#REF!*C435</f>
        <v/>
      </c>
      <c r="E435" s="211" t="n">
        <v>0.4</v>
      </c>
      <c r="F435" s="212">
        <f>D435*E435</f>
        <v/>
      </c>
      <c r="G435" s="213">
        <f>if(or(eq(#REF!,"No Valet"),eq(#REF!,"Has Valet")), F435 * AVERAGE(Accounts!I$2:I$34),F435*#REF!)</f>
        <v/>
      </c>
      <c r="H435" s="213">
        <f>iferror(G435*360,"")</f>
        <v/>
      </c>
      <c r="I435" s="213">
        <f>H435*0.1</f>
        <v/>
      </c>
    </row>
    <row r="436" ht="54.75" customHeight="1" s="222">
      <c r="A436" s="210">
        <f>#REF!</f>
        <v/>
      </c>
      <c r="B436" s="141">
        <f>#REF!</f>
        <v/>
      </c>
      <c r="C436" s="211" t="n">
        <v>0.6</v>
      </c>
      <c r="D436" s="212">
        <f>#REF!*C436</f>
        <v/>
      </c>
      <c r="E436" s="211" t="n">
        <v>0.4</v>
      </c>
      <c r="F436" s="212">
        <f>D436*E436</f>
        <v/>
      </c>
      <c r="G436" s="213">
        <f>if(or(eq(#REF!,"No Valet"),eq(#REF!,"Has Valet")), F436 * AVERAGE(Accounts!I$2:I$34),F436*#REF!)</f>
        <v/>
      </c>
      <c r="H436" s="213">
        <f>iferror(G436*360,"")</f>
        <v/>
      </c>
      <c r="I436" s="213">
        <f>H436*0.1</f>
        <v/>
      </c>
    </row>
    <row r="437" ht="54.75" customHeight="1" s="222">
      <c r="A437" s="210">
        <f>#REF!</f>
        <v/>
      </c>
      <c r="B437" s="141">
        <f>#REF!</f>
        <v/>
      </c>
      <c r="C437" s="211" t="n">
        <v>0.6</v>
      </c>
      <c r="D437" s="212">
        <f>#REF!*C437</f>
        <v/>
      </c>
      <c r="E437" s="211" t="n">
        <v>0.4</v>
      </c>
      <c r="F437" s="212">
        <f>D437*E437</f>
        <v/>
      </c>
      <c r="G437" s="213">
        <f>if(or(eq(#REF!,"No Valet"),eq(#REF!,"Has Valet")), F437 * AVERAGE(Accounts!I$2:I$34),F437*#REF!)</f>
        <v/>
      </c>
      <c r="H437" s="213">
        <f>iferror(G437*360,"")</f>
        <v/>
      </c>
      <c r="I437" s="213">
        <f>H437*0.1</f>
        <v/>
      </c>
    </row>
    <row r="438" ht="54.75" customHeight="1" s="222">
      <c r="A438" s="210">
        <f>#REF!</f>
        <v/>
      </c>
      <c r="B438" s="141">
        <f>#REF!</f>
        <v/>
      </c>
      <c r="C438" s="211" t="n">
        <v>0.6</v>
      </c>
      <c r="D438" s="212">
        <f>#REF!*C438</f>
        <v/>
      </c>
      <c r="E438" s="211" t="n">
        <v>0.4</v>
      </c>
      <c r="F438" s="212">
        <f>D438*E438</f>
        <v/>
      </c>
      <c r="G438" s="213">
        <f>if(or(eq(#REF!,"No Valet"),eq(#REF!,"Has Valet")), F438 * AVERAGE(Accounts!I$2:I$34),F438*#REF!)</f>
        <v/>
      </c>
      <c r="H438" s="213">
        <f>iferror(G438*360,"")</f>
        <v/>
      </c>
      <c r="I438" s="213">
        <f>H438*0.1</f>
        <v/>
      </c>
    </row>
    <row r="439" ht="54.75" customHeight="1" s="222">
      <c r="A439" s="210">
        <f>#REF!</f>
        <v/>
      </c>
      <c r="B439" s="141">
        <f>#REF!</f>
        <v/>
      </c>
      <c r="C439" s="211" t="n">
        <v>0.6</v>
      </c>
      <c r="D439" s="212">
        <f>#REF!*C439</f>
        <v/>
      </c>
      <c r="E439" s="211" t="n">
        <v>0.4</v>
      </c>
      <c r="F439" s="212">
        <f>D439*E439</f>
        <v/>
      </c>
      <c r="G439" s="213">
        <f>if(or(eq(#REF!,"No Valet"),eq(#REF!,"Has Valet")), F439 * AVERAGE(Accounts!I$2:I$34),F439*#REF!)</f>
        <v/>
      </c>
      <c r="H439" s="213">
        <f>iferror(G439*360,"")</f>
        <v/>
      </c>
      <c r="I439" s="213">
        <f>H439*0.1</f>
        <v/>
      </c>
    </row>
    <row r="440" ht="54.75" customHeight="1" s="222">
      <c r="A440" s="210">
        <f>#REF!</f>
        <v/>
      </c>
      <c r="B440" s="141">
        <f>#REF!</f>
        <v/>
      </c>
      <c r="C440" s="211" t="n">
        <v>0.6</v>
      </c>
      <c r="D440" s="212">
        <f>#REF!*C440</f>
        <v/>
      </c>
      <c r="E440" s="211" t="n">
        <v>0.4</v>
      </c>
      <c r="F440" s="212">
        <f>D440*E440</f>
        <v/>
      </c>
      <c r="G440" s="213">
        <f>if(or(eq(#REF!,"No Valet"),eq(#REF!,"Has Valet")), F440 * AVERAGE(Accounts!I$2:I$34),F440*#REF!)</f>
        <v/>
      </c>
      <c r="H440" s="213">
        <f>iferror(G440*360,"")</f>
        <v/>
      </c>
      <c r="I440" s="213">
        <f>H440*0.1</f>
        <v/>
      </c>
    </row>
    <row r="441" ht="54.75" customHeight="1" s="222">
      <c r="A441" s="210">
        <f>#REF!</f>
        <v/>
      </c>
      <c r="B441" s="141">
        <f>#REF!</f>
        <v/>
      </c>
      <c r="C441" s="211" t="n">
        <v>0.6</v>
      </c>
      <c r="D441" s="212">
        <f>#REF!*C441</f>
        <v/>
      </c>
      <c r="E441" s="211" t="n">
        <v>0.4</v>
      </c>
      <c r="F441" s="212">
        <f>D441*E441</f>
        <v/>
      </c>
      <c r="G441" s="213">
        <f>if(or(eq(#REF!,"No Valet"),eq(#REF!,"Has Valet")), F441 * AVERAGE(Accounts!I$2:I$34),F441*#REF!)</f>
        <v/>
      </c>
      <c r="H441" s="213">
        <f>iferror(G441*360,"")</f>
        <v/>
      </c>
      <c r="I441" s="213">
        <f>H441*0.1</f>
        <v/>
      </c>
    </row>
    <row r="442" ht="54.75" customHeight="1" s="222">
      <c r="A442" s="210">
        <f>#REF!</f>
        <v/>
      </c>
      <c r="B442" s="141">
        <f>#REF!</f>
        <v/>
      </c>
      <c r="C442" s="211" t="n">
        <v>0.6</v>
      </c>
      <c r="D442" s="212">
        <f>#REF!*C442</f>
        <v/>
      </c>
      <c r="E442" s="211" t="n">
        <v>0.4</v>
      </c>
      <c r="F442" s="212">
        <f>D442*E442</f>
        <v/>
      </c>
      <c r="G442" s="213">
        <f>if(or(eq(#REF!,"No Valet"),eq(#REF!,"Has Valet")), F442 * AVERAGE(Accounts!I$2:I$34),F442*#REF!)</f>
        <v/>
      </c>
      <c r="H442" s="213">
        <f>iferror(G442*360,"")</f>
        <v/>
      </c>
      <c r="I442" s="213">
        <f>H442*0.1</f>
        <v/>
      </c>
    </row>
    <row r="443" ht="54.75" customHeight="1" s="222">
      <c r="A443" s="210">
        <f>#REF!</f>
        <v/>
      </c>
      <c r="B443" s="141">
        <f>#REF!</f>
        <v/>
      </c>
      <c r="C443" s="211" t="n">
        <v>0.6</v>
      </c>
      <c r="D443" s="212">
        <f>#REF!*C443</f>
        <v/>
      </c>
      <c r="E443" s="211" t="n">
        <v>0.4</v>
      </c>
      <c r="F443" s="212">
        <f>D443*E443</f>
        <v/>
      </c>
      <c r="G443" s="213">
        <f>if(or(eq(#REF!,"No Valet"),eq(#REF!,"Has Valet")), F443 * AVERAGE(Accounts!I$2:I$34),F443*#REF!)</f>
        <v/>
      </c>
      <c r="H443" s="213">
        <f>iferror(G443*360,"")</f>
        <v/>
      </c>
      <c r="I443" s="213">
        <f>H443*0.1</f>
        <v/>
      </c>
    </row>
    <row r="444" ht="54.75" customHeight="1" s="222">
      <c r="A444" s="210">
        <f>#REF!</f>
        <v/>
      </c>
      <c r="B444" s="141">
        <f>#REF!</f>
        <v/>
      </c>
      <c r="C444" s="211" t="n">
        <v>0.6</v>
      </c>
      <c r="D444" s="212">
        <f>#REF!*C444</f>
        <v/>
      </c>
      <c r="E444" s="211" t="n">
        <v>0.4</v>
      </c>
      <c r="F444" s="212">
        <f>D444*E444</f>
        <v/>
      </c>
      <c r="G444" s="213">
        <f>if(or(eq(#REF!,"No Valet"),eq(#REF!,"Has Valet")), F444 * AVERAGE(Accounts!I$2:I$34),F444*#REF!)</f>
        <v/>
      </c>
      <c r="H444" s="213">
        <f>iferror(G444*360,"")</f>
        <v/>
      </c>
      <c r="I444" s="213">
        <f>H444*0.1</f>
        <v/>
      </c>
    </row>
    <row r="445" ht="54.75" customHeight="1" s="222">
      <c r="A445" s="210">
        <f>#REF!</f>
        <v/>
      </c>
      <c r="B445" s="141">
        <f>#REF!</f>
        <v/>
      </c>
      <c r="C445" s="211" t="n">
        <v>0.6</v>
      </c>
      <c r="D445" s="212">
        <f>#REF!*C445</f>
        <v/>
      </c>
      <c r="E445" s="211" t="n">
        <v>0.4</v>
      </c>
      <c r="F445" s="212">
        <f>D445*E445</f>
        <v/>
      </c>
      <c r="G445" s="213">
        <f>if(or(eq(#REF!,"No Valet"),eq(#REF!,"Has Valet")), F445 * AVERAGE(Accounts!I$2:I$34),F445*#REF!)</f>
        <v/>
      </c>
      <c r="H445" s="213">
        <f>iferror(G445*360,"")</f>
        <v/>
      </c>
      <c r="I445" s="213">
        <f>H445*0.1</f>
        <v/>
      </c>
    </row>
    <row r="446" ht="54.75" customHeight="1" s="222">
      <c r="A446" s="210">
        <f>#REF!</f>
        <v/>
      </c>
      <c r="B446" s="141">
        <f>#REF!</f>
        <v/>
      </c>
      <c r="C446" s="211" t="n">
        <v>0.6</v>
      </c>
      <c r="D446" s="212">
        <f>#REF!*C446</f>
        <v/>
      </c>
      <c r="E446" s="211" t="n">
        <v>0.4</v>
      </c>
      <c r="F446" s="212">
        <f>D446*E446</f>
        <v/>
      </c>
      <c r="G446" s="213">
        <f>if(or(eq(#REF!,"No Valet"),eq(#REF!,"Has Valet")), F446 * AVERAGE(Accounts!I$2:I$34),F446*#REF!)</f>
        <v/>
      </c>
      <c r="H446" s="213">
        <f>iferror(G446*360,"")</f>
        <v/>
      </c>
      <c r="I446" s="213">
        <f>H446*0.1</f>
        <v/>
      </c>
    </row>
    <row r="447" ht="54.75" customHeight="1" s="222">
      <c r="A447" s="210">
        <f>#REF!</f>
        <v/>
      </c>
      <c r="B447" s="141">
        <f>#REF!</f>
        <v/>
      </c>
      <c r="C447" s="211" t="n">
        <v>0.6</v>
      </c>
      <c r="D447" s="212">
        <f>#REF!*C447</f>
        <v/>
      </c>
      <c r="E447" s="211" t="n">
        <v>0.4</v>
      </c>
      <c r="F447" s="212">
        <f>D447*E447</f>
        <v/>
      </c>
      <c r="G447" s="213">
        <f>if(or(eq(#REF!,"No Valet"),eq(#REF!,"Has Valet")), F447 * AVERAGE(Accounts!I$2:I$34),F447*#REF!)</f>
        <v/>
      </c>
      <c r="H447" s="213">
        <f>iferror(G447*360,"")</f>
        <v/>
      </c>
      <c r="I447" s="213">
        <f>H447*0.1</f>
        <v/>
      </c>
    </row>
    <row r="448" ht="54.75" customHeight="1" s="222">
      <c r="A448" s="210">
        <f>#REF!</f>
        <v/>
      </c>
      <c r="B448" s="141">
        <f>#REF!</f>
        <v/>
      </c>
      <c r="C448" s="211" t="n">
        <v>0.6</v>
      </c>
      <c r="D448" s="212">
        <f>#REF!*C448</f>
        <v/>
      </c>
      <c r="E448" s="211" t="n">
        <v>0.4</v>
      </c>
      <c r="F448" s="212">
        <f>D448*E448</f>
        <v/>
      </c>
      <c r="G448" s="213">
        <f>if(or(eq(#REF!,"No Valet"),eq(#REF!,"Has Valet")), F448 * AVERAGE(Accounts!I$2:I$34),F448*#REF!)</f>
        <v/>
      </c>
      <c r="H448" s="213">
        <f>iferror(G448*360,"")</f>
        <v/>
      </c>
      <c r="I448" s="213">
        <f>H448*0.1</f>
        <v/>
      </c>
    </row>
    <row r="449" ht="54.75" customHeight="1" s="222">
      <c r="A449" s="210">
        <f>#REF!</f>
        <v/>
      </c>
      <c r="B449" s="141">
        <f>#REF!</f>
        <v/>
      </c>
      <c r="C449" s="211" t="n">
        <v>0.6</v>
      </c>
      <c r="D449" s="212">
        <f>#REF!*C449</f>
        <v/>
      </c>
      <c r="E449" s="211" t="n">
        <v>0.4</v>
      </c>
      <c r="F449" s="212">
        <f>D449*E449</f>
        <v/>
      </c>
      <c r="G449" s="213">
        <f>if(or(eq(#REF!,"No Valet"),eq(#REF!,"Has Valet")), F449 * AVERAGE(Accounts!I$2:I$34),F449*#REF!)</f>
        <v/>
      </c>
      <c r="H449" s="213">
        <f>iferror(G449*360,"")</f>
        <v/>
      </c>
      <c r="I449" s="213">
        <f>H449*0.1</f>
        <v/>
      </c>
    </row>
    <row r="450" ht="54.75" customHeight="1" s="222">
      <c r="A450" s="210">
        <f>#REF!</f>
        <v/>
      </c>
      <c r="B450" s="141">
        <f>#REF!</f>
        <v/>
      </c>
      <c r="C450" s="211" t="n">
        <v>0.6</v>
      </c>
      <c r="D450" s="212">
        <f>#REF!*C450</f>
        <v/>
      </c>
      <c r="E450" s="211" t="n">
        <v>0.4</v>
      </c>
      <c r="F450" s="212">
        <f>D450*E450</f>
        <v/>
      </c>
      <c r="G450" s="213">
        <f>if(or(eq(#REF!,"No Valet"),eq(#REF!,"Has Valet")), F450 * AVERAGE(Accounts!I$2:I$34),F450*#REF!)</f>
        <v/>
      </c>
      <c r="H450" s="213">
        <f>iferror(G450*360,"")</f>
        <v/>
      </c>
      <c r="I450" s="213">
        <f>H450*0.1</f>
        <v/>
      </c>
    </row>
    <row r="451" ht="54.75" customHeight="1" s="222">
      <c r="A451" s="210">
        <f>#REF!</f>
        <v/>
      </c>
      <c r="B451" s="141">
        <f>#REF!</f>
        <v/>
      </c>
      <c r="C451" s="211" t="n">
        <v>0.6</v>
      </c>
      <c r="D451" s="212">
        <f>#REF!*C451</f>
        <v/>
      </c>
      <c r="E451" s="211" t="n">
        <v>0.4</v>
      </c>
      <c r="F451" s="212">
        <f>D451*E451</f>
        <v/>
      </c>
      <c r="G451" s="213">
        <f>if(or(eq(#REF!,"No Valet"),eq(#REF!,"Has Valet")), F451 * AVERAGE(Accounts!I$2:I$34),F451*#REF!)</f>
        <v/>
      </c>
      <c r="H451" s="213">
        <f>iferror(G451*360,"")</f>
        <v/>
      </c>
      <c r="I451" s="213">
        <f>H451*0.1</f>
        <v/>
      </c>
    </row>
    <row r="452" ht="54.75" customHeight="1" s="222">
      <c r="A452" s="210">
        <f>#REF!</f>
        <v/>
      </c>
      <c r="B452" s="141">
        <f>#REF!</f>
        <v/>
      </c>
      <c r="C452" s="211" t="n">
        <v>0.6</v>
      </c>
      <c r="D452" s="212">
        <f>#REF!*C452</f>
        <v/>
      </c>
      <c r="E452" s="211" t="n">
        <v>0.4</v>
      </c>
      <c r="F452" s="212">
        <f>D452*E452</f>
        <v/>
      </c>
      <c r="G452" s="213">
        <f>if(or(eq(#REF!,"No Valet"),eq(#REF!,"Has Valet")), F452 * AVERAGE(Accounts!I$2:I$34),F452*#REF!)</f>
        <v/>
      </c>
      <c r="H452" s="213">
        <f>iferror(G452*360,"")</f>
        <v/>
      </c>
      <c r="I452" s="213">
        <f>H452*0.1</f>
        <v/>
      </c>
    </row>
    <row r="453" ht="54.75" customHeight="1" s="222">
      <c r="A453" s="210">
        <f>#REF!</f>
        <v/>
      </c>
      <c r="B453" s="141">
        <f>#REF!</f>
        <v/>
      </c>
      <c r="C453" s="211" t="n">
        <v>0.6</v>
      </c>
      <c r="D453" s="212">
        <f>#REF!*C453</f>
        <v/>
      </c>
      <c r="E453" s="211" t="n">
        <v>0.4</v>
      </c>
      <c r="F453" s="212">
        <f>D453*E453</f>
        <v/>
      </c>
      <c r="G453" s="213">
        <f>if(or(eq(#REF!,"No Valet"),eq(#REF!,"Has Valet")), F453 * AVERAGE(Accounts!I$2:I$34),F453*#REF!)</f>
        <v/>
      </c>
      <c r="H453" s="213">
        <f>iferror(G453*360,"")</f>
        <v/>
      </c>
      <c r="I453" s="213">
        <f>H453*0.1</f>
        <v/>
      </c>
    </row>
    <row r="454" ht="54.75" customHeight="1" s="222">
      <c r="A454" s="210">
        <f>#REF!</f>
        <v/>
      </c>
      <c r="B454" s="141">
        <f>#REF!</f>
        <v/>
      </c>
      <c r="C454" s="211" t="n">
        <v>0.6</v>
      </c>
      <c r="D454" s="212">
        <f>#REF!*C454</f>
        <v/>
      </c>
      <c r="E454" s="211" t="n">
        <v>0.4</v>
      </c>
      <c r="F454" s="212">
        <f>D454*E454</f>
        <v/>
      </c>
      <c r="G454" s="213">
        <f>if(or(eq(#REF!,"No Valet"),eq(#REF!,"Has Valet")), F454 * AVERAGE(Accounts!I$2:I$34),F454*#REF!)</f>
        <v/>
      </c>
      <c r="H454" s="213">
        <f>iferror(G454*360,"")</f>
        <v/>
      </c>
      <c r="I454" s="213">
        <f>H454*0.1</f>
        <v/>
      </c>
    </row>
    <row r="455" ht="54.75" customHeight="1" s="222">
      <c r="A455" s="210">
        <f>#REF!</f>
        <v/>
      </c>
      <c r="B455" s="141">
        <f>#REF!</f>
        <v/>
      </c>
      <c r="C455" s="211" t="n">
        <v>0.6</v>
      </c>
      <c r="D455" s="212">
        <f>#REF!*C455</f>
        <v/>
      </c>
      <c r="E455" s="211" t="n">
        <v>0.4</v>
      </c>
      <c r="F455" s="212">
        <f>D455*E455</f>
        <v/>
      </c>
      <c r="G455" s="213">
        <f>if(or(eq(#REF!,"No Valet"),eq(#REF!,"Has Valet")), F455 * AVERAGE(Accounts!I$2:I$34),F455*#REF!)</f>
        <v/>
      </c>
      <c r="H455" s="213">
        <f>iferror(G455*360,"")</f>
        <v/>
      </c>
      <c r="I455" s="213">
        <f>H455*0.1</f>
        <v/>
      </c>
    </row>
    <row r="456" ht="54.75" customHeight="1" s="222">
      <c r="A456" s="210">
        <f>#REF!</f>
        <v/>
      </c>
      <c r="B456" s="141">
        <f>#REF!</f>
        <v/>
      </c>
      <c r="C456" s="211" t="n">
        <v>0.6</v>
      </c>
      <c r="D456" s="212">
        <f>#REF!*C456</f>
        <v/>
      </c>
      <c r="E456" s="211" t="n">
        <v>0.4</v>
      </c>
      <c r="F456" s="212">
        <f>D456*E456</f>
        <v/>
      </c>
      <c r="G456" s="213">
        <f>if(or(eq(#REF!,"No Valet"),eq(#REF!,"Has Valet")), F456 * AVERAGE(Accounts!I$2:I$34),F456*#REF!)</f>
        <v/>
      </c>
      <c r="H456" s="213">
        <f>iferror(G456*360,"")</f>
        <v/>
      </c>
      <c r="I456" s="213">
        <f>H456*0.1</f>
        <v/>
      </c>
    </row>
    <row r="457" ht="54.75" customHeight="1" s="222">
      <c r="A457" s="210">
        <f>#REF!</f>
        <v/>
      </c>
      <c r="B457" s="141">
        <f>#REF!</f>
        <v/>
      </c>
      <c r="C457" s="211" t="n">
        <v>0.6</v>
      </c>
      <c r="D457" s="212">
        <f>#REF!*C457</f>
        <v/>
      </c>
      <c r="E457" s="211" t="n">
        <v>0.4</v>
      </c>
      <c r="F457" s="212">
        <f>D457*E457</f>
        <v/>
      </c>
      <c r="G457" s="213">
        <f>if(or(eq(#REF!,"No Valet"),eq(#REF!,"Has Valet")), F457 * AVERAGE(Accounts!I$2:I$34),F457*#REF!)</f>
        <v/>
      </c>
      <c r="H457" s="213">
        <f>iferror(G457*360,"")</f>
        <v/>
      </c>
      <c r="I457" s="213">
        <f>H457*0.1</f>
        <v/>
      </c>
    </row>
    <row r="458" ht="54.75" customHeight="1" s="222">
      <c r="A458" s="210">
        <f>#REF!</f>
        <v/>
      </c>
      <c r="B458" s="141">
        <f>#REF!</f>
        <v/>
      </c>
      <c r="C458" s="211" t="n">
        <v>0.6</v>
      </c>
      <c r="D458" s="212">
        <f>#REF!*C458</f>
        <v/>
      </c>
      <c r="E458" s="211" t="n">
        <v>0.4</v>
      </c>
      <c r="F458" s="212">
        <f>D458*E458</f>
        <v/>
      </c>
      <c r="G458" s="213">
        <f>if(or(eq(#REF!,"No Valet"),eq(#REF!,"Has Valet")), F458 * AVERAGE(Accounts!I$2:I$34),F458*#REF!)</f>
        <v/>
      </c>
      <c r="H458" s="213">
        <f>iferror(G458*360,"")</f>
        <v/>
      </c>
      <c r="I458" s="213">
        <f>H458*0.1</f>
        <v/>
      </c>
    </row>
    <row r="459" ht="54.75" customHeight="1" s="222">
      <c r="A459" s="210">
        <f>#REF!</f>
        <v/>
      </c>
      <c r="B459" s="141">
        <f>#REF!</f>
        <v/>
      </c>
      <c r="C459" s="211" t="n">
        <v>0.6</v>
      </c>
      <c r="D459" s="212">
        <f>#REF!*C459</f>
        <v/>
      </c>
      <c r="E459" s="211" t="n">
        <v>0.4</v>
      </c>
      <c r="F459" s="212">
        <f>D459*E459</f>
        <v/>
      </c>
      <c r="G459" s="213">
        <f>if(or(eq(#REF!,"No Valet"),eq(#REF!,"Has Valet")), F459 * AVERAGE(Accounts!I$2:I$34),F459*#REF!)</f>
        <v/>
      </c>
      <c r="H459" s="213">
        <f>iferror(G459*360,"")</f>
        <v/>
      </c>
      <c r="I459" s="213">
        <f>H459*0.1</f>
        <v/>
      </c>
    </row>
    <row r="460" ht="54.75" customHeight="1" s="222">
      <c r="A460" s="210">
        <f>#REF!</f>
        <v/>
      </c>
      <c r="B460" s="141">
        <f>#REF!</f>
        <v/>
      </c>
      <c r="C460" s="211" t="n">
        <v>0.6</v>
      </c>
      <c r="D460" s="212">
        <f>#REF!*C460</f>
        <v/>
      </c>
      <c r="E460" s="211" t="n">
        <v>0.4</v>
      </c>
      <c r="F460" s="212">
        <f>D460*E460</f>
        <v/>
      </c>
      <c r="G460" s="213">
        <f>if(or(eq(#REF!,"No Valet"),eq(#REF!,"Has Valet")), F460 * AVERAGE(Accounts!I$2:I$34),F460*#REF!)</f>
        <v/>
      </c>
      <c r="H460" s="213">
        <f>iferror(G460*360,"")</f>
        <v/>
      </c>
      <c r="I460" s="213">
        <f>H460*0.1</f>
        <v/>
      </c>
    </row>
    <row r="461" ht="54.75" customHeight="1" s="222">
      <c r="A461" s="210">
        <f>#REF!</f>
        <v/>
      </c>
      <c r="B461" s="141">
        <f>#REF!</f>
        <v/>
      </c>
      <c r="C461" s="211" t="n">
        <v>0.6</v>
      </c>
      <c r="D461" s="212">
        <f>#REF!*C461</f>
        <v/>
      </c>
      <c r="E461" s="211" t="n">
        <v>0.4</v>
      </c>
      <c r="F461" s="212">
        <f>D461*E461</f>
        <v/>
      </c>
      <c r="G461" s="213">
        <f>if(or(eq(#REF!,"No Valet"),eq(#REF!,"Has Valet")), F461 * AVERAGE(Accounts!I$2:I$34),F461*#REF!)</f>
        <v/>
      </c>
      <c r="H461" s="213">
        <f>iferror(G461*360,"")</f>
        <v/>
      </c>
      <c r="I461" s="213">
        <f>H461*0.1</f>
        <v/>
      </c>
    </row>
    <row r="462" ht="54.75" customHeight="1" s="222">
      <c r="A462" s="210">
        <f>#REF!</f>
        <v/>
      </c>
      <c r="B462" s="141">
        <f>#REF!</f>
        <v/>
      </c>
      <c r="C462" s="211" t="n">
        <v>0.6</v>
      </c>
      <c r="D462" s="212">
        <f>#REF!*C462</f>
        <v/>
      </c>
      <c r="E462" s="211" t="n">
        <v>0.4</v>
      </c>
      <c r="F462" s="212">
        <f>D462*E462</f>
        <v/>
      </c>
      <c r="G462" s="213">
        <f>if(or(eq(#REF!,"No Valet"),eq(#REF!,"Has Valet")), F462 * AVERAGE(Accounts!I$2:I$34),F462*#REF!)</f>
        <v/>
      </c>
      <c r="H462" s="213">
        <f>iferror(G462*360,"")</f>
        <v/>
      </c>
      <c r="I462" s="213">
        <f>H462*0.1</f>
        <v/>
      </c>
    </row>
    <row r="463" ht="54.75" customHeight="1" s="222">
      <c r="A463" s="210">
        <f>#REF!</f>
        <v/>
      </c>
      <c r="B463" s="141">
        <f>#REF!</f>
        <v/>
      </c>
      <c r="C463" s="211" t="n">
        <v>0.6</v>
      </c>
      <c r="D463" s="212">
        <f>#REF!*C463</f>
        <v/>
      </c>
      <c r="E463" s="211" t="n">
        <v>0.4</v>
      </c>
      <c r="F463" s="212">
        <f>D463*E463</f>
        <v/>
      </c>
      <c r="G463" s="213">
        <f>if(or(eq(#REF!,"No Valet"),eq(#REF!,"Has Valet")), F463 * AVERAGE(Accounts!I$2:I$34),F463*#REF!)</f>
        <v/>
      </c>
      <c r="H463" s="213">
        <f>iferror(G463*360,"")</f>
        <v/>
      </c>
      <c r="I463" s="213">
        <f>H463*0.1</f>
        <v/>
      </c>
    </row>
    <row r="464" ht="54.75" customHeight="1" s="222">
      <c r="A464" s="210">
        <f>#REF!</f>
        <v/>
      </c>
      <c r="B464" s="141">
        <f>#REF!</f>
        <v/>
      </c>
      <c r="C464" s="211" t="n">
        <v>0.6</v>
      </c>
      <c r="D464" s="212">
        <f>#REF!*C464</f>
        <v/>
      </c>
      <c r="E464" s="211" t="n">
        <v>0.4</v>
      </c>
      <c r="F464" s="212">
        <f>D464*E464</f>
        <v/>
      </c>
      <c r="G464" s="213">
        <f>if(or(eq(#REF!,"No Valet"),eq(#REF!,"Has Valet")), F464 * AVERAGE(Accounts!I$2:I$34),F464*#REF!)</f>
        <v/>
      </c>
      <c r="H464" s="213">
        <f>iferror(G464*360,"")</f>
        <v/>
      </c>
      <c r="I464" s="213">
        <f>H464*0.1</f>
        <v/>
      </c>
    </row>
    <row r="465" ht="54.75" customHeight="1" s="222">
      <c r="A465" s="210">
        <f>#REF!</f>
        <v/>
      </c>
      <c r="B465" s="141">
        <f>#REF!</f>
        <v/>
      </c>
      <c r="C465" s="211" t="n">
        <v>0.6</v>
      </c>
      <c r="D465" s="212">
        <f>#REF!*C465</f>
        <v/>
      </c>
      <c r="E465" s="211" t="n">
        <v>0.4</v>
      </c>
      <c r="F465" s="212">
        <f>D465*E465</f>
        <v/>
      </c>
      <c r="G465" s="213">
        <f>if(or(eq(#REF!,"No Valet"),eq(#REF!,"Has Valet")), F465 * AVERAGE(Accounts!I$2:I$34),F465*#REF!)</f>
        <v/>
      </c>
      <c r="H465" s="213">
        <f>iferror(G465*360,"")</f>
        <v/>
      </c>
      <c r="I465" s="213">
        <f>H465*0.1</f>
        <v/>
      </c>
    </row>
    <row r="466" ht="54.75" customHeight="1" s="222">
      <c r="A466" s="210">
        <f>#REF!</f>
        <v/>
      </c>
      <c r="B466" s="141">
        <f>#REF!</f>
        <v/>
      </c>
      <c r="C466" s="211" t="n">
        <v>0.6</v>
      </c>
      <c r="D466" s="212">
        <f>#REF!*C466</f>
        <v/>
      </c>
      <c r="E466" s="211" t="n">
        <v>0.4</v>
      </c>
      <c r="F466" s="212">
        <f>D466*E466</f>
        <v/>
      </c>
      <c r="G466" s="213">
        <f>if(or(eq(#REF!,"No Valet"),eq(#REF!,"Has Valet")), F466 * AVERAGE(Accounts!I$2:I$34),F466*#REF!)</f>
        <v/>
      </c>
      <c r="H466" s="213">
        <f>iferror(G466*360,"")</f>
        <v/>
      </c>
      <c r="I466" s="213">
        <f>H466*0.1</f>
        <v/>
      </c>
    </row>
    <row r="467" ht="54.75" customHeight="1" s="222">
      <c r="A467" s="210">
        <f>#REF!</f>
        <v/>
      </c>
      <c r="B467" s="141">
        <f>#REF!</f>
        <v/>
      </c>
      <c r="C467" s="211" t="n">
        <v>0.6</v>
      </c>
      <c r="D467" s="212">
        <f>#REF!*C467</f>
        <v/>
      </c>
      <c r="E467" s="211" t="n">
        <v>0.4</v>
      </c>
      <c r="F467" s="212">
        <f>D467*E467</f>
        <v/>
      </c>
      <c r="G467" s="213">
        <f>if(or(eq(#REF!,"No Valet"),eq(#REF!,"Has Valet")), F467 * AVERAGE(Accounts!I$2:I$34),F467*#REF!)</f>
        <v/>
      </c>
      <c r="H467" s="213">
        <f>iferror(G467*360,"")</f>
        <v/>
      </c>
      <c r="I467" s="213">
        <f>H467*0.1</f>
        <v/>
      </c>
    </row>
    <row r="468" ht="54.75" customHeight="1" s="222">
      <c r="A468" s="210">
        <f>#REF!</f>
        <v/>
      </c>
      <c r="B468" s="141">
        <f>#REF!</f>
        <v/>
      </c>
      <c r="C468" s="211" t="n">
        <v>0.6</v>
      </c>
      <c r="D468" s="212">
        <f>#REF!*C468</f>
        <v/>
      </c>
      <c r="E468" s="211" t="n">
        <v>0.4</v>
      </c>
      <c r="F468" s="212">
        <f>D468*E468</f>
        <v/>
      </c>
      <c r="G468" s="213">
        <f>if(or(eq(#REF!,"No Valet"),eq(#REF!,"Has Valet")), F468 * AVERAGE(Accounts!I$2:I$34),F468*#REF!)</f>
        <v/>
      </c>
      <c r="H468" s="213">
        <f>iferror(G468*360,"")</f>
        <v/>
      </c>
      <c r="I468" s="213">
        <f>H468*0.1</f>
        <v/>
      </c>
    </row>
    <row r="469" ht="54.75" customHeight="1" s="222">
      <c r="A469" s="210">
        <f>#REF!</f>
        <v/>
      </c>
      <c r="B469" s="141">
        <f>#REF!</f>
        <v/>
      </c>
      <c r="C469" s="211" t="n">
        <v>0.6</v>
      </c>
      <c r="D469" s="212">
        <f>#REF!*C469</f>
        <v/>
      </c>
      <c r="E469" s="211" t="n">
        <v>0.4</v>
      </c>
      <c r="F469" s="212">
        <f>D469*E469</f>
        <v/>
      </c>
      <c r="G469" s="213">
        <f>if(or(eq(#REF!,"No Valet"),eq(#REF!,"Has Valet")), F469 * AVERAGE(Accounts!I$2:I$34),F469*#REF!)</f>
        <v/>
      </c>
      <c r="H469" s="213">
        <f>iferror(G469*360,"")</f>
        <v/>
      </c>
      <c r="I469" s="213">
        <f>H469*0.1</f>
        <v/>
      </c>
    </row>
    <row r="470" ht="54.75" customHeight="1" s="222">
      <c r="A470" s="210">
        <f>#REF!</f>
        <v/>
      </c>
      <c r="B470" s="141">
        <f>#REF!</f>
        <v/>
      </c>
      <c r="C470" s="211" t="n">
        <v>0.6</v>
      </c>
      <c r="D470" s="212">
        <f>#REF!*C470</f>
        <v/>
      </c>
      <c r="E470" s="211" t="n">
        <v>0.4</v>
      </c>
      <c r="F470" s="212">
        <f>D470*E470</f>
        <v/>
      </c>
      <c r="G470" s="213">
        <f>if(or(eq(#REF!,"No Valet"),eq(#REF!,"Has Valet")), F470 * AVERAGE(Accounts!I$2:I$34),F470*#REF!)</f>
        <v/>
      </c>
      <c r="H470" s="213">
        <f>iferror(G470*360,"")</f>
        <v/>
      </c>
      <c r="I470" s="213">
        <f>H470*0.1</f>
        <v/>
      </c>
    </row>
    <row r="471" ht="54.75" customHeight="1" s="222">
      <c r="A471" s="210">
        <f>#REF!</f>
        <v/>
      </c>
      <c r="B471" s="141">
        <f>#REF!</f>
        <v/>
      </c>
      <c r="C471" s="211" t="n">
        <v>0.6</v>
      </c>
      <c r="D471" s="212">
        <f>#REF!*C471</f>
        <v/>
      </c>
      <c r="E471" s="211" t="n">
        <v>0.4</v>
      </c>
      <c r="F471" s="212">
        <f>D471*E471</f>
        <v/>
      </c>
      <c r="G471" s="213">
        <f>if(or(eq(#REF!,"No Valet"),eq(#REF!,"Has Valet")), F471 * AVERAGE(Accounts!I$2:I$34),F471*#REF!)</f>
        <v/>
      </c>
      <c r="H471" s="213">
        <f>iferror(G471*360,"")</f>
        <v/>
      </c>
      <c r="I471" s="213">
        <f>H471*0.1</f>
        <v/>
      </c>
    </row>
    <row r="472" ht="54.75" customHeight="1" s="222">
      <c r="A472" s="210">
        <f>#REF!</f>
        <v/>
      </c>
      <c r="B472" s="141">
        <f>#REF!</f>
        <v/>
      </c>
      <c r="C472" s="211" t="n">
        <v>0.6</v>
      </c>
      <c r="D472" s="212">
        <f>#REF!*C472</f>
        <v/>
      </c>
      <c r="E472" s="211" t="n">
        <v>0.4</v>
      </c>
      <c r="F472" s="212">
        <f>D472*E472</f>
        <v/>
      </c>
      <c r="G472" s="213">
        <f>if(or(eq(#REF!,"No Valet"),eq(#REF!,"Has Valet")), F472 * AVERAGE(Accounts!I$2:I$34),F472*#REF!)</f>
        <v/>
      </c>
      <c r="H472" s="213">
        <f>iferror(G472*360,"")</f>
        <v/>
      </c>
      <c r="I472" s="213">
        <f>H472*0.1</f>
        <v/>
      </c>
    </row>
    <row r="473" ht="54.75" customHeight="1" s="222">
      <c r="A473" s="210">
        <f>#REF!</f>
        <v/>
      </c>
      <c r="B473" s="141">
        <f>#REF!</f>
        <v/>
      </c>
      <c r="C473" s="211" t="n">
        <v>0.6</v>
      </c>
      <c r="D473" s="212">
        <f>#REF!*C473</f>
        <v/>
      </c>
      <c r="E473" s="211" t="n">
        <v>0.4</v>
      </c>
      <c r="F473" s="212">
        <f>D473*E473</f>
        <v/>
      </c>
      <c r="G473" s="213">
        <f>if(or(eq(#REF!,"No Valet"),eq(#REF!,"Has Valet")), F473 * AVERAGE(Accounts!I$2:I$34),F473*#REF!)</f>
        <v/>
      </c>
      <c r="H473" s="213">
        <f>iferror(G473*360,"")</f>
        <v/>
      </c>
      <c r="I473" s="213">
        <f>H473*0.1</f>
        <v/>
      </c>
    </row>
    <row r="474" ht="54.75" customHeight="1" s="222">
      <c r="A474" s="210">
        <f>#REF!</f>
        <v/>
      </c>
      <c r="B474" s="141">
        <f>#REF!</f>
        <v/>
      </c>
      <c r="C474" s="211" t="n">
        <v>0.6</v>
      </c>
      <c r="D474" s="212">
        <f>#REF!*C474</f>
        <v/>
      </c>
      <c r="E474" s="211" t="n">
        <v>0.4</v>
      </c>
      <c r="F474" s="212">
        <f>D474*E474</f>
        <v/>
      </c>
      <c r="G474" s="213">
        <f>if(or(eq(#REF!,"No Valet"),eq(#REF!,"Has Valet")), F474 * AVERAGE(Accounts!I$2:I$34),F474*#REF!)</f>
        <v/>
      </c>
      <c r="H474" s="213">
        <f>iferror(G474*360,"")</f>
        <v/>
      </c>
      <c r="I474" s="213">
        <f>H474*0.1</f>
        <v/>
      </c>
    </row>
    <row r="475" ht="54.75" customHeight="1" s="222">
      <c r="A475" s="210">
        <f>#REF!</f>
        <v/>
      </c>
      <c r="B475" s="141">
        <f>#REF!</f>
        <v/>
      </c>
      <c r="C475" s="211" t="n">
        <v>0.6</v>
      </c>
      <c r="D475" s="212">
        <f>#REF!*C475</f>
        <v/>
      </c>
      <c r="E475" s="211" t="n">
        <v>0.4</v>
      </c>
      <c r="F475" s="212">
        <f>D475*E475</f>
        <v/>
      </c>
      <c r="G475" s="213">
        <f>if(or(eq(#REF!,"No Valet"),eq(#REF!,"Has Valet")), F475 * AVERAGE(Accounts!I$2:I$34),F475*#REF!)</f>
        <v/>
      </c>
      <c r="H475" s="213">
        <f>iferror(G475*360,"")</f>
        <v/>
      </c>
      <c r="I475" s="213">
        <f>H475*0.1</f>
        <v/>
      </c>
    </row>
    <row r="476" ht="54.75" customHeight="1" s="222">
      <c r="A476" s="210">
        <f>#REF!</f>
        <v/>
      </c>
      <c r="B476" s="141">
        <f>#REF!</f>
        <v/>
      </c>
      <c r="C476" s="211" t="n">
        <v>0.6</v>
      </c>
      <c r="D476" s="212">
        <f>#REF!*C476</f>
        <v/>
      </c>
      <c r="E476" s="211" t="n">
        <v>0.4</v>
      </c>
      <c r="F476" s="212">
        <f>D476*E476</f>
        <v/>
      </c>
      <c r="G476" s="213">
        <f>if(or(eq(#REF!,"No Valet"),eq(#REF!,"Has Valet")), F476 * AVERAGE(Accounts!I$2:I$34),F476*#REF!)</f>
        <v/>
      </c>
      <c r="H476" s="213">
        <f>iferror(G476*360,"")</f>
        <v/>
      </c>
      <c r="I476" s="213">
        <f>H476*0.1</f>
        <v/>
      </c>
    </row>
    <row r="477" ht="54.75" customHeight="1" s="222">
      <c r="A477" s="210">
        <f>#REF!</f>
        <v/>
      </c>
      <c r="B477" s="141">
        <f>#REF!</f>
        <v/>
      </c>
      <c r="C477" s="211" t="n">
        <v>0.6</v>
      </c>
      <c r="D477" s="212">
        <f>#REF!*C477</f>
        <v/>
      </c>
      <c r="E477" s="211" t="n">
        <v>0.4</v>
      </c>
      <c r="F477" s="212">
        <f>D477*E477</f>
        <v/>
      </c>
      <c r="G477" s="213">
        <f>if(or(eq(#REF!,"No Valet"),eq(#REF!,"Has Valet")), F477 * AVERAGE(Accounts!I$2:I$34),F477*#REF!)</f>
        <v/>
      </c>
      <c r="H477" s="213">
        <f>iferror(G477*360,"")</f>
        <v/>
      </c>
      <c r="I477" s="213">
        <f>H477*0.1</f>
        <v/>
      </c>
    </row>
    <row r="478" ht="54.75" customHeight="1" s="222">
      <c r="A478" s="210">
        <f>#REF!</f>
        <v/>
      </c>
      <c r="B478" s="141">
        <f>#REF!</f>
        <v/>
      </c>
      <c r="C478" s="211" t="n">
        <v>0.6</v>
      </c>
      <c r="D478" s="212">
        <f>#REF!*C478</f>
        <v/>
      </c>
      <c r="E478" s="211" t="n">
        <v>0.4</v>
      </c>
      <c r="F478" s="212">
        <f>D478*E478</f>
        <v/>
      </c>
      <c r="G478" s="213">
        <f>if(or(eq(#REF!,"No Valet"),eq(#REF!,"Has Valet")), F478 * AVERAGE(Accounts!I$2:I$34),F478*#REF!)</f>
        <v/>
      </c>
      <c r="H478" s="213">
        <f>iferror(G478*360,"")</f>
        <v/>
      </c>
      <c r="I478" s="213">
        <f>H478*0.1</f>
        <v/>
      </c>
    </row>
    <row r="479" ht="54.75" customHeight="1" s="222">
      <c r="A479" s="210">
        <f>#REF!</f>
        <v/>
      </c>
      <c r="B479" s="141">
        <f>#REF!</f>
        <v/>
      </c>
      <c r="C479" s="211" t="n">
        <v>0.6</v>
      </c>
      <c r="D479" s="212">
        <f>#REF!*C479</f>
        <v/>
      </c>
      <c r="E479" s="211" t="n">
        <v>0.4</v>
      </c>
      <c r="F479" s="212">
        <f>D479*E479</f>
        <v/>
      </c>
      <c r="G479" s="213">
        <f>if(or(eq(#REF!,"No Valet"),eq(#REF!,"Has Valet")), F479 * AVERAGE(Accounts!I$2:I$34),F479*#REF!)</f>
        <v/>
      </c>
      <c r="H479" s="213">
        <f>iferror(G479*360,"")</f>
        <v/>
      </c>
      <c r="I479" s="213">
        <f>H479*0.1</f>
        <v/>
      </c>
    </row>
    <row r="480" ht="54.75" customHeight="1" s="222">
      <c r="A480" s="210">
        <f>#REF!</f>
        <v/>
      </c>
      <c r="B480" s="141">
        <f>#REF!</f>
        <v/>
      </c>
      <c r="C480" s="211" t="n">
        <v>0.6</v>
      </c>
      <c r="D480" s="212">
        <f>#REF!*C480</f>
        <v/>
      </c>
      <c r="E480" s="211" t="n">
        <v>0.4</v>
      </c>
      <c r="F480" s="212">
        <f>D480*E480</f>
        <v/>
      </c>
      <c r="G480" s="213">
        <f>if(or(eq(#REF!,"No Valet"),eq(#REF!,"Has Valet")), F480 * AVERAGE(Accounts!I$2:I$34),F480*#REF!)</f>
        <v/>
      </c>
      <c r="H480" s="213">
        <f>iferror(G480*360,"")</f>
        <v/>
      </c>
      <c r="I480" s="213">
        <f>H480*0.1</f>
        <v/>
      </c>
    </row>
    <row r="481" ht="54.75" customHeight="1" s="222">
      <c r="A481" s="210">
        <f>#REF!</f>
        <v/>
      </c>
      <c r="B481" s="141">
        <f>#REF!</f>
        <v/>
      </c>
      <c r="C481" s="211" t="n">
        <v>0.6</v>
      </c>
      <c r="D481" s="212">
        <f>#REF!*C481</f>
        <v/>
      </c>
      <c r="E481" s="211" t="n">
        <v>0.4</v>
      </c>
      <c r="F481" s="212">
        <f>D481*E481</f>
        <v/>
      </c>
      <c r="G481" s="213">
        <f>if(or(eq(#REF!,"No Valet"),eq(#REF!,"Has Valet")), F481 * AVERAGE(Accounts!I$2:I$34),F481*#REF!)</f>
        <v/>
      </c>
      <c r="H481" s="213">
        <f>iferror(G481*360,"")</f>
        <v/>
      </c>
      <c r="I481" s="213">
        <f>H481*0.1</f>
        <v/>
      </c>
    </row>
    <row r="482" ht="54.75" customHeight="1" s="222">
      <c r="A482" s="210">
        <f>#REF!</f>
        <v/>
      </c>
      <c r="B482" s="141">
        <f>#REF!</f>
        <v/>
      </c>
      <c r="C482" s="211" t="n">
        <v>0.6</v>
      </c>
      <c r="D482" s="212">
        <f>#REF!*C482</f>
        <v/>
      </c>
      <c r="E482" s="211" t="n">
        <v>0.4</v>
      </c>
      <c r="F482" s="212">
        <f>D482*E482</f>
        <v/>
      </c>
      <c r="G482" s="213">
        <f>if(or(eq(#REF!,"No Valet"),eq(#REF!,"Has Valet")), F482 * AVERAGE(Accounts!I$2:I$34),F482*#REF!)</f>
        <v/>
      </c>
      <c r="H482" s="213">
        <f>iferror(G482*360,"")</f>
        <v/>
      </c>
      <c r="I482" s="213">
        <f>H482*0.1</f>
        <v/>
      </c>
    </row>
    <row r="483" ht="54.75" customHeight="1" s="222">
      <c r="A483" s="210">
        <f>#REF!</f>
        <v/>
      </c>
      <c r="B483" s="141">
        <f>#REF!</f>
        <v/>
      </c>
      <c r="C483" s="211" t="n">
        <v>0.6</v>
      </c>
      <c r="D483" s="212">
        <f>#REF!*C483</f>
        <v/>
      </c>
      <c r="E483" s="211" t="n">
        <v>0.4</v>
      </c>
      <c r="F483" s="212">
        <f>D483*E483</f>
        <v/>
      </c>
      <c r="G483" s="213">
        <f>if(or(eq(#REF!,"No Valet"),eq(#REF!,"Has Valet")), F483 * AVERAGE(Accounts!I$2:I$34),F483*#REF!)</f>
        <v/>
      </c>
      <c r="H483" s="213">
        <f>iferror(G483*360,"")</f>
        <v/>
      </c>
      <c r="I483" s="213">
        <f>H483*0.1</f>
        <v/>
      </c>
    </row>
    <row r="484" ht="54.75" customHeight="1" s="222">
      <c r="A484" s="210">
        <f>#REF!</f>
        <v/>
      </c>
      <c r="B484" s="141">
        <f>#REF!</f>
        <v/>
      </c>
      <c r="C484" s="211" t="n">
        <v>0.6</v>
      </c>
      <c r="D484" s="212">
        <f>#REF!*C484</f>
        <v/>
      </c>
      <c r="E484" s="211" t="n">
        <v>0.4</v>
      </c>
      <c r="F484" s="212">
        <f>D484*E484</f>
        <v/>
      </c>
      <c r="G484" s="213">
        <f>if(or(eq(#REF!,"No Valet"),eq(#REF!,"Has Valet")), F484 * AVERAGE(Accounts!I$2:I$34),F484*#REF!)</f>
        <v/>
      </c>
      <c r="H484" s="213">
        <f>iferror(G484*360,"")</f>
        <v/>
      </c>
      <c r="I484" s="213">
        <f>H484*0.1</f>
        <v/>
      </c>
    </row>
    <row r="485" ht="54.75" customHeight="1" s="222">
      <c r="A485" s="210">
        <f>#REF!</f>
        <v/>
      </c>
      <c r="B485" s="141">
        <f>#REF!</f>
        <v/>
      </c>
      <c r="C485" s="211" t="n">
        <v>0.6</v>
      </c>
      <c r="D485" s="212">
        <f>#REF!*C485</f>
        <v/>
      </c>
      <c r="E485" s="211" t="n">
        <v>0.4</v>
      </c>
      <c r="F485" s="212">
        <f>D485*E485</f>
        <v/>
      </c>
      <c r="G485" s="213">
        <f>if(or(eq(#REF!,"No Valet"),eq(#REF!,"Has Valet")), F485 * AVERAGE(Accounts!I$2:I$34),F485*#REF!)</f>
        <v/>
      </c>
      <c r="H485" s="213">
        <f>iferror(G485*360,"")</f>
        <v/>
      </c>
      <c r="I485" s="213">
        <f>H485*0.1</f>
        <v/>
      </c>
    </row>
    <row r="486" ht="54.75" customHeight="1" s="222">
      <c r="A486" s="210">
        <f>#REF!</f>
        <v/>
      </c>
      <c r="B486" s="141">
        <f>#REF!</f>
        <v/>
      </c>
      <c r="C486" s="211" t="n">
        <v>0.6</v>
      </c>
      <c r="D486" s="212">
        <f>#REF!*C486</f>
        <v/>
      </c>
      <c r="E486" s="211" t="n">
        <v>0.4</v>
      </c>
      <c r="F486" s="212">
        <f>D486*E486</f>
        <v/>
      </c>
      <c r="G486" s="213">
        <f>if(or(eq(#REF!,"No Valet"),eq(#REF!,"Has Valet")), F486 * AVERAGE(Accounts!I$2:I$34),F486*#REF!)</f>
        <v/>
      </c>
      <c r="H486" s="213">
        <f>iferror(G486*360,"")</f>
        <v/>
      </c>
      <c r="I486" s="213">
        <f>H486*0.1</f>
        <v/>
      </c>
    </row>
    <row r="487" ht="54.75" customHeight="1" s="222">
      <c r="A487" s="210">
        <f>#REF!</f>
        <v/>
      </c>
      <c r="B487" s="141">
        <f>#REF!</f>
        <v/>
      </c>
      <c r="C487" s="211" t="n">
        <v>0.6</v>
      </c>
      <c r="D487" s="212">
        <f>#REF!*C487</f>
        <v/>
      </c>
      <c r="E487" s="211" t="n">
        <v>0.4</v>
      </c>
      <c r="F487" s="212">
        <f>D487*E487</f>
        <v/>
      </c>
      <c r="G487" s="213">
        <f>if(or(eq(#REF!,"No Valet"),eq(#REF!,"Has Valet")), F487 * AVERAGE(Accounts!I$2:I$34),F487*#REF!)</f>
        <v/>
      </c>
      <c r="H487" s="213">
        <f>iferror(G487*360,"")</f>
        <v/>
      </c>
      <c r="I487" s="213">
        <f>H487*0.1</f>
        <v/>
      </c>
    </row>
    <row r="488" ht="54.75" customHeight="1" s="222">
      <c r="A488" s="210">
        <f>#REF!</f>
        <v/>
      </c>
      <c r="B488" s="141">
        <f>#REF!</f>
        <v/>
      </c>
      <c r="C488" s="211" t="n">
        <v>0.6</v>
      </c>
      <c r="D488" s="212">
        <f>#REF!*C488</f>
        <v/>
      </c>
      <c r="E488" s="211" t="n">
        <v>0.4</v>
      </c>
      <c r="F488" s="212">
        <f>D488*E488</f>
        <v/>
      </c>
      <c r="G488" s="213">
        <f>if(or(eq(#REF!,"No Valet"),eq(#REF!,"Has Valet")), F488 * AVERAGE(Accounts!I$2:I$34),F488*#REF!)</f>
        <v/>
      </c>
      <c r="H488" s="213">
        <f>iferror(G488*360,"")</f>
        <v/>
      </c>
      <c r="I488" s="213">
        <f>H488*0.1</f>
        <v/>
      </c>
    </row>
    <row r="489" ht="54.75" customHeight="1" s="222">
      <c r="A489" s="210">
        <f>#REF!</f>
        <v/>
      </c>
      <c r="B489" s="141">
        <f>#REF!</f>
        <v/>
      </c>
      <c r="C489" s="211" t="n">
        <v>0.6</v>
      </c>
      <c r="D489" s="212">
        <f>#REF!*C489</f>
        <v/>
      </c>
      <c r="E489" s="211" t="n">
        <v>0.4</v>
      </c>
      <c r="F489" s="212">
        <f>D489*E489</f>
        <v/>
      </c>
      <c r="G489" s="213">
        <f>if(or(eq(#REF!,"No Valet"),eq(#REF!,"Has Valet")), F489 * AVERAGE(Accounts!I$2:I$34),F489*#REF!)</f>
        <v/>
      </c>
      <c r="H489" s="213">
        <f>iferror(G489*360,"")</f>
        <v/>
      </c>
      <c r="I489" s="213">
        <f>H489*0.1</f>
        <v/>
      </c>
    </row>
    <row r="490" ht="54.75" customHeight="1" s="222">
      <c r="A490" s="210">
        <f>#REF!</f>
        <v/>
      </c>
      <c r="B490" s="141">
        <f>#REF!</f>
        <v/>
      </c>
      <c r="C490" s="211" t="n">
        <v>0.6</v>
      </c>
      <c r="D490" s="212">
        <f>#REF!*C490</f>
        <v/>
      </c>
      <c r="E490" s="211" t="n">
        <v>0.4</v>
      </c>
      <c r="F490" s="212">
        <f>D490*E490</f>
        <v/>
      </c>
      <c r="G490" s="213">
        <f>if(or(eq(#REF!,"No Valet"),eq(#REF!,"Has Valet")), F490 * AVERAGE(Accounts!I$2:I$34),F490*#REF!)</f>
        <v/>
      </c>
      <c r="H490" s="213">
        <f>iferror(G490*360,"")</f>
        <v/>
      </c>
      <c r="I490" s="213">
        <f>H490*0.1</f>
        <v/>
      </c>
    </row>
    <row r="491" ht="54.75" customHeight="1" s="222">
      <c r="A491" s="210">
        <f>#REF!</f>
        <v/>
      </c>
      <c r="B491" s="141">
        <f>#REF!</f>
        <v/>
      </c>
      <c r="C491" s="211" t="n">
        <v>0.6</v>
      </c>
      <c r="D491" s="212">
        <f>#REF!*C491</f>
        <v/>
      </c>
      <c r="E491" s="211" t="n">
        <v>0.4</v>
      </c>
      <c r="F491" s="212">
        <f>D491*E491</f>
        <v/>
      </c>
      <c r="G491" s="213">
        <f>if(or(eq(#REF!,"No Valet"),eq(#REF!,"Has Valet")), F491 * AVERAGE(Accounts!I$2:I$34),F491*#REF!)</f>
        <v/>
      </c>
      <c r="H491" s="213">
        <f>iferror(G491*360,"")</f>
        <v/>
      </c>
      <c r="I491" s="213">
        <f>H491*0.1</f>
        <v/>
      </c>
    </row>
    <row r="492" ht="54.75" customHeight="1" s="222">
      <c r="A492" s="210">
        <f>#REF!</f>
        <v/>
      </c>
      <c r="B492" s="141">
        <f>#REF!</f>
        <v/>
      </c>
      <c r="C492" s="211" t="n">
        <v>0.6</v>
      </c>
      <c r="D492" s="212">
        <f>#REF!*C492</f>
        <v/>
      </c>
      <c r="E492" s="211" t="n">
        <v>0.4</v>
      </c>
      <c r="F492" s="212">
        <f>D492*E492</f>
        <v/>
      </c>
      <c r="G492" s="213">
        <f>if(or(eq(#REF!,"No Valet"),eq(#REF!,"Has Valet")), F492 * AVERAGE(Accounts!I$2:I$34),F492*#REF!)</f>
        <v/>
      </c>
      <c r="H492" s="213">
        <f>iferror(G492*360,"")</f>
        <v/>
      </c>
      <c r="I492" s="213">
        <f>H492*0.1</f>
        <v/>
      </c>
    </row>
    <row r="493" ht="54.75" customHeight="1" s="222">
      <c r="A493" s="210">
        <f>#REF!</f>
        <v/>
      </c>
      <c r="B493" s="141">
        <f>#REF!</f>
        <v/>
      </c>
      <c r="C493" s="211" t="n">
        <v>0.6</v>
      </c>
      <c r="D493" s="212">
        <f>#REF!*C493</f>
        <v/>
      </c>
      <c r="E493" s="211" t="n">
        <v>0.4</v>
      </c>
      <c r="F493" s="212">
        <f>D493*E493</f>
        <v/>
      </c>
      <c r="G493" s="213">
        <f>if(or(eq(#REF!,"No Valet"),eq(#REF!,"Has Valet")), F493 * AVERAGE(Accounts!I$2:I$34),F493*#REF!)</f>
        <v/>
      </c>
      <c r="H493" s="213">
        <f>iferror(G493*360,"")</f>
        <v/>
      </c>
      <c r="I493" s="213">
        <f>H493*0.1</f>
        <v/>
      </c>
    </row>
    <row r="494" ht="54.75" customHeight="1" s="222">
      <c r="A494" s="210">
        <f>#REF!</f>
        <v/>
      </c>
      <c r="B494" s="141">
        <f>#REF!</f>
        <v/>
      </c>
      <c r="C494" s="211" t="n">
        <v>0.6</v>
      </c>
      <c r="D494" s="212">
        <f>#REF!*C494</f>
        <v/>
      </c>
      <c r="E494" s="211" t="n">
        <v>0.4</v>
      </c>
      <c r="F494" s="212">
        <f>D494*E494</f>
        <v/>
      </c>
      <c r="G494" s="213">
        <f>if(or(eq(#REF!,"No Valet"),eq(#REF!,"Has Valet")), F494 * AVERAGE(Accounts!I$2:I$34),F494*#REF!)</f>
        <v/>
      </c>
      <c r="H494" s="213">
        <f>iferror(G494*360,"")</f>
        <v/>
      </c>
      <c r="I494" s="213">
        <f>H494*0.1</f>
        <v/>
      </c>
    </row>
    <row r="495" ht="54.75" customHeight="1" s="222">
      <c r="A495" s="210">
        <f>#REF!</f>
        <v/>
      </c>
      <c r="B495" s="141">
        <f>#REF!</f>
        <v/>
      </c>
      <c r="C495" s="211" t="n">
        <v>0.6</v>
      </c>
      <c r="D495" s="212">
        <f>#REF!*C495</f>
        <v/>
      </c>
      <c r="E495" s="211" t="n">
        <v>0.4</v>
      </c>
      <c r="F495" s="212">
        <f>D495*E495</f>
        <v/>
      </c>
      <c r="G495" s="213">
        <f>if(or(eq(#REF!,"No Valet"),eq(#REF!,"Has Valet")), F495 * AVERAGE(Accounts!I$2:I$34),F495*#REF!)</f>
        <v/>
      </c>
      <c r="H495" s="213">
        <f>iferror(G495*360,"")</f>
        <v/>
      </c>
      <c r="I495" s="213">
        <f>H495*0.1</f>
        <v/>
      </c>
    </row>
    <row r="496" ht="54.75" customHeight="1" s="222">
      <c r="A496" s="210">
        <f>#REF!</f>
        <v/>
      </c>
      <c r="B496" s="141">
        <f>#REF!</f>
        <v/>
      </c>
      <c r="C496" s="211" t="n">
        <v>0.6</v>
      </c>
      <c r="D496" s="212">
        <f>#REF!*C496</f>
        <v/>
      </c>
      <c r="E496" s="211" t="n">
        <v>0.4</v>
      </c>
      <c r="F496" s="212">
        <f>D496*E496</f>
        <v/>
      </c>
      <c r="G496" s="213">
        <f>if(or(eq(#REF!,"No Valet"),eq(#REF!,"Has Valet")), F496 * AVERAGE(Accounts!I$2:I$34),F496*#REF!)</f>
        <v/>
      </c>
      <c r="H496" s="213">
        <f>iferror(G496*360,"")</f>
        <v/>
      </c>
      <c r="I496" s="213">
        <f>H496*0.1</f>
        <v/>
      </c>
    </row>
    <row r="497" ht="54.75" customHeight="1" s="222">
      <c r="A497" s="210">
        <f>#REF!</f>
        <v/>
      </c>
      <c r="B497" s="141">
        <f>#REF!</f>
        <v/>
      </c>
      <c r="C497" s="211" t="n">
        <v>0.6</v>
      </c>
      <c r="D497" s="212">
        <f>#REF!*C497</f>
        <v/>
      </c>
      <c r="E497" s="211" t="n">
        <v>0.4</v>
      </c>
      <c r="F497" s="212">
        <f>D497*E497</f>
        <v/>
      </c>
      <c r="G497" s="213">
        <f>if(or(eq(#REF!,"No Valet"),eq(#REF!,"Has Valet")), F497 * AVERAGE(Accounts!I$2:I$34),F497*#REF!)</f>
        <v/>
      </c>
      <c r="H497" s="213">
        <f>iferror(G497*360,"")</f>
        <v/>
      </c>
      <c r="I497" s="213">
        <f>H497*0.1</f>
        <v/>
      </c>
    </row>
    <row r="498" ht="54.75" customHeight="1" s="222">
      <c r="A498" s="210">
        <f>#REF!</f>
        <v/>
      </c>
      <c r="B498" s="141">
        <f>#REF!</f>
        <v/>
      </c>
      <c r="C498" s="211" t="n">
        <v>0.6</v>
      </c>
      <c r="D498" s="212">
        <f>#REF!*C498</f>
        <v/>
      </c>
      <c r="E498" s="211" t="n">
        <v>0.4</v>
      </c>
      <c r="F498" s="212">
        <f>D498*E498</f>
        <v/>
      </c>
      <c r="G498" s="213">
        <f>if(or(eq(#REF!,"No Valet"),eq(#REF!,"Has Valet")), F498 * AVERAGE(Accounts!I$2:I$34),F498*#REF!)</f>
        <v/>
      </c>
      <c r="H498" s="213">
        <f>iferror(G498*360,"")</f>
        <v/>
      </c>
      <c r="I498" s="213">
        <f>H498*0.1</f>
        <v/>
      </c>
    </row>
    <row r="499" ht="54.75" customHeight="1" s="222">
      <c r="A499" s="210">
        <f>#REF!</f>
        <v/>
      </c>
      <c r="B499" s="141">
        <f>#REF!</f>
        <v/>
      </c>
      <c r="C499" s="211" t="n">
        <v>0.6</v>
      </c>
      <c r="D499" s="212">
        <f>#REF!*C499</f>
        <v/>
      </c>
      <c r="E499" s="211" t="n">
        <v>0.4</v>
      </c>
      <c r="F499" s="212">
        <f>D499*E499</f>
        <v/>
      </c>
      <c r="G499" s="213">
        <f>if(or(eq(#REF!,"No Valet"),eq(#REF!,"Has Valet")), F499 * AVERAGE(Accounts!I$2:I$34),F499*#REF!)</f>
        <v/>
      </c>
      <c r="H499" s="213">
        <f>iferror(G499*360,"")</f>
        <v/>
      </c>
      <c r="I499" s="213">
        <f>H499*0.1</f>
        <v/>
      </c>
    </row>
    <row r="500" ht="54.75" customHeight="1" s="222">
      <c r="A500" s="210">
        <f>#REF!</f>
        <v/>
      </c>
      <c r="B500" s="141">
        <f>#REF!</f>
        <v/>
      </c>
      <c r="C500" s="211" t="n">
        <v>0.6</v>
      </c>
      <c r="D500" s="212">
        <f>#REF!*C500</f>
        <v/>
      </c>
      <c r="E500" s="211" t="n">
        <v>0.4</v>
      </c>
      <c r="F500" s="212">
        <f>D500*E500</f>
        <v/>
      </c>
      <c r="G500" s="213">
        <f>if(or(eq(#REF!,"No Valet"),eq(#REF!,"Has Valet")), F500 * AVERAGE(Accounts!I$2:I$34),F500*#REF!)</f>
        <v/>
      </c>
      <c r="H500" s="213">
        <f>iferror(G500*360,"")</f>
        <v/>
      </c>
      <c r="I500" s="213">
        <f>H500*0.1</f>
        <v/>
      </c>
    </row>
    <row r="501" ht="54.75" customHeight="1" s="222">
      <c r="A501" s="210">
        <f>#REF!</f>
        <v/>
      </c>
      <c r="B501" s="141">
        <f>#REF!</f>
        <v/>
      </c>
      <c r="C501" s="211" t="n">
        <v>0.6</v>
      </c>
      <c r="D501" s="212">
        <f>#REF!*C501</f>
        <v/>
      </c>
      <c r="E501" s="211" t="n">
        <v>0.4</v>
      </c>
      <c r="F501" s="212">
        <f>D501*E501</f>
        <v/>
      </c>
      <c r="G501" s="213">
        <f>if(or(eq(#REF!,"No Valet"),eq(#REF!,"Has Valet")), F501 * AVERAGE(Accounts!I$2:I$34),F501*#REF!)</f>
        <v/>
      </c>
      <c r="H501" s="213">
        <f>iferror(G501*360,"")</f>
        <v/>
      </c>
      <c r="I501" s="213">
        <f>H501*0.1</f>
        <v/>
      </c>
    </row>
    <row r="502" ht="54.75" customHeight="1" s="222">
      <c r="A502" s="210">
        <f>#REF!</f>
        <v/>
      </c>
      <c r="B502" s="141">
        <f>#REF!</f>
        <v/>
      </c>
      <c r="C502" s="211" t="n">
        <v>0.6</v>
      </c>
      <c r="D502" s="212">
        <f>#REF!*C502</f>
        <v/>
      </c>
      <c r="E502" s="211" t="n">
        <v>0.4</v>
      </c>
      <c r="F502" s="212">
        <f>D502*E502</f>
        <v/>
      </c>
      <c r="G502" s="213">
        <f>if(or(eq(#REF!,"No Valet"),eq(#REF!,"Has Valet")), F502 * AVERAGE(Accounts!I$2:I$34),F502*#REF!)</f>
        <v/>
      </c>
      <c r="H502" s="213">
        <f>iferror(G502*360,"")</f>
        <v/>
      </c>
      <c r="I502" s="213">
        <f>H502*0.1</f>
        <v/>
      </c>
    </row>
    <row r="503" ht="54.75" customHeight="1" s="222">
      <c r="A503" s="210">
        <f>#REF!</f>
        <v/>
      </c>
      <c r="B503" s="141">
        <f>#REF!</f>
        <v/>
      </c>
      <c r="C503" s="211" t="n">
        <v>0.6</v>
      </c>
      <c r="D503" s="212">
        <f>#REF!*C503</f>
        <v/>
      </c>
      <c r="E503" s="211" t="n">
        <v>0.4</v>
      </c>
      <c r="F503" s="212">
        <f>D503*E503</f>
        <v/>
      </c>
      <c r="G503" s="213">
        <f>if(or(eq(#REF!,"No Valet"),eq(#REF!,"Has Valet")), F503 * AVERAGE(Accounts!I$2:I$34),F503*#REF!)</f>
        <v/>
      </c>
      <c r="H503" s="213">
        <f>iferror(G503*360,"")</f>
        <v/>
      </c>
      <c r="I503" s="213">
        <f>H503*0.1</f>
        <v/>
      </c>
    </row>
    <row r="504" ht="54.75" customHeight="1" s="222">
      <c r="A504" s="210">
        <f>#REF!</f>
        <v/>
      </c>
      <c r="B504" s="141">
        <f>#REF!</f>
        <v/>
      </c>
      <c r="C504" s="211" t="n">
        <v>0.6</v>
      </c>
      <c r="D504" s="212">
        <f>#REF!*C504</f>
        <v/>
      </c>
      <c r="E504" s="211" t="n">
        <v>0.4</v>
      </c>
      <c r="F504" s="212">
        <f>D504*E504</f>
        <v/>
      </c>
      <c r="G504" s="213">
        <f>if(or(eq(#REF!,"No Valet"),eq(#REF!,"Has Valet")), F504 * AVERAGE(Accounts!I$2:I$34),F504*#REF!)</f>
        <v/>
      </c>
      <c r="H504" s="213">
        <f>iferror(G504*360,"")</f>
        <v/>
      </c>
      <c r="I504" s="213">
        <f>H504*0.1</f>
        <v/>
      </c>
    </row>
    <row r="505" ht="54.75" customHeight="1" s="222">
      <c r="A505" s="210">
        <f>#REF!</f>
        <v/>
      </c>
      <c r="B505" s="141">
        <f>#REF!</f>
        <v/>
      </c>
      <c r="C505" s="211" t="n">
        <v>0.6</v>
      </c>
      <c r="D505" s="212">
        <f>#REF!*C505</f>
        <v/>
      </c>
      <c r="E505" s="211" t="n">
        <v>0.4</v>
      </c>
      <c r="F505" s="212">
        <f>D505*E505</f>
        <v/>
      </c>
      <c r="G505" s="213">
        <f>if(or(eq(#REF!,"No Valet"),eq(#REF!,"Has Valet")), F505 * AVERAGE(Accounts!I$2:I$34),F505*#REF!)</f>
        <v/>
      </c>
      <c r="H505" s="213">
        <f>iferror(G505*360,"")</f>
        <v/>
      </c>
      <c r="I505" s="213">
        <f>H505*0.1</f>
        <v/>
      </c>
    </row>
    <row r="506" ht="54.75" customHeight="1" s="222">
      <c r="A506" s="210">
        <f>#REF!</f>
        <v/>
      </c>
      <c r="B506" s="141">
        <f>#REF!</f>
        <v/>
      </c>
      <c r="C506" s="211" t="n">
        <v>0.6</v>
      </c>
      <c r="D506" s="212">
        <f>#REF!*C506</f>
        <v/>
      </c>
      <c r="E506" s="211" t="n">
        <v>0.4</v>
      </c>
      <c r="F506" s="212">
        <f>D506*E506</f>
        <v/>
      </c>
      <c r="G506" s="213">
        <f>if(or(eq(#REF!,"No Valet"),eq(#REF!,"Has Valet")), F506 * AVERAGE(Accounts!I$2:I$34),F506*#REF!)</f>
        <v/>
      </c>
      <c r="H506" s="213">
        <f>iferror(G506*360,"")</f>
        <v/>
      </c>
      <c r="I506" s="213">
        <f>H506*0.1</f>
        <v/>
      </c>
    </row>
    <row r="507" ht="54.75" customHeight="1" s="222">
      <c r="A507" s="210">
        <f>#REF!</f>
        <v/>
      </c>
      <c r="B507" s="141">
        <f>#REF!</f>
        <v/>
      </c>
      <c r="C507" s="211" t="n">
        <v>0.6</v>
      </c>
      <c r="D507" s="212">
        <f>#REF!*C507</f>
        <v/>
      </c>
      <c r="E507" s="211" t="n">
        <v>0.4</v>
      </c>
      <c r="F507" s="212">
        <f>D507*E507</f>
        <v/>
      </c>
      <c r="G507" s="213">
        <f>if(or(eq(#REF!,"No Valet"),eq(#REF!,"Has Valet")), F507 * AVERAGE(Accounts!I$2:I$34),F507*#REF!)</f>
        <v/>
      </c>
      <c r="H507" s="213">
        <f>iferror(G507*360,"")</f>
        <v/>
      </c>
      <c r="I507" s="213">
        <f>H507*0.1</f>
        <v/>
      </c>
    </row>
    <row r="508" ht="54.75" customHeight="1" s="222">
      <c r="A508" s="210">
        <f>#REF!</f>
        <v/>
      </c>
      <c r="B508" s="141">
        <f>#REF!</f>
        <v/>
      </c>
      <c r="C508" s="211" t="n">
        <v>0.6</v>
      </c>
      <c r="D508" s="212">
        <f>#REF!*C508</f>
        <v/>
      </c>
      <c r="E508" s="211" t="n">
        <v>0.4</v>
      </c>
      <c r="F508" s="212">
        <f>D508*E508</f>
        <v/>
      </c>
      <c r="G508" s="213">
        <f>if(or(eq(#REF!,"No Valet"),eq(#REF!,"Has Valet")), F508 * AVERAGE(Accounts!I$2:I$34),F508*#REF!)</f>
        <v/>
      </c>
      <c r="H508" s="213">
        <f>iferror(G508*360,"")</f>
        <v/>
      </c>
      <c r="I508" s="213">
        <f>H508*0.1</f>
        <v/>
      </c>
    </row>
    <row r="509" ht="54.75" customHeight="1" s="222">
      <c r="A509" s="210">
        <f>#REF!</f>
        <v/>
      </c>
      <c r="B509" s="141">
        <f>#REF!</f>
        <v/>
      </c>
      <c r="C509" s="211" t="n">
        <v>0.6</v>
      </c>
      <c r="D509" s="212">
        <f>#REF!*C509</f>
        <v/>
      </c>
      <c r="E509" s="211" t="n">
        <v>0.4</v>
      </c>
      <c r="F509" s="212">
        <f>D509*E509</f>
        <v/>
      </c>
      <c r="G509" s="213">
        <f>if(or(eq(#REF!,"No Valet"),eq(#REF!,"Has Valet")), F509 * AVERAGE(Accounts!I$2:I$34),F509*#REF!)</f>
        <v/>
      </c>
      <c r="H509" s="213">
        <f>iferror(G509*360,"")</f>
        <v/>
      </c>
      <c r="I509" s="213">
        <f>H509*0.1</f>
        <v/>
      </c>
    </row>
    <row r="510" ht="54.75" customHeight="1" s="222">
      <c r="A510" s="210">
        <f>#REF!</f>
        <v/>
      </c>
      <c r="B510" s="141">
        <f>#REF!</f>
        <v/>
      </c>
      <c r="C510" s="211" t="n">
        <v>0.6</v>
      </c>
      <c r="D510" s="212">
        <f>#REF!*C510</f>
        <v/>
      </c>
      <c r="E510" s="211" t="n">
        <v>0.4</v>
      </c>
      <c r="F510" s="212">
        <f>D510*E510</f>
        <v/>
      </c>
      <c r="G510" s="213">
        <f>if(or(eq(#REF!,"No Valet"),eq(#REF!,"Has Valet")), F510 * AVERAGE(Accounts!I$2:I$34),F510*#REF!)</f>
        <v/>
      </c>
      <c r="H510" s="213">
        <f>iferror(G510*360,"")</f>
        <v/>
      </c>
      <c r="I510" s="213">
        <f>H510*0.1</f>
        <v/>
      </c>
    </row>
    <row r="511" ht="54.75" customHeight="1" s="222">
      <c r="A511" s="210">
        <f>#REF!</f>
        <v/>
      </c>
      <c r="B511" s="141">
        <f>#REF!</f>
        <v/>
      </c>
      <c r="C511" s="211" t="n">
        <v>0.6</v>
      </c>
      <c r="D511" s="212">
        <f>#REF!*C511</f>
        <v/>
      </c>
      <c r="E511" s="211" t="n">
        <v>0.4</v>
      </c>
      <c r="F511" s="212">
        <f>D511*E511</f>
        <v/>
      </c>
      <c r="G511" s="213">
        <f>if(or(eq(#REF!,"No Valet"),eq(#REF!,"Has Valet")), F511 * AVERAGE(Accounts!I$2:I$34),F511*#REF!)</f>
        <v/>
      </c>
      <c r="H511" s="213">
        <f>iferror(G511*360,"")</f>
        <v/>
      </c>
      <c r="I511" s="213">
        <f>H511*0.1</f>
        <v/>
      </c>
    </row>
    <row r="512" ht="54.75" customHeight="1" s="222">
      <c r="A512" s="210">
        <f>#REF!</f>
        <v/>
      </c>
      <c r="B512" s="141">
        <f>#REF!</f>
        <v/>
      </c>
      <c r="C512" s="211" t="n">
        <v>0.6</v>
      </c>
      <c r="D512" s="212">
        <f>#REF!*C512</f>
        <v/>
      </c>
      <c r="E512" s="211" t="n">
        <v>0.4</v>
      </c>
      <c r="F512" s="212">
        <f>D512*E512</f>
        <v/>
      </c>
      <c r="G512" s="213">
        <f>if(or(eq(#REF!,"No Valet"),eq(#REF!,"Has Valet")), F512 * AVERAGE(Accounts!I$2:I$34),F512*#REF!)</f>
        <v/>
      </c>
      <c r="H512" s="213">
        <f>iferror(G512*360,"")</f>
        <v/>
      </c>
      <c r="I512" s="213">
        <f>H512*0.1</f>
        <v/>
      </c>
    </row>
    <row r="513" ht="54.75" customHeight="1" s="222">
      <c r="A513" s="210">
        <f>#REF!</f>
        <v/>
      </c>
      <c r="B513" s="141">
        <f>#REF!</f>
        <v/>
      </c>
      <c r="C513" s="211" t="n">
        <v>0.6</v>
      </c>
      <c r="D513" s="212">
        <f>#REF!*C513</f>
        <v/>
      </c>
      <c r="E513" s="211" t="n">
        <v>0.4</v>
      </c>
      <c r="F513" s="212">
        <f>D513*E513</f>
        <v/>
      </c>
      <c r="G513" s="213">
        <f>if(or(eq(#REF!,"No Valet"),eq(#REF!,"Has Valet")), F513 * AVERAGE(Accounts!I$2:I$34),F513*#REF!)</f>
        <v/>
      </c>
      <c r="H513" s="213">
        <f>iferror(G513*360,"")</f>
        <v/>
      </c>
      <c r="I513" s="213">
        <f>H513*0.1</f>
        <v/>
      </c>
    </row>
    <row r="514" ht="54.75" customHeight="1" s="222">
      <c r="A514" s="210">
        <f>#REF!</f>
        <v/>
      </c>
      <c r="B514" s="141">
        <f>#REF!</f>
        <v/>
      </c>
      <c r="C514" s="211" t="n">
        <v>0.6</v>
      </c>
      <c r="D514" s="212">
        <f>#REF!*C514</f>
        <v/>
      </c>
      <c r="E514" s="211" t="n">
        <v>0.4</v>
      </c>
      <c r="F514" s="212">
        <f>D514*E514</f>
        <v/>
      </c>
      <c r="G514" s="213">
        <f>if(or(eq(#REF!,"No Valet"),eq(#REF!,"Has Valet")), F514 * AVERAGE(Accounts!I$2:I$34),F514*#REF!)</f>
        <v/>
      </c>
      <c r="H514" s="213">
        <f>iferror(G514*360,"")</f>
        <v/>
      </c>
      <c r="I514" s="213">
        <f>H514*0.1</f>
        <v/>
      </c>
    </row>
    <row r="515" ht="54.75" customHeight="1" s="222">
      <c r="A515" s="210">
        <f>#REF!</f>
        <v/>
      </c>
      <c r="B515" s="141">
        <f>#REF!</f>
        <v/>
      </c>
      <c r="C515" s="211" t="n">
        <v>0.6</v>
      </c>
      <c r="D515" s="212">
        <f>#REF!*C515</f>
        <v/>
      </c>
      <c r="E515" s="211" t="n">
        <v>0.4</v>
      </c>
      <c r="F515" s="212">
        <f>D515*E515</f>
        <v/>
      </c>
      <c r="G515" s="213">
        <f>if(or(eq(#REF!,"No Valet"),eq(#REF!,"Has Valet")), F515 * AVERAGE(Accounts!I$2:I$34),F515*#REF!)</f>
        <v/>
      </c>
      <c r="H515" s="213">
        <f>iferror(G515*360,"")</f>
        <v/>
      </c>
      <c r="I515" s="213">
        <f>H515*0.1</f>
        <v/>
      </c>
    </row>
    <row r="516" ht="54.75" customHeight="1" s="222">
      <c r="A516" s="210">
        <f>#REF!</f>
        <v/>
      </c>
      <c r="B516" s="141">
        <f>#REF!</f>
        <v/>
      </c>
      <c r="C516" s="211" t="n">
        <v>0.6</v>
      </c>
      <c r="D516" s="212">
        <f>#REF!*C516</f>
        <v/>
      </c>
      <c r="E516" s="211" t="n">
        <v>0.4</v>
      </c>
      <c r="F516" s="212">
        <f>D516*E516</f>
        <v/>
      </c>
      <c r="G516" s="213">
        <f>if(or(eq(#REF!,"No Valet"),eq(#REF!,"Has Valet")), F516 * AVERAGE(Accounts!I$2:I$34),F516*#REF!)</f>
        <v/>
      </c>
      <c r="H516" s="213">
        <f>iferror(G516*360,"")</f>
        <v/>
      </c>
      <c r="I516" s="213">
        <f>H516*0.1</f>
        <v/>
      </c>
    </row>
    <row r="517" ht="54.75" customHeight="1" s="222">
      <c r="A517" s="210">
        <f>#REF!</f>
        <v/>
      </c>
      <c r="B517" s="141">
        <f>#REF!</f>
        <v/>
      </c>
      <c r="C517" s="211" t="n">
        <v>0.6</v>
      </c>
      <c r="D517" s="212">
        <f>#REF!*C517</f>
        <v/>
      </c>
      <c r="E517" s="211" t="n">
        <v>0.4</v>
      </c>
      <c r="F517" s="212">
        <f>D517*E517</f>
        <v/>
      </c>
      <c r="G517" s="213">
        <f>if(or(eq(#REF!,"No Valet"),eq(#REF!,"Has Valet")), F517 * AVERAGE(Accounts!I$2:I$34),F517*#REF!)</f>
        <v/>
      </c>
      <c r="H517" s="213">
        <f>iferror(G517*360,"")</f>
        <v/>
      </c>
      <c r="I517" s="213">
        <f>H517*0.1</f>
        <v/>
      </c>
    </row>
    <row r="518" ht="54.75" customHeight="1" s="222">
      <c r="A518" s="210">
        <f>#REF!</f>
        <v/>
      </c>
      <c r="B518" s="141">
        <f>#REF!</f>
        <v/>
      </c>
      <c r="C518" s="211" t="n">
        <v>0.6</v>
      </c>
      <c r="D518" s="212">
        <f>#REF!*C518</f>
        <v/>
      </c>
      <c r="E518" s="211" t="n">
        <v>0.4</v>
      </c>
      <c r="F518" s="212">
        <f>D518*E518</f>
        <v/>
      </c>
      <c r="G518" s="213">
        <f>if(or(eq(#REF!,"No Valet"),eq(#REF!,"Has Valet")), F518 * AVERAGE(Accounts!I$2:I$34),F518*#REF!)</f>
        <v/>
      </c>
      <c r="H518" s="213">
        <f>iferror(G518*360,"")</f>
        <v/>
      </c>
      <c r="I518" s="213">
        <f>H518*0.1</f>
        <v/>
      </c>
    </row>
    <row r="519" ht="54.75" customHeight="1" s="222">
      <c r="A519" s="210">
        <f>#REF!</f>
        <v/>
      </c>
      <c r="B519" s="141">
        <f>#REF!</f>
        <v/>
      </c>
      <c r="C519" s="211" t="n">
        <v>0.6</v>
      </c>
      <c r="D519" s="212">
        <f>#REF!*C519</f>
        <v/>
      </c>
      <c r="E519" s="211" t="n">
        <v>0.4</v>
      </c>
      <c r="F519" s="212">
        <f>D519*E519</f>
        <v/>
      </c>
      <c r="G519" s="213">
        <f>if(or(eq(#REF!,"No Valet"),eq(#REF!,"Has Valet")), F519 * AVERAGE(Accounts!I$2:I$34),F519*#REF!)</f>
        <v/>
      </c>
      <c r="H519" s="213">
        <f>iferror(G519*360,"")</f>
        <v/>
      </c>
      <c r="I519" s="213">
        <f>H519*0.1</f>
        <v/>
      </c>
    </row>
    <row r="520" ht="54.75" customHeight="1" s="222">
      <c r="A520" s="210">
        <f>#REF!</f>
        <v/>
      </c>
      <c r="B520" s="141">
        <f>#REF!</f>
        <v/>
      </c>
      <c r="C520" s="211" t="n">
        <v>0.6</v>
      </c>
      <c r="D520" s="212">
        <f>#REF!*C520</f>
        <v/>
      </c>
      <c r="E520" s="211" t="n">
        <v>0.4</v>
      </c>
      <c r="F520" s="212">
        <f>D520*E520</f>
        <v/>
      </c>
      <c r="G520" s="213">
        <f>if(or(eq(#REF!,"No Valet"),eq(#REF!,"Has Valet")), F520 * AVERAGE(Accounts!I$2:I$34),F520*#REF!)</f>
        <v/>
      </c>
      <c r="H520" s="213">
        <f>iferror(G520*360,"")</f>
        <v/>
      </c>
      <c r="I520" s="213">
        <f>H520*0.1</f>
        <v/>
      </c>
    </row>
    <row r="521" ht="54.75" customHeight="1" s="222">
      <c r="A521" s="210">
        <f>#REF!</f>
        <v/>
      </c>
      <c r="B521" s="141">
        <f>#REF!</f>
        <v/>
      </c>
      <c r="C521" s="211" t="n">
        <v>0.6</v>
      </c>
      <c r="D521" s="212">
        <f>#REF!*C521</f>
        <v/>
      </c>
      <c r="E521" s="211" t="n">
        <v>0.4</v>
      </c>
      <c r="F521" s="212">
        <f>D521*E521</f>
        <v/>
      </c>
      <c r="G521" s="213">
        <f>if(or(eq(#REF!,"No Valet"),eq(#REF!,"Has Valet")), F521 * AVERAGE(Accounts!I$2:I$34),F521*#REF!)</f>
        <v/>
      </c>
      <c r="H521" s="213">
        <f>iferror(G521*360,"")</f>
        <v/>
      </c>
      <c r="I521" s="213">
        <f>H521*0.1</f>
        <v/>
      </c>
    </row>
    <row r="522" ht="54.75" customHeight="1" s="222">
      <c r="A522" s="210">
        <f>#REF!</f>
        <v/>
      </c>
      <c r="B522" s="141">
        <f>#REF!</f>
        <v/>
      </c>
      <c r="C522" s="211" t="n">
        <v>0.6</v>
      </c>
      <c r="D522" s="212">
        <f>#REF!*C522</f>
        <v/>
      </c>
      <c r="E522" s="211" t="n">
        <v>0.4</v>
      </c>
      <c r="F522" s="212">
        <f>D522*E522</f>
        <v/>
      </c>
      <c r="G522" s="213">
        <f>if(or(eq(#REF!,"No Valet"),eq(#REF!,"Has Valet")), F522 * AVERAGE(Accounts!I$2:I$34),F522*#REF!)</f>
        <v/>
      </c>
      <c r="H522" s="213">
        <f>iferror(G522*360,"")</f>
        <v/>
      </c>
      <c r="I522" s="213">
        <f>H522*0.1</f>
        <v/>
      </c>
    </row>
    <row r="523" ht="54.75" customHeight="1" s="222">
      <c r="A523" s="210">
        <f>#REF!</f>
        <v/>
      </c>
      <c r="B523" s="141">
        <f>#REF!</f>
        <v/>
      </c>
      <c r="C523" s="211" t="n">
        <v>0.6</v>
      </c>
      <c r="D523" s="212">
        <f>#REF!*C523</f>
        <v/>
      </c>
      <c r="E523" s="211" t="n">
        <v>0.4</v>
      </c>
      <c r="F523" s="212">
        <f>D523*E523</f>
        <v/>
      </c>
      <c r="G523" s="213">
        <f>if(or(eq(#REF!,"No Valet"),eq(#REF!,"Has Valet")), F523 * AVERAGE(Accounts!I$2:I$34),F523*#REF!)</f>
        <v/>
      </c>
      <c r="H523" s="213">
        <f>iferror(G523*360,"")</f>
        <v/>
      </c>
      <c r="I523" s="213">
        <f>H523*0.1</f>
        <v/>
      </c>
    </row>
    <row r="524" ht="54.75" customHeight="1" s="222">
      <c r="A524" s="210">
        <f>#REF!</f>
        <v/>
      </c>
      <c r="B524" s="141">
        <f>#REF!</f>
        <v/>
      </c>
      <c r="C524" s="211" t="n">
        <v>0.6</v>
      </c>
      <c r="D524" s="212">
        <f>#REF!*C524</f>
        <v/>
      </c>
      <c r="E524" s="211" t="n">
        <v>0.4</v>
      </c>
      <c r="F524" s="212">
        <f>D524*E524</f>
        <v/>
      </c>
      <c r="G524" s="213">
        <f>if(or(eq(#REF!,"No Valet"),eq(#REF!,"Has Valet")), F524 * AVERAGE(Accounts!I$2:I$34),F524*#REF!)</f>
        <v/>
      </c>
      <c r="H524" s="213">
        <f>iferror(G524*360,"")</f>
        <v/>
      </c>
      <c r="I524" s="213">
        <f>H524*0.1</f>
        <v/>
      </c>
    </row>
    <row r="525" ht="54.75" customHeight="1" s="222">
      <c r="A525" s="210">
        <f>#REF!</f>
        <v/>
      </c>
      <c r="B525" s="141">
        <f>#REF!</f>
        <v/>
      </c>
      <c r="C525" s="211" t="n">
        <v>0.6</v>
      </c>
      <c r="D525" s="212">
        <f>#REF!*C525</f>
        <v/>
      </c>
      <c r="E525" s="211" t="n">
        <v>0.4</v>
      </c>
      <c r="F525" s="212">
        <f>D525*E525</f>
        <v/>
      </c>
      <c r="G525" s="213">
        <f>if(or(eq(#REF!,"No Valet"),eq(#REF!,"Has Valet")), F525 * AVERAGE(Accounts!I$2:I$34),F525*#REF!)</f>
        <v/>
      </c>
      <c r="H525" s="213">
        <f>iferror(G525*360,"")</f>
        <v/>
      </c>
      <c r="I525" s="213">
        <f>H525*0.1</f>
        <v/>
      </c>
    </row>
    <row r="526" ht="54.75" customHeight="1" s="222">
      <c r="A526" s="210">
        <f>#REF!</f>
        <v/>
      </c>
      <c r="B526" s="141">
        <f>#REF!</f>
        <v/>
      </c>
      <c r="C526" s="211" t="n">
        <v>0.6</v>
      </c>
      <c r="D526" s="212">
        <f>#REF!*C526</f>
        <v/>
      </c>
      <c r="E526" s="211" t="n">
        <v>0.4</v>
      </c>
      <c r="F526" s="212">
        <f>D526*E526</f>
        <v/>
      </c>
      <c r="G526" s="213">
        <f>if(or(eq(#REF!,"No Valet"),eq(#REF!,"Has Valet")), F526 * AVERAGE(Accounts!I$2:I$34),F526*#REF!)</f>
        <v/>
      </c>
      <c r="H526" s="213">
        <f>iferror(G526*360,"")</f>
        <v/>
      </c>
      <c r="I526" s="213">
        <f>H526*0.1</f>
        <v/>
      </c>
    </row>
    <row r="527" ht="54.75" customHeight="1" s="222">
      <c r="A527" s="210">
        <f>#REF!</f>
        <v/>
      </c>
      <c r="B527" s="141">
        <f>#REF!</f>
        <v/>
      </c>
      <c r="C527" s="211" t="n">
        <v>0.6</v>
      </c>
      <c r="D527" s="212">
        <f>#REF!*C527</f>
        <v/>
      </c>
      <c r="E527" s="211" t="n">
        <v>0.4</v>
      </c>
      <c r="F527" s="212">
        <f>D527*E527</f>
        <v/>
      </c>
      <c r="G527" s="213">
        <f>if(or(eq(#REF!,"No Valet"),eq(#REF!,"Has Valet")), F527 * AVERAGE(Accounts!I$2:I$34),F527*#REF!)</f>
        <v/>
      </c>
      <c r="H527" s="213">
        <f>iferror(G527*360,"")</f>
        <v/>
      </c>
      <c r="I527" s="213">
        <f>H527*0.1</f>
        <v/>
      </c>
    </row>
    <row r="528" ht="54.75" customHeight="1" s="222">
      <c r="A528" s="210">
        <f>#REF!</f>
        <v/>
      </c>
      <c r="B528" s="141">
        <f>#REF!</f>
        <v/>
      </c>
      <c r="C528" s="211" t="n">
        <v>0.6</v>
      </c>
      <c r="D528" s="212">
        <f>#REF!*C528</f>
        <v/>
      </c>
      <c r="E528" s="211" t="n">
        <v>0.4</v>
      </c>
      <c r="F528" s="212">
        <f>D528*E528</f>
        <v/>
      </c>
      <c r="G528" s="213">
        <f>if(or(eq(#REF!,"No Valet"),eq(#REF!,"Has Valet")), F528 * AVERAGE(Accounts!I$2:I$34),F528*#REF!)</f>
        <v/>
      </c>
      <c r="H528" s="213">
        <f>iferror(G528*360,"")</f>
        <v/>
      </c>
      <c r="I528" s="213">
        <f>H528*0.1</f>
        <v/>
      </c>
    </row>
    <row r="529" ht="54.75" customHeight="1" s="222">
      <c r="A529" s="210">
        <f>#REF!</f>
        <v/>
      </c>
      <c r="B529" s="141">
        <f>#REF!</f>
        <v/>
      </c>
      <c r="C529" s="211" t="n">
        <v>0.6</v>
      </c>
      <c r="D529" s="212">
        <f>#REF!*C529</f>
        <v/>
      </c>
      <c r="E529" s="211" t="n">
        <v>0.4</v>
      </c>
      <c r="F529" s="212">
        <f>D529*E529</f>
        <v/>
      </c>
      <c r="G529" s="213">
        <f>if(or(eq(#REF!,"No Valet"),eq(#REF!,"Has Valet")), F529 * AVERAGE(Accounts!I$2:I$34),F529*#REF!)</f>
        <v/>
      </c>
      <c r="H529" s="213">
        <f>iferror(G529*360,"")</f>
        <v/>
      </c>
      <c r="I529" s="213">
        <f>H529*0.1</f>
        <v/>
      </c>
    </row>
    <row r="530" ht="54.75" customHeight="1" s="222">
      <c r="A530" s="210">
        <f>#REF!</f>
        <v/>
      </c>
      <c r="B530" s="141">
        <f>#REF!</f>
        <v/>
      </c>
      <c r="C530" s="211" t="n">
        <v>0.6</v>
      </c>
      <c r="D530" s="212">
        <f>#REF!*C530</f>
        <v/>
      </c>
      <c r="E530" s="211" t="n">
        <v>0.4</v>
      </c>
      <c r="F530" s="212">
        <f>D530*E530</f>
        <v/>
      </c>
      <c r="G530" s="213">
        <f>if(or(eq(#REF!,"No Valet"),eq(#REF!,"Has Valet")), F530 * AVERAGE(Accounts!I$2:I$34),F530*#REF!)</f>
        <v/>
      </c>
      <c r="H530" s="213">
        <f>iferror(G530*360,"")</f>
        <v/>
      </c>
      <c r="I530" s="213">
        <f>H530*0.1</f>
        <v/>
      </c>
    </row>
    <row r="531" ht="54.75" customHeight="1" s="222">
      <c r="A531" s="210">
        <f>#REF!</f>
        <v/>
      </c>
      <c r="B531" s="141">
        <f>#REF!</f>
        <v/>
      </c>
      <c r="C531" s="211" t="n">
        <v>0.6</v>
      </c>
      <c r="D531" s="212">
        <f>#REF!*C531</f>
        <v/>
      </c>
      <c r="E531" s="211" t="n">
        <v>0.4</v>
      </c>
      <c r="F531" s="212">
        <f>D531*E531</f>
        <v/>
      </c>
      <c r="G531" s="213">
        <f>if(or(eq(#REF!,"No Valet"),eq(#REF!,"Has Valet")), F531 * AVERAGE(Accounts!I$2:I$34),F531*#REF!)</f>
        <v/>
      </c>
      <c r="H531" s="213">
        <f>iferror(G531*360,"")</f>
        <v/>
      </c>
      <c r="I531" s="213">
        <f>H531*0.1</f>
        <v/>
      </c>
    </row>
    <row r="532" ht="54.75" customHeight="1" s="222">
      <c r="A532" s="210">
        <f>#REF!</f>
        <v/>
      </c>
      <c r="B532" s="141">
        <f>#REF!</f>
        <v/>
      </c>
      <c r="C532" s="211" t="n">
        <v>0.6</v>
      </c>
      <c r="D532" s="212">
        <f>#REF!*C532</f>
        <v/>
      </c>
      <c r="E532" s="211" t="n">
        <v>0.4</v>
      </c>
      <c r="F532" s="212">
        <f>D532*E532</f>
        <v/>
      </c>
      <c r="G532" s="213">
        <f>if(or(eq(#REF!,"No Valet"),eq(#REF!,"Has Valet")), F532 * AVERAGE(Accounts!I$2:I$34),F532*#REF!)</f>
        <v/>
      </c>
      <c r="H532" s="213">
        <f>iferror(G532*360,"")</f>
        <v/>
      </c>
      <c r="I532" s="213">
        <f>H532*0.1</f>
        <v/>
      </c>
    </row>
    <row r="533" ht="54.75" customHeight="1" s="222">
      <c r="A533" s="210">
        <f>#REF!</f>
        <v/>
      </c>
      <c r="B533" s="141">
        <f>#REF!</f>
        <v/>
      </c>
      <c r="C533" s="211" t="n">
        <v>0.6</v>
      </c>
      <c r="D533" s="212">
        <f>#REF!*C533</f>
        <v/>
      </c>
      <c r="E533" s="211" t="n">
        <v>0.4</v>
      </c>
      <c r="F533" s="212">
        <f>D533*E533</f>
        <v/>
      </c>
      <c r="G533" s="213">
        <f>if(or(eq(#REF!,"No Valet"),eq(#REF!,"Has Valet")), F533 * AVERAGE(Accounts!I$2:I$34),F533*#REF!)</f>
        <v/>
      </c>
      <c r="H533" s="213">
        <f>iferror(G533*360,"")</f>
        <v/>
      </c>
      <c r="I533" s="213">
        <f>H533*0.1</f>
        <v/>
      </c>
    </row>
    <row r="534" ht="54.75" customHeight="1" s="222">
      <c r="A534" s="210">
        <f>#REF!</f>
        <v/>
      </c>
      <c r="B534" s="141">
        <f>#REF!</f>
        <v/>
      </c>
      <c r="C534" s="211" t="n">
        <v>0.6</v>
      </c>
      <c r="D534" s="212">
        <f>#REF!*C534</f>
        <v/>
      </c>
      <c r="E534" s="211" t="n">
        <v>0.4</v>
      </c>
      <c r="F534" s="212">
        <f>D534*E534</f>
        <v/>
      </c>
      <c r="G534" s="213">
        <f>if(or(eq(#REF!,"No Valet"),eq(#REF!,"Has Valet")), F534 * AVERAGE(Accounts!I$2:I$34),F534*#REF!)</f>
        <v/>
      </c>
      <c r="H534" s="213">
        <f>iferror(G534*360,"")</f>
        <v/>
      </c>
      <c r="I534" s="213">
        <f>H534*0.1</f>
        <v/>
      </c>
    </row>
    <row r="535" ht="54.75" customHeight="1" s="222">
      <c r="A535" s="210">
        <f>#REF!</f>
        <v/>
      </c>
      <c r="B535" s="141">
        <f>#REF!</f>
        <v/>
      </c>
      <c r="C535" s="211" t="n">
        <v>0.6</v>
      </c>
      <c r="D535" s="212">
        <f>#REF!*C535</f>
        <v/>
      </c>
      <c r="E535" s="211" t="n">
        <v>0.4</v>
      </c>
      <c r="F535" s="212">
        <f>D535*E535</f>
        <v/>
      </c>
      <c r="G535" s="213">
        <f>if(or(eq(#REF!,"No Valet"),eq(#REF!,"Has Valet")), F535 * AVERAGE(Accounts!I$2:I$34),F535*#REF!)</f>
        <v/>
      </c>
      <c r="H535" s="213">
        <f>iferror(G535*360,"")</f>
        <v/>
      </c>
      <c r="I535" s="213">
        <f>H535*0.1</f>
        <v/>
      </c>
    </row>
    <row r="536" ht="54.75" customHeight="1" s="222">
      <c r="A536" s="210">
        <f>#REF!</f>
        <v/>
      </c>
      <c r="B536" s="141">
        <f>#REF!</f>
        <v/>
      </c>
      <c r="C536" s="211" t="n">
        <v>0.6</v>
      </c>
      <c r="D536" s="212">
        <f>#REF!*C536</f>
        <v/>
      </c>
      <c r="E536" s="211" t="n">
        <v>0.4</v>
      </c>
      <c r="F536" s="212">
        <f>D536*E536</f>
        <v/>
      </c>
      <c r="G536" s="213">
        <f>if(or(eq(#REF!,"No Valet"),eq(#REF!,"Has Valet")), F536 * AVERAGE(Accounts!I$2:I$34),F536*#REF!)</f>
        <v/>
      </c>
      <c r="H536" s="213">
        <f>iferror(G536*360,"")</f>
        <v/>
      </c>
      <c r="I536" s="213">
        <f>H536*0.1</f>
        <v/>
      </c>
    </row>
    <row r="537" ht="54.75" customHeight="1" s="222">
      <c r="A537" s="210">
        <f>#REF!</f>
        <v/>
      </c>
      <c r="B537" s="141">
        <f>#REF!</f>
        <v/>
      </c>
      <c r="C537" s="211" t="n">
        <v>0.6</v>
      </c>
      <c r="D537" s="212">
        <f>#REF!*C537</f>
        <v/>
      </c>
      <c r="E537" s="211" t="n">
        <v>0.4</v>
      </c>
      <c r="F537" s="212">
        <f>D537*E537</f>
        <v/>
      </c>
      <c r="G537" s="213">
        <f>if(or(eq(#REF!,"No Valet"),eq(#REF!,"Has Valet")), F537 * AVERAGE(Accounts!I$2:I$34),F537*#REF!)</f>
        <v/>
      </c>
      <c r="H537" s="213">
        <f>iferror(G537*360,"")</f>
        <v/>
      </c>
      <c r="I537" s="213">
        <f>H537*0.1</f>
        <v/>
      </c>
    </row>
    <row r="538" ht="54.75" customHeight="1" s="222">
      <c r="A538" s="210">
        <f>#REF!</f>
        <v/>
      </c>
      <c r="B538" s="141">
        <f>#REF!</f>
        <v/>
      </c>
      <c r="C538" s="211" t="n">
        <v>0.6</v>
      </c>
      <c r="D538" s="212">
        <f>#REF!*C538</f>
        <v/>
      </c>
      <c r="E538" s="211" t="n">
        <v>0.4</v>
      </c>
      <c r="F538" s="212">
        <f>D538*E538</f>
        <v/>
      </c>
      <c r="G538" s="213">
        <f>if(or(eq(#REF!,"No Valet"),eq(#REF!,"Has Valet")), F538 * AVERAGE(Accounts!I$2:I$34),F538*#REF!)</f>
        <v/>
      </c>
      <c r="H538" s="213">
        <f>iferror(G538*360,"")</f>
        <v/>
      </c>
      <c r="I538" s="213">
        <f>H538*0.1</f>
        <v/>
      </c>
    </row>
    <row r="539" ht="54.75" customHeight="1" s="222">
      <c r="A539" s="210">
        <f>#REF!</f>
        <v/>
      </c>
      <c r="B539" s="141">
        <f>#REF!</f>
        <v/>
      </c>
      <c r="C539" s="211" t="n">
        <v>0.6</v>
      </c>
      <c r="D539" s="212">
        <f>#REF!*C539</f>
        <v/>
      </c>
      <c r="E539" s="211" t="n">
        <v>0.4</v>
      </c>
      <c r="F539" s="212">
        <f>D539*E539</f>
        <v/>
      </c>
      <c r="G539" s="213">
        <f>if(or(eq(#REF!,"No Valet"),eq(#REF!,"Has Valet")), F539 * AVERAGE(Accounts!I$2:I$34),F539*#REF!)</f>
        <v/>
      </c>
      <c r="H539" s="213">
        <f>iferror(G539*360,"")</f>
        <v/>
      </c>
      <c r="I539" s="213">
        <f>H539*0.1</f>
        <v/>
      </c>
    </row>
    <row r="540" ht="54.75" customHeight="1" s="222">
      <c r="A540" s="210">
        <f>#REF!</f>
        <v/>
      </c>
      <c r="B540" s="141">
        <f>#REF!</f>
        <v/>
      </c>
      <c r="C540" s="211" t="n">
        <v>0.6</v>
      </c>
      <c r="D540" s="212">
        <f>#REF!*C540</f>
        <v/>
      </c>
      <c r="E540" s="211" t="n">
        <v>0.4</v>
      </c>
      <c r="F540" s="212">
        <f>D540*E540</f>
        <v/>
      </c>
      <c r="G540" s="213">
        <f>if(or(eq(#REF!,"No Valet"),eq(#REF!,"Has Valet")), F540 * AVERAGE(Accounts!I$2:I$34),F540*#REF!)</f>
        <v/>
      </c>
      <c r="H540" s="213">
        <f>iferror(G540*360,"")</f>
        <v/>
      </c>
      <c r="I540" s="213">
        <f>H540*0.1</f>
        <v/>
      </c>
    </row>
    <row r="541" ht="54.75" customHeight="1" s="222">
      <c r="A541" s="210">
        <f>#REF!</f>
        <v/>
      </c>
      <c r="B541" s="141">
        <f>#REF!</f>
        <v/>
      </c>
      <c r="C541" s="211" t="n">
        <v>0.6</v>
      </c>
      <c r="D541" s="212">
        <f>#REF!*C541</f>
        <v/>
      </c>
      <c r="E541" s="211" t="n">
        <v>0.4</v>
      </c>
      <c r="F541" s="212">
        <f>D541*E541</f>
        <v/>
      </c>
      <c r="G541" s="213">
        <f>if(or(eq(#REF!,"No Valet"),eq(#REF!,"Has Valet")), F541 * AVERAGE(Accounts!I$2:I$34),F541*#REF!)</f>
        <v/>
      </c>
      <c r="H541" s="213">
        <f>iferror(G541*360,"")</f>
        <v/>
      </c>
      <c r="I541" s="213">
        <f>H541*0.1</f>
        <v/>
      </c>
    </row>
    <row r="542" ht="54.75" customHeight="1" s="222">
      <c r="A542" s="210">
        <f>#REF!</f>
        <v/>
      </c>
      <c r="B542" s="141">
        <f>#REF!</f>
        <v/>
      </c>
      <c r="C542" s="211" t="n">
        <v>0.6</v>
      </c>
      <c r="D542" s="212">
        <f>#REF!*C542</f>
        <v/>
      </c>
      <c r="E542" s="211" t="n">
        <v>0.4</v>
      </c>
      <c r="F542" s="212">
        <f>D542*E542</f>
        <v/>
      </c>
      <c r="G542" s="213">
        <f>if(or(eq(#REF!,"No Valet"),eq(#REF!,"Has Valet")), F542 * AVERAGE(Accounts!I$2:I$34),F542*#REF!)</f>
        <v/>
      </c>
      <c r="H542" s="213">
        <f>iferror(G542*360,"")</f>
        <v/>
      </c>
      <c r="I542" s="213">
        <f>H542*0.1</f>
        <v/>
      </c>
    </row>
    <row r="543" ht="54.75" customHeight="1" s="222">
      <c r="A543" s="210">
        <f>#REF!</f>
        <v/>
      </c>
      <c r="B543" s="141">
        <f>#REF!</f>
        <v/>
      </c>
      <c r="C543" s="211" t="n">
        <v>0.6</v>
      </c>
      <c r="D543" s="212">
        <f>#REF!*C543</f>
        <v/>
      </c>
      <c r="E543" s="211" t="n">
        <v>0.4</v>
      </c>
      <c r="F543" s="212">
        <f>D543*E543</f>
        <v/>
      </c>
      <c r="G543" s="213">
        <f>if(or(eq(#REF!,"No Valet"),eq(#REF!,"Has Valet")), F543 * AVERAGE(Accounts!I$2:I$34),F543*#REF!)</f>
        <v/>
      </c>
      <c r="H543" s="213">
        <f>iferror(G543*360,"")</f>
        <v/>
      </c>
      <c r="I543" s="213">
        <f>H543*0.1</f>
        <v/>
      </c>
    </row>
    <row r="544" ht="54.75" customHeight="1" s="222">
      <c r="A544" s="210">
        <f>#REF!</f>
        <v/>
      </c>
      <c r="B544" s="141">
        <f>#REF!</f>
        <v/>
      </c>
      <c r="C544" s="211" t="n">
        <v>0.6</v>
      </c>
      <c r="D544" s="212">
        <f>#REF!*C544</f>
        <v/>
      </c>
      <c r="E544" s="211" t="n">
        <v>0.4</v>
      </c>
      <c r="F544" s="212">
        <f>D544*E544</f>
        <v/>
      </c>
      <c r="G544" s="213">
        <f>if(or(eq(#REF!,"No Valet"),eq(#REF!,"Has Valet")), F544 * AVERAGE(Accounts!I$2:I$34),F544*#REF!)</f>
        <v/>
      </c>
      <c r="H544" s="213">
        <f>iferror(G544*360,"")</f>
        <v/>
      </c>
      <c r="I544" s="213">
        <f>H544*0.1</f>
        <v/>
      </c>
    </row>
    <row r="545" ht="54.75" customHeight="1" s="222">
      <c r="A545" s="210">
        <f>#REF!</f>
        <v/>
      </c>
      <c r="B545" s="141">
        <f>#REF!</f>
        <v/>
      </c>
      <c r="C545" s="211" t="n">
        <v>0.6</v>
      </c>
      <c r="D545" s="212">
        <f>#REF!*C545</f>
        <v/>
      </c>
      <c r="E545" s="211" t="n">
        <v>0.4</v>
      </c>
      <c r="F545" s="212">
        <f>D545*E545</f>
        <v/>
      </c>
      <c r="G545" s="213">
        <f>if(or(eq(#REF!,"No Valet"),eq(#REF!,"Has Valet")), F545 * AVERAGE(Accounts!I$2:I$34),F545*#REF!)</f>
        <v/>
      </c>
      <c r="H545" s="213">
        <f>iferror(G545*360,"")</f>
        <v/>
      </c>
      <c r="I545" s="213">
        <f>H545*0.1</f>
        <v/>
      </c>
    </row>
    <row r="546" ht="54.75" customHeight="1" s="222">
      <c r="A546" s="210">
        <f>#REF!</f>
        <v/>
      </c>
      <c r="B546" s="141">
        <f>#REF!</f>
        <v/>
      </c>
      <c r="C546" s="211" t="n">
        <v>0.6</v>
      </c>
      <c r="D546" s="212">
        <f>#REF!*C546</f>
        <v/>
      </c>
      <c r="E546" s="211" t="n">
        <v>0.4</v>
      </c>
      <c r="F546" s="212">
        <f>D546*E546</f>
        <v/>
      </c>
      <c r="G546" s="213">
        <f>if(or(eq(#REF!,"No Valet"),eq(#REF!,"Has Valet")), F546 * AVERAGE(Accounts!I$2:I$34),F546*#REF!)</f>
        <v/>
      </c>
      <c r="H546" s="213">
        <f>iferror(G546*360,"")</f>
        <v/>
      </c>
      <c r="I546" s="213">
        <f>H546*0.1</f>
        <v/>
      </c>
    </row>
    <row r="547" ht="54.75" customHeight="1" s="222">
      <c r="A547" s="210">
        <f>#REF!</f>
        <v/>
      </c>
      <c r="B547" s="141">
        <f>#REF!</f>
        <v/>
      </c>
      <c r="C547" s="211" t="n">
        <v>0.6</v>
      </c>
      <c r="D547" s="212">
        <f>#REF!*C547</f>
        <v/>
      </c>
      <c r="E547" s="211" t="n">
        <v>0.4</v>
      </c>
      <c r="F547" s="212">
        <f>D547*E547</f>
        <v/>
      </c>
      <c r="G547" s="213">
        <f>if(or(eq(#REF!,"No Valet"),eq(#REF!,"Has Valet")), F547 * AVERAGE(Accounts!I$2:I$34),F547*#REF!)</f>
        <v/>
      </c>
      <c r="H547" s="213">
        <f>iferror(G547*360,"")</f>
        <v/>
      </c>
      <c r="I547" s="213">
        <f>H547*0.1</f>
        <v/>
      </c>
    </row>
    <row r="548" ht="54.75" customHeight="1" s="222">
      <c r="A548" s="210">
        <f>#REF!</f>
        <v/>
      </c>
      <c r="B548" s="141">
        <f>#REF!</f>
        <v/>
      </c>
      <c r="C548" s="211" t="n">
        <v>0.6</v>
      </c>
      <c r="D548" s="212">
        <f>#REF!*C548</f>
        <v/>
      </c>
      <c r="E548" s="211" t="n">
        <v>0.4</v>
      </c>
      <c r="F548" s="212">
        <f>D548*E548</f>
        <v/>
      </c>
      <c r="G548" s="213">
        <f>if(or(eq(#REF!,"No Valet"),eq(#REF!,"Has Valet")), F548 * AVERAGE(Accounts!I$2:I$34),F548*#REF!)</f>
        <v/>
      </c>
      <c r="H548" s="213">
        <f>iferror(G548*360,"")</f>
        <v/>
      </c>
      <c r="I548" s="213">
        <f>H548*0.1</f>
        <v/>
      </c>
    </row>
    <row r="549" ht="54.75" customHeight="1" s="222">
      <c r="A549" s="210">
        <f>#REF!</f>
        <v/>
      </c>
      <c r="B549" s="141">
        <f>#REF!</f>
        <v/>
      </c>
      <c r="C549" s="211" t="n">
        <v>0.6</v>
      </c>
      <c r="D549" s="212">
        <f>#REF!*C549</f>
        <v/>
      </c>
      <c r="E549" s="211" t="n">
        <v>0.4</v>
      </c>
      <c r="F549" s="212">
        <f>D549*E549</f>
        <v/>
      </c>
      <c r="G549" s="213">
        <f>if(or(eq(#REF!,"No Valet"),eq(#REF!,"Has Valet")), F549 * AVERAGE(Accounts!I$2:I$34),F549*#REF!)</f>
        <v/>
      </c>
      <c r="H549" s="213">
        <f>iferror(G549*360,"")</f>
        <v/>
      </c>
      <c r="I549" s="213">
        <f>H549*0.1</f>
        <v/>
      </c>
    </row>
    <row r="550" ht="54.75" customHeight="1" s="222">
      <c r="A550" s="210">
        <f>#REF!</f>
        <v/>
      </c>
      <c r="B550" s="141">
        <f>#REF!</f>
        <v/>
      </c>
      <c r="C550" s="211" t="n">
        <v>0.6</v>
      </c>
      <c r="D550" s="212">
        <f>#REF!*C550</f>
        <v/>
      </c>
      <c r="E550" s="211" t="n">
        <v>0.4</v>
      </c>
      <c r="F550" s="212">
        <f>D550*E550</f>
        <v/>
      </c>
      <c r="G550" s="213">
        <f>if(or(eq(#REF!,"No Valet"),eq(#REF!,"Has Valet")), F550 * AVERAGE(Accounts!I$2:I$34),F550*#REF!)</f>
        <v/>
      </c>
      <c r="H550" s="213">
        <f>iferror(G550*360,"")</f>
        <v/>
      </c>
      <c r="I550" s="213">
        <f>H550*0.1</f>
        <v/>
      </c>
    </row>
    <row r="551" ht="54.75" customHeight="1" s="222">
      <c r="A551" s="210">
        <f>#REF!</f>
        <v/>
      </c>
      <c r="B551" s="141">
        <f>#REF!</f>
        <v/>
      </c>
      <c r="C551" s="211" t="n">
        <v>0.6</v>
      </c>
      <c r="D551" s="212">
        <f>#REF!*C551</f>
        <v/>
      </c>
      <c r="E551" s="211" t="n">
        <v>0.4</v>
      </c>
      <c r="F551" s="212">
        <f>D551*E551</f>
        <v/>
      </c>
      <c r="G551" s="213">
        <f>if(or(eq(#REF!,"No Valet"),eq(#REF!,"Has Valet")), F551 * AVERAGE(Accounts!I$2:I$34),F551*#REF!)</f>
        <v/>
      </c>
      <c r="H551" s="213">
        <f>iferror(G551*360,"")</f>
        <v/>
      </c>
      <c r="I551" s="213">
        <f>H551*0.1</f>
        <v/>
      </c>
    </row>
    <row r="552" ht="54.75" customHeight="1" s="222">
      <c r="A552" s="210">
        <f>#REF!</f>
        <v/>
      </c>
      <c r="B552" s="141">
        <f>#REF!</f>
        <v/>
      </c>
      <c r="C552" s="211" t="n">
        <v>0.6</v>
      </c>
      <c r="D552" s="212">
        <f>#REF!*C552</f>
        <v/>
      </c>
      <c r="E552" s="211" t="n">
        <v>0.4</v>
      </c>
      <c r="F552" s="212">
        <f>D552*E552</f>
        <v/>
      </c>
      <c r="G552" s="213">
        <f>if(or(eq(#REF!,"No Valet"),eq(#REF!,"Has Valet")), F552 * AVERAGE(Accounts!I$2:I$34),F552*#REF!)</f>
        <v/>
      </c>
      <c r="H552" s="213">
        <f>iferror(G552*360,"")</f>
        <v/>
      </c>
      <c r="I552" s="213">
        <f>H552*0.1</f>
        <v/>
      </c>
    </row>
    <row r="553" ht="54.75" customHeight="1" s="222">
      <c r="A553" s="210">
        <f>#REF!</f>
        <v/>
      </c>
      <c r="B553" s="141">
        <f>#REF!</f>
        <v/>
      </c>
      <c r="C553" s="211" t="n">
        <v>0.6</v>
      </c>
      <c r="D553" s="212">
        <f>#REF!*C553</f>
        <v/>
      </c>
      <c r="E553" s="211" t="n">
        <v>0.4</v>
      </c>
      <c r="F553" s="212">
        <f>D553*E553</f>
        <v/>
      </c>
      <c r="G553" s="213">
        <f>if(or(eq(#REF!,"No Valet"),eq(#REF!,"Has Valet")), F553 * AVERAGE(Accounts!I$2:I$34),F553*#REF!)</f>
        <v/>
      </c>
      <c r="H553" s="213">
        <f>iferror(G553*360,"")</f>
        <v/>
      </c>
      <c r="I553" s="213">
        <f>H553*0.1</f>
        <v/>
      </c>
    </row>
    <row r="554" ht="54.75" customHeight="1" s="222">
      <c r="A554" s="210">
        <f>#REF!</f>
        <v/>
      </c>
      <c r="B554" s="141">
        <f>#REF!</f>
        <v/>
      </c>
      <c r="C554" s="211" t="n">
        <v>0.6</v>
      </c>
      <c r="D554" s="212">
        <f>#REF!*C554</f>
        <v/>
      </c>
      <c r="E554" s="211" t="n">
        <v>0.4</v>
      </c>
      <c r="F554" s="212">
        <f>D554*E554</f>
        <v/>
      </c>
      <c r="G554" s="213">
        <f>if(or(eq(#REF!,"No Valet"),eq(#REF!,"Has Valet")), F554 * AVERAGE(Accounts!I$2:I$34),F554*#REF!)</f>
        <v/>
      </c>
      <c r="H554" s="213">
        <f>iferror(G554*360,"")</f>
        <v/>
      </c>
      <c r="I554" s="213">
        <f>H554*0.1</f>
        <v/>
      </c>
    </row>
    <row r="555" ht="54.75" customHeight="1" s="222">
      <c r="A555" s="210">
        <f>#REF!</f>
        <v/>
      </c>
      <c r="B555" s="141">
        <f>#REF!</f>
        <v/>
      </c>
      <c r="C555" s="211" t="n">
        <v>0.6</v>
      </c>
      <c r="D555" s="212">
        <f>#REF!*C555</f>
        <v/>
      </c>
      <c r="E555" s="211" t="n">
        <v>0.4</v>
      </c>
      <c r="F555" s="212">
        <f>D555*E555</f>
        <v/>
      </c>
      <c r="G555" s="213">
        <f>if(or(eq(#REF!,"No Valet"),eq(#REF!,"Has Valet")), F555 * AVERAGE(Accounts!I$2:I$34),F555*#REF!)</f>
        <v/>
      </c>
      <c r="H555" s="213">
        <f>iferror(G555*360,"")</f>
        <v/>
      </c>
      <c r="I555" s="213">
        <f>H555*0.1</f>
        <v/>
      </c>
    </row>
    <row r="556" ht="54.75" customHeight="1" s="222">
      <c r="A556" s="210">
        <f>#REF!</f>
        <v/>
      </c>
      <c r="B556" s="141">
        <f>#REF!</f>
        <v/>
      </c>
      <c r="C556" s="211" t="n">
        <v>0.6</v>
      </c>
      <c r="D556" s="212">
        <f>#REF!*C556</f>
        <v/>
      </c>
      <c r="E556" s="211" t="n">
        <v>0.4</v>
      </c>
      <c r="F556" s="212">
        <f>D556*E556</f>
        <v/>
      </c>
      <c r="G556" s="213">
        <f>if(or(eq(#REF!,"No Valet"),eq(#REF!,"Has Valet")), F556 * AVERAGE(Accounts!I$2:I$34),F556*#REF!)</f>
        <v/>
      </c>
      <c r="H556" s="213">
        <f>iferror(G556*360,"")</f>
        <v/>
      </c>
      <c r="I556" s="213">
        <f>H556*0.1</f>
        <v/>
      </c>
    </row>
    <row r="557" ht="54.75" customHeight="1" s="222">
      <c r="A557" s="210">
        <f>#REF!</f>
        <v/>
      </c>
      <c r="B557" s="141">
        <f>#REF!</f>
        <v/>
      </c>
      <c r="C557" s="211" t="n">
        <v>0.6</v>
      </c>
      <c r="D557" s="212">
        <f>#REF!*C557</f>
        <v/>
      </c>
      <c r="E557" s="211" t="n">
        <v>0.4</v>
      </c>
      <c r="F557" s="212">
        <f>D557*E557</f>
        <v/>
      </c>
      <c r="G557" s="213">
        <f>if(or(eq(#REF!,"No Valet"),eq(#REF!,"Has Valet")), F557 * AVERAGE(Accounts!I$2:I$34),F557*#REF!)</f>
        <v/>
      </c>
      <c r="H557" s="213">
        <f>iferror(G557*360,"")</f>
        <v/>
      </c>
      <c r="I557" s="213">
        <f>H557*0.1</f>
        <v/>
      </c>
    </row>
    <row r="558" ht="54.75" customHeight="1" s="222">
      <c r="A558" s="210">
        <f>#REF!</f>
        <v/>
      </c>
      <c r="B558" s="141">
        <f>#REF!</f>
        <v/>
      </c>
      <c r="C558" s="211" t="n">
        <v>0.6</v>
      </c>
      <c r="D558" s="212">
        <f>#REF!*C558</f>
        <v/>
      </c>
      <c r="E558" s="211" t="n">
        <v>0.4</v>
      </c>
      <c r="F558" s="212">
        <f>D558*E558</f>
        <v/>
      </c>
      <c r="G558" s="213">
        <f>if(or(eq(#REF!,"No Valet"),eq(#REF!,"Has Valet")), F558 * AVERAGE(Accounts!I$2:I$34),F558*#REF!)</f>
        <v/>
      </c>
      <c r="H558" s="213">
        <f>iferror(G558*360,"")</f>
        <v/>
      </c>
      <c r="I558" s="213">
        <f>H558*0.1</f>
        <v/>
      </c>
    </row>
    <row r="559" ht="54.75" customHeight="1" s="222">
      <c r="A559" s="210">
        <f>#REF!</f>
        <v/>
      </c>
      <c r="B559" s="141">
        <f>#REF!</f>
        <v/>
      </c>
      <c r="C559" s="211" t="n">
        <v>0.6</v>
      </c>
      <c r="D559" s="212">
        <f>#REF!*C559</f>
        <v/>
      </c>
      <c r="E559" s="211" t="n">
        <v>0.4</v>
      </c>
      <c r="F559" s="212">
        <f>D559*E559</f>
        <v/>
      </c>
      <c r="G559" s="213">
        <f>if(or(eq(#REF!,"No Valet"),eq(#REF!,"Has Valet")), F559 * AVERAGE(Accounts!I$2:I$34),F559*#REF!)</f>
        <v/>
      </c>
      <c r="H559" s="213">
        <f>iferror(G559*360,"")</f>
        <v/>
      </c>
      <c r="I559" s="213">
        <f>H559*0.1</f>
        <v/>
      </c>
    </row>
    <row r="560" ht="54.75" customHeight="1" s="222">
      <c r="A560" s="210">
        <f>#REF!</f>
        <v/>
      </c>
      <c r="B560" s="141">
        <f>#REF!</f>
        <v/>
      </c>
      <c r="C560" s="211" t="n">
        <v>0.6</v>
      </c>
      <c r="D560" s="212">
        <f>#REF!*C560</f>
        <v/>
      </c>
      <c r="E560" s="211" t="n">
        <v>0.4</v>
      </c>
      <c r="F560" s="212">
        <f>D560*E560</f>
        <v/>
      </c>
      <c r="G560" s="213">
        <f>if(or(eq(#REF!,"No Valet"),eq(#REF!,"Has Valet")), F560 * AVERAGE(Accounts!I$2:I$34),F560*#REF!)</f>
        <v/>
      </c>
      <c r="H560" s="213">
        <f>iferror(G560*360,"")</f>
        <v/>
      </c>
      <c r="I560" s="213">
        <f>H560*0.1</f>
        <v/>
      </c>
    </row>
    <row r="561" ht="54.75" customHeight="1" s="222">
      <c r="A561" s="210">
        <f>#REF!</f>
        <v/>
      </c>
      <c r="B561" s="141">
        <f>#REF!</f>
        <v/>
      </c>
      <c r="C561" s="211" t="n">
        <v>0.6</v>
      </c>
      <c r="D561" s="212">
        <f>#REF!*C561</f>
        <v/>
      </c>
      <c r="E561" s="211" t="n">
        <v>0.4</v>
      </c>
      <c r="F561" s="212">
        <f>D561*E561</f>
        <v/>
      </c>
      <c r="G561" s="213">
        <f>if(or(eq(#REF!,"No Valet"),eq(#REF!,"Has Valet")), F561 * AVERAGE(Accounts!I$2:I$34),F561*#REF!)</f>
        <v/>
      </c>
      <c r="H561" s="213">
        <f>iferror(G561*360,"")</f>
        <v/>
      </c>
      <c r="I561" s="213">
        <f>H561*0.1</f>
        <v/>
      </c>
    </row>
    <row r="562" ht="54.75" customHeight="1" s="222">
      <c r="A562" s="210">
        <f>#REF!</f>
        <v/>
      </c>
      <c r="B562" s="141">
        <f>#REF!</f>
        <v/>
      </c>
      <c r="C562" s="211" t="n">
        <v>0.6</v>
      </c>
      <c r="D562" s="212">
        <f>#REF!*C562</f>
        <v/>
      </c>
      <c r="E562" s="211" t="n">
        <v>0.4</v>
      </c>
      <c r="F562" s="212">
        <f>D562*E562</f>
        <v/>
      </c>
      <c r="G562" s="213">
        <f>if(or(eq(#REF!,"No Valet"),eq(#REF!,"Has Valet")), F562 * AVERAGE(Accounts!I$2:I$34),F562*#REF!)</f>
        <v/>
      </c>
      <c r="H562" s="213">
        <f>iferror(G562*360,"")</f>
        <v/>
      </c>
      <c r="I562" s="213">
        <f>H562*0.1</f>
        <v/>
      </c>
    </row>
    <row r="563" ht="54.75" customHeight="1" s="222">
      <c r="A563" s="210">
        <f>#REF!</f>
        <v/>
      </c>
      <c r="B563" s="141">
        <f>#REF!</f>
        <v/>
      </c>
      <c r="C563" s="211" t="n">
        <v>0.6</v>
      </c>
      <c r="D563" s="212">
        <f>#REF!*C563</f>
        <v/>
      </c>
      <c r="E563" s="211" t="n">
        <v>0.4</v>
      </c>
      <c r="F563" s="212">
        <f>D563*E563</f>
        <v/>
      </c>
      <c r="G563" s="213">
        <f>if(or(eq(#REF!,"No Valet"),eq(#REF!,"Has Valet")), F563 * AVERAGE(Accounts!I$2:I$34),F563*#REF!)</f>
        <v/>
      </c>
      <c r="H563" s="213">
        <f>iferror(G563*360,"")</f>
        <v/>
      </c>
      <c r="I563" s="213">
        <f>H563*0.1</f>
        <v/>
      </c>
    </row>
    <row r="564" ht="54.75" customHeight="1" s="222">
      <c r="A564" s="210">
        <f>#REF!</f>
        <v/>
      </c>
      <c r="B564" s="141">
        <f>#REF!</f>
        <v/>
      </c>
      <c r="C564" s="211" t="n">
        <v>0.6</v>
      </c>
      <c r="D564" s="212">
        <f>#REF!*C564</f>
        <v/>
      </c>
      <c r="E564" s="211" t="n">
        <v>0.4</v>
      </c>
      <c r="F564" s="212">
        <f>D564*E564</f>
        <v/>
      </c>
      <c r="G564" s="213">
        <f>if(or(eq(#REF!,"No Valet"),eq(#REF!,"Has Valet")), F564 * AVERAGE(Accounts!I$2:I$34),F564*#REF!)</f>
        <v/>
      </c>
      <c r="H564" s="213">
        <f>iferror(G564*360,"")</f>
        <v/>
      </c>
      <c r="I564" s="213">
        <f>H564*0.1</f>
        <v/>
      </c>
    </row>
    <row r="565" ht="54.75" customHeight="1" s="222">
      <c r="A565" s="210">
        <f>#REF!</f>
        <v/>
      </c>
      <c r="B565" s="141">
        <f>#REF!</f>
        <v/>
      </c>
      <c r="C565" s="211" t="n">
        <v>0.6</v>
      </c>
      <c r="D565" s="212">
        <f>#REF!*C565</f>
        <v/>
      </c>
      <c r="E565" s="211" t="n">
        <v>0.4</v>
      </c>
      <c r="F565" s="212">
        <f>D565*E565</f>
        <v/>
      </c>
      <c r="G565" s="213">
        <f>if(or(eq(#REF!,"No Valet"),eq(#REF!,"Has Valet")), F565 * AVERAGE(Accounts!I$2:I$34),F565*#REF!)</f>
        <v/>
      </c>
      <c r="H565" s="213">
        <f>iferror(G565*360,"")</f>
        <v/>
      </c>
      <c r="I565" s="213">
        <f>H565*0.1</f>
        <v/>
      </c>
    </row>
    <row r="566" ht="54.75" customHeight="1" s="222">
      <c r="A566" s="210">
        <f>#REF!</f>
        <v/>
      </c>
      <c r="B566" s="141">
        <f>#REF!</f>
        <v/>
      </c>
      <c r="C566" s="211" t="n">
        <v>0.6</v>
      </c>
      <c r="D566" s="212">
        <f>#REF!*C566</f>
        <v/>
      </c>
      <c r="E566" s="211" t="n">
        <v>0.4</v>
      </c>
      <c r="F566" s="212">
        <f>D566*E566</f>
        <v/>
      </c>
      <c r="G566" s="213">
        <f>if(or(eq(#REF!,"No Valet"),eq(#REF!,"Has Valet")), F566 * AVERAGE(Accounts!I$2:I$34),F566*#REF!)</f>
        <v/>
      </c>
      <c r="H566" s="213">
        <f>iferror(G566*360,"")</f>
        <v/>
      </c>
      <c r="I566" s="213">
        <f>H566*0.1</f>
        <v/>
      </c>
    </row>
    <row r="567" ht="54.75" customHeight="1" s="222">
      <c r="A567" s="210">
        <f>#REF!</f>
        <v/>
      </c>
      <c r="B567" s="141">
        <f>#REF!</f>
        <v/>
      </c>
      <c r="C567" s="211" t="n">
        <v>0.6</v>
      </c>
      <c r="D567" s="212">
        <f>#REF!*C567</f>
        <v/>
      </c>
      <c r="E567" s="211" t="n">
        <v>0.4</v>
      </c>
      <c r="F567" s="212">
        <f>D567*E567</f>
        <v/>
      </c>
      <c r="G567" s="213">
        <f>if(or(eq(#REF!,"No Valet"),eq(#REF!,"Has Valet")), F567 * AVERAGE(Accounts!I$2:I$34),F567*#REF!)</f>
        <v/>
      </c>
      <c r="H567" s="213">
        <f>iferror(G567*360,"")</f>
        <v/>
      </c>
      <c r="I567" s="213">
        <f>H567*0.1</f>
        <v/>
      </c>
    </row>
    <row r="568" ht="54.75" customHeight="1" s="222">
      <c r="A568" s="210">
        <f>#REF!</f>
        <v/>
      </c>
      <c r="B568" s="141">
        <f>#REF!</f>
        <v/>
      </c>
      <c r="C568" s="211" t="n">
        <v>0.6</v>
      </c>
      <c r="D568" s="212">
        <f>#REF!*C568</f>
        <v/>
      </c>
      <c r="E568" s="211" t="n">
        <v>0.4</v>
      </c>
      <c r="F568" s="212">
        <f>D568*E568</f>
        <v/>
      </c>
      <c r="G568" s="213">
        <f>if(or(eq(#REF!,"No Valet"),eq(#REF!,"Has Valet")), F568 * AVERAGE(Accounts!I$2:I$34),F568*#REF!)</f>
        <v/>
      </c>
      <c r="H568" s="213">
        <f>iferror(G568*360,"")</f>
        <v/>
      </c>
      <c r="I568" s="213">
        <f>H568*0.1</f>
        <v/>
      </c>
    </row>
    <row r="569" ht="54.75" customHeight="1" s="222">
      <c r="A569" s="210">
        <f>#REF!</f>
        <v/>
      </c>
      <c r="B569" s="141">
        <f>#REF!</f>
        <v/>
      </c>
      <c r="C569" s="211" t="n">
        <v>0.6</v>
      </c>
      <c r="D569" s="212">
        <f>#REF!*C569</f>
        <v/>
      </c>
      <c r="E569" s="211" t="n">
        <v>0.4</v>
      </c>
      <c r="F569" s="212">
        <f>D569*E569</f>
        <v/>
      </c>
      <c r="G569" s="213">
        <f>if(or(eq(#REF!,"No Valet"),eq(#REF!,"Has Valet")), F569 * AVERAGE(Accounts!I$2:I$34),F569*#REF!)</f>
        <v/>
      </c>
      <c r="H569" s="213">
        <f>iferror(G569*360,"")</f>
        <v/>
      </c>
      <c r="I569" s="213">
        <f>H569*0.1</f>
        <v/>
      </c>
    </row>
    <row r="570" ht="54.75" customHeight="1" s="222">
      <c r="A570" s="210">
        <f>#REF!</f>
        <v/>
      </c>
      <c r="B570" s="141">
        <f>#REF!</f>
        <v/>
      </c>
      <c r="C570" s="211" t="n">
        <v>0.6</v>
      </c>
      <c r="D570" s="212">
        <f>#REF!*C570</f>
        <v/>
      </c>
      <c r="E570" s="211" t="n">
        <v>0.4</v>
      </c>
      <c r="F570" s="212">
        <f>D570*E570</f>
        <v/>
      </c>
      <c r="G570" s="213">
        <f>if(or(eq(#REF!,"No Valet"),eq(#REF!,"Has Valet")), F570 * AVERAGE(Accounts!I$2:I$34),F570*#REF!)</f>
        <v/>
      </c>
      <c r="H570" s="213">
        <f>iferror(G570*360,"")</f>
        <v/>
      </c>
      <c r="I570" s="213">
        <f>H570*0.1</f>
        <v/>
      </c>
    </row>
    <row r="571" ht="54.75" customHeight="1" s="222">
      <c r="A571" s="210">
        <f>#REF!</f>
        <v/>
      </c>
      <c r="B571" s="141">
        <f>#REF!</f>
        <v/>
      </c>
      <c r="C571" s="211" t="n">
        <v>0.6</v>
      </c>
      <c r="D571" s="212">
        <f>#REF!*C571</f>
        <v/>
      </c>
      <c r="E571" s="211" t="n">
        <v>0.4</v>
      </c>
      <c r="F571" s="212">
        <f>D571*E571</f>
        <v/>
      </c>
      <c r="G571" s="213">
        <f>if(or(eq(#REF!,"No Valet"),eq(#REF!,"Has Valet")), F571 * AVERAGE(Accounts!I$2:I$34),F571*#REF!)</f>
        <v/>
      </c>
      <c r="H571" s="213">
        <f>iferror(G571*360,"")</f>
        <v/>
      </c>
      <c r="I571" s="213">
        <f>H571*0.1</f>
        <v/>
      </c>
    </row>
    <row r="572" ht="54.75" customHeight="1" s="222">
      <c r="A572" s="210">
        <f>#REF!</f>
        <v/>
      </c>
      <c r="B572" s="141">
        <f>#REF!</f>
        <v/>
      </c>
      <c r="C572" s="211" t="n">
        <v>0.6</v>
      </c>
      <c r="D572" s="212">
        <f>#REF!*C572</f>
        <v/>
      </c>
      <c r="E572" s="211" t="n">
        <v>0.4</v>
      </c>
      <c r="F572" s="212">
        <f>D572*E572</f>
        <v/>
      </c>
      <c r="G572" s="213">
        <f>if(or(eq(#REF!,"No Valet"),eq(#REF!,"Has Valet")), F572 * AVERAGE(Accounts!I$2:I$34),F572*#REF!)</f>
        <v/>
      </c>
      <c r="H572" s="213">
        <f>iferror(G572*360,"")</f>
        <v/>
      </c>
      <c r="I572" s="213">
        <f>H572*0.1</f>
        <v/>
      </c>
    </row>
    <row r="573" ht="54.75" customHeight="1" s="222">
      <c r="A573" s="210">
        <f>#REF!</f>
        <v/>
      </c>
      <c r="B573" s="141">
        <f>#REF!</f>
        <v/>
      </c>
      <c r="C573" s="211" t="n">
        <v>0.6</v>
      </c>
      <c r="D573" s="212">
        <f>#REF!*C573</f>
        <v/>
      </c>
      <c r="E573" s="211" t="n">
        <v>0.4</v>
      </c>
      <c r="F573" s="212">
        <f>D573*E573</f>
        <v/>
      </c>
      <c r="G573" s="213">
        <f>if(or(eq(#REF!,"No Valet"),eq(#REF!,"Has Valet")), F573 * AVERAGE(Accounts!I$2:I$34),F573*#REF!)</f>
        <v/>
      </c>
      <c r="H573" s="213">
        <f>iferror(G573*360,"")</f>
        <v/>
      </c>
      <c r="I573" s="213">
        <f>H573*0.1</f>
        <v/>
      </c>
    </row>
    <row r="574" ht="54.75" customHeight="1" s="222">
      <c r="A574" s="210">
        <f>#REF!</f>
        <v/>
      </c>
      <c r="B574" s="141">
        <f>#REF!</f>
        <v/>
      </c>
      <c r="C574" s="211" t="n">
        <v>0.6</v>
      </c>
      <c r="D574" s="212">
        <f>#REF!*C574</f>
        <v/>
      </c>
      <c r="E574" s="211" t="n">
        <v>0.4</v>
      </c>
      <c r="F574" s="212">
        <f>D574*E574</f>
        <v/>
      </c>
      <c r="G574" s="213">
        <f>if(or(eq(#REF!,"No Valet"),eq(#REF!,"Has Valet")), F574 * AVERAGE(Accounts!I$2:I$34),F574*#REF!)</f>
        <v/>
      </c>
      <c r="H574" s="213">
        <f>iferror(G574*360,"")</f>
        <v/>
      </c>
      <c r="I574" s="213">
        <f>H574*0.1</f>
        <v/>
      </c>
    </row>
    <row r="575" ht="54.75" customHeight="1" s="222">
      <c r="A575" s="210">
        <f>#REF!</f>
        <v/>
      </c>
      <c r="B575" s="141">
        <f>#REF!</f>
        <v/>
      </c>
      <c r="C575" s="211" t="n">
        <v>0.6</v>
      </c>
      <c r="D575" s="212">
        <f>#REF!*C575</f>
        <v/>
      </c>
      <c r="E575" s="211" t="n">
        <v>0.4</v>
      </c>
      <c r="F575" s="212">
        <f>D575*E575</f>
        <v/>
      </c>
      <c r="G575" s="213">
        <f>if(or(eq(#REF!,"No Valet"),eq(#REF!,"Has Valet")), F575 * AVERAGE(Accounts!I$2:I$34),F575*#REF!)</f>
        <v/>
      </c>
      <c r="H575" s="213">
        <f>iferror(G575*360,"")</f>
        <v/>
      </c>
      <c r="I575" s="213">
        <f>H575*0.1</f>
        <v/>
      </c>
    </row>
    <row r="576" ht="54.75" customHeight="1" s="222">
      <c r="A576" s="210">
        <f>#REF!</f>
        <v/>
      </c>
      <c r="B576" s="141">
        <f>#REF!</f>
        <v/>
      </c>
      <c r="C576" s="211" t="n">
        <v>0.6</v>
      </c>
      <c r="D576" s="212">
        <f>#REF!*C576</f>
        <v/>
      </c>
      <c r="E576" s="211" t="n">
        <v>0.4</v>
      </c>
      <c r="F576" s="212">
        <f>D576*E576</f>
        <v/>
      </c>
      <c r="G576" s="213">
        <f>if(or(eq(#REF!,"No Valet"),eq(#REF!,"Has Valet")), F576 * AVERAGE(Accounts!I$2:I$34),F576*#REF!)</f>
        <v/>
      </c>
      <c r="H576" s="213">
        <f>iferror(G576*360,"")</f>
        <v/>
      </c>
      <c r="I576" s="213">
        <f>H576*0.1</f>
        <v/>
      </c>
    </row>
    <row r="577" ht="54.75" customHeight="1" s="222">
      <c r="A577" s="210">
        <f>#REF!</f>
        <v/>
      </c>
      <c r="B577" s="141">
        <f>#REF!</f>
        <v/>
      </c>
      <c r="C577" s="211" t="n">
        <v>0.6</v>
      </c>
      <c r="D577" s="212">
        <f>#REF!*C577</f>
        <v/>
      </c>
      <c r="E577" s="211" t="n">
        <v>0.4</v>
      </c>
      <c r="F577" s="212">
        <f>D577*E577</f>
        <v/>
      </c>
      <c r="G577" s="213">
        <f>if(or(eq(#REF!,"No Valet"),eq(#REF!,"Has Valet")), F577 * AVERAGE(Accounts!I$2:I$34),F577*#REF!)</f>
        <v/>
      </c>
      <c r="H577" s="213">
        <f>iferror(G577*360,"")</f>
        <v/>
      </c>
      <c r="I577" s="213">
        <f>H577*0.1</f>
        <v/>
      </c>
    </row>
    <row r="578" ht="54.75" customHeight="1" s="222">
      <c r="A578" s="210">
        <f>#REF!</f>
        <v/>
      </c>
      <c r="B578" s="141">
        <f>#REF!</f>
        <v/>
      </c>
      <c r="C578" s="211" t="n">
        <v>0.6</v>
      </c>
      <c r="D578" s="212">
        <f>#REF!*C578</f>
        <v/>
      </c>
      <c r="E578" s="211" t="n">
        <v>0.4</v>
      </c>
      <c r="F578" s="212">
        <f>D578*E578</f>
        <v/>
      </c>
      <c r="G578" s="213">
        <f>if(or(eq(#REF!,"No Valet"),eq(#REF!,"Has Valet")), F578 * AVERAGE(Accounts!I$2:I$34),F578*#REF!)</f>
        <v/>
      </c>
      <c r="H578" s="213">
        <f>iferror(G578*360,"")</f>
        <v/>
      </c>
      <c r="I578" s="213">
        <f>H578*0.1</f>
        <v/>
      </c>
    </row>
    <row r="579" ht="54.75" customHeight="1" s="222">
      <c r="A579" s="210">
        <f>#REF!</f>
        <v/>
      </c>
      <c r="B579" s="141">
        <f>#REF!</f>
        <v/>
      </c>
      <c r="C579" s="211" t="n">
        <v>0.6</v>
      </c>
      <c r="D579" s="212">
        <f>#REF!*C579</f>
        <v/>
      </c>
      <c r="E579" s="211" t="n">
        <v>0.4</v>
      </c>
      <c r="F579" s="212">
        <f>D579*E579</f>
        <v/>
      </c>
      <c r="G579" s="213">
        <f>if(or(eq(#REF!,"No Valet"),eq(#REF!,"Has Valet")), F579 * AVERAGE(Accounts!I$2:I$34),F579*#REF!)</f>
        <v/>
      </c>
      <c r="H579" s="213">
        <f>iferror(G579*360,"")</f>
        <v/>
      </c>
      <c r="I579" s="213">
        <f>H579*0.1</f>
        <v/>
      </c>
    </row>
    <row r="580" ht="54.75" customHeight="1" s="222">
      <c r="A580" s="210">
        <f>#REF!</f>
        <v/>
      </c>
      <c r="B580" s="141">
        <f>#REF!</f>
        <v/>
      </c>
      <c r="C580" s="211" t="n">
        <v>0.6</v>
      </c>
      <c r="D580" s="212">
        <f>#REF!*C580</f>
        <v/>
      </c>
      <c r="E580" s="211" t="n">
        <v>0.4</v>
      </c>
      <c r="F580" s="212">
        <f>D580*E580</f>
        <v/>
      </c>
      <c r="G580" s="213">
        <f>if(or(eq(#REF!,"No Valet"),eq(#REF!,"Has Valet")), F580 * AVERAGE(Accounts!I$2:I$34),F580*#REF!)</f>
        <v/>
      </c>
      <c r="H580" s="213">
        <f>iferror(G580*360,"")</f>
        <v/>
      </c>
      <c r="I580" s="213">
        <f>H580*0.1</f>
        <v/>
      </c>
    </row>
    <row r="581" ht="54.75" customHeight="1" s="222">
      <c r="A581" s="210">
        <f>#REF!</f>
        <v/>
      </c>
      <c r="B581" s="141">
        <f>#REF!</f>
        <v/>
      </c>
      <c r="C581" s="211" t="n">
        <v>0.6</v>
      </c>
      <c r="D581" s="212">
        <f>#REF!*C581</f>
        <v/>
      </c>
      <c r="E581" s="211" t="n">
        <v>0.4</v>
      </c>
      <c r="F581" s="212">
        <f>D581*E581</f>
        <v/>
      </c>
      <c r="G581" s="213">
        <f>if(or(eq(#REF!,"No Valet"),eq(#REF!,"Has Valet")), F581 * AVERAGE(Accounts!I$2:I$34),F581*#REF!)</f>
        <v/>
      </c>
      <c r="H581" s="213">
        <f>iferror(G581*360,"")</f>
        <v/>
      </c>
      <c r="I581" s="213">
        <f>H581*0.1</f>
        <v/>
      </c>
    </row>
    <row r="582" ht="54.75" customHeight="1" s="222">
      <c r="A582" s="210">
        <f>#REF!</f>
        <v/>
      </c>
      <c r="B582" s="141">
        <f>#REF!</f>
        <v/>
      </c>
      <c r="C582" s="211" t="n">
        <v>0.6</v>
      </c>
      <c r="D582" s="212">
        <f>#REF!*C582</f>
        <v/>
      </c>
      <c r="E582" s="211" t="n">
        <v>0.4</v>
      </c>
      <c r="F582" s="212">
        <f>D582*E582</f>
        <v/>
      </c>
      <c r="G582" s="213">
        <f>if(or(eq(#REF!,"No Valet"),eq(#REF!,"Has Valet")), F582 * AVERAGE(Accounts!I$2:I$34),F582*#REF!)</f>
        <v/>
      </c>
      <c r="H582" s="213">
        <f>iferror(G582*360,"")</f>
        <v/>
      </c>
      <c r="I582" s="213">
        <f>H582*0.1</f>
        <v/>
      </c>
    </row>
    <row r="583" ht="54.75" customHeight="1" s="222">
      <c r="A583" s="210">
        <f>#REF!</f>
        <v/>
      </c>
      <c r="B583" s="141">
        <f>#REF!</f>
        <v/>
      </c>
      <c r="C583" s="211" t="n">
        <v>0.6</v>
      </c>
      <c r="D583" s="212">
        <f>#REF!*C583</f>
        <v/>
      </c>
      <c r="E583" s="211" t="n">
        <v>0.4</v>
      </c>
      <c r="F583" s="212">
        <f>D583*E583</f>
        <v/>
      </c>
      <c r="G583" s="213">
        <f>if(or(eq(#REF!,"No Valet"),eq(#REF!,"Has Valet")), F583 * AVERAGE(Accounts!I$2:I$34),F583*#REF!)</f>
        <v/>
      </c>
      <c r="H583" s="213">
        <f>iferror(G583*360,"")</f>
        <v/>
      </c>
      <c r="I583" s="213">
        <f>H583*0.1</f>
        <v/>
      </c>
    </row>
    <row r="584" ht="54.75" customHeight="1" s="222">
      <c r="A584" s="210">
        <f>#REF!</f>
        <v/>
      </c>
      <c r="B584" s="141">
        <f>#REF!</f>
        <v/>
      </c>
      <c r="C584" s="211" t="n">
        <v>0.6</v>
      </c>
      <c r="D584" s="212">
        <f>#REF!*C584</f>
        <v/>
      </c>
      <c r="E584" s="211" t="n">
        <v>0.4</v>
      </c>
      <c r="F584" s="212">
        <f>D584*E584</f>
        <v/>
      </c>
      <c r="G584" s="213">
        <f>if(or(eq(#REF!,"No Valet"),eq(#REF!,"Has Valet")), F584 * AVERAGE(Accounts!I$2:I$34),F584*#REF!)</f>
        <v/>
      </c>
      <c r="H584" s="213">
        <f>iferror(G584*360,"")</f>
        <v/>
      </c>
      <c r="I584" s="213">
        <f>H584*0.1</f>
        <v/>
      </c>
    </row>
    <row r="585" ht="54.75" customHeight="1" s="222">
      <c r="A585" s="210">
        <f>#REF!</f>
        <v/>
      </c>
      <c r="B585" s="141">
        <f>#REF!</f>
        <v/>
      </c>
      <c r="C585" s="211" t="n">
        <v>0.6</v>
      </c>
      <c r="D585" s="212">
        <f>#REF!*C585</f>
        <v/>
      </c>
      <c r="E585" s="211" t="n">
        <v>0.4</v>
      </c>
      <c r="F585" s="212">
        <f>D585*E585</f>
        <v/>
      </c>
      <c r="G585" s="213">
        <f>if(or(eq(#REF!,"No Valet"),eq(#REF!,"Has Valet")), F585 * AVERAGE(Accounts!I$2:I$34),F585*#REF!)</f>
        <v/>
      </c>
      <c r="H585" s="213">
        <f>iferror(G585*360,"")</f>
        <v/>
      </c>
      <c r="I585" s="213">
        <f>H585*0.1</f>
        <v/>
      </c>
    </row>
    <row r="586" ht="54.75" customHeight="1" s="222">
      <c r="A586" s="210">
        <f>#REF!</f>
        <v/>
      </c>
      <c r="B586" s="141">
        <f>#REF!</f>
        <v/>
      </c>
      <c r="C586" s="211" t="n">
        <v>0.6</v>
      </c>
      <c r="D586" s="212">
        <f>#REF!*C586</f>
        <v/>
      </c>
      <c r="E586" s="211" t="n">
        <v>0.4</v>
      </c>
      <c r="F586" s="212">
        <f>D586*E586</f>
        <v/>
      </c>
      <c r="G586" s="213">
        <f>if(or(eq(#REF!,"No Valet"),eq(#REF!,"Has Valet")), F586 * AVERAGE(Accounts!I$2:I$34),F586*#REF!)</f>
        <v/>
      </c>
      <c r="H586" s="213">
        <f>iferror(G586*360,"")</f>
        <v/>
      </c>
      <c r="I586" s="213">
        <f>H586*0.1</f>
        <v/>
      </c>
    </row>
    <row r="587" ht="54.75" customHeight="1" s="222">
      <c r="A587" s="210">
        <f>#REF!</f>
        <v/>
      </c>
      <c r="B587" s="141">
        <f>#REF!</f>
        <v/>
      </c>
      <c r="C587" s="211" t="n">
        <v>0.6</v>
      </c>
      <c r="D587" s="212">
        <f>#REF!*C587</f>
        <v/>
      </c>
      <c r="E587" s="211" t="n">
        <v>0.4</v>
      </c>
      <c r="F587" s="212">
        <f>D587*E587</f>
        <v/>
      </c>
      <c r="G587" s="213">
        <f>if(or(eq(#REF!,"No Valet"),eq(#REF!,"Has Valet")), F587 * AVERAGE(Accounts!I$2:I$34),F587*#REF!)</f>
        <v/>
      </c>
      <c r="H587" s="213">
        <f>iferror(G587*360,"")</f>
        <v/>
      </c>
      <c r="I587" s="213">
        <f>H587*0.1</f>
        <v/>
      </c>
    </row>
    <row r="588" ht="54.75" customHeight="1" s="222">
      <c r="A588" s="210">
        <f>#REF!</f>
        <v/>
      </c>
      <c r="B588" s="141">
        <f>#REF!</f>
        <v/>
      </c>
      <c r="C588" s="211" t="n">
        <v>0.6</v>
      </c>
      <c r="D588" s="212">
        <f>#REF!*C588</f>
        <v/>
      </c>
      <c r="E588" s="211" t="n">
        <v>0.4</v>
      </c>
      <c r="F588" s="212">
        <f>D588*E588</f>
        <v/>
      </c>
      <c r="G588" s="213">
        <f>if(or(eq(#REF!,"No Valet"),eq(#REF!,"Has Valet")), F588 * AVERAGE(Accounts!I$2:I$34),F588*#REF!)</f>
        <v/>
      </c>
      <c r="H588" s="213">
        <f>iferror(G588*360,"")</f>
        <v/>
      </c>
      <c r="I588" s="213">
        <f>H588*0.1</f>
        <v/>
      </c>
    </row>
    <row r="589" ht="54.75" customHeight="1" s="222">
      <c r="A589" s="210">
        <f>#REF!</f>
        <v/>
      </c>
      <c r="B589" s="141">
        <f>#REF!</f>
        <v/>
      </c>
      <c r="C589" s="211" t="n">
        <v>0.6</v>
      </c>
      <c r="D589" s="212">
        <f>#REF!*C589</f>
        <v/>
      </c>
      <c r="E589" s="211" t="n">
        <v>0.4</v>
      </c>
      <c r="F589" s="212">
        <f>D589*E589</f>
        <v/>
      </c>
      <c r="G589" s="213">
        <f>if(or(eq(#REF!,"No Valet"),eq(#REF!,"Has Valet")), F589 * AVERAGE(Accounts!I$2:I$34),F589*#REF!)</f>
        <v/>
      </c>
      <c r="H589" s="213">
        <f>iferror(G589*360,"")</f>
        <v/>
      </c>
      <c r="I589" s="213">
        <f>H589*0.1</f>
        <v/>
      </c>
    </row>
    <row r="590" ht="54.75" customHeight="1" s="222">
      <c r="A590" s="210">
        <f>#REF!</f>
        <v/>
      </c>
      <c r="B590" s="141">
        <f>#REF!</f>
        <v/>
      </c>
      <c r="C590" s="211" t="n">
        <v>0.6</v>
      </c>
      <c r="D590" s="212">
        <f>#REF!*C590</f>
        <v/>
      </c>
      <c r="E590" s="211" t="n">
        <v>0.4</v>
      </c>
      <c r="F590" s="212">
        <f>D590*E590</f>
        <v/>
      </c>
      <c r="G590" s="213">
        <f>if(or(eq(#REF!,"No Valet"),eq(#REF!,"Has Valet")), F590 * AVERAGE(Accounts!I$2:I$34),F590*#REF!)</f>
        <v/>
      </c>
      <c r="H590" s="213">
        <f>iferror(G590*360,"")</f>
        <v/>
      </c>
      <c r="I590" s="213">
        <f>H590*0.1</f>
        <v/>
      </c>
    </row>
    <row r="591" ht="54.75" customHeight="1" s="222">
      <c r="A591" s="210">
        <f>#REF!</f>
        <v/>
      </c>
      <c r="B591" s="141">
        <f>#REF!</f>
        <v/>
      </c>
      <c r="C591" s="211" t="n">
        <v>0.6</v>
      </c>
      <c r="D591" s="212">
        <f>#REF!*C591</f>
        <v/>
      </c>
      <c r="E591" s="211" t="n">
        <v>0.4</v>
      </c>
      <c r="F591" s="212">
        <f>D591*E591</f>
        <v/>
      </c>
      <c r="G591" s="213">
        <f>if(or(eq(#REF!,"No Valet"),eq(#REF!,"Has Valet")), F591 * AVERAGE(Accounts!I$2:I$34),F591*#REF!)</f>
        <v/>
      </c>
      <c r="H591" s="213">
        <f>iferror(G591*360,"")</f>
        <v/>
      </c>
      <c r="I591" s="213">
        <f>H591*0.1</f>
        <v/>
      </c>
    </row>
    <row r="592" ht="54.75" customHeight="1" s="222">
      <c r="A592" s="210">
        <f>#REF!</f>
        <v/>
      </c>
      <c r="B592" s="141">
        <f>#REF!</f>
        <v/>
      </c>
      <c r="C592" s="211" t="n">
        <v>0.6</v>
      </c>
      <c r="D592" s="212">
        <f>#REF!*C592</f>
        <v/>
      </c>
      <c r="E592" s="211" t="n">
        <v>0.4</v>
      </c>
      <c r="F592" s="212">
        <f>D592*E592</f>
        <v/>
      </c>
      <c r="G592" s="213">
        <f>if(or(eq(#REF!,"No Valet"),eq(#REF!,"Has Valet")), F592 * AVERAGE(Accounts!I$2:I$34),F592*#REF!)</f>
        <v/>
      </c>
      <c r="H592" s="213">
        <f>iferror(G592*360,"")</f>
        <v/>
      </c>
      <c r="I592" s="213">
        <f>H592*0.1</f>
        <v/>
      </c>
    </row>
    <row r="593" ht="54.75" customHeight="1" s="222">
      <c r="A593" s="210">
        <f>#REF!</f>
        <v/>
      </c>
      <c r="B593" s="141">
        <f>#REF!</f>
        <v/>
      </c>
      <c r="C593" s="211" t="n">
        <v>0.6</v>
      </c>
      <c r="D593" s="212">
        <f>#REF!*C593</f>
        <v/>
      </c>
      <c r="E593" s="211" t="n">
        <v>0.4</v>
      </c>
      <c r="F593" s="212">
        <f>D593*E593</f>
        <v/>
      </c>
      <c r="G593" s="213">
        <f>if(or(eq(#REF!,"No Valet"),eq(#REF!,"Has Valet")), F593 * AVERAGE(Accounts!I$2:I$34),F593*#REF!)</f>
        <v/>
      </c>
      <c r="H593" s="213">
        <f>iferror(G593*360,"")</f>
        <v/>
      </c>
      <c r="I593" s="213">
        <f>H593*0.1</f>
        <v/>
      </c>
    </row>
    <row r="594" ht="54.75" customHeight="1" s="222">
      <c r="A594" s="210">
        <f>#REF!</f>
        <v/>
      </c>
      <c r="B594" s="141">
        <f>#REF!</f>
        <v/>
      </c>
      <c r="C594" s="211" t="n">
        <v>0.6</v>
      </c>
      <c r="D594" s="212">
        <f>#REF!*C594</f>
        <v/>
      </c>
      <c r="E594" s="211" t="n">
        <v>0.4</v>
      </c>
      <c r="F594" s="212">
        <f>D594*E594</f>
        <v/>
      </c>
      <c r="G594" s="213">
        <f>if(or(eq(#REF!,"No Valet"),eq(#REF!,"Has Valet")), F594 * AVERAGE(Accounts!I$2:I$34),F594*#REF!)</f>
        <v/>
      </c>
      <c r="H594" s="213">
        <f>iferror(G594*360,"")</f>
        <v/>
      </c>
      <c r="I594" s="213">
        <f>H594*0.1</f>
        <v/>
      </c>
    </row>
    <row r="595" ht="54.75" customHeight="1" s="222">
      <c r="A595" s="210">
        <f>#REF!</f>
        <v/>
      </c>
      <c r="B595" s="141">
        <f>#REF!</f>
        <v/>
      </c>
      <c r="C595" s="211" t="n">
        <v>0.6</v>
      </c>
      <c r="D595" s="212">
        <f>#REF!*C595</f>
        <v/>
      </c>
      <c r="E595" s="211" t="n">
        <v>0.4</v>
      </c>
      <c r="F595" s="212">
        <f>D595*E595</f>
        <v/>
      </c>
      <c r="G595" s="213">
        <f>if(or(eq(#REF!,"No Valet"),eq(#REF!,"Has Valet")), F595 * AVERAGE(Accounts!I$2:I$34),F595*#REF!)</f>
        <v/>
      </c>
      <c r="H595" s="213">
        <f>iferror(G595*360,"")</f>
        <v/>
      </c>
      <c r="I595" s="213">
        <f>H595*0.1</f>
        <v/>
      </c>
    </row>
    <row r="596" ht="54.75" customHeight="1" s="222">
      <c r="A596" s="210">
        <f>#REF!</f>
        <v/>
      </c>
      <c r="B596" s="141">
        <f>#REF!</f>
        <v/>
      </c>
      <c r="C596" s="211" t="n">
        <v>0.6</v>
      </c>
      <c r="D596" s="212">
        <f>#REF!*C596</f>
        <v/>
      </c>
      <c r="E596" s="211" t="n">
        <v>0.4</v>
      </c>
      <c r="F596" s="212">
        <f>D596*E596</f>
        <v/>
      </c>
      <c r="G596" s="213">
        <f>if(or(eq(#REF!,"No Valet"),eq(#REF!,"Has Valet")), F596 * AVERAGE(Accounts!I$2:I$34),F596*#REF!)</f>
        <v/>
      </c>
      <c r="H596" s="213">
        <f>iferror(G596*360,"")</f>
        <v/>
      </c>
      <c r="I596" s="213">
        <f>H596*0.1</f>
        <v/>
      </c>
    </row>
    <row r="597" ht="54.75" customHeight="1" s="222">
      <c r="A597" s="210">
        <f>#REF!</f>
        <v/>
      </c>
      <c r="B597" s="141">
        <f>#REF!</f>
        <v/>
      </c>
      <c r="C597" s="211" t="n">
        <v>0.6</v>
      </c>
      <c r="D597" s="212">
        <f>#REF!*C597</f>
        <v/>
      </c>
      <c r="E597" s="211" t="n">
        <v>0.4</v>
      </c>
      <c r="F597" s="212">
        <f>D597*E597</f>
        <v/>
      </c>
      <c r="G597" s="213">
        <f>if(or(eq(#REF!,"No Valet"),eq(#REF!,"Has Valet")), F597 * AVERAGE(Accounts!I$2:I$34),F597*#REF!)</f>
        <v/>
      </c>
      <c r="H597" s="213">
        <f>iferror(G597*360,"")</f>
        <v/>
      </c>
      <c r="I597" s="213">
        <f>H597*0.1</f>
        <v/>
      </c>
    </row>
    <row r="598" ht="54.75" customHeight="1" s="222">
      <c r="A598" s="210">
        <f>#REF!</f>
        <v/>
      </c>
      <c r="B598" s="141">
        <f>#REF!</f>
        <v/>
      </c>
      <c r="C598" s="211" t="n">
        <v>0.6</v>
      </c>
      <c r="D598" s="212">
        <f>#REF!*C598</f>
        <v/>
      </c>
      <c r="E598" s="211" t="n">
        <v>0.4</v>
      </c>
      <c r="F598" s="212">
        <f>D598*E598</f>
        <v/>
      </c>
      <c r="G598" s="213">
        <f>if(or(eq(#REF!,"No Valet"),eq(#REF!,"Has Valet")), F598 * AVERAGE(Accounts!I$2:I$34),F598*#REF!)</f>
        <v/>
      </c>
      <c r="H598" s="213">
        <f>iferror(G598*360,"")</f>
        <v/>
      </c>
      <c r="I598" s="213">
        <f>H598*0.1</f>
        <v/>
      </c>
    </row>
    <row r="599" ht="54.75" customHeight="1" s="222">
      <c r="A599" s="210">
        <f>#REF!</f>
        <v/>
      </c>
      <c r="B599" s="141">
        <f>#REF!</f>
        <v/>
      </c>
      <c r="C599" s="211" t="n">
        <v>0.6</v>
      </c>
      <c r="D599" s="212">
        <f>#REF!*C599</f>
        <v/>
      </c>
      <c r="E599" s="211" t="n">
        <v>0.4</v>
      </c>
      <c r="F599" s="212">
        <f>D599*E599</f>
        <v/>
      </c>
      <c r="G599" s="213">
        <f>if(or(eq(#REF!,"No Valet"),eq(#REF!,"Has Valet")), F599 * AVERAGE(Accounts!I$2:I$34),F599*#REF!)</f>
        <v/>
      </c>
      <c r="H599" s="213">
        <f>iferror(G599*360,"")</f>
        <v/>
      </c>
      <c r="I599" s="213">
        <f>H599*0.1</f>
        <v/>
      </c>
    </row>
    <row r="600" ht="54.75" customHeight="1" s="222">
      <c r="A600" s="210">
        <f>#REF!</f>
        <v/>
      </c>
      <c r="B600" s="141">
        <f>#REF!</f>
        <v/>
      </c>
      <c r="C600" s="211" t="n">
        <v>0.6</v>
      </c>
      <c r="D600" s="212">
        <f>#REF!*C600</f>
        <v/>
      </c>
      <c r="E600" s="211" t="n">
        <v>0.4</v>
      </c>
      <c r="F600" s="212">
        <f>D600*E600</f>
        <v/>
      </c>
      <c r="G600" s="213">
        <f>if(or(eq(#REF!,"No Valet"),eq(#REF!,"Has Valet")), F600 * AVERAGE(Accounts!I$2:I$34),F600*#REF!)</f>
        <v/>
      </c>
      <c r="H600" s="213">
        <f>iferror(G600*360,"")</f>
        <v/>
      </c>
      <c r="I600" s="213">
        <f>H600*0.1</f>
        <v/>
      </c>
    </row>
    <row r="601" ht="54.75" customHeight="1" s="222">
      <c r="A601" s="210">
        <f>#REF!</f>
        <v/>
      </c>
      <c r="B601" s="141">
        <f>#REF!</f>
        <v/>
      </c>
      <c r="C601" s="211" t="n">
        <v>0.6</v>
      </c>
      <c r="D601" s="212">
        <f>#REF!*C601</f>
        <v/>
      </c>
      <c r="E601" s="211" t="n">
        <v>0.4</v>
      </c>
      <c r="F601" s="212">
        <f>D601*E601</f>
        <v/>
      </c>
      <c r="G601" s="213">
        <f>if(or(eq(#REF!,"No Valet"),eq(#REF!,"Has Valet")), F601 * AVERAGE(Accounts!I$2:I$34),F601*#REF!)</f>
        <v/>
      </c>
      <c r="H601" s="213">
        <f>iferror(G601*360,"")</f>
        <v/>
      </c>
      <c r="I601" s="213">
        <f>H601*0.1</f>
        <v/>
      </c>
    </row>
    <row r="602" ht="54.75" customHeight="1" s="222">
      <c r="A602" s="210">
        <f>#REF!</f>
        <v/>
      </c>
      <c r="B602" s="141">
        <f>#REF!</f>
        <v/>
      </c>
      <c r="C602" s="211" t="n">
        <v>0.6</v>
      </c>
      <c r="D602" s="212">
        <f>#REF!*C602</f>
        <v/>
      </c>
      <c r="E602" s="211" t="n">
        <v>0.4</v>
      </c>
      <c r="F602" s="212">
        <f>D602*E602</f>
        <v/>
      </c>
      <c r="G602" s="213">
        <f>if(or(eq(#REF!,"No Valet"),eq(#REF!,"Has Valet")), F602 * AVERAGE(Accounts!I$2:I$34),F602*#REF!)</f>
        <v/>
      </c>
      <c r="H602" s="213">
        <f>iferror(G602*360,"")</f>
        <v/>
      </c>
      <c r="I602" s="213">
        <f>H602*0.1</f>
        <v/>
      </c>
    </row>
    <row r="603" ht="54.75" customHeight="1" s="222">
      <c r="A603" s="210">
        <f>#REF!</f>
        <v/>
      </c>
      <c r="B603" s="141">
        <f>#REF!</f>
        <v/>
      </c>
      <c r="C603" s="211" t="n">
        <v>0.6</v>
      </c>
      <c r="D603" s="212">
        <f>#REF!*C603</f>
        <v/>
      </c>
      <c r="E603" s="211" t="n">
        <v>0.4</v>
      </c>
      <c r="F603" s="212">
        <f>D603*E603</f>
        <v/>
      </c>
      <c r="G603" s="213">
        <f>if(or(eq(#REF!,"No Valet"),eq(#REF!,"Has Valet")), F603 * AVERAGE(Accounts!I$2:I$34),F603*#REF!)</f>
        <v/>
      </c>
      <c r="H603" s="213">
        <f>iferror(G603*360,"")</f>
        <v/>
      </c>
      <c r="I603" s="213">
        <f>H603*0.1</f>
        <v/>
      </c>
    </row>
    <row r="604" ht="54.75" customHeight="1" s="222">
      <c r="A604" s="210">
        <f>#REF!</f>
        <v/>
      </c>
      <c r="B604" s="141">
        <f>#REF!</f>
        <v/>
      </c>
      <c r="C604" s="211" t="n">
        <v>0.6</v>
      </c>
      <c r="D604" s="212">
        <f>#REF!*C604</f>
        <v/>
      </c>
      <c r="E604" s="211" t="n">
        <v>0.4</v>
      </c>
      <c r="F604" s="212">
        <f>D604*E604</f>
        <v/>
      </c>
      <c r="G604" s="213">
        <f>if(or(eq(#REF!,"No Valet"),eq(#REF!,"Has Valet")), F604 * AVERAGE(Accounts!I$2:I$34),F604*#REF!)</f>
        <v/>
      </c>
      <c r="H604" s="213">
        <f>iferror(G604*360,"")</f>
        <v/>
      </c>
      <c r="I604" s="213">
        <f>H604*0.1</f>
        <v/>
      </c>
    </row>
    <row r="605" ht="54.75" customHeight="1" s="222">
      <c r="A605" s="210">
        <f>#REF!</f>
        <v/>
      </c>
      <c r="B605" s="141">
        <f>#REF!</f>
        <v/>
      </c>
      <c r="C605" s="211" t="n">
        <v>0.6</v>
      </c>
      <c r="D605" s="212">
        <f>#REF!*C605</f>
        <v/>
      </c>
      <c r="E605" s="211" t="n">
        <v>0.4</v>
      </c>
      <c r="F605" s="212">
        <f>D605*E605</f>
        <v/>
      </c>
      <c r="G605" s="213">
        <f>if(or(eq(#REF!,"No Valet"),eq(#REF!,"Has Valet")), F605 * AVERAGE(Accounts!I$2:I$34),F605*#REF!)</f>
        <v/>
      </c>
      <c r="H605" s="213">
        <f>iferror(G605*360,"")</f>
        <v/>
      </c>
      <c r="I605" s="213">
        <f>H605*0.1</f>
        <v/>
      </c>
    </row>
    <row r="606" ht="54.75" customHeight="1" s="222">
      <c r="A606" s="210">
        <f>#REF!</f>
        <v/>
      </c>
      <c r="B606" s="141">
        <f>#REF!</f>
        <v/>
      </c>
      <c r="C606" s="211" t="n">
        <v>0.6</v>
      </c>
      <c r="D606" s="212">
        <f>#REF!*C606</f>
        <v/>
      </c>
      <c r="E606" s="211" t="n">
        <v>0.4</v>
      </c>
      <c r="F606" s="212">
        <f>D606*E606</f>
        <v/>
      </c>
      <c r="G606" s="213">
        <f>if(or(eq(#REF!,"No Valet"),eq(#REF!,"Has Valet")), F606 * AVERAGE(Accounts!I$2:I$34),F606*#REF!)</f>
        <v/>
      </c>
      <c r="H606" s="213">
        <f>iferror(G606*360,"")</f>
        <v/>
      </c>
      <c r="I606" s="213">
        <f>H606*0.1</f>
        <v/>
      </c>
    </row>
    <row r="607" ht="54.75" customHeight="1" s="222">
      <c r="A607" s="210">
        <f>#REF!</f>
        <v/>
      </c>
      <c r="B607" s="141">
        <f>#REF!</f>
        <v/>
      </c>
      <c r="C607" s="211" t="n">
        <v>0.6</v>
      </c>
      <c r="D607" s="212">
        <f>#REF!*C607</f>
        <v/>
      </c>
      <c r="E607" s="211" t="n">
        <v>0.4</v>
      </c>
      <c r="F607" s="212">
        <f>D607*E607</f>
        <v/>
      </c>
      <c r="G607" s="213">
        <f>if(or(eq(#REF!,"No Valet"),eq(#REF!,"Has Valet")), F607 * AVERAGE(Accounts!I$2:I$34),F607*#REF!)</f>
        <v/>
      </c>
      <c r="H607" s="213">
        <f>iferror(G607*360,"")</f>
        <v/>
      </c>
      <c r="I607" s="213">
        <f>H607*0.1</f>
        <v/>
      </c>
    </row>
    <row r="608" ht="54.75" customHeight="1" s="222">
      <c r="A608" s="210">
        <f>#REF!</f>
        <v/>
      </c>
      <c r="B608" s="141">
        <f>#REF!</f>
        <v/>
      </c>
      <c r="C608" s="211" t="n">
        <v>0.6</v>
      </c>
      <c r="D608" s="212">
        <f>#REF!*C608</f>
        <v/>
      </c>
      <c r="E608" s="211" t="n">
        <v>0.4</v>
      </c>
      <c r="F608" s="212">
        <f>D608*E608</f>
        <v/>
      </c>
      <c r="G608" s="213">
        <f>if(or(eq(#REF!,"No Valet"),eq(#REF!,"Has Valet")), F608 * AVERAGE(Accounts!I$2:I$34),F608*#REF!)</f>
        <v/>
      </c>
      <c r="H608" s="213">
        <f>iferror(G608*360,"")</f>
        <v/>
      </c>
      <c r="I608" s="213">
        <f>H608*0.1</f>
        <v/>
      </c>
    </row>
    <row r="609" ht="54.75" customHeight="1" s="222">
      <c r="A609" s="210">
        <f>#REF!</f>
        <v/>
      </c>
      <c r="B609" s="141">
        <f>#REF!</f>
        <v/>
      </c>
      <c r="C609" s="211" t="n">
        <v>0.6</v>
      </c>
      <c r="D609" s="212">
        <f>#REF!*C609</f>
        <v/>
      </c>
      <c r="E609" s="211" t="n">
        <v>0.4</v>
      </c>
      <c r="F609" s="212">
        <f>D609*E609</f>
        <v/>
      </c>
      <c r="G609" s="213">
        <f>if(or(eq(#REF!,"No Valet"),eq(#REF!,"Has Valet")), F609 * AVERAGE(Accounts!I$2:I$34),F609*#REF!)</f>
        <v/>
      </c>
      <c r="H609" s="213">
        <f>iferror(G609*360,"")</f>
        <v/>
      </c>
      <c r="I609" s="213">
        <f>H609*0.1</f>
        <v/>
      </c>
    </row>
    <row r="610" ht="54.75" customHeight="1" s="222">
      <c r="A610" s="210">
        <f>#REF!</f>
        <v/>
      </c>
      <c r="B610" s="141">
        <f>#REF!</f>
        <v/>
      </c>
      <c r="C610" s="211" t="n">
        <v>0.6</v>
      </c>
      <c r="D610" s="212">
        <f>#REF!*C610</f>
        <v/>
      </c>
      <c r="E610" s="211" t="n">
        <v>0.4</v>
      </c>
      <c r="F610" s="212">
        <f>D610*E610</f>
        <v/>
      </c>
      <c r="G610" s="213">
        <f>if(or(eq(#REF!,"No Valet"),eq(#REF!,"Has Valet")), F610 * AVERAGE(Accounts!I$2:I$34),F610*#REF!)</f>
        <v/>
      </c>
      <c r="H610" s="213">
        <f>iferror(G610*360,"")</f>
        <v/>
      </c>
      <c r="I610" s="213">
        <f>H610*0.1</f>
        <v/>
      </c>
    </row>
    <row r="611" ht="54.75" customHeight="1" s="222">
      <c r="A611" s="210">
        <f>#REF!</f>
        <v/>
      </c>
      <c r="B611" s="141">
        <f>#REF!</f>
        <v/>
      </c>
      <c r="C611" s="211" t="n">
        <v>0.6</v>
      </c>
      <c r="D611" s="212">
        <f>#REF!*C611</f>
        <v/>
      </c>
      <c r="E611" s="211" t="n">
        <v>0.4</v>
      </c>
      <c r="F611" s="212">
        <f>D611*E611</f>
        <v/>
      </c>
      <c r="G611" s="213">
        <f>if(or(eq(#REF!,"No Valet"),eq(#REF!,"Has Valet")), F611 * AVERAGE(Accounts!I$2:I$34),F611*#REF!)</f>
        <v/>
      </c>
      <c r="H611" s="213">
        <f>iferror(G611*360,"")</f>
        <v/>
      </c>
      <c r="I611" s="213">
        <f>H611*0.1</f>
        <v/>
      </c>
    </row>
    <row r="612" ht="54.75" customHeight="1" s="222">
      <c r="A612" s="210">
        <f>#REF!</f>
        <v/>
      </c>
      <c r="B612" s="141">
        <f>#REF!</f>
        <v/>
      </c>
      <c r="C612" s="211" t="n">
        <v>0.6</v>
      </c>
      <c r="D612" s="212">
        <f>#REF!*C612</f>
        <v/>
      </c>
      <c r="E612" s="211" t="n">
        <v>0.4</v>
      </c>
      <c r="F612" s="212">
        <f>D612*E612</f>
        <v/>
      </c>
      <c r="G612" s="213">
        <f>if(or(eq(#REF!,"No Valet"),eq(#REF!,"Has Valet")), F612 * AVERAGE(Accounts!I$2:I$34),F612*#REF!)</f>
        <v/>
      </c>
      <c r="H612" s="213">
        <f>iferror(G612*360,"")</f>
        <v/>
      </c>
      <c r="I612" s="213">
        <f>H612*0.1</f>
        <v/>
      </c>
    </row>
    <row r="613" ht="54.75" customHeight="1" s="222">
      <c r="A613" s="210">
        <f>#REF!</f>
        <v/>
      </c>
      <c r="B613" s="141">
        <f>#REF!</f>
        <v/>
      </c>
      <c r="C613" s="211" t="n">
        <v>0.6</v>
      </c>
      <c r="D613" s="212">
        <f>#REF!*C613</f>
        <v/>
      </c>
      <c r="E613" s="211" t="n">
        <v>0.4</v>
      </c>
      <c r="F613" s="212">
        <f>D613*E613</f>
        <v/>
      </c>
      <c r="G613" s="213">
        <f>if(or(eq(#REF!,"No Valet"),eq(#REF!,"Has Valet")), F613 * AVERAGE(Accounts!I$2:I$34),F613*#REF!)</f>
        <v/>
      </c>
      <c r="H613" s="213">
        <f>iferror(G613*360,"")</f>
        <v/>
      </c>
      <c r="I613" s="213">
        <f>H613*0.1</f>
        <v/>
      </c>
    </row>
    <row r="614" ht="54.75" customHeight="1" s="222">
      <c r="A614" s="210">
        <f>#REF!</f>
        <v/>
      </c>
      <c r="B614" s="141">
        <f>#REF!</f>
        <v/>
      </c>
      <c r="C614" s="211" t="n">
        <v>0.6</v>
      </c>
      <c r="D614" s="212">
        <f>#REF!*C614</f>
        <v/>
      </c>
      <c r="E614" s="211" t="n">
        <v>0.4</v>
      </c>
      <c r="F614" s="212">
        <f>D614*E614</f>
        <v/>
      </c>
      <c r="G614" s="213">
        <f>if(or(eq(#REF!,"No Valet"),eq(#REF!,"Has Valet")), F614 * AVERAGE(Accounts!I$2:I$34),F614*#REF!)</f>
        <v/>
      </c>
      <c r="H614" s="213">
        <f>iferror(G614*360,"")</f>
        <v/>
      </c>
      <c r="I614" s="213">
        <f>H614*0.1</f>
        <v/>
      </c>
    </row>
    <row r="615" ht="54.75" customHeight="1" s="222">
      <c r="A615" s="210">
        <f>#REF!</f>
        <v/>
      </c>
      <c r="B615" s="141">
        <f>#REF!</f>
        <v/>
      </c>
      <c r="C615" s="211" t="n">
        <v>0.6</v>
      </c>
      <c r="D615" s="212">
        <f>#REF!*C615</f>
        <v/>
      </c>
      <c r="E615" s="211" t="n">
        <v>0.4</v>
      </c>
      <c r="F615" s="212">
        <f>D615*E615</f>
        <v/>
      </c>
      <c r="G615" s="213">
        <f>if(or(eq(#REF!,"No Valet"),eq(#REF!,"Has Valet")), F615 * AVERAGE(Accounts!I$2:I$34),F615*#REF!)</f>
        <v/>
      </c>
      <c r="H615" s="213">
        <f>iferror(G615*360,"")</f>
        <v/>
      </c>
      <c r="I615" s="213">
        <f>H615*0.1</f>
        <v/>
      </c>
    </row>
    <row r="616" ht="54.75" customHeight="1" s="222">
      <c r="A616" s="210">
        <f>#REF!</f>
        <v/>
      </c>
      <c r="B616" s="141">
        <f>#REF!</f>
        <v/>
      </c>
      <c r="C616" s="211" t="n">
        <v>0.6</v>
      </c>
      <c r="D616" s="212">
        <f>#REF!*C616</f>
        <v/>
      </c>
      <c r="E616" s="211" t="n">
        <v>0.4</v>
      </c>
      <c r="F616" s="212">
        <f>D616*E616</f>
        <v/>
      </c>
      <c r="G616" s="213">
        <f>if(or(eq(#REF!,"No Valet"),eq(#REF!,"Has Valet")), F616 * AVERAGE(Accounts!I$2:I$34),F616*#REF!)</f>
        <v/>
      </c>
      <c r="H616" s="213">
        <f>iferror(G616*360,"")</f>
        <v/>
      </c>
      <c r="I616" s="213">
        <f>H616*0.1</f>
        <v/>
      </c>
    </row>
    <row r="617" ht="54.75" customHeight="1" s="222">
      <c r="A617" s="210">
        <f>#REF!</f>
        <v/>
      </c>
      <c r="B617" s="141">
        <f>#REF!</f>
        <v/>
      </c>
      <c r="C617" s="211" t="n">
        <v>0.6</v>
      </c>
      <c r="D617" s="212">
        <f>#REF!*C617</f>
        <v/>
      </c>
      <c r="E617" s="211" t="n">
        <v>0.4</v>
      </c>
      <c r="F617" s="212">
        <f>D617*E617</f>
        <v/>
      </c>
      <c r="G617" s="213">
        <f>if(or(eq(#REF!,"No Valet"),eq(#REF!,"Has Valet")), F617 * AVERAGE(Accounts!I$2:I$34),F617*#REF!)</f>
        <v/>
      </c>
      <c r="H617" s="213">
        <f>iferror(G617*360,"")</f>
        <v/>
      </c>
      <c r="I617" s="213">
        <f>H617*0.1</f>
        <v/>
      </c>
    </row>
    <row r="618" ht="54.75" customHeight="1" s="222">
      <c r="A618" s="210">
        <f>#REF!</f>
        <v/>
      </c>
      <c r="B618" s="141">
        <f>#REF!</f>
        <v/>
      </c>
      <c r="C618" s="211" t="n">
        <v>0.6</v>
      </c>
      <c r="D618" s="212">
        <f>#REF!*C618</f>
        <v/>
      </c>
      <c r="E618" s="211" t="n">
        <v>0.4</v>
      </c>
      <c r="F618" s="212">
        <f>D618*E618</f>
        <v/>
      </c>
      <c r="G618" s="213">
        <f>if(or(eq(#REF!,"No Valet"),eq(#REF!,"Has Valet")), F618 * AVERAGE(Accounts!I$2:I$34),F618*#REF!)</f>
        <v/>
      </c>
      <c r="H618" s="213">
        <f>iferror(G618*360,"")</f>
        <v/>
      </c>
      <c r="I618" s="213">
        <f>H618*0.1</f>
        <v/>
      </c>
    </row>
    <row r="619" ht="54.75" customHeight="1" s="222">
      <c r="A619" s="210">
        <f>#REF!</f>
        <v/>
      </c>
      <c r="B619" s="141">
        <f>#REF!</f>
        <v/>
      </c>
      <c r="C619" s="211" t="n">
        <v>0.6</v>
      </c>
      <c r="D619" s="212">
        <f>#REF!*C619</f>
        <v/>
      </c>
      <c r="E619" s="211" t="n">
        <v>0.4</v>
      </c>
      <c r="F619" s="212">
        <f>D619*E619</f>
        <v/>
      </c>
      <c r="G619" s="213">
        <f>if(or(eq(#REF!,"No Valet"),eq(#REF!,"Has Valet")), F619 * AVERAGE(Accounts!I$2:I$34),F619*#REF!)</f>
        <v/>
      </c>
      <c r="H619" s="213">
        <f>iferror(G619*360,"")</f>
        <v/>
      </c>
      <c r="I619" s="213">
        <f>H619*0.1</f>
        <v/>
      </c>
    </row>
    <row r="620" ht="54.75" customHeight="1" s="222">
      <c r="A620" s="210">
        <f>#REF!</f>
        <v/>
      </c>
      <c r="B620" s="141">
        <f>#REF!</f>
        <v/>
      </c>
      <c r="C620" s="211" t="n">
        <v>0.6</v>
      </c>
      <c r="D620" s="212">
        <f>#REF!*C620</f>
        <v/>
      </c>
      <c r="E620" s="211" t="n">
        <v>0.4</v>
      </c>
      <c r="F620" s="212">
        <f>D620*E620</f>
        <v/>
      </c>
      <c r="G620" s="213">
        <f>if(or(eq(#REF!,"No Valet"),eq(#REF!,"Has Valet")), F620 * AVERAGE(Accounts!I$2:I$34),F620*#REF!)</f>
        <v/>
      </c>
      <c r="H620" s="213">
        <f>iferror(G620*360,"")</f>
        <v/>
      </c>
      <c r="I620" s="213">
        <f>H620*0.1</f>
        <v/>
      </c>
    </row>
    <row r="621" ht="54.75" customHeight="1" s="222">
      <c r="A621" s="210">
        <f>#REF!</f>
        <v/>
      </c>
      <c r="B621" s="141">
        <f>#REF!</f>
        <v/>
      </c>
      <c r="C621" s="211" t="n">
        <v>0.6</v>
      </c>
      <c r="D621" s="212">
        <f>#REF!*C621</f>
        <v/>
      </c>
      <c r="E621" s="211" t="n">
        <v>0.4</v>
      </c>
      <c r="F621" s="212">
        <f>D621*E621</f>
        <v/>
      </c>
      <c r="G621" s="213">
        <f>if(or(eq(#REF!,"No Valet"),eq(#REF!,"Has Valet")), F621 * AVERAGE(Accounts!I$2:I$34),F621*#REF!)</f>
        <v/>
      </c>
      <c r="H621" s="213">
        <f>iferror(G621*360,"")</f>
        <v/>
      </c>
      <c r="I621" s="213">
        <f>H621*0.1</f>
        <v/>
      </c>
    </row>
    <row r="622" ht="54.75" customHeight="1" s="222">
      <c r="A622" s="210">
        <f>#REF!</f>
        <v/>
      </c>
      <c r="B622" s="141">
        <f>#REF!</f>
        <v/>
      </c>
      <c r="C622" s="211" t="n">
        <v>0.6</v>
      </c>
      <c r="D622" s="212">
        <f>#REF!*C622</f>
        <v/>
      </c>
      <c r="E622" s="211" t="n">
        <v>0.4</v>
      </c>
      <c r="F622" s="212">
        <f>D622*E622</f>
        <v/>
      </c>
      <c r="G622" s="213">
        <f>if(or(eq(#REF!,"No Valet"),eq(#REF!,"Has Valet")), F622 * AVERAGE(Accounts!I$2:I$34),F622*#REF!)</f>
        <v/>
      </c>
      <c r="H622" s="213">
        <f>iferror(G622*360,"")</f>
        <v/>
      </c>
      <c r="I622" s="213">
        <f>H622*0.1</f>
        <v/>
      </c>
    </row>
    <row r="623" ht="54.75" customHeight="1" s="222">
      <c r="A623" s="210">
        <f>#REF!</f>
        <v/>
      </c>
      <c r="B623" s="141">
        <f>#REF!</f>
        <v/>
      </c>
      <c r="C623" s="211" t="n">
        <v>0.6</v>
      </c>
      <c r="D623" s="212">
        <f>#REF!*C623</f>
        <v/>
      </c>
      <c r="E623" s="211" t="n">
        <v>0.4</v>
      </c>
      <c r="F623" s="212">
        <f>D623*E623</f>
        <v/>
      </c>
      <c r="G623" s="213">
        <f>if(or(eq(#REF!,"No Valet"),eq(#REF!,"Has Valet")), F623 * AVERAGE(Accounts!I$2:I$34),F623*#REF!)</f>
        <v/>
      </c>
      <c r="H623" s="213">
        <f>iferror(G623*360,"")</f>
        <v/>
      </c>
      <c r="I623" s="213">
        <f>H623*0.1</f>
        <v/>
      </c>
    </row>
    <row r="624" ht="54.75" customHeight="1" s="222">
      <c r="A624" s="210">
        <f>#REF!</f>
        <v/>
      </c>
      <c r="B624" s="141">
        <f>#REF!</f>
        <v/>
      </c>
      <c r="C624" s="211" t="n">
        <v>0.6</v>
      </c>
      <c r="D624" s="212">
        <f>#REF!*C624</f>
        <v/>
      </c>
      <c r="E624" s="211" t="n">
        <v>0.4</v>
      </c>
      <c r="F624" s="212">
        <f>D624*E624</f>
        <v/>
      </c>
      <c r="G624" s="213">
        <f>if(or(eq(#REF!,"No Valet"),eq(#REF!,"Has Valet")), F624 * AVERAGE(Accounts!I$2:I$34),F624*#REF!)</f>
        <v/>
      </c>
      <c r="H624" s="213">
        <f>iferror(G624*360,"")</f>
        <v/>
      </c>
      <c r="I624" s="213">
        <f>H624*0.1</f>
        <v/>
      </c>
    </row>
    <row r="625" ht="54.75" customHeight="1" s="222">
      <c r="A625" s="210">
        <f>#REF!</f>
        <v/>
      </c>
      <c r="B625" s="141">
        <f>#REF!</f>
        <v/>
      </c>
      <c r="C625" s="211" t="n">
        <v>0.6</v>
      </c>
      <c r="D625" s="212">
        <f>#REF!*C625</f>
        <v/>
      </c>
      <c r="E625" s="211" t="n">
        <v>0.4</v>
      </c>
      <c r="F625" s="212">
        <f>D625*E625</f>
        <v/>
      </c>
      <c r="G625" s="213">
        <f>if(or(eq(#REF!,"No Valet"),eq(#REF!,"Has Valet")), F625 * AVERAGE(Accounts!I$2:I$34),F625*#REF!)</f>
        <v/>
      </c>
      <c r="H625" s="213">
        <f>iferror(G625*360,"")</f>
        <v/>
      </c>
      <c r="I625" s="213">
        <f>H625*0.1</f>
        <v/>
      </c>
    </row>
    <row r="626" ht="54.75" customHeight="1" s="222">
      <c r="A626" s="210">
        <f>#REF!</f>
        <v/>
      </c>
      <c r="B626" s="141">
        <f>#REF!</f>
        <v/>
      </c>
      <c r="C626" s="211" t="n">
        <v>0.6</v>
      </c>
      <c r="D626" s="212">
        <f>#REF!*C626</f>
        <v/>
      </c>
      <c r="E626" s="211" t="n">
        <v>0.4</v>
      </c>
      <c r="F626" s="212">
        <f>D626*E626</f>
        <v/>
      </c>
      <c r="G626" s="213">
        <f>if(or(eq(#REF!,"No Valet"),eq(#REF!,"Has Valet")), F626 * AVERAGE(Accounts!I$2:I$34),F626*#REF!)</f>
        <v/>
      </c>
      <c r="H626" s="213">
        <f>iferror(G626*360,"")</f>
        <v/>
      </c>
      <c r="I626" s="213">
        <f>H626*0.1</f>
        <v/>
      </c>
    </row>
    <row r="627" ht="54.75" customHeight="1" s="222">
      <c r="A627" s="210">
        <f>#REF!</f>
        <v/>
      </c>
      <c r="B627" s="141">
        <f>#REF!</f>
        <v/>
      </c>
      <c r="C627" s="211" t="n">
        <v>0.6</v>
      </c>
      <c r="D627" s="212">
        <f>#REF!*C627</f>
        <v/>
      </c>
      <c r="E627" s="211" t="n">
        <v>0.4</v>
      </c>
      <c r="F627" s="212">
        <f>D627*E627</f>
        <v/>
      </c>
      <c r="G627" s="213">
        <f>if(or(eq(#REF!,"No Valet"),eq(#REF!,"Has Valet")), F627 * AVERAGE(Accounts!I$2:I$34),F627*#REF!)</f>
        <v/>
      </c>
      <c r="H627" s="213">
        <f>iferror(G627*360,"")</f>
        <v/>
      </c>
      <c r="I627" s="213">
        <f>H627*0.1</f>
        <v/>
      </c>
    </row>
    <row r="628" ht="54.75" customHeight="1" s="222">
      <c r="A628" s="210">
        <f>#REF!</f>
        <v/>
      </c>
      <c r="B628" s="141">
        <f>#REF!</f>
        <v/>
      </c>
      <c r="C628" s="211" t="n">
        <v>0.6</v>
      </c>
      <c r="D628" s="212">
        <f>#REF!*C628</f>
        <v/>
      </c>
      <c r="E628" s="211" t="n">
        <v>0.4</v>
      </c>
      <c r="F628" s="212">
        <f>D628*E628</f>
        <v/>
      </c>
      <c r="G628" s="213">
        <f>if(or(eq(#REF!,"No Valet"),eq(#REF!,"Has Valet")), F628 * AVERAGE(Accounts!I$2:I$34),F628*#REF!)</f>
        <v/>
      </c>
      <c r="H628" s="213">
        <f>iferror(G628*360,"")</f>
        <v/>
      </c>
      <c r="I628" s="213">
        <f>H628*0.1</f>
        <v/>
      </c>
    </row>
    <row r="629" ht="54.75" customHeight="1" s="222">
      <c r="A629" s="210">
        <f>#REF!</f>
        <v/>
      </c>
      <c r="B629" s="141">
        <f>#REF!</f>
        <v/>
      </c>
      <c r="C629" s="211" t="n">
        <v>0.6</v>
      </c>
      <c r="D629" s="212">
        <f>#REF!*C629</f>
        <v/>
      </c>
      <c r="E629" s="211" t="n">
        <v>0.4</v>
      </c>
      <c r="F629" s="212">
        <f>D629*E629</f>
        <v/>
      </c>
      <c r="G629" s="213">
        <f>if(or(eq(#REF!,"No Valet"),eq(#REF!,"Has Valet")), F629 * AVERAGE(Accounts!I$2:I$34),F629*#REF!)</f>
        <v/>
      </c>
      <c r="H629" s="213">
        <f>iferror(G629*360,"")</f>
        <v/>
      </c>
      <c r="I629" s="213">
        <f>H629*0.1</f>
        <v/>
      </c>
    </row>
    <row r="630" ht="54.75" customHeight="1" s="222">
      <c r="A630" s="210">
        <f>#REF!</f>
        <v/>
      </c>
      <c r="B630" s="141">
        <f>#REF!</f>
        <v/>
      </c>
      <c r="C630" s="211" t="n">
        <v>0.6</v>
      </c>
      <c r="D630" s="212">
        <f>#REF!*C630</f>
        <v/>
      </c>
      <c r="E630" s="211" t="n">
        <v>0.4</v>
      </c>
      <c r="F630" s="212">
        <f>D630*E630</f>
        <v/>
      </c>
      <c r="G630" s="213">
        <f>if(or(eq(#REF!,"No Valet"),eq(#REF!,"Has Valet")), F630 * AVERAGE(Accounts!I$2:I$34),F630*#REF!)</f>
        <v/>
      </c>
      <c r="H630" s="213">
        <f>iferror(G630*360,"")</f>
        <v/>
      </c>
      <c r="I630" s="213">
        <f>H630*0.1</f>
        <v/>
      </c>
    </row>
    <row r="631" ht="54.75" customHeight="1" s="222">
      <c r="A631" s="210">
        <f>#REF!</f>
        <v/>
      </c>
      <c r="B631" s="141">
        <f>#REF!</f>
        <v/>
      </c>
      <c r="C631" s="211" t="n">
        <v>0.6</v>
      </c>
      <c r="D631" s="212">
        <f>#REF!*C631</f>
        <v/>
      </c>
      <c r="E631" s="211" t="n">
        <v>0.4</v>
      </c>
      <c r="F631" s="212">
        <f>D631*E631</f>
        <v/>
      </c>
      <c r="G631" s="213">
        <f>if(or(eq(#REF!,"No Valet"),eq(#REF!,"Has Valet")), F631 * AVERAGE(Accounts!I$2:I$34),F631*#REF!)</f>
        <v/>
      </c>
      <c r="H631" s="213">
        <f>iferror(G631*360,"")</f>
        <v/>
      </c>
      <c r="I631" s="213">
        <f>H631*0.1</f>
        <v/>
      </c>
    </row>
    <row r="632" ht="54.75" customHeight="1" s="222">
      <c r="A632" s="210">
        <f>#REF!</f>
        <v/>
      </c>
      <c r="B632" s="141">
        <f>#REF!</f>
        <v/>
      </c>
      <c r="C632" s="211" t="n">
        <v>0.6</v>
      </c>
      <c r="D632" s="212">
        <f>#REF!*C632</f>
        <v/>
      </c>
      <c r="E632" s="211" t="n">
        <v>0.4</v>
      </c>
      <c r="F632" s="212">
        <f>D632*E632</f>
        <v/>
      </c>
      <c r="G632" s="213">
        <f>if(or(eq(#REF!,"No Valet"),eq(#REF!,"Has Valet")), F632 * AVERAGE(Accounts!I$2:I$34),F632*#REF!)</f>
        <v/>
      </c>
      <c r="H632" s="213">
        <f>iferror(G632*360,"")</f>
        <v/>
      </c>
      <c r="I632" s="213">
        <f>H632*0.1</f>
        <v/>
      </c>
    </row>
    <row r="633" ht="54.75" customHeight="1" s="222">
      <c r="A633" s="210">
        <f>#REF!</f>
        <v/>
      </c>
      <c r="B633" s="141">
        <f>#REF!</f>
        <v/>
      </c>
      <c r="C633" s="211" t="n">
        <v>0.6</v>
      </c>
      <c r="D633" s="212">
        <f>#REF!*C633</f>
        <v/>
      </c>
      <c r="E633" s="211" t="n">
        <v>0.4</v>
      </c>
      <c r="F633" s="212">
        <f>D633*E633</f>
        <v/>
      </c>
      <c r="G633" s="213">
        <f>if(or(eq(#REF!,"No Valet"),eq(#REF!,"Has Valet")), F633 * AVERAGE(Accounts!I$2:I$34),F633*#REF!)</f>
        <v/>
      </c>
      <c r="H633" s="213">
        <f>iferror(G633*360,"")</f>
        <v/>
      </c>
      <c r="I633" s="213">
        <f>H633*0.1</f>
        <v/>
      </c>
    </row>
    <row r="634" ht="54.75" customHeight="1" s="222">
      <c r="A634" s="210">
        <f>#REF!</f>
        <v/>
      </c>
      <c r="B634" s="141">
        <f>#REF!</f>
        <v/>
      </c>
      <c r="C634" s="211" t="n">
        <v>0.6</v>
      </c>
      <c r="D634" s="212">
        <f>#REF!*C634</f>
        <v/>
      </c>
      <c r="E634" s="211" t="n">
        <v>0.4</v>
      </c>
      <c r="F634" s="212">
        <f>D634*E634</f>
        <v/>
      </c>
      <c r="G634" s="213">
        <f>if(or(eq(#REF!,"No Valet"),eq(#REF!,"Has Valet")), F634 * AVERAGE(Accounts!I$2:I$34),F634*#REF!)</f>
        <v/>
      </c>
      <c r="H634" s="213">
        <f>iferror(G634*360,"")</f>
        <v/>
      </c>
      <c r="I634" s="213">
        <f>H634*0.1</f>
        <v/>
      </c>
    </row>
    <row r="635" ht="54.75" customHeight="1" s="222">
      <c r="A635" s="210">
        <f>#REF!</f>
        <v/>
      </c>
      <c r="B635" s="141">
        <f>#REF!</f>
        <v/>
      </c>
      <c r="C635" s="211" t="n">
        <v>0.6</v>
      </c>
      <c r="D635" s="212">
        <f>#REF!*C635</f>
        <v/>
      </c>
      <c r="E635" s="211" t="n">
        <v>0.4</v>
      </c>
      <c r="F635" s="212">
        <f>D635*E635</f>
        <v/>
      </c>
      <c r="G635" s="213">
        <f>if(or(eq(#REF!,"No Valet"),eq(#REF!,"Has Valet")), F635 * AVERAGE(Accounts!I$2:I$34),F635*#REF!)</f>
        <v/>
      </c>
      <c r="H635" s="213">
        <f>iferror(G635*360,"")</f>
        <v/>
      </c>
      <c r="I635" s="213">
        <f>H635*0.1</f>
        <v/>
      </c>
    </row>
    <row r="636" ht="54.75" customHeight="1" s="222">
      <c r="A636" s="210">
        <f>#REF!</f>
        <v/>
      </c>
      <c r="B636" s="141">
        <f>#REF!</f>
        <v/>
      </c>
      <c r="C636" s="211" t="n">
        <v>0.6</v>
      </c>
      <c r="D636" s="212">
        <f>#REF!*C636</f>
        <v/>
      </c>
      <c r="E636" s="211" t="n">
        <v>0.4</v>
      </c>
      <c r="F636" s="212">
        <f>D636*E636</f>
        <v/>
      </c>
      <c r="G636" s="213">
        <f>if(or(eq(#REF!,"No Valet"),eq(#REF!,"Has Valet")), F636 * AVERAGE(Accounts!I$2:I$34),F636*#REF!)</f>
        <v/>
      </c>
      <c r="H636" s="213">
        <f>iferror(G636*360,"")</f>
        <v/>
      </c>
      <c r="I636" s="213">
        <f>H636*0.1</f>
        <v/>
      </c>
    </row>
    <row r="637" ht="54.75" customHeight="1" s="222">
      <c r="A637" s="210">
        <f>#REF!</f>
        <v/>
      </c>
      <c r="B637" s="141">
        <f>#REF!</f>
        <v/>
      </c>
      <c r="C637" s="211" t="n">
        <v>0.6</v>
      </c>
      <c r="D637" s="212">
        <f>#REF!*C637</f>
        <v/>
      </c>
      <c r="E637" s="211" t="n">
        <v>0.4</v>
      </c>
      <c r="F637" s="212">
        <f>D637*E637</f>
        <v/>
      </c>
      <c r="G637" s="213">
        <f>if(or(eq(#REF!,"No Valet"),eq(#REF!,"Has Valet")), F637 * AVERAGE(Accounts!I$2:I$34),F637*#REF!)</f>
        <v/>
      </c>
      <c r="H637" s="213">
        <f>iferror(G637*360,"")</f>
        <v/>
      </c>
      <c r="I637" s="213">
        <f>H637*0.1</f>
        <v/>
      </c>
    </row>
    <row r="638" ht="54.75" customHeight="1" s="222">
      <c r="A638" s="210">
        <f>#REF!</f>
        <v/>
      </c>
      <c r="B638" s="141">
        <f>#REF!</f>
        <v/>
      </c>
      <c r="C638" s="211" t="n">
        <v>0.6</v>
      </c>
      <c r="D638" s="212">
        <f>#REF!*C638</f>
        <v/>
      </c>
      <c r="E638" s="211" t="n">
        <v>0.4</v>
      </c>
      <c r="F638" s="212">
        <f>D638*E638</f>
        <v/>
      </c>
      <c r="G638" s="213">
        <f>if(or(eq(#REF!,"No Valet"),eq(#REF!,"Has Valet")), F638 * AVERAGE(Accounts!I$2:I$34),F638*#REF!)</f>
        <v/>
      </c>
      <c r="H638" s="213">
        <f>iferror(G638*360,"")</f>
        <v/>
      </c>
      <c r="I638" s="213">
        <f>H638*0.1</f>
        <v/>
      </c>
    </row>
    <row r="639" ht="54.75" customHeight="1" s="222">
      <c r="A639" s="210">
        <f>#REF!</f>
        <v/>
      </c>
      <c r="B639" s="141">
        <f>#REF!</f>
        <v/>
      </c>
      <c r="C639" s="211" t="n">
        <v>0.6</v>
      </c>
      <c r="D639" s="212">
        <f>#REF!*C639</f>
        <v/>
      </c>
      <c r="E639" s="211" t="n">
        <v>0.4</v>
      </c>
      <c r="F639" s="212">
        <f>D639*E639</f>
        <v/>
      </c>
      <c r="G639" s="213">
        <f>if(or(eq(#REF!,"No Valet"),eq(#REF!,"Has Valet")), F639 * AVERAGE(Accounts!I$2:I$34),F639*#REF!)</f>
        <v/>
      </c>
      <c r="H639" s="213">
        <f>iferror(G639*360,"")</f>
        <v/>
      </c>
      <c r="I639" s="213">
        <f>H639*0.1</f>
        <v/>
      </c>
    </row>
    <row r="640" ht="54.75" customHeight="1" s="222">
      <c r="A640" s="210">
        <f>#REF!</f>
        <v/>
      </c>
      <c r="B640" s="141">
        <f>#REF!</f>
        <v/>
      </c>
      <c r="C640" s="211" t="n">
        <v>0.6</v>
      </c>
      <c r="D640" s="212">
        <f>#REF!*C640</f>
        <v/>
      </c>
      <c r="E640" s="211" t="n">
        <v>0.4</v>
      </c>
      <c r="F640" s="212">
        <f>D640*E640</f>
        <v/>
      </c>
      <c r="G640" s="213">
        <f>if(or(eq(#REF!,"No Valet"),eq(#REF!,"Has Valet")), F640 * AVERAGE(Accounts!I$2:I$34),F640*#REF!)</f>
        <v/>
      </c>
      <c r="H640" s="213">
        <f>iferror(G640*360,"")</f>
        <v/>
      </c>
      <c r="I640" s="213">
        <f>H640*0.1</f>
        <v/>
      </c>
    </row>
    <row r="641" ht="54.75" customHeight="1" s="222">
      <c r="A641" s="210">
        <f>#REF!</f>
        <v/>
      </c>
      <c r="B641" s="141">
        <f>#REF!</f>
        <v/>
      </c>
      <c r="C641" s="211" t="n">
        <v>0.6</v>
      </c>
      <c r="D641" s="212">
        <f>#REF!*C641</f>
        <v/>
      </c>
      <c r="E641" s="211" t="n">
        <v>0.4</v>
      </c>
      <c r="F641" s="212">
        <f>D641*E641</f>
        <v/>
      </c>
      <c r="G641" s="213">
        <f>if(or(eq(#REF!,"No Valet"),eq(#REF!,"Has Valet")), F641 * AVERAGE(Accounts!I$2:I$34),F641*#REF!)</f>
        <v/>
      </c>
      <c r="H641" s="213">
        <f>iferror(G641*360,"")</f>
        <v/>
      </c>
      <c r="I641" s="213">
        <f>H641*0.1</f>
        <v/>
      </c>
    </row>
    <row r="642" ht="54.75" customHeight="1" s="222">
      <c r="A642" s="210">
        <f>#REF!</f>
        <v/>
      </c>
      <c r="B642" s="141">
        <f>#REF!</f>
        <v/>
      </c>
      <c r="C642" s="211" t="n">
        <v>0.6</v>
      </c>
      <c r="D642" s="212">
        <f>#REF!*C642</f>
        <v/>
      </c>
      <c r="E642" s="211" t="n">
        <v>0.4</v>
      </c>
      <c r="F642" s="212">
        <f>D642*E642</f>
        <v/>
      </c>
      <c r="G642" s="213">
        <f>if(or(eq(#REF!,"No Valet"),eq(#REF!,"Has Valet")), F642 * AVERAGE(Accounts!I$2:I$34),F642*#REF!)</f>
        <v/>
      </c>
      <c r="H642" s="213">
        <f>iferror(G642*360,"")</f>
        <v/>
      </c>
      <c r="I642" s="213">
        <f>H642*0.1</f>
        <v/>
      </c>
    </row>
    <row r="643" ht="54.75" customHeight="1" s="222">
      <c r="A643" s="210">
        <f>#REF!</f>
        <v/>
      </c>
      <c r="B643" s="141">
        <f>#REF!</f>
        <v/>
      </c>
      <c r="C643" s="211" t="n">
        <v>0.6</v>
      </c>
      <c r="D643" s="212">
        <f>#REF!*C643</f>
        <v/>
      </c>
      <c r="E643" s="211" t="n">
        <v>0.4</v>
      </c>
      <c r="F643" s="212">
        <f>D643*E643</f>
        <v/>
      </c>
      <c r="G643" s="213">
        <f>if(or(eq(#REF!,"No Valet"),eq(#REF!,"Has Valet")), F643 * AVERAGE(Accounts!I$2:I$34),F643*#REF!)</f>
        <v/>
      </c>
      <c r="H643" s="213">
        <f>iferror(G643*360,"")</f>
        <v/>
      </c>
      <c r="I643" s="213">
        <f>H643*0.1</f>
        <v/>
      </c>
    </row>
    <row r="644" ht="54.75" customHeight="1" s="222">
      <c r="A644" s="210">
        <f>#REF!</f>
        <v/>
      </c>
      <c r="B644" s="141">
        <f>#REF!</f>
        <v/>
      </c>
      <c r="C644" s="211" t="n">
        <v>0.6</v>
      </c>
      <c r="D644" s="212">
        <f>#REF!*C644</f>
        <v/>
      </c>
      <c r="E644" s="211" t="n">
        <v>0.4</v>
      </c>
      <c r="F644" s="212">
        <f>D644*E644</f>
        <v/>
      </c>
      <c r="G644" s="213">
        <f>if(or(eq(#REF!,"No Valet"),eq(#REF!,"Has Valet")), F644 * AVERAGE(Accounts!I$2:I$34),F644*#REF!)</f>
        <v/>
      </c>
      <c r="H644" s="213">
        <f>iferror(G644*360,"")</f>
        <v/>
      </c>
      <c r="I644" s="213">
        <f>H644*0.1</f>
        <v/>
      </c>
    </row>
    <row r="645" ht="54.75" customHeight="1" s="222">
      <c r="A645" s="210">
        <f>#REF!</f>
        <v/>
      </c>
      <c r="B645" s="141">
        <f>#REF!</f>
        <v/>
      </c>
      <c r="C645" s="211" t="n">
        <v>0.6</v>
      </c>
      <c r="D645" s="212">
        <f>#REF!*C645</f>
        <v/>
      </c>
      <c r="E645" s="211" t="n">
        <v>0.4</v>
      </c>
      <c r="F645" s="212">
        <f>D645*E645</f>
        <v/>
      </c>
      <c r="G645" s="213">
        <f>if(or(eq(#REF!,"No Valet"),eq(#REF!,"Has Valet")), F645 * AVERAGE(Accounts!I$2:I$34),F645*#REF!)</f>
        <v/>
      </c>
      <c r="H645" s="213">
        <f>iferror(G645*360,"")</f>
        <v/>
      </c>
      <c r="I645" s="213">
        <f>H645*0.1</f>
        <v/>
      </c>
    </row>
    <row r="646" ht="54.75" customHeight="1" s="222">
      <c r="A646" s="210">
        <f>#REF!</f>
        <v/>
      </c>
      <c r="B646" s="141">
        <f>#REF!</f>
        <v/>
      </c>
      <c r="C646" s="211" t="n">
        <v>0.6</v>
      </c>
      <c r="D646" s="212">
        <f>#REF!*C646</f>
        <v/>
      </c>
      <c r="E646" s="211" t="n">
        <v>0.4</v>
      </c>
      <c r="F646" s="212">
        <f>D646*E646</f>
        <v/>
      </c>
      <c r="G646" s="213">
        <f>if(or(eq(#REF!,"No Valet"),eq(#REF!,"Has Valet")), F646 * AVERAGE(Accounts!I$2:I$34),F646*#REF!)</f>
        <v/>
      </c>
      <c r="H646" s="213">
        <f>iferror(G646*360,"")</f>
        <v/>
      </c>
      <c r="I646" s="213">
        <f>H646*0.1</f>
        <v/>
      </c>
    </row>
    <row r="647" ht="54.75" customHeight="1" s="222">
      <c r="A647" s="210">
        <f>#REF!</f>
        <v/>
      </c>
      <c r="B647" s="141">
        <f>#REF!</f>
        <v/>
      </c>
      <c r="C647" s="211" t="n">
        <v>0.6</v>
      </c>
      <c r="D647" s="212">
        <f>#REF!*C647</f>
        <v/>
      </c>
      <c r="E647" s="211" t="n">
        <v>0.4</v>
      </c>
      <c r="F647" s="212">
        <f>D647*E647</f>
        <v/>
      </c>
      <c r="G647" s="213">
        <f>if(or(eq(#REF!,"No Valet"),eq(#REF!,"Has Valet")), F647 * AVERAGE(Accounts!I$2:I$34),F647*#REF!)</f>
        <v/>
      </c>
      <c r="H647" s="213">
        <f>iferror(G647*360,"")</f>
        <v/>
      </c>
      <c r="I647" s="213">
        <f>H647*0.1</f>
        <v/>
      </c>
    </row>
    <row r="648" ht="54.75" customHeight="1" s="222">
      <c r="A648" s="210">
        <f>#REF!</f>
        <v/>
      </c>
      <c r="B648" s="141">
        <f>#REF!</f>
        <v/>
      </c>
      <c r="C648" s="211" t="n">
        <v>0.6</v>
      </c>
      <c r="D648" s="212">
        <f>#REF!*C648</f>
        <v/>
      </c>
      <c r="E648" s="211" t="n">
        <v>0.4</v>
      </c>
      <c r="F648" s="212">
        <f>D648*E648</f>
        <v/>
      </c>
      <c r="G648" s="213">
        <f>if(or(eq(#REF!,"No Valet"),eq(#REF!,"Has Valet")), F648 * AVERAGE(Accounts!I$2:I$34),F648*#REF!)</f>
        <v/>
      </c>
      <c r="H648" s="213">
        <f>iferror(G648*360,"")</f>
        <v/>
      </c>
      <c r="I648" s="213">
        <f>H648*0.1</f>
        <v/>
      </c>
    </row>
    <row r="649" ht="54.75" customHeight="1" s="222">
      <c r="A649" s="210">
        <f>#REF!</f>
        <v/>
      </c>
      <c r="B649" s="141">
        <f>#REF!</f>
        <v/>
      </c>
      <c r="C649" s="211" t="n">
        <v>0.6</v>
      </c>
      <c r="D649" s="212">
        <f>#REF!*C649</f>
        <v/>
      </c>
      <c r="E649" s="211" t="n">
        <v>0.4</v>
      </c>
      <c r="F649" s="212">
        <f>D649*E649</f>
        <v/>
      </c>
      <c r="G649" s="213">
        <f>if(or(eq(#REF!,"No Valet"),eq(#REF!,"Has Valet")), F649 * AVERAGE(Accounts!I$2:I$34),F649*#REF!)</f>
        <v/>
      </c>
      <c r="H649" s="213">
        <f>iferror(G649*360,"")</f>
        <v/>
      </c>
      <c r="I649" s="213">
        <f>H649*0.1</f>
        <v/>
      </c>
    </row>
    <row r="650" ht="54.75" customHeight="1" s="222">
      <c r="A650" s="210">
        <f>#REF!</f>
        <v/>
      </c>
      <c r="B650" s="141">
        <f>#REF!</f>
        <v/>
      </c>
      <c r="C650" s="211" t="n">
        <v>0.6</v>
      </c>
      <c r="D650" s="212">
        <f>#REF!*C650</f>
        <v/>
      </c>
      <c r="E650" s="211" t="n">
        <v>0.4</v>
      </c>
      <c r="F650" s="212">
        <f>D650*E650</f>
        <v/>
      </c>
      <c r="G650" s="213">
        <f>if(or(eq(#REF!,"No Valet"),eq(#REF!,"Has Valet")), F650 * AVERAGE(Accounts!I$2:I$34),F650*#REF!)</f>
        <v/>
      </c>
      <c r="H650" s="213">
        <f>iferror(G650*360,"")</f>
        <v/>
      </c>
      <c r="I650" s="213">
        <f>H650*0.1</f>
        <v/>
      </c>
    </row>
    <row r="651" ht="54.75" customHeight="1" s="222">
      <c r="A651" s="210">
        <f>#REF!</f>
        <v/>
      </c>
      <c r="B651" s="141">
        <f>#REF!</f>
        <v/>
      </c>
      <c r="C651" s="211" t="n">
        <v>0.6</v>
      </c>
      <c r="D651" s="212">
        <f>#REF!*C651</f>
        <v/>
      </c>
      <c r="E651" s="211" t="n">
        <v>0.4</v>
      </c>
      <c r="F651" s="212">
        <f>D651*E651</f>
        <v/>
      </c>
      <c r="G651" s="213">
        <f>if(or(eq(#REF!,"No Valet"),eq(#REF!,"Has Valet")), F651 * AVERAGE(Accounts!I$2:I$34),F651*#REF!)</f>
        <v/>
      </c>
      <c r="H651" s="213">
        <f>iferror(G651*360,"")</f>
        <v/>
      </c>
      <c r="I651" s="213">
        <f>H651*0.1</f>
        <v/>
      </c>
    </row>
    <row r="652" ht="54.75" customHeight="1" s="222">
      <c r="A652" s="210">
        <f>#REF!</f>
        <v/>
      </c>
      <c r="B652" s="141">
        <f>#REF!</f>
        <v/>
      </c>
      <c r="C652" s="211" t="n">
        <v>0.6</v>
      </c>
      <c r="D652" s="212">
        <f>#REF!*C652</f>
        <v/>
      </c>
      <c r="E652" s="211" t="n">
        <v>0.4</v>
      </c>
      <c r="F652" s="212">
        <f>D652*E652</f>
        <v/>
      </c>
      <c r="G652" s="213">
        <f>if(or(eq(#REF!,"No Valet"),eq(#REF!,"Has Valet")), F652 * AVERAGE(Accounts!I$2:I$34),F652*#REF!)</f>
        <v/>
      </c>
      <c r="H652" s="213">
        <f>iferror(G652*360,"")</f>
        <v/>
      </c>
      <c r="I652" s="213">
        <f>H652*0.1</f>
        <v/>
      </c>
    </row>
    <row r="653" ht="54.75" customHeight="1" s="222">
      <c r="A653" s="210">
        <f>#REF!</f>
        <v/>
      </c>
      <c r="B653" s="141">
        <f>#REF!</f>
        <v/>
      </c>
      <c r="C653" s="211" t="n">
        <v>0.6</v>
      </c>
      <c r="D653" s="212">
        <f>#REF!*C653</f>
        <v/>
      </c>
      <c r="E653" s="211" t="n">
        <v>0.4</v>
      </c>
      <c r="F653" s="212">
        <f>D653*E653</f>
        <v/>
      </c>
      <c r="G653" s="213">
        <f>if(or(eq(#REF!,"No Valet"),eq(#REF!,"Has Valet")), F653 * AVERAGE(Accounts!I$2:I$34),F653*#REF!)</f>
        <v/>
      </c>
      <c r="H653" s="213">
        <f>iferror(G653*360,"")</f>
        <v/>
      </c>
      <c r="I653" s="213">
        <f>H653*0.1</f>
        <v/>
      </c>
    </row>
    <row r="654" ht="54.75" customHeight="1" s="222">
      <c r="A654" s="210">
        <f>#REF!</f>
        <v/>
      </c>
      <c r="B654" s="141">
        <f>#REF!</f>
        <v/>
      </c>
      <c r="C654" s="211" t="n">
        <v>0.6</v>
      </c>
      <c r="D654" s="212">
        <f>#REF!*C654</f>
        <v/>
      </c>
      <c r="E654" s="211" t="n">
        <v>0.4</v>
      </c>
      <c r="F654" s="212">
        <f>D654*E654</f>
        <v/>
      </c>
      <c r="G654" s="213">
        <f>if(or(eq(#REF!,"No Valet"),eq(#REF!,"Has Valet")), F654 * AVERAGE(Accounts!I$2:I$34),F654*#REF!)</f>
        <v/>
      </c>
      <c r="H654" s="213">
        <f>iferror(G654*360,"")</f>
        <v/>
      </c>
      <c r="I654" s="213">
        <f>H654*0.1</f>
        <v/>
      </c>
    </row>
    <row r="655" ht="54.75" customHeight="1" s="222">
      <c r="A655" s="210">
        <f>#REF!</f>
        <v/>
      </c>
      <c r="B655" s="141">
        <f>#REF!</f>
        <v/>
      </c>
      <c r="C655" s="211" t="n">
        <v>0.6</v>
      </c>
      <c r="D655" s="212">
        <f>#REF!*C655</f>
        <v/>
      </c>
      <c r="E655" s="211" t="n">
        <v>0.4</v>
      </c>
      <c r="F655" s="212">
        <f>D655*E655</f>
        <v/>
      </c>
      <c r="G655" s="213">
        <f>if(or(eq(#REF!,"No Valet"),eq(#REF!,"Has Valet")), F655 * AVERAGE(Accounts!I$2:I$34),F655*#REF!)</f>
        <v/>
      </c>
      <c r="H655" s="213">
        <f>iferror(G655*360,"")</f>
        <v/>
      </c>
      <c r="I655" s="213">
        <f>H655*0.1</f>
        <v/>
      </c>
    </row>
    <row r="656" ht="54.75" customHeight="1" s="222">
      <c r="A656" s="210">
        <f>#REF!</f>
        <v/>
      </c>
      <c r="B656" s="141">
        <f>#REF!</f>
        <v/>
      </c>
      <c r="C656" s="211" t="n">
        <v>0.6</v>
      </c>
      <c r="D656" s="212">
        <f>#REF!*C656</f>
        <v/>
      </c>
      <c r="E656" s="211" t="n">
        <v>0.4</v>
      </c>
      <c r="F656" s="212">
        <f>D656*E656</f>
        <v/>
      </c>
      <c r="G656" s="213">
        <f>if(or(eq(#REF!,"No Valet"),eq(#REF!,"Has Valet")), F656 * AVERAGE(Accounts!I$2:I$34),F656*#REF!)</f>
        <v/>
      </c>
      <c r="H656" s="213">
        <f>iferror(G656*360,"")</f>
        <v/>
      </c>
      <c r="I656" s="213">
        <f>H656*0.1</f>
        <v/>
      </c>
    </row>
    <row r="657" ht="54.75" customHeight="1" s="222">
      <c r="A657" s="210">
        <f>#REF!</f>
        <v/>
      </c>
      <c r="B657" s="141">
        <f>#REF!</f>
        <v/>
      </c>
      <c r="C657" s="211" t="n">
        <v>0.6</v>
      </c>
      <c r="D657" s="212">
        <f>#REF!*C657</f>
        <v/>
      </c>
      <c r="E657" s="211" t="n">
        <v>0.4</v>
      </c>
      <c r="F657" s="212">
        <f>D657*E657</f>
        <v/>
      </c>
      <c r="G657" s="213">
        <f>if(or(eq(#REF!,"No Valet"),eq(#REF!,"Has Valet")), F657 * AVERAGE(Accounts!I$2:I$34),F657*#REF!)</f>
        <v/>
      </c>
      <c r="H657" s="213">
        <f>iferror(G657*360,"")</f>
        <v/>
      </c>
      <c r="I657" s="213">
        <f>H657*0.1</f>
        <v/>
      </c>
    </row>
    <row r="658" ht="54.75" customHeight="1" s="222">
      <c r="A658" s="210">
        <f>#REF!</f>
        <v/>
      </c>
      <c r="B658" s="141">
        <f>#REF!</f>
        <v/>
      </c>
      <c r="C658" s="211" t="n">
        <v>0.6</v>
      </c>
      <c r="D658" s="212">
        <f>#REF!*C658</f>
        <v/>
      </c>
      <c r="E658" s="211" t="n">
        <v>0.4</v>
      </c>
      <c r="F658" s="212">
        <f>D658*E658</f>
        <v/>
      </c>
      <c r="G658" s="213">
        <f>if(or(eq(#REF!,"No Valet"),eq(#REF!,"Has Valet")), F658 * AVERAGE(Accounts!I$2:I$34),F658*#REF!)</f>
        <v/>
      </c>
      <c r="H658" s="213">
        <f>iferror(G658*360,"")</f>
        <v/>
      </c>
      <c r="I658" s="213">
        <f>H658*0.1</f>
        <v/>
      </c>
    </row>
    <row r="659" ht="54.75" customHeight="1" s="222">
      <c r="A659" s="210">
        <f>#REF!</f>
        <v/>
      </c>
      <c r="B659" s="141">
        <f>#REF!</f>
        <v/>
      </c>
      <c r="C659" s="211" t="n">
        <v>0.6</v>
      </c>
      <c r="D659" s="212">
        <f>#REF!*C659</f>
        <v/>
      </c>
      <c r="E659" s="211" t="n">
        <v>0.4</v>
      </c>
      <c r="F659" s="212">
        <f>D659*E659</f>
        <v/>
      </c>
      <c r="G659" s="213">
        <f>if(or(eq(#REF!,"No Valet"),eq(#REF!,"Has Valet")), F659 * AVERAGE(Accounts!I$2:I$34),F659*#REF!)</f>
        <v/>
      </c>
      <c r="H659" s="213">
        <f>iferror(G659*360,"")</f>
        <v/>
      </c>
      <c r="I659" s="213">
        <f>H659*0.1</f>
        <v/>
      </c>
    </row>
    <row r="660" ht="54.75" customHeight="1" s="222">
      <c r="A660" s="210">
        <f>#REF!</f>
        <v/>
      </c>
      <c r="B660" s="141">
        <f>#REF!</f>
        <v/>
      </c>
      <c r="C660" s="211" t="n">
        <v>0.6</v>
      </c>
      <c r="D660" s="212">
        <f>#REF!*C660</f>
        <v/>
      </c>
      <c r="E660" s="211" t="n">
        <v>0.4</v>
      </c>
      <c r="F660" s="212">
        <f>D660*E660</f>
        <v/>
      </c>
      <c r="G660" s="213">
        <f>if(or(eq(#REF!,"No Valet"),eq(#REF!,"Has Valet")), F660 * AVERAGE(Accounts!I$2:I$34),F660*#REF!)</f>
        <v/>
      </c>
      <c r="H660" s="213">
        <f>iferror(G660*360,"")</f>
        <v/>
      </c>
      <c r="I660" s="213">
        <f>H660*0.1</f>
        <v/>
      </c>
    </row>
    <row r="661" ht="54.75" customHeight="1" s="222">
      <c r="A661" s="210">
        <f>#REF!</f>
        <v/>
      </c>
      <c r="B661" s="141">
        <f>#REF!</f>
        <v/>
      </c>
      <c r="C661" s="211" t="n">
        <v>0.6</v>
      </c>
      <c r="D661" s="212">
        <f>#REF!*C661</f>
        <v/>
      </c>
      <c r="E661" s="211" t="n">
        <v>0.4</v>
      </c>
      <c r="F661" s="212">
        <f>D661*E661</f>
        <v/>
      </c>
      <c r="G661" s="213">
        <f>if(or(eq(#REF!,"No Valet"),eq(#REF!,"Has Valet")), F661 * AVERAGE(Accounts!I$2:I$34),F661*#REF!)</f>
        <v/>
      </c>
      <c r="H661" s="213">
        <f>iferror(G661*360,"")</f>
        <v/>
      </c>
      <c r="I661" s="213">
        <f>H661*0.1</f>
        <v/>
      </c>
    </row>
    <row r="662" ht="54.75" customHeight="1" s="222">
      <c r="A662" s="210">
        <f>#REF!</f>
        <v/>
      </c>
      <c r="B662" s="141">
        <f>#REF!</f>
        <v/>
      </c>
      <c r="C662" s="211" t="n">
        <v>0.6</v>
      </c>
      <c r="D662" s="212">
        <f>#REF!*C662</f>
        <v/>
      </c>
      <c r="E662" s="211" t="n">
        <v>0.4</v>
      </c>
      <c r="F662" s="212">
        <f>D662*E662</f>
        <v/>
      </c>
      <c r="G662" s="213">
        <f>if(or(eq(#REF!,"No Valet"),eq(#REF!,"Has Valet")), F662 * AVERAGE(Accounts!I$2:I$34),F662*#REF!)</f>
        <v/>
      </c>
      <c r="H662" s="213">
        <f>iferror(G662*360,"")</f>
        <v/>
      </c>
      <c r="I662" s="213">
        <f>H662*0.1</f>
        <v/>
      </c>
    </row>
    <row r="663" ht="54.75" customHeight="1" s="222">
      <c r="A663" s="210">
        <f>#REF!</f>
        <v/>
      </c>
      <c r="B663" s="141">
        <f>#REF!</f>
        <v/>
      </c>
      <c r="C663" s="211" t="n">
        <v>0.6</v>
      </c>
      <c r="D663" s="212">
        <f>#REF!*C663</f>
        <v/>
      </c>
      <c r="E663" s="211" t="n">
        <v>0.4</v>
      </c>
      <c r="F663" s="212">
        <f>D663*E663</f>
        <v/>
      </c>
      <c r="G663" s="213">
        <f>if(or(eq(#REF!,"No Valet"),eq(#REF!,"Has Valet")), F663 * AVERAGE(Accounts!I$2:I$34),F663*#REF!)</f>
        <v/>
      </c>
      <c r="H663" s="213">
        <f>iferror(G663*360,"")</f>
        <v/>
      </c>
      <c r="I663" s="213">
        <f>H663*0.1</f>
        <v/>
      </c>
    </row>
    <row r="664" ht="54.75" customHeight="1" s="222">
      <c r="A664" s="210">
        <f>#REF!</f>
        <v/>
      </c>
      <c r="B664" s="141">
        <f>#REF!</f>
        <v/>
      </c>
      <c r="C664" s="211" t="n">
        <v>0.6</v>
      </c>
      <c r="D664" s="212">
        <f>#REF!*C664</f>
        <v/>
      </c>
      <c r="E664" s="211" t="n">
        <v>0.4</v>
      </c>
      <c r="F664" s="212">
        <f>D664*E664</f>
        <v/>
      </c>
      <c r="G664" s="213">
        <f>if(or(eq(#REF!,"No Valet"),eq(#REF!,"Has Valet")), F664 * AVERAGE(Accounts!I$2:I$34),F664*#REF!)</f>
        <v/>
      </c>
      <c r="H664" s="213">
        <f>iferror(G664*360,"")</f>
        <v/>
      </c>
      <c r="I664" s="213">
        <f>H664*0.1</f>
        <v/>
      </c>
    </row>
    <row r="665" ht="54.75" customHeight="1" s="222">
      <c r="A665" s="210">
        <f>#REF!</f>
        <v/>
      </c>
      <c r="B665" s="141">
        <f>#REF!</f>
        <v/>
      </c>
      <c r="C665" s="211" t="n">
        <v>0.6</v>
      </c>
      <c r="D665" s="212">
        <f>#REF!*C665</f>
        <v/>
      </c>
      <c r="E665" s="211" t="n">
        <v>0.4</v>
      </c>
      <c r="F665" s="212">
        <f>D665*E665</f>
        <v/>
      </c>
      <c r="G665" s="213">
        <f>if(or(eq(#REF!,"No Valet"),eq(#REF!,"Has Valet")), F665 * AVERAGE(Accounts!I$2:I$34),F665*#REF!)</f>
        <v/>
      </c>
      <c r="H665" s="213">
        <f>iferror(G665*360,"")</f>
        <v/>
      </c>
      <c r="I665" s="213">
        <f>H665*0.1</f>
        <v/>
      </c>
    </row>
    <row r="666" ht="54.75" customHeight="1" s="222">
      <c r="A666" s="210">
        <f>#REF!</f>
        <v/>
      </c>
      <c r="B666" s="141">
        <f>#REF!</f>
        <v/>
      </c>
      <c r="C666" s="211" t="n">
        <v>0.6</v>
      </c>
      <c r="D666" s="212">
        <f>#REF!*C666</f>
        <v/>
      </c>
      <c r="E666" s="211" t="n">
        <v>0.4</v>
      </c>
      <c r="F666" s="212">
        <f>D666*E666</f>
        <v/>
      </c>
      <c r="G666" s="213">
        <f>if(or(eq(#REF!,"No Valet"),eq(#REF!,"Has Valet")), F666 * AVERAGE(Accounts!I$2:I$34),F666*#REF!)</f>
        <v/>
      </c>
      <c r="H666" s="213">
        <f>iferror(G666*360,"")</f>
        <v/>
      </c>
      <c r="I666" s="213">
        <f>H666*0.1</f>
        <v/>
      </c>
    </row>
    <row r="667" ht="54.75" customHeight="1" s="222">
      <c r="A667" s="210">
        <f>#REF!</f>
        <v/>
      </c>
      <c r="B667" s="141">
        <f>#REF!</f>
        <v/>
      </c>
      <c r="C667" s="211" t="n">
        <v>0.6</v>
      </c>
      <c r="D667" s="212">
        <f>#REF!*C667</f>
        <v/>
      </c>
      <c r="E667" s="211" t="n">
        <v>0.4</v>
      </c>
      <c r="F667" s="212">
        <f>D667*E667</f>
        <v/>
      </c>
      <c r="G667" s="213">
        <f>if(or(eq(#REF!,"No Valet"),eq(#REF!,"Has Valet")), F667 * AVERAGE(Accounts!I$2:I$34),F667*#REF!)</f>
        <v/>
      </c>
      <c r="H667" s="213">
        <f>iferror(G667*360,"")</f>
        <v/>
      </c>
      <c r="I667" s="213">
        <f>H667*0.1</f>
        <v/>
      </c>
    </row>
    <row r="668" ht="54.75" customHeight="1" s="222">
      <c r="A668" s="210">
        <f>#REF!</f>
        <v/>
      </c>
      <c r="B668" s="141">
        <f>#REF!</f>
        <v/>
      </c>
      <c r="C668" s="211" t="n">
        <v>0.6</v>
      </c>
      <c r="D668" s="212">
        <f>#REF!*C668</f>
        <v/>
      </c>
      <c r="E668" s="211" t="n">
        <v>0.4</v>
      </c>
      <c r="F668" s="212">
        <f>D668*E668</f>
        <v/>
      </c>
      <c r="G668" s="213">
        <f>if(or(eq(#REF!,"No Valet"),eq(#REF!,"Has Valet")), F668 * AVERAGE(Accounts!I$2:I$34),F668*#REF!)</f>
        <v/>
      </c>
      <c r="H668" s="213">
        <f>iferror(G668*360,"")</f>
        <v/>
      </c>
      <c r="I668" s="213">
        <f>H668*0.1</f>
        <v/>
      </c>
    </row>
    <row r="669" ht="54.75" customHeight="1" s="222">
      <c r="A669" s="210">
        <f>#REF!</f>
        <v/>
      </c>
      <c r="B669" s="141">
        <f>#REF!</f>
        <v/>
      </c>
      <c r="C669" s="211" t="n">
        <v>0.6</v>
      </c>
      <c r="D669" s="212">
        <f>#REF!*C669</f>
        <v/>
      </c>
      <c r="E669" s="211" t="n">
        <v>0.4</v>
      </c>
      <c r="F669" s="212">
        <f>D669*E669</f>
        <v/>
      </c>
      <c r="G669" s="213">
        <f>if(or(eq(#REF!,"No Valet"),eq(#REF!,"Has Valet")), F669 * AVERAGE(Accounts!I$2:I$34),F669*#REF!)</f>
        <v/>
      </c>
      <c r="H669" s="213">
        <f>iferror(G669*360,"")</f>
        <v/>
      </c>
      <c r="I669" s="213">
        <f>H669*0.1</f>
        <v/>
      </c>
    </row>
    <row r="670" ht="54.75" customHeight="1" s="222">
      <c r="A670" s="210">
        <f>#REF!</f>
        <v/>
      </c>
      <c r="B670" s="141">
        <f>#REF!</f>
        <v/>
      </c>
      <c r="C670" s="211" t="n">
        <v>0.6</v>
      </c>
      <c r="D670" s="212">
        <f>#REF!*C670</f>
        <v/>
      </c>
      <c r="E670" s="211" t="n">
        <v>0.4</v>
      </c>
      <c r="F670" s="212">
        <f>D670*E670</f>
        <v/>
      </c>
      <c r="G670" s="213">
        <f>if(or(eq(#REF!,"No Valet"),eq(#REF!,"Has Valet")), F670 * AVERAGE(Accounts!I$2:I$34),F670*#REF!)</f>
        <v/>
      </c>
      <c r="H670" s="213">
        <f>iferror(G670*360,"")</f>
        <v/>
      </c>
      <c r="I670" s="213">
        <f>H670*0.1</f>
        <v/>
      </c>
    </row>
    <row r="671" ht="54.75" customHeight="1" s="222">
      <c r="A671" s="210">
        <f>#REF!</f>
        <v/>
      </c>
      <c r="B671" s="141">
        <f>#REF!</f>
        <v/>
      </c>
      <c r="C671" s="211" t="n">
        <v>0.6</v>
      </c>
      <c r="D671" s="212">
        <f>#REF!*C671</f>
        <v/>
      </c>
      <c r="E671" s="211" t="n">
        <v>0.4</v>
      </c>
      <c r="F671" s="212">
        <f>D671*E671</f>
        <v/>
      </c>
      <c r="G671" s="213">
        <f>if(or(eq(#REF!,"No Valet"),eq(#REF!,"Has Valet")), F671 * AVERAGE(Accounts!I$2:I$34),F671*#REF!)</f>
        <v/>
      </c>
      <c r="H671" s="213">
        <f>iferror(G671*360,"")</f>
        <v/>
      </c>
      <c r="I671" s="213">
        <f>H671*0.1</f>
        <v/>
      </c>
    </row>
    <row r="672" ht="54.75" customHeight="1" s="222">
      <c r="A672" s="210">
        <f>#REF!</f>
        <v/>
      </c>
      <c r="B672" s="141">
        <f>#REF!</f>
        <v/>
      </c>
      <c r="C672" s="211" t="n">
        <v>0.6</v>
      </c>
      <c r="D672" s="212">
        <f>#REF!*C672</f>
        <v/>
      </c>
      <c r="E672" s="211" t="n">
        <v>0.4</v>
      </c>
      <c r="F672" s="212">
        <f>D672*E672</f>
        <v/>
      </c>
      <c r="G672" s="213">
        <f>if(or(eq(#REF!,"No Valet"),eq(#REF!,"Has Valet")), F672 * AVERAGE(Accounts!I$2:I$34),F672*#REF!)</f>
        <v/>
      </c>
      <c r="H672" s="213">
        <f>iferror(G672*360,"")</f>
        <v/>
      </c>
      <c r="I672" s="213">
        <f>H672*0.1</f>
        <v/>
      </c>
    </row>
    <row r="673" ht="54.75" customHeight="1" s="222">
      <c r="A673" s="210">
        <f>#REF!</f>
        <v/>
      </c>
      <c r="B673" s="141">
        <f>#REF!</f>
        <v/>
      </c>
      <c r="C673" s="211" t="n">
        <v>0.6</v>
      </c>
      <c r="D673" s="212">
        <f>#REF!*C673</f>
        <v/>
      </c>
      <c r="E673" s="211" t="n">
        <v>0.4</v>
      </c>
      <c r="F673" s="212">
        <f>D673*E673</f>
        <v/>
      </c>
      <c r="G673" s="213">
        <f>if(or(eq(#REF!,"No Valet"),eq(#REF!,"Has Valet")), F673 * AVERAGE(Accounts!I$2:I$34),F673*#REF!)</f>
        <v/>
      </c>
      <c r="H673" s="213">
        <f>iferror(G673*360,"")</f>
        <v/>
      </c>
      <c r="I673" s="213">
        <f>H673*0.1</f>
        <v/>
      </c>
    </row>
    <row r="674" ht="54.75" customHeight="1" s="222">
      <c r="A674" s="210">
        <f>#REF!</f>
        <v/>
      </c>
      <c r="B674" s="141">
        <f>#REF!</f>
        <v/>
      </c>
      <c r="C674" s="211" t="n">
        <v>0.6</v>
      </c>
      <c r="D674" s="212">
        <f>#REF!*C674</f>
        <v/>
      </c>
      <c r="E674" s="211" t="n">
        <v>0.4</v>
      </c>
      <c r="F674" s="212">
        <f>D674*E674</f>
        <v/>
      </c>
      <c r="G674" s="213">
        <f>if(or(eq(#REF!,"No Valet"),eq(#REF!,"Has Valet")), F674 * AVERAGE(Accounts!I$2:I$34),F674*#REF!)</f>
        <v/>
      </c>
      <c r="H674" s="213">
        <f>iferror(G674*360,"")</f>
        <v/>
      </c>
      <c r="I674" s="213">
        <f>H674*0.1</f>
        <v/>
      </c>
    </row>
    <row r="675" ht="54.75" customHeight="1" s="222">
      <c r="A675" s="210">
        <f>#REF!</f>
        <v/>
      </c>
      <c r="B675" s="141">
        <f>#REF!</f>
        <v/>
      </c>
      <c r="C675" s="211" t="n">
        <v>0.6</v>
      </c>
      <c r="D675" s="212">
        <f>#REF!*C675</f>
        <v/>
      </c>
      <c r="E675" s="211" t="n">
        <v>0.4</v>
      </c>
      <c r="F675" s="212">
        <f>D675*E675</f>
        <v/>
      </c>
      <c r="G675" s="213">
        <f>if(or(eq(#REF!,"No Valet"),eq(#REF!,"Has Valet")), F675 * AVERAGE(Accounts!I$2:I$34),F675*#REF!)</f>
        <v/>
      </c>
      <c r="H675" s="213">
        <f>iferror(G675*360,"")</f>
        <v/>
      </c>
      <c r="I675" s="213">
        <f>H675*0.1</f>
        <v/>
      </c>
    </row>
    <row r="676" ht="54.75" customHeight="1" s="222">
      <c r="A676" s="210">
        <f>#REF!</f>
        <v/>
      </c>
      <c r="B676" s="141">
        <f>#REF!</f>
        <v/>
      </c>
      <c r="C676" s="211" t="n">
        <v>0.6</v>
      </c>
      <c r="D676" s="212">
        <f>#REF!*C676</f>
        <v/>
      </c>
      <c r="E676" s="211" t="n">
        <v>0.4</v>
      </c>
      <c r="F676" s="212">
        <f>D676*E676</f>
        <v/>
      </c>
      <c r="G676" s="213">
        <f>if(or(eq(#REF!,"No Valet"),eq(#REF!,"Has Valet")), F676 * AVERAGE(Accounts!I$2:I$34),F676*#REF!)</f>
        <v/>
      </c>
      <c r="H676" s="213">
        <f>iferror(G676*360,"")</f>
        <v/>
      </c>
      <c r="I676" s="213">
        <f>H676*0.1</f>
        <v/>
      </c>
    </row>
    <row r="677" ht="54.75" customHeight="1" s="222">
      <c r="A677" s="210">
        <f>#REF!</f>
        <v/>
      </c>
      <c r="B677" s="141">
        <f>#REF!</f>
        <v/>
      </c>
      <c r="C677" s="211" t="n">
        <v>0.6</v>
      </c>
      <c r="D677" s="212">
        <f>#REF!*C677</f>
        <v/>
      </c>
      <c r="E677" s="211" t="n">
        <v>0.4</v>
      </c>
      <c r="F677" s="212">
        <f>D677*E677</f>
        <v/>
      </c>
      <c r="G677" s="213">
        <f>if(or(eq(#REF!,"No Valet"),eq(#REF!,"Has Valet")), F677 * AVERAGE(Accounts!I$2:I$34),F677*#REF!)</f>
        <v/>
      </c>
      <c r="H677" s="213">
        <f>iferror(G677*360,"")</f>
        <v/>
      </c>
      <c r="I677" s="213">
        <f>H677*0.1</f>
        <v/>
      </c>
    </row>
    <row r="678" ht="54.75" customHeight="1" s="222">
      <c r="A678" s="210">
        <f>#REF!</f>
        <v/>
      </c>
      <c r="B678" s="141">
        <f>#REF!</f>
        <v/>
      </c>
      <c r="C678" s="211" t="n">
        <v>0.6</v>
      </c>
      <c r="D678" s="212">
        <f>#REF!*C678</f>
        <v/>
      </c>
      <c r="E678" s="211" t="n">
        <v>0.4</v>
      </c>
      <c r="F678" s="212">
        <f>D678*E678</f>
        <v/>
      </c>
      <c r="G678" s="213">
        <f>if(or(eq(#REF!,"No Valet"),eq(#REF!,"Has Valet")), F678 * AVERAGE(Accounts!I$2:I$34),F678*#REF!)</f>
        <v/>
      </c>
      <c r="H678" s="213">
        <f>iferror(G678*360,"")</f>
        <v/>
      </c>
      <c r="I678" s="213">
        <f>H678*0.1</f>
        <v/>
      </c>
    </row>
    <row r="679" ht="54.75" customHeight="1" s="222">
      <c r="A679" s="210">
        <f>#REF!</f>
        <v/>
      </c>
      <c r="B679" s="141">
        <f>#REF!</f>
        <v/>
      </c>
      <c r="C679" s="211" t="n">
        <v>0.6</v>
      </c>
      <c r="D679" s="212">
        <f>#REF!*C679</f>
        <v/>
      </c>
      <c r="E679" s="211" t="n">
        <v>0.4</v>
      </c>
      <c r="F679" s="212">
        <f>D679*E679</f>
        <v/>
      </c>
      <c r="G679" s="213">
        <f>if(or(eq(#REF!,"No Valet"),eq(#REF!,"Has Valet")), F679 * AVERAGE(Accounts!I$2:I$34),F679*#REF!)</f>
        <v/>
      </c>
      <c r="H679" s="213">
        <f>iferror(G679*360,"")</f>
        <v/>
      </c>
      <c r="I679" s="213">
        <f>H679*0.1</f>
        <v/>
      </c>
    </row>
    <row r="680" ht="54.75" customHeight="1" s="222">
      <c r="A680" s="210">
        <f>#REF!</f>
        <v/>
      </c>
      <c r="B680" s="141">
        <f>#REF!</f>
        <v/>
      </c>
      <c r="C680" s="211" t="n">
        <v>0.6</v>
      </c>
      <c r="D680" s="212">
        <f>#REF!*C680</f>
        <v/>
      </c>
      <c r="E680" s="211" t="n">
        <v>0.4</v>
      </c>
      <c r="F680" s="212">
        <f>D680*E680</f>
        <v/>
      </c>
      <c r="G680" s="213">
        <f>if(or(eq(#REF!,"No Valet"),eq(#REF!,"Has Valet")), F680 * AVERAGE(Accounts!I$2:I$34),F680*#REF!)</f>
        <v/>
      </c>
      <c r="H680" s="213">
        <f>iferror(G680*360,"")</f>
        <v/>
      </c>
      <c r="I680" s="213">
        <f>H680*0.1</f>
        <v/>
      </c>
    </row>
    <row r="681" ht="54.75" customHeight="1" s="222">
      <c r="A681" s="210">
        <f>#REF!</f>
        <v/>
      </c>
      <c r="B681" s="141">
        <f>#REF!</f>
        <v/>
      </c>
      <c r="C681" s="211" t="n">
        <v>0.6</v>
      </c>
      <c r="D681" s="212">
        <f>#REF!*C681</f>
        <v/>
      </c>
      <c r="E681" s="211" t="n">
        <v>0.4</v>
      </c>
      <c r="F681" s="212">
        <f>D681*E681</f>
        <v/>
      </c>
      <c r="G681" s="213">
        <f>if(or(eq(#REF!,"No Valet"),eq(#REF!,"Has Valet")), F681 * AVERAGE(Accounts!I$2:I$34),F681*#REF!)</f>
        <v/>
      </c>
      <c r="H681" s="213">
        <f>iferror(G681*360,"")</f>
        <v/>
      </c>
      <c r="I681" s="213">
        <f>H681*0.1</f>
        <v/>
      </c>
    </row>
    <row r="682" ht="54.75" customHeight="1" s="222">
      <c r="A682" s="210">
        <f>#REF!</f>
        <v/>
      </c>
      <c r="B682" s="141">
        <f>#REF!</f>
        <v/>
      </c>
      <c r="C682" s="211" t="n">
        <v>0.6</v>
      </c>
      <c r="D682" s="212">
        <f>#REF!*C682</f>
        <v/>
      </c>
      <c r="E682" s="211" t="n">
        <v>0.4</v>
      </c>
      <c r="F682" s="212">
        <f>D682*E682</f>
        <v/>
      </c>
      <c r="G682" s="213">
        <f>if(or(eq(#REF!,"No Valet"),eq(#REF!,"Has Valet")), F682 * AVERAGE(Accounts!I$2:I$34),F682*#REF!)</f>
        <v/>
      </c>
      <c r="H682" s="213">
        <f>iferror(G682*360,"")</f>
        <v/>
      </c>
      <c r="I682" s="213">
        <f>H682*0.1</f>
        <v/>
      </c>
    </row>
    <row r="683" ht="54.75" customHeight="1" s="222">
      <c r="A683" s="210">
        <f>#REF!</f>
        <v/>
      </c>
      <c r="B683" s="141">
        <f>#REF!</f>
        <v/>
      </c>
      <c r="C683" s="211" t="n">
        <v>0.6</v>
      </c>
      <c r="D683" s="212">
        <f>#REF!*C683</f>
        <v/>
      </c>
      <c r="E683" s="211" t="n">
        <v>0.4</v>
      </c>
      <c r="F683" s="212">
        <f>D683*E683</f>
        <v/>
      </c>
      <c r="G683" s="213">
        <f>if(or(eq(#REF!,"No Valet"),eq(#REF!,"Has Valet")), F683 * AVERAGE(Accounts!I$2:I$34),F683*#REF!)</f>
        <v/>
      </c>
      <c r="H683" s="213">
        <f>iferror(G683*360,"")</f>
        <v/>
      </c>
      <c r="I683" s="213">
        <f>H683*0.1</f>
        <v/>
      </c>
    </row>
    <row r="684" ht="54.75" customHeight="1" s="222">
      <c r="A684" s="210">
        <f>#REF!</f>
        <v/>
      </c>
      <c r="B684" s="141">
        <f>#REF!</f>
        <v/>
      </c>
      <c r="C684" s="211" t="n">
        <v>0.6</v>
      </c>
      <c r="D684" s="212">
        <f>#REF!*C684</f>
        <v/>
      </c>
      <c r="E684" s="211" t="n">
        <v>0.4</v>
      </c>
      <c r="F684" s="212">
        <f>D684*E684</f>
        <v/>
      </c>
      <c r="G684" s="213">
        <f>if(or(eq(#REF!,"No Valet"),eq(#REF!,"Has Valet")), F684 * AVERAGE(Accounts!I$2:I$34),F684*#REF!)</f>
        <v/>
      </c>
      <c r="H684" s="213">
        <f>iferror(G684*360,"")</f>
        <v/>
      </c>
      <c r="I684" s="213">
        <f>H684*0.1</f>
        <v/>
      </c>
    </row>
    <row r="685" ht="54.75" customHeight="1" s="222">
      <c r="A685" s="210">
        <f>#REF!</f>
        <v/>
      </c>
      <c r="B685" s="141">
        <f>#REF!</f>
        <v/>
      </c>
      <c r="C685" s="211" t="n">
        <v>0.6</v>
      </c>
      <c r="D685" s="212">
        <f>#REF!*C685</f>
        <v/>
      </c>
      <c r="E685" s="211" t="n">
        <v>0.4</v>
      </c>
      <c r="F685" s="212">
        <f>D685*E685</f>
        <v/>
      </c>
      <c r="G685" s="213">
        <f>if(or(eq(#REF!,"No Valet"),eq(#REF!,"Has Valet")), F685 * AVERAGE(Accounts!I$2:I$34),F685*#REF!)</f>
        <v/>
      </c>
      <c r="H685" s="213">
        <f>iferror(G685*360,"")</f>
        <v/>
      </c>
      <c r="I685" s="213">
        <f>H685*0.1</f>
        <v/>
      </c>
    </row>
    <row r="686" ht="54.75" customHeight="1" s="222">
      <c r="A686" s="210">
        <f>#REF!</f>
        <v/>
      </c>
      <c r="B686" s="141">
        <f>#REF!</f>
        <v/>
      </c>
      <c r="C686" s="211" t="n">
        <v>0.6</v>
      </c>
      <c r="D686" s="212">
        <f>#REF!*C686</f>
        <v/>
      </c>
      <c r="E686" s="211" t="n">
        <v>0.4</v>
      </c>
      <c r="F686" s="212">
        <f>D686*E686</f>
        <v/>
      </c>
      <c r="G686" s="213">
        <f>if(or(eq(#REF!,"No Valet"),eq(#REF!,"Has Valet")), F686 * AVERAGE(Accounts!I$2:I$34),F686*#REF!)</f>
        <v/>
      </c>
      <c r="H686" s="213">
        <f>iferror(G686*360,"")</f>
        <v/>
      </c>
      <c r="I686" s="213">
        <f>H686*0.1</f>
        <v/>
      </c>
    </row>
    <row r="687" ht="54.75" customHeight="1" s="222">
      <c r="A687" s="210">
        <f>#REF!</f>
        <v/>
      </c>
      <c r="B687" s="141">
        <f>#REF!</f>
        <v/>
      </c>
      <c r="C687" s="211" t="n">
        <v>0.6</v>
      </c>
      <c r="D687" s="212">
        <f>#REF!*C687</f>
        <v/>
      </c>
      <c r="E687" s="211" t="n">
        <v>0.4</v>
      </c>
      <c r="F687" s="212">
        <f>D687*E687</f>
        <v/>
      </c>
      <c r="G687" s="213">
        <f>if(or(eq(#REF!,"No Valet"),eq(#REF!,"Has Valet")), F687 * AVERAGE(Accounts!I$2:I$34),F687*#REF!)</f>
        <v/>
      </c>
      <c r="H687" s="213">
        <f>iferror(G687*360,"")</f>
        <v/>
      </c>
      <c r="I687" s="213">
        <f>H687*0.1</f>
        <v/>
      </c>
    </row>
    <row r="688" ht="54.75" customHeight="1" s="222">
      <c r="A688" s="210">
        <f>#REF!</f>
        <v/>
      </c>
      <c r="B688" s="141">
        <f>#REF!</f>
        <v/>
      </c>
      <c r="C688" s="211" t="n">
        <v>0.6</v>
      </c>
      <c r="D688" s="212">
        <f>#REF!*C688</f>
        <v/>
      </c>
      <c r="E688" s="211" t="n">
        <v>0.4</v>
      </c>
      <c r="F688" s="212">
        <f>D688*E688</f>
        <v/>
      </c>
      <c r="G688" s="213">
        <f>if(or(eq(#REF!,"No Valet"),eq(#REF!,"Has Valet")), F688 * AVERAGE(Accounts!I$2:I$34),F688*#REF!)</f>
        <v/>
      </c>
      <c r="H688" s="213">
        <f>iferror(G688*360,"")</f>
        <v/>
      </c>
      <c r="I688" s="213">
        <f>H688*0.1</f>
        <v/>
      </c>
    </row>
    <row r="689" ht="54.75" customHeight="1" s="222">
      <c r="A689" s="210">
        <f>#REF!</f>
        <v/>
      </c>
      <c r="B689" s="141">
        <f>#REF!</f>
        <v/>
      </c>
      <c r="C689" s="211" t="n">
        <v>0.6</v>
      </c>
      <c r="D689" s="212">
        <f>#REF!*C689</f>
        <v/>
      </c>
      <c r="E689" s="211" t="n">
        <v>0.4</v>
      </c>
      <c r="F689" s="212">
        <f>D689*E689</f>
        <v/>
      </c>
      <c r="G689" s="213">
        <f>if(or(eq(#REF!,"No Valet"),eq(#REF!,"Has Valet")), F689 * AVERAGE(Accounts!I$2:I$34),F689*#REF!)</f>
        <v/>
      </c>
      <c r="H689" s="213">
        <f>iferror(G689*360,"")</f>
        <v/>
      </c>
      <c r="I689" s="213">
        <f>H689*0.1</f>
        <v/>
      </c>
    </row>
    <row r="690" ht="54.75" customHeight="1" s="222">
      <c r="A690" s="210">
        <f>#REF!</f>
        <v/>
      </c>
      <c r="B690" s="141">
        <f>#REF!</f>
        <v/>
      </c>
      <c r="C690" s="211" t="n">
        <v>0.6</v>
      </c>
      <c r="D690" s="212">
        <f>#REF!*C690</f>
        <v/>
      </c>
      <c r="E690" s="211" t="n">
        <v>0.4</v>
      </c>
      <c r="F690" s="212">
        <f>D690*E690</f>
        <v/>
      </c>
      <c r="G690" s="213">
        <f>if(or(eq(#REF!,"No Valet"),eq(#REF!,"Has Valet")), F690 * AVERAGE(Accounts!I$2:I$34),F690*#REF!)</f>
        <v/>
      </c>
      <c r="H690" s="213">
        <f>iferror(G690*360,"")</f>
        <v/>
      </c>
      <c r="I690" s="213">
        <f>H690*0.1</f>
        <v/>
      </c>
    </row>
    <row r="691" ht="54.75" customHeight="1" s="222">
      <c r="A691" s="210">
        <f>#REF!</f>
        <v/>
      </c>
      <c r="B691" s="141">
        <f>#REF!</f>
        <v/>
      </c>
      <c r="C691" s="211" t="n">
        <v>0.6</v>
      </c>
      <c r="D691" s="212">
        <f>#REF!*C691</f>
        <v/>
      </c>
      <c r="E691" s="211" t="n">
        <v>0.4</v>
      </c>
      <c r="F691" s="212">
        <f>D691*E691</f>
        <v/>
      </c>
      <c r="G691" s="213">
        <f>if(or(eq(#REF!,"No Valet"),eq(#REF!,"Has Valet")), F691 * AVERAGE(Accounts!I$2:I$34),F691*#REF!)</f>
        <v/>
      </c>
      <c r="H691" s="213">
        <f>iferror(G691*360,"")</f>
        <v/>
      </c>
      <c r="I691" s="213">
        <f>H691*0.1</f>
        <v/>
      </c>
    </row>
    <row r="692" ht="54.75" customHeight="1" s="222">
      <c r="A692" s="210">
        <f>#REF!</f>
        <v/>
      </c>
      <c r="B692" s="141">
        <f>#REF!</f>
        <v/>
      </c>
      <c r="C692" s="211" t="n">
        <v>0.6</v>
      </c>
      <c r="D692" s="212">
        <f>#REF!*C692</f>
        <v/>
      </c>
      <c r="E692" s="211" t="n">
        <v>0.4</v>
      </c>
      <c r="F692" s="212">
        <f>D692*E692</f>
        <v/>
      </c>
      <c r="G692" s="213">
        <f>if(or(eq(#REF!,"No Valet"),eq(#REF!,"Has Valet")), F692 * AVERAGE(Accounts!I$2:I$34),F692*#REF!)</f>
        <v/>
      </c>
      <c r="H692" s="213">
        <f>iferror(G692*360,"")</f>
        <v/>
      </c>
      <c r="I692" s="213">
        <f>H692*0.1</f>
        <v/>
      </c>
    </row>
    <row r="693" ht="54.75" customHeight="1" s="222">
      <c r="A693" s="210">
        <f>#REF!</f>
        <v/>
      </c>
      <c r="B693" s="141">
        <f>#REF!</f>
        <v/>
      </c>
      <c r="C693" s="211" t="n">
        <v>0.6</v>
      </c>
      <c r="D693" s="212">
        <f>#REF!*C693</f>
        <v/>
      </c>
      <c r="E693" s="211" t="n">
        <v>0.4</v>
      </c>
      <c r="F693" s="212">
        <f>D693*E693</f>
        <v/>
      </c>
      <c r="G693" s="213">
        <f>if(or(eq(#REF!,"No Valet"),eq(#REF!,"Has Valet")), F693 * AVERAGE(Accounts!I$2:I$34),F693*#REF!)</f>
        <v/>
      </c>
      <c r="H693" s="213">
        <f>iferror(G693*360,"")</f>
        <v/>
      </c>
      <c r="I693" s="213">
        <f>H693*0.1</f>
        <v/>
      </c>
    </row>
    <row r="694" ht="54.75" customHeight="1" s="222">
      <c r="A694" s="210">
        <f>#REF!</f>
        <v/>
      </c>
      <c r="B694" s="141">
        <f>#REF!</f>
        <v/>
      </c>
      <c r="C694" s="211" t="n">
        <v>0.6</v>
      </c>
      <c r="D694" s="212">
        <f>#REF!*C694</f>
        <v/>
      </c>
      <c r="E694" s="211" t="n">
        <v>0.4</v>
      </c>
      <c r="F694" s="212">
        <f>D694*E694</f>
        <v/>
      </c>
      <c r="G694" s="213">
        <f>if(or(eq(#REF!,"No Valet"),eq(#REF!,"Has Valet")), F694 * AVERAGE(Accounts!I$2:I$34),F694*#REF!)</f>
        <v/>
      </c>
      <c r="H694" s="213">
        <f>iferror(G694*360,"")</f>
        <v/>
      </c>
      <c r="I694" s="213">
        <f>H694*0.1</f>
        <v/>
      </c>
    </row>
    <row r="695" ht="54.75" customHeight="1" s="222">
      <c r="A695" s="210">
        <f>#REF!</f>
        <v/>
      </c>
      <c r="B695" s="141">
        <f>#REF!</f>
        <v/>
      </c>
      <c r="C695" s="211" t="n">
        <v>0.6</v>
      </c>
      <c r="D695" s="212">
        <f>#REF!*C695</f>
        <v/>
      </c>
      <c r="E695" s="211" t="n">
        <v>0.4</v>
      </c>
      <c r="F695" s="212">
        <f>D695*E695</f>
        <v/>
      </c>
      <c r="G695" s="213">
        <f>if(or(eq(#REF!,"No Valet"),eq(#REF!,"Has Valet")), F695 * AVERAGE(Accounts!I$2:I$34),F695*#REF!)</f>
        <v/>
      </c>
      <c r="H695" s="213">
        <f>iferror(G695*360,"")</f>
        <v/>
      </c>
      <c r="I695" s="213">
        <f>H695*0.1</f>
        <v/>
      </c>
    </row>
    <row r="696" ht="54.75" customHeight="1" s="222">
      <c r="A696" s="210">
        <f>#REF!</f>
        <v/>
      </c>
      <c r="B696" s="141">
        <f>#REF!</f>
        <v/>
      </c>
      <c r="C696" s="211" t="n">
        <v>0.6</v>
      </c>
      <c r="D696" s="212">
        <f>#REF!*C696</f>
        <v/>
      </c>
      <c r="E696" s="211" t="n">
        <v>0.4</v>
      </c>
      <c r="F696" s="212">
        <f>D696*E696</f>
        <v/>
      </c>
      <c r="G696" s="213">
        <f>if(or(eq(#REF!,"No Valet"),eq(#REF!,"Has Valet")), F696 * AVERAGE(Accounts!I$2:I$34),F696*#REF!)</f>
        <v/>
      </c>
      <c r="H696" s="213">
        <f>iferror(G696*360,"")</f>
        <v/>
      </c>
      <c r="I696" s="213">
        <f>H696*0.1</f>
        <v/>
      </c>
    </row>
    <row r="697" ht="54.75" customHeight="1" s="222">
      <c r="A697" s="210">
        <f>#REF!</f>
        <v/>
      </c>
      <c r="B697" s="141">
        <f>#REF!</f>
        <v/>
      </c>
      <c r="C697" s="211" t="n">
        <v>0.6</v>
      </c>
      <c r="D697" s="212">
        <f>#REF!*C697</f>
        <v/>
      </c>
      <c r="E697" s="211" t="n">
        <v>0.4</v>
      </c>
      <c r="F697" s="212">
        <f>D697*E697</f>
        <v/>
      </c>
      <c r="G697" s="213">
        <f>if(or(eq(#REF!,"No Valet"),eq(#REF!,"Has Valet")), F697 * AVERAGE(Accounts!I$2:I$34),F697*#REF!)</f>
        <v/>
      </c>
      <c r="H697" s="213">
        <f>iferror(G697*360,"")</f>
        <v/>
      </c>
      <c r="I697" s="213">
        <f>H697*0.1</f>
        <v/>
      </c>
    </row>
    <row r="698" ht="54.75" customHeight="1" s="222">
      <c r="A698" s="210">
        <f>#REF!</f>
        <v/>
      </c>
      <c r="B698" s="141">
        <f>#REF!</f>
        <v/>
      </c>
      <c r="C698" s="211" t="n">
        <v>0.6</v>
      </c>
      <c r="D698" s="212">
        <f>#REF!*C698</f>
        <v/>
      </c>
      <c r="E698" s="211" t="n">
        <v>0.4</v>
      </c>
      <c r="F698" s="212">
        <f>D698*E698</f>
        <v/>
      </c>
      <c r="G698" s="213">
        <f>if(or(eq(#REF!,"No Valet"),eq(#REF!,"Has Valet")), F698 * AVERAGE(Accounts!I$2:I$34),F698*#REF!)</f>
        <v/>
      </c>
      <c r="H698" s="213">
        <f>iferror(G698*360,"")</f>
        <v/>
      </c>
      <c r="I698" s="213">
        <f>H698*0.1</f>
        <v/>
      </c>
    </row>
    <row r="699" ht="54.75" customHeight="1" s="222">
      <c r="A699" s="210">
        <f>#REF!</f>
        <v/>
      </c>
      <c r="B699" s="141">
        <f>#REF!</f>
        <v/>
      </c>
      <c r="C699" s="211" t="n">
        <v>0.6</v>
      </c>
      <c r="D699" s="212">
        <f>#REF!*C699</f>
        <v/>
      </c>
      <c r="E699" s="211" t="n">
        <v>0.4</v>
      </c>
      <c r="F699" s="212">
        <f>D699*E699</f>
        <v/>
      </c>
      <c r="G699" s="213">
        <f>if(or(eq(#REF!,"No Valet"),eq(#REF!,"Has Valet")), F699 * AVERAGE(Accounts!I$2:I$34),F699*#REF!)</f>
        <v/>
      </c>
      <c r="H699" s="213">
        <f>iferror(G699*360,"")</f>
        <v/>
      </c>
      <c r="I699" s="213">
        <f>H699*0.1</f>
        <v/>
      </c>
    </row>
    <row r="700" ht="54.75" customHeight="1" s="222">
      <c r="A700" s="210">
        <f>#REF!</f>
        <v/>
      </c>
      <c r="B700" s="141">
        <f>#REF!</f>
        <v/>
      </c>
      <c r="C700" s="211" t="n">
        <v>0.6</v>
      </c>
      <c r="D700" s="212">
        <f>#REF!*C700</f>
        <v/>
      </c>
      <c r="E700" s="211" t="n">
        <v>0.4</v>
      </c>
      <c r="F700" s="212">
        <f>D700*E700</f>
        <v/>
      </c>
      <c r="G700" s="213">
        <f>if(or(eq(#REF!,"No Valet"),eq(#REF!,"Has Valet")), F700 * AVERAGE(Accounts!I$2:I$34),F700*#REF!)</f>
        <v/>
      </c>
      <c r="H700" s="213">
        <f>iferror(G700*360,"")</f>
        <v/>
      </c>
      <c r="I700" s="213">
        <f>H700*0.1</f>
        <v/>
      </c>
    </row>
    <row r="701" ht="54.75" customHeight="1" s="222">
      <c r="A701" s="210">
        <f>#REF!</f>
        <v/>
      </c>
      <c r="B701" s="141">
        <f>#REF!</f>
        <v/>
      </c>
      <c r="C701" s="211" t="n">
        <v>0.6</v>
      </c>
      <c r="D701" s="212">
        <f>#REF!*C701</f>
        <v/>
      </c>
      <c r="E701" s="211" t="n">
        <v>0.4</v>
      </c>
      <c r="F701" s="212">
        <f>D701*E701</f>
        <v/>
      </c>
      <c r="G701" s="213">
        <f>if(or(eq(#REF!,"No Valet"),eq(#REF!,"Has Valet")), F701 * AVERAGE(Accounts!I$2:I$34),F701*#REF!)</f>
        <v/>
      </c>
      <c r="H701" s="213">
        <f>iferror(G701*360,"")</f>
        <v/>
      </c>
      <c r="I701" s="213">
        <f>H701*0.1</f>
        <v/>
      </c>
    </row>
    <row r="702" ht="54.75" customHeight="1" s="222">
      <c r="A702" s="210">
        <f>#REF!</f>
        <v/>
      </c>
      <c r="B702" s="141">
        <f>#REF!</f>
        <v/>
      </c>
      <c r="C702" s="211" t="n">
        <v>0.6</v>
      </c>
      <c r="D702" s="212">
        <f>#REF!*C702</f>
        <v/>
      </c>
      <c r="E702" s="211" t="n">
        <v>0.4</v>
      </c>
      <c r="F702" s="212">
        <f>D702*E702</f>
        <v/>
      </c>
      <c r="G702" s="213">
        <f>if(or(eq(#REF!,"No Valet"),eq(#REF!,"Has Valet")), F702 * AVERAGE(Accounts!I$2:I$34),F702*#REF!)</f>
        <v/>
      </c>
      <c r="H702" s="213">
        <f>iferror(G702*360,"")</f>
        <v/>
      </c>
      <c r="I702" s="213">
        <f>H702*0.1</f>
        <v/>
      </c>
    </row>
    <row r="703" ht="54.75" customHeight="1" s="222">
      <c r="A703" s="210">
        <f>#REF!</f>
        <v/>
      </c>
      <c r="B703" s="141">
        <f>#REF!</f>
        <v/>
      </c>
      <c r="C703" s="211" t="n">
        <v>0.6</v>
      </c>
      <c r="D703" s="212">
        <f>#REF!*C703</f>
        <v/>
      </c>
      <c r="E703" s="211" t="n">
        <v>0.4</v>
      </c>
      <c r="F703" s="212">
        <f>D703*E703</f>
        <v/>
      </c>
      <c r="G703" s="213">
        <f>if(or(eq(#REF!,"No Valet"),eq(#REF!,"Has Valet")), F703 * AVERAGE(Accounts!I$2:I$34),F703*#REF!)</f>
        <v/>
      </c>
      <c r="H703" s="213">
        <f>iferror(G703*360,"")</f>
        <v/>
      </c>
      <c r="I703" s="213">
        <f>H703*0.1</f>
        <v/>
      </c>
    </row>
    <row r="704" ht="54.75" customHeight="1" s="222">
      <c r="A704" s="210">
        <f>#REF!</f>
        <v/>
      </c>
      <c r="B704" s="141">
        <f>#REF!</f>
        <v/>
      </c>
      <c r="C704" s="211" t="n">
        <v>0.6</v>
      </c>
      <c r="D704" s="212">
        <f>#REF!*C704</f>
        <v/>
      </c>
      <c r="E704" s="211" t="n">
        <v>0.4</v>
      </c>
      <c r="F704" s="212">
        <f>D704*E704</f>
        <v/>
      </c>
      <c r="G704" s="213">
        <f>if(or(eq(#REF!,"No Valet"),eq(#REF!,"Has Valet")), F704 * AVERAGE(Accounts!I$2:I$34),F704*#REF!)</f>
        <v/>
      </c>
      <c r="H704" s="213">
        <f>iferror(G704*360,"")</f>
        <v/>
      </c>
      <c r="I704" s="213">
        <f>H704*0.1</f>
        <v/>
      </c>
    </row>
    <row r="705" ht="54.75" customHeight="1" s="222">
      <c r="A705" s="210">
        <f>#REF!</f>
        <v/>
      </c>
      <c r="B705" s="141">
        <f>#REF!</f>
        <v/>
      </c>
      <c r="C705" s="211" t="n">
        <v>0.6</v>
      </c>
      <c r="D705" s="212">
        <f>#REF!*C705</f>
        <v/>
      </c>
      <c r="E705" s="211" t="n">
        <v>0.4</v>
      </c>
      <c r="F705" s="212">
        <f>D705*E705</f>
        <v/>
      </c>
      <c r="G705" s="213">
        <f>if(or(eq(#REF!,"No Valet"),eq(#REF!,"Has Valet")), F705 * AVERAGE(Accounts!I$2:I$34),F705*#REF!)</f>
        <v/>
      </c>
      <c r="H705" s="213">
        <f>iferror(G705*360,"")</f>
        <v/>
      </c>
      <c r="I705" s="213">
        <f>H705*0.1</f>
        <v/>
      </c>
    </row>
    <row r="706" ht="54.75" customHeight="1" s="222">
      <c r="A706" s="210">
        <f>#REF!</f>
        <v/>
      </c>
      <c r="B706" s="141">
        <f>#REF!</f>
        <v/>
      </c>
      <c r="C706" s="211" t="n">
        <v>0.6</v>
      </c>
      <c r="D706" s="212">
        <f>#REF!*C706</f>
        <v/>
      </c>
      <c r="E706" s="211" t="n">
        <v>0.4</v>
      </c>
      <c r="F706" s="212">
        <f>D706*E706</f>
        <v/>
      </c>
      <c r="G706" s="213">
        <f>if(or(eq(#REF!,"No Valet"),eq(#REF!,"Has Valet")), F706 * AVERAGE(Accounts!I$2:I$34),F706*#REF!)</f>
        <v/>
      </c>
      <c r="H706" s="213">
        <f>iferror(G706*360,"")</f>
        <v/>
      </c>
      <c r="I706" s="213">
        <f>H706*0.1</f>
        <v/>
      </c>
    </row>
    <row r="707" ht="54.75" customHeight="1" s="222">
      <c r="A707" s="210">
        <f>#REF!</f>
        <v/>
      </c>
      <c r="B707" s="141">
        <f>#REF!</f>
        <v/>
      </c>
      <c r="C707" s="211" t="n">
        <v>0.6</v>
      </c>
      <c r="D707" s="212">
        <f>#REF!*C707</f>
        <v/>
      </c>
      <c r="E707" s="211" t="n">
        <v>0.4</v>
      </c>
      <c r="F707" s="212">
        <f>D707*E707</f>
        <v/>
      </c>
      <c r="G707" s="213">
        <f>if(or(eq(#REF!,"No Valet"),eq(#REF!,"Has Valet")), F707 * AVERAGE(Accounts!I$2:I$34),F707*#REF!)</f>
        <v/>
      </c>
      <c r="H707" s="213">
        <f>iferror(G707*360,"")</f>
        <v/>
      </c>
      <c r="I707" s="213">
        <f>H707*0.1</f>
        <v/>
      </c>
    </row>
    <row r="708" ht="54.75" customHeight="1" s="222">
      <c r="A708" s="210">
        <f>#REF!</f>
        <v/>
      </c>
      <c r="B708" s="141">
        <f>#REF!</f>
        <v/>
      </c>
      <c r="C708" s="211" t="n">
        <v>0.6</v>
      </c>
      <c r="D708" s="212">
        <f>#REF!*C708</f>
        <v/>
      </c>
      <c r="E708" s="211" t="n">
        <v>0.4</v>
      </c>
      <c r="F708" s="212">
        <f>D708*E708</f>
        <v/>
      </c>
      <c r="G708" s="213">
        <f>if(or(eq(#REF!,"No Valet"),eq(#REF!,"Has Valet")), F708 * AVERAGE(Accounts!I$2:I$34),F708*#REF!)</f>
        <v/>
      </c>
      <c r="H708" s="213">
        <f>iferror(G708*360,"")</f>
        <v/>
      </c>
      <c r="I708" s="213">
        <f>H708*0.1</f>
        <v/>
      </c>
    </row>
    <row r="709" ht="54.75" customHeight="1" s="222">
      <c r="A709" s="210">
        <f>#REF!</f>
        <v/>
      </c>
      <c r="B709" s="141">
        <f>#REF!</f>
        <v/>
      </c>
      <c r="C709" s="211" t="n">
        <v>0.6</v>
      </c>
      <c r="D709" s="212">
        <f>#REF!*C709</f>
        <v/>
      </c>
      <c r="E709" s="211" t="n">
        <v>0.4</v>
      </c>
      <c r="F709" s="212">
        <f>D709*E709</f>
        <v/>
      </c>
      <c r="G709" s="213">
        <f>if(or(eq(#REF!,"No Valet"),eq(#REF!,"Has Valet")), F709 * AVERAGE(Accounts!I$2:I$34),F709*#REF!)</f>
        <v/>
      </c>
      <c r="H709" s="213">
        <f>iferror(G709*360,"")</f>
        <v/>
      </c>
      <c r="I709" s="213">
        <f>H709*0.1</f>
        <v/>
      </c>
    </row>
    <row r="710" ht="54.75" customHeight="1" s="222">
      <c r="A710" s="210">
        <f>#REF!</f>
        <v/>
      </c>
      <c r="B710" s="141">
        <f>#REF!</f>
        <v/>
      </c>
      <c r="C710" s="211" t="n">
        <v>0.6</v>
      </c>
      <c r="D710" s="212">
        <f>#REF!*C710</f>
        <v/>
      </c>
      <c r="E710" s="211" t="n">
        <v>0.4</v>
      </c>
      <c r="F710" s="212">
        <f>D710*E710</f>
        <v/>
      </c>
      <c r="G710" s="213">
        <f>if(or(eq(#REF!,"No Valet"),eq(#REF!,"Has Valet")), F710 * AVERAGE(Accounts!I$2:I$34),F710*#REF!)</f>
        <v/>
      </c>
      <c r="H710" s="213">
        <f>iferror(G710*360,"")</f>
        <v/>
      </c>
      <c r="I710" s="213">
        <f>H710*0.1</f>
        <v/>
      </c>
    </row>
    <row r="711" ht="54.75" customHeight="1" s="222">
      <c r="A711" s="210">
        <f>#REF!</f>
        <v/>
      </c>
      <c r="B711" s="141">
        <f>#REF!</f>
        <v/>
      </c>
      <c r="C711" s="211" t="n">
        <v>0.6</v>
      </c>
      <c r="D711" s="212">
        <f>#REF!*C711</f>
        <v/>
      </c>
      <c r="E711" s="211" t="n">
        <v>0.4</v>
      </c>
      <c r="F711" s="212">
        <f>D711*E711</f>
        <v/>
      </c>
      <c r="G711" s="213">
        <f>if(or(eq(#REF!,"No Valet"),eq(#REF!,"Has Valet")), F711 * AVERAGE(Accounts!I$2:I$34),F711*#REF!)</f>
        <v/>
      </c>
      <c r="H711" s="213">
        <f>iferror(G711*360,"")</f>
        <v/>
      </c>
      <c r="I711" s="213">
        <f>H711*0.1</f>
        <v/>
      </c>
    </row>
    <row r="712" ht="54.75" customHeight="1" s="222">
      <c r="A712" s="210">
        <f>#REF!</f>
        <v/>
      </c>
      <c r="B712" s="141">
        <f>#REF!</f>
        <v/>
      </c>
      <c r="C712" s="211" t="n">
        <v>0.6</v>
      </c>
      <c r="D712" s="212">
        <f>#REF!*C712</f>
        <v/>
      </c>
      <c r="E712" s="211" t="n">
        <v>0.4</v>
      </c>
      <c r="F712" s="212">
        <f>D712*E712</f>
        <v/>
      </c>
      <c r="G712" s="213">
        <f>if(or(eq(#REF!,"No Valet"),eq(#REF!,"Has Valet")), F712 * AVERAGE(Accounts!I$2:I$34),F712*#REF!)</f>
        <v/>
      </c>
      <c r="H712" s="213">
        <f>iferror(G712*360,"")</f>
        <v/>
      </c>
      <c r="I712" s="213">
        <f>H712*0.1</f>
        <v/>
      </c>
    </row>
    <row r="713" ht="54.75" customHeight="1" s="222">
      <c r="A713" s="210">
        <f>#REF!</f>
        <v/>
      </c>
      <c r="B713" s="141">
        <f>#REF!</f>
        <v/>
      </c>
      <c r="C713" s="211" t="n">
        <v>0.6</v>
      </c>
      <c r="D713" s="212">
        <f>#REF!*C713</f>
        <v/>
      </c>
      <c r="E713" s="211" t="n">
        <v>0.4</v>
      </c>
      <c r="F713" s="212">
        <f>D713*E713</f>
        <v/>
      </c>
      <c r="G713" s="213">
        <f>if(or(eq(#REF!,"No Valet"),eq(#REF!,"Has Valet")), F713 * AVERAGE(Accounts!I$2:I$34),F713*#REF!)</f>
        <v/>
      </c>
      <c r="H713" s="213">
        <f>iferror(G713*360,"")</f>
        <v/>
      </c>
      <c r="I713" s="213">
        <f>H713*0.1</f>
        <v/>
      </c>
    </row>
    <row r="714" ht="54.75" customHeight="1" s="222">
      <c r="A714" s="210">
        <f>#REF!</f>
        <v/>
      </c>
      <c r="B714" s="141">
        <f>#REF!</f>
        <v/>
      </c>
      <c r="C714" s="211" t="n">
        <v>0.6</v>
      </c>
      <c r="D714" s="212">
        <f>#REF!*C714</f>
        <v/>
      </c>
      <c r="E714" s="211" t="n">
        <v>0.4</v>
      </c>
      <c r="F714" s="212">
        <f>D714*E714</f>
        <v/>
      </c>
      <c r="G714" s="213">
        <f>if(or(eq(#REF!,"No Valet"),eq(#REF!,"Has Valet")), F714 * AVERAGE(Accounts!I$2:I$34),F714*#REF!)</f>
        <v/>
      </c>
      <c r="H714" s="213">
        <f>iferror(G714*360,"")</f>
        <v/>
      </c>
      <c r="I714" s="213">
        <f>H714*0.1</f>
        <v/>
      </c>
    </row>
    <row r="715" ht="54.75" customHeight="1" s="222">
      <c r="A715" s="210">
        <f>#REF!</f>
        <v/>
      </c>
      <c r="B715" s="141">
        <f>#REF!</f>
        <v/>
      </c>
      <c r="C715" s="211" t="n">
        <v>0.6</v>
      </c>
      <c r="D715" s="212">
        <f>#REF!*C715</f>
        <v/>
      </c>
      <c r="E715" s="211" t="n">
        <v>0.4</v>
      </c>
      <c r="F715" s="212">
        <f>D715*E715</f>
        <v/>
      </c>
      <c r="G715" s="213">
        <f>if(or(eq(#REF!,"No Valet"),eq(#REF!,"Has Valet")), F715 * AVERAGE(Accounts!I$2:I$34),F715*#REF!)</f>
        <v/>
      </c>
      <c r="H715" s="213">
        <f>iferror(G715*360,"")</f>
        <v/>
      </c>
      <c r="I715" s="213">
        <f>H715*0.1</f>
        <v/>
      </c>
    </row>
    <row r="716" ht="54.75" customHeight="1" s="222">
      <c r="A716" s="210">
        <f>#REF!</f>
        <v/>
      </c>
      <c r="B716" s="141">
        <f>#REF!</f>
        <v/>
      </c>
      <c r="C716" s="211" t="n">
        <v>0.6</v>
      </c>
      <c r="D716" s="212">
        <f>#REF!*C716</f>
        <v/>
      </c>
      <c r="E716" s="211" t="n">
        <v>0.4</v>
      </c>
      <c r="F716" s="212">
        <f>D716*E716</f>
        <v/>
      </c>
      <c r="G716" s="213">
        <f>if(or(eq(#REF!,"No Valet"),eq(#REF!,"Has Valet")), F716 * AVERAGE(Accounts!I$2:I$34),F716*#REF!)</f>
        <v/>
      </c>
      <c r="H716" s="213">
        <f>iferror(G716*360,"")</f>
        <v/>
      </c>
      <c r="I716" s="213">
        <f>H716*0.1</f>
        <v/>
      </c>
    </row>
    <row r="717" ht="54.75" customHeight="1" s="222">
      <c r="A717" s="210">
        <f>#REF!</f>
        <v/>
      </c>
      <c r="B717" s="141">
        <f>#REF!</f>
        <v/>
      </c>
      <c r="C717" s="211" t="n">
        <v>0.6</v>
      </c>
      <c r="D717" s="212">
        <f>#REF!*C717</f>
        <v/>
      </c>
      <c r="E717" s="211" t="n">
        <v>0.4</v>
      </c>
      <c r="F717" s="212">
        <f>D717*E717</f>
        <v/>
      </c>
      <c r="G717" s="213">
        <f>if(or(eq(#REF!,"No Valet"),eq(#REF!,"Has Valet")), F717 * AVERAGE(Accounts!I$2:I$34),F717*#REF!)</f>
        <v/>
      </c>
      <c r="H717" s="213">
        <f>iferror(G717*360,"")</f>
        <v/>
      </c>
      <c r="I717" s="213">
        <f>H717*0.1</f>
        <v/>
      </c>
    </row>
    <row r="718" ht="54.75" customHeight="1" s="222">
      <c r="A718" s="210">
        <f>#REF!</f>
        <v/>
      </c>
      <c r="B718" s="141">
        <f>#REF!</f>
        <v/>
      </c>
      <c r="C718" s="211" t="n">
        <v>0.6</v>
      </c>
      <c r="D718" s="212">
        <f>#REF!*C718</f>
        <v/>
      </c>
      <c r="E718" s="211" t="n">
        <v>0.4</v>
      </c>
      <c r="F718" s="212">
        <f>D718*E718</f>
        <v/>
      </c>
      <c r="G718" s="213">
        <f>if(or(eq(#REF!,"No Valet"),eq(#REF!,"Has Valet")), F718 * AVERAGE(Accounts!I$2:I$34),F718*#REF!)</f>
        <v/>
      </c>
      <c r="H718" s="213">
        <f>iferror(G718*360,"")</f>
        <v/>
      </c>
      <c r="I718" s="213">
        <f>H718*0.1</f>
        <v/>
      </c>
    </row>
    <row r="719" ht="54.75" customHeight="1" s="222">
      <c r="A719" s="210">
        <f>#REF!</f>
        <v/>
      </c>
      <c r="B719" s="141">
        <f>#REF!</f>
        <v/>
      </c>
      <c r="C719" s="211" t="n">
        <v>0.6</v>
      </c>
      <c r="D719" s="212">
        <f>#REF!*C719</f>
        <v/>
      </c>
      <c r="E719" s="211" t="n">
        <v>0.4</v>
      </c>
      <c r="F719" s="212">
        <f>D719*E719</f>
        <v/>
      </c>
      <c r="G719" s="213">
        <f>if(or(eq(#REF!,"No Valet"),eq(#REF!,"Has Valet")), F719 * AVERAGE(Accounts!I$2:I$34),F719*#REF!)</f>
        <v/>
      </c>
      <c r="H719" s="213">
        <f>iferror(G719*360,"")</f>
        <v/>
      </c>
      <c r="I719" s="213">
        <f>H719*0.1</f>
        <v/>
      </c>
    </row>
    <row r="720" ht="54.75" customHeight="1" s="222">
      <c r="A720" s="210">
        <f>#REF!</f>
        <v/>
      </c>
      <c r="B720" s="141">
        <f>#REF!</f>
        <v/>
      </c>
      <c r="C720" s="211" t="n">
        <v>0.6</v>
      </c>
      <c r="D720" s="212">
        <f>#REF!*C720</f>
        <v/>
      </c>
      <c r="E720" s="211" t="n">
        <v>0.4</v>
      </c>
      <c r="F720" s="212">
        <f>D720*E720</f>
        <v/>
      </c>
      <c r="G720" s="213">
        <f>if(or(eq(#REF!,"No Valet"),eq(#REF!,"Has Valet")), F720 * AVERAGE(Accounts!I$2:I$34),F720*#REF!)</f>
        <v/>
      </c>
      <c r="H720" s="213">
        <f>iferror(G720*360,"")</f>
        <v/>
      </c>
      <c r="I720" s="213">
        <f>H720*0.1</f>
        <v/>
      </c>
    </row>
    <row r="721" ht="54.75" customHeight="1" s="222">
      <c r="A721" s="210">
        <f>#REF!</f>
        <v/>
      </c>
      <c r="B721" s="141">
        <f>#REF!</f>
        <v/>
      </c>
      <c r="C721" s="211" t="n">
        <v>0.6</v>
      </c>
      <c r="D721" s="212">
        <f>#REF!*C721</f>
        <v/>
      </c>
      <c r="E721" s="211" t="n">
        <v>0.4</v>
      </c>
      <c r="F721" s="212">
        <f>D721*E721</f>
        <v/>
      </c>
      <c r="G721" s="213">
        <f>if(or(eq(#REF!,"No Valet"),eq(#REF!,"Has Valet")), F721 * AVERAGE(Accounts!I$2:I$34),F721*#REF!)</f>
        <v/>
      </c>
      <c r="H721" s="213">
        <f>iferror(G721*360,"")</f>
        <v/>
      </c>
      <c r="I721" s="213">
        <f>H721*0.1</f>
        <v/>
      </c>
    </row>
    <row r="722" ht="54.75" customHeight="1" s="222">
      <c r="A722" s="210">
        <f>#REF!</f>
        <v/>
      </c>
      <c r="B722" s="141">
        <f>#REF!</f>
        <v/>
      </c>
      <c r="C722" s="211" t="n">
        <v>0.6</v>
      </c>
      <c r="D722" s="212">
        <f>#REF!*C722</f>
        <v/>
      </c>
      <c r="E722" s="211" t="n">
        <v>0.4</v>
      </c>
      <c r="F722" s="212">
        <f>D722*E722</f>
        <v/>
      </c>
      <c r="G722" s="213">
        <f>if(or(eq(#REF!,"No Valet"),eq(#REF!,"Has Valet")), F722 * AVERAGE(Accounts!I$2:I$34),F722*#REF!)</f>
        <v/>
      </c>
      <c r="H722" s="213">
        <f>iferror(G722*360,"")</f>
        <v/>
      </c>
      <c r="I722" s="213">
        <f>H722*0.1</f>
        <v/>
      </c>
    </row>
    <row r="723" ht="54.75" customHeight="1" s="222">
      <c r="A723" s="210">
        <f>#REF!</f>
        <v/>
      </c>
      <c r="B723" s="141">
        <f>#REF!</f>
        <v/>
      </c>
      <c r="C723" s="211" t="n">
        <v>0.6</v>
      </c>
      <c r="D723" s="212">
        <f>#REF!*C723</f>
        <v/>
      </c>
      <c r="E723" s="211" t="n">
        <v>0.4</v>
      </c>
      <c r="F723" s="212">
        <f>D723*E723</f>
        <v/>
      </c>
      <c r="G723" s="213">
        <f>if(or(eq(#REF!,"No Valet"),eq(#REF!,"Has Valet")), F723 * AVERAGE(Accounts!I$2:I$34),F723*#REF!)</f>
        <v/>
      </c>
      <c r="H723" s="213">
        <f>iferror(G723*360,"")</f>
        <v/>
      </c>
      <c r="I723" s="213">
        <f>H723*0.1</f>
        <v/>
      </c>
    </row>
    <row r="724" ht="54.75" customHeight="1" s="222">
      <c r="A724" s="210">
        <f>#REF!</f>
        <v/>
      </c>
      <c r="B724" s="141">
        <f>#REF!</f>
        <v/>
      </c>
      <c r="C724" s="211" t="n">
        <v>0.6</v>
      </c>
      <c r="D724" s="212">
        <f>#REF!*C724</f>
        <v/>
      </c>
      <c r="E724" s="211" t="n">
        <v>0.4</v>
      </c>
      <c r="F724" s="212">
        <f>D724*E724</f>
        <v/>
      </c>
      <c r="G724" s="213">
        <f>if(or(eq(#REF!,"No Valet"),eq(#REF!,"Has Valet")), F724 * AVERAGE(Accounts!I$2:I$34),F724*#REF!)</f>
        <v/>
      </c>
      <c r="H724" s="213">
        <f>iferror(G724*360,"")</f>
        <v/>
      </c>
      <c r="I724" s="213">
        <f>H724*0.1</f>
        <v/>
      </c>
    </row>
    <row r="725" ht="54.75" customHeight="1" s="222">
      <c r="A725" s="210">
        <f>#REF!</f>
        <v/>
      </c>
      <c r="B725" s="141">
        <f>#REF!</f>
        <v/>
      </c>
      <c r="C725" s="211" t="n">
        <v>0.6</v>
      </c>
      <c r="D725" s="212">
        <f>#REF!*C725</f>
        <v/>
      </c>
      <c r="E725" s="211" t="n">
        <v>0.4</v>
      </c>
      <c r="F725" s="212">
        <f>D725*E725</f>
        <v/>
      </c>
      <c r="G725" s="213">
        <f>if(or(eq(#REF!,"No Valet"),eq(#REF!,"Has Valet")), F725 * AVERAGE(Accounts!I$2:I$34),F725*#REF!)</f>
        <v/>
      </c>
      <c r="H725" s="213">
        <f>iferror(G725*360,"")</f>
        <v/>
      </c>
      <c r="I725" s="213">
        <f>H725*0.1</f>
        <v/>
      </c>
    </row>
    <row r="726" ht="54.75" customHeight="1" s="222">
      <c r="A726" s="210">
        <f>#REF!</f>
        <v/>
      </c>
      <c r="B726" s="141">
        <f>#REF!</f>
        <v/>
      </c>
      <c r="C726" s="211" t="n">
        <v>0.6</v>
      </c>
      <c r="D726" s="212">
        <f>#REF!*C726</f>
        <v/>
      </c>
      <c r="E726" s="211" t="n">
        <v>0.4</v>
      </c>
      <c r="F726" s="212">
        <f>D726*E726</f>
        <v/>
      </c>
      <c r="G726" s="213">
        <f>if(or(eq(#REF!,"No Valet"),eq(#REF!,"Has Valet")), F726 * AVERAGE(Accounts!I$2:I$34),F726*#REF!)</f>
        <v/>
      </c>
      <c r="H726" s="213">
        <f>iferror(G726*360,"")</f>
        <v/>
      </c>
      <c r="I726" s="213">
        <f>H726*0.1</f>
        <v/>
      </c>
    </row>
    <row r="727" ht="54.75" customHeight="1" s="222">
      <c r="A727" s="210">
        <f>#REF!</f>
        <v/>
      </c>
      <c r="B727" s="141">
        <f>#REF!</f>
        <v/>
      </c>
      <c r="C727" s="211" t="n">
        <v>0.6</v>
      </c>
      <c r="D727" s="212">
        <f>#REF!*C727</f>
        <v/>
      </c>
      <c r="E727" s="211" t="n">
        <v>0.4</v>
      </c>
      <c r="F727" s="212">
        <f>D727*E727</f>
        <v/>
      </c>
      <c r="G727" s="213">
        <f>if(or(eq(#REF!,"No Valet"),eq(#REF!,"Has Valet")), F727 * AVERAGE(Accounts!I$2:I$34),F727*#REF!)</f>
        <v/>
      </c>
      <c r="H727" s="213">
        <f>iferror(G727*360,"")</f>
        <v/>
      </c>
      <c r="I727" s="213">
        <f>H727*0.1</f>
        <v/>
      </c>
    </row>
    <row r="728" ht="54.75" customHeight="1" s="222">
      <c r="A728" s="210">
        <f>#REF!</f>
        <v/>
      </c>
      <c r="B728" s="141">
        <f>#REF!</f>
        <v/>
      </c>
      <c r="C728" s="211" t="n">
        <v>0.6</v>
      </c>
      <c r="D728" s="212">
        <f>#REF!*C728</f>
        <v/>
      </c>
      <c r="E728" s="211" t="n">
        <v>0.4</v>
      </c>
      <c r="F728" s="212">
        <f>D728*E728</f>
        <v/>
      </c>
      <c r="G728" s="213">
        <f>if(or(eq(#REF!,"No Valet"),eq(#REF!,"Has Valet")), F728 * AVERAGE(Accounts!I$2:I$34),F728*#REF!)</f>
        <v/>
      </c>
      <c r="H728" s="213">
        <f>iferror(G728*360,"")</f>
        <v/>
      </c>
      <c r="I728" s="213">
        <f>H728*0.1</f>
        <v/>
      </c>
    </row>
    <row r="729" ht="54.75" customHeight="1" s="222">
      <c r="A729" s="210">
        <f>#REF!</f>
        <v/>
      </c>
      <c r="B729" s="141">
        <f>#REF!</f>
        <v/>
      </c>
      <c r="C729" s="211" t="n">
        <v>0.6</v>
      </c>
      <c r="D729" s="212">
        <f>#REF!*C729</f>
        <v/>
      </c>
      <c r="E729" s="211" t="n">
        <v>0.4</v>
      </c>
      <c r="F729" s="212">
        <f>D729*E729</f>
        <v/>
      </c>
      <c r="G729" s="213">
        <f>if(or(eq(#REF!,"No Valet"),eq(#REF!,"Has Valet")), F729 * AVERAGE(Accounts!I$2:I$34),F729*#REF!)</f>
        <v/>
      </c>
      <c r="H729" s="213">
        <f>iferror(G729*360,"")</f>
        <v/>
      </c>
      <c r="I729" s="213">
        <f>H729*0.1</f>
        <v/>
      </c>
    </row>
    <row r="730" ht="54.75" customHeight="1" s="222">
      <c r="A730" s="210">
        <f>#REF!</f>
        <v/>
      </c>
      <c r="B730" s="141">
        <f>#REF!</f>
        <v/>
      </c>
      <c r="C730" s="211" t="n">
        <v>0.6</v>
      </c>
      <c r="D730" s="212">
        <f>#REF!*C730</f>
        <v/>
      </c>
      <c r="E730" s="211" t="n">
        <v>0.4</v>
      </c>
      <c r="F730" s="212">
        <f>D730*E730</f>
        <v/>
      </c>
      <c r="G730" s="213">
        <f>if(or(eq(#REF!,"No Valet"),eq(#REF!,"Has Valet")), F730 * AVERAGE(Accounts!I$2:I$34),F730*#REF!)</f>
        <v/>
      </c>
      <c r="H730" s="213">
        <f>iferror(G730*360,"")</f>
        <v/>
      </c>
      <c r="I730" s="213">
        <f>H730*0.1</f>
        <v/>
      </c>
    </row>
    <row r="731" ht="54.75" customHeight="1" s="222">
      <c r="A731" s="210">
        <f>#REF!</f>
        <v/>
      </c>
      <c r="B731" s="141">
        <f>#REF!</f>
        <v/>
      </c>
      <c r="C731" s="211" t="n">
        <v>0.6</v>
      </c>
      <c r="D731" s="212">
        <f>#REF!*C731</f>
        <v/>
      </c>
      <c r="E731" s="211" t="n">
        <v>0.4</v>
      </c>
      <c r="F731" s="212">
        <f>D731*E731</f>
        <v/>
      </c>
      <c r="G731" s="213">
        <f>if(or(eq(#REF!,"No Valet"),eq(#REF!,"Has Valet")), F731 * AVERAGE(Accounts!I$2:I$34),F731*#REF!)</f>
        <v/>
      </c>
      <c r="H731" s="213">
        <f>iferror(G731*360,"")</f>
        <v/>
      </c>
      <c r="I731" s="213">
        <f>H731*0.1</f>
        <v/>
      </c>
    </row>
    <row r="732" ht="54.75" customHeight="1" s="222">
      <c r="A732" s="210">
        <f>#REF!</f>
        <v/>
      </c>
      <c r="B732" s="141">
        <f>#REF!</f>
        <v/>
      </c>
      <c r="C732" s="211" t="n">
        <v>0.6</v>
      </c>
      <c r="D732" s="212">
        <f>#REF!*C732</f>
        <v/>
      </c>
      <c r="E732" s="211" t="n">
        <v>0.4</v>
      </c>
      <c r="F732" s="212">
        <f>D732*E732</f>
        <v/>
      </c>
      <c r="G732" s="213">
        <f>if(or(eq(#REF!,"No Valet"),eq(#REF!,"Has Valet")), F732 * AVERAGE(Accounts!I$2:I$34),F732*#REF!)</f>
        <v/>
      </c>
      <c r="H732" s="213">
        <f>iferror(G732*360,"")</f>
        <v/>
      </c>
      <c r="I732" s="213">
        <f>H732*0.1</f>
        <v/>
      </c>
    </row>
    <row r="733" ht="54.75" customHeight="1" s="222">
      <c r="A733" s="210">
        <f>#REF!</f>
        <v/>
      </c>
      <c r="B733" s="141">
        <f>#REF!</f>
        <v/>
      </c>
      <c r="C733" s="211" t="n">
        <v>0.6</v>
      </c>
      <c r="D733" s="212">
        <f>#REF!*C733</f>
        <v/>
      </c>
      <c r="E733" s="211" t="n">
        <v>0.4</v>
      </c>
      <c r="F733" s="212">
        <f>D733*E733</f>
        <v/>
      </c>
      <c r="G733" s="213">
        <f>if(or(eq(#REF!,"No Valet"),eq(#REF!,"Has Valet")), F733 * AVERAGE(Accounts!I$2:I$34),F733*#REF!)</f>
        <v/>
      </c>
      <c r="H733" s="213">
        <f>iferror(G733*360,"")</f>
        <v/>
      </c>
      <c r="I733" s="213">
        <f>H733*0.1</f>
        <v/>
      </c>
    </row>
    <row r="734" ht="54.75" customHeight="1" s="222">
      <c r="A734" s="210">
        <f>#REF!</f>
        <v/>
      </c>
      <c r="B734" s="141">
        <f>#REF!</f>
        <v/>
      </c>
      <c r="C734" s="211" t="n">
        <v>0.6</v>
      </c>
      <c r="D734" s="212">
        <f>#REF!*C734</f>
        <v/>
      </c>
      <c r="E734" s="211" t="n">
        <v>0.4</v>
      </c>
      <c r="F734" s="212">
        <f>D734*E734</f>
        <v/>
      </c>
      <c r="G734" s="213">
        <f>if(or(eq(#REF!,"No Valet"),eq(#REF!,"Has Valet")), F734 * AVERAGE(Accounts!I$2:I$34),F734*#REF!)</f>
        <v/>
      </c>
      <c r="H734" s="213">
        <f>iferror(G734*360,"")</f>
        <v/>
      </c>
      <c r="I734" s="213">
        <f>H734*0.1</f>
        <v/>
      </c>
    </row>
    <row r="735" ht="54.75" customHeight="1" s="222">
      <c r="A735" s="210">
        <f>#REF!</f>
        <v/>
      </c>
      <c r="B735" s="141">
        <f>#REF!</f>
        <v/>
      </c>
      <c r="C735" s="211" t="n">
        <v>0.6</v>
      </c>
      <c r="D735" s="212">
        <f>#REF!*C735</f>
        <v/>
      </c>
      <c r="E735" s="211" t="n">
        <v>0.4</v>
      </c>
      <c r="F735" s="212">
        <f>D735*E735</f>
        <v/>
      </c>
      <c r="G735" s="213">
        <f>if(or(eq(#REF!,"No Valet"),eq(#REF!,"Has Valet")), F735 * AVERAGE(Accounts!I$2:I$34),F735*#REF!)</f>
        <v/>
      </c>
      <c r="H735" s="213">
        <f>iferror(G735*360,"")</f>
        <v/>
      </c>
      <c r="I735" s="213">
        <f>H735*0.1</f>
        <v/>
      </c>
    </row>
    <row r="736" ht="54.75" customHeight="1" s="222">
      <c r="A736" s="210">
        <f>#REF!</f>
        <v/>
      </c>
      <c r="B736" s="141">
        <f>#REF!</f>
        <v/>
      </c>
      <c r="C736" s="211" t="n">
        <v>0.6</v>
      </c>
      <c r="D736" s="212">
        <f>#REF!*C736</f>
        <v/>
      </c>
      <c r="E736" s="211" t="n">
        <v>0.4</v>
      </c>
      <c r="F736" s="212">
        <f>D736*E736</f>
        <v/>
      </c>
      <c r="G736" s="213">
        <f>if(or(eq(#REF!,"No Valet"),eq(#REF!,"Has Valet")), F736 * AVERAGE(Accounts!I$2:I$34),F736*#REF!)</f>
        <v/>
      </c>
      <c r="H736" s="213">
        <f>iferror(G736*360,"")</f>
        <v/>
      </c>
      <c r="I736" s="213">
        <f>H736*0.1</f>
        <v/>
      </c>
    </row>
    <row r="737" ht="54.75" customHeight="1" s="222">
      <c r="A737" s="210">
        <f>#REF!</f>
        <v/>
      </c>
      <c r="B737" s="141">
        <f>#REF!</f>
        <v/>
      </c>
      <c r="C737" s="211" t="n">
        <v>0.6</v>
      </c>
      <c r="D737" s="212">
        <f>#REF!*C737</f>
        <v/>
      </c>
      <c r="E737" s="211" t="n">
        <v>0.4</v>
      </c>
      <c r="F737" s="212">
        <f>D737*E737</f>
        <v/>
      </c>
      <c r="G737" s="213">
        <f>if(or(eq(#REF!,"No Valet"),eq(#REF!,"Has Valet")), F737 * AVERAGE(Accounts!I$2:I$34),F737*#REF!)</f>
        <v/>
      </c>
      <c r="H737" s="213">
        <f>iferror(G737*360,"")</f>
        <v/>
      </c>
      <c r="I737" s="213">
        <f>H737*0.1</f>
        <v/>
      </c>
    </row>
    <row r="738" ht="54.75" customHeight="1" s="222">
      <c r="A738" s="210">
        <f>#REF!</f>
        <v/>
      </c>
      <c r="B738" s="141">
        <f>#REF!</f>
        <v/>
      </c>
      <c r="C738" s="211" t="n">
        <v>0.6</v>
      </c>
      <c r="D738" s="212">
        <f>#REF!*C738</f>
        <v/>
      </c>
      <c r="E738" s="211" t="n">
        <v>0.4</v>
      </c>
      <c r="F738" s="212">
        <f>D738*E738</f>
        <v/>
      </c>
      <c r="G738" s="213">
        <f>if(or(eq(#REF!,"No Valet"),eq(#REF!,"Has Valet")), F738 * AVERAGE(Accounts!I$2:I$34),F738*#REF!)</f>
        <v/>
      </c>
      <c r="H738" s="213">
        <f>iferror(G738*360,"")</f>
        <v/>
      </c>
      <c r="I738" s="213">
        <f>H738*0.1</f>
        <v/>
      </c>
    </row>
    <row r="739" ht="54.75" customHeight="1" s="222">
      <c r="A739" s="210">
        <f>#REF!</f>
        <v/>
      </c>
      <c r="B739" s="141">
        <f>#REF!</f>
        <v/>
      </c>
      <c r="C739" s="211" t="n">
        <v>0.6</v>
      </c>
      <c r="D739" s="212">
        <f>#REF!*C739</f>
        <v/>
      </c>
      <c r="E739" s="211" t="n">
        <v>0.4</v>
      </c>
      <c r="F739" s="212">
        <f>D739*E739</f>
        <v/>
      </c>
      <c r="G739" s="213">
        <f>if(or(eq(#REF!,"No Valet"),eq(#REF!,"Has Valet")), F739 * AVERAGE(Accounts!I$2:I$34),F739*#REF!)</f>
        <v/>
      </c>
      <c r="H739" s="213">
        <f>iferror(G739*360,"")</f>
        <v/>
      </c>
      <c r="I739" s="213">
        <f>H739*0.1</f>
        <v/>
      </c>
    </row>
    <row r="740" ht="54.75" customHeight="1" s="222">
      <c r="A740" s="210">
        <f>#REF!</f>
        <v/>
      </c>
      <c r="B740" s="141">
        <f>#REF!</f>
        <v/>
      </c>
      <c r="C740" s="211" t="n">
        <v>0.6</v>
      </c>
      <c r="D740" s="212">
        <f>#REF!*C740</f>
        <v/>
      </c>
      <c r="E740" s="211" t="n">
        <v>0.4</v>
      </c>
      <c r="F740" s="212">
        <f>D740*E740</f>
        <v/>
      </c>
      <c r="G740" s="213">
        <f>if(or(eq(#REF!,"No Valet"),eq(#REF!,"Has Valet")), F740 * AVERAGE(Accounts!I$2:I$34),F740*#REF!)</f>
        <v/>
      </c>
      <c r="H740" s="213">
        <f>iferror(G740*360,"")</f>
        <v/>
      </c>
      <c r="I740" s="213">
        <f>H740*0.1</f>
        <v/>
      </c>
    </row>
    <row r="741" ht="54.75" customHeight="1" s="222">
      <c r="A741" s="210">
        <f>#REF!</f>
        <v/>
      </c>
      <c r="B741" s="141">
        <f>#REF!</f>
        <v/>
      </c>
      <c r="C741" s="211" t="n">
        <v>0.6</v>
      </c>
      <c r="D741" s="212">
        <f>#REF!*C741</f>
        <v/>
      </c>
      <c r="E741" s="211" t="n">
        <v>0.4</v>
      </c>
      <c r="F741" s="212">
        <f>D741*E741</f>
        <v/>
      </c>
      <c r="G741" s="213">
        <f>if(or(eq(#REF!,"No Valet"),eq(#REF!,"Has Valet")), F741 * AVERAGE(Accounts!I$2:I$34),F741*#REF!)</f>
        <v/>
      </c>
      <c r="H741" s="213">
        <f>iferror(G741*360,"")</f>
        <v/>
      </c>
      <c r="I741" s="213">
        <f>H741*0.1</f>
        <v/>
      </c>
    </row>
    <row r="742" ht="54.75" customHeight="1" s="222">
      <c r="A742" s="210">
        <f>#REF!</f>
        <v/>
      </c>
      <c r="B742" s="141">
        <f>#REF!</f>
        <v/>
      </c>
      <c r="C742" s="211" t="n">
        <v>0.6</v>
      </c>
      <c r="D742" s="212">
        <f>#REF!*C742</f>
        <v/>
      </c>
      <c r="E742" s="211" t="n">
        <v>0.4</v>
      </c>
      <c r="F742" s="212">
        <f>D742*E742</f>
        <v/>
      </c>
      <c r="G742" s="213">
        <f>if(or(eq(#REF!,"No Valet"),eq(#REF!,"Has Valet")), F742 * AVERAGE(Accounts!I$2:I$34),F742*#REF!)</f>
        <v/>
      </c>
      <c r="H742" s="213">
        <f>iferror(G742*360,"")</f>
        <v/>
      </c>
      <c r="I742" s="213">
        <f>H742*0.1</f>
        <v/>
      </c>
    </row>
    <row r="743" ht="54.75" customHeight="1" s="222">
      <c r="A743" s="210">
        <f>#REF!</f>
        <v/>
      </c>
      <c r="B743" s="141">
        <f>#REF!</f>
        <v/>
      </c>
      <c r="C743" s="211" t="n">
        <v>0.6</v>
      </c>
      <c r="D743" s="212">
        <f>#REF!*C743</f>
        <v/>
      </c>
      <c r="E743" s="211" t="n">
        <v>0.4</v>
      </c>
      <c r="F743" s="212">
        <f>D743*E743</f>
        <v/>
      </c>
      <c r="G743" s="213">
        <f>if(or(eq(#REF!,"No Valet"),eq(#REF!,"Has Valet")), F743 * AVERAGE(Accounts!I$2:I$34),F743*#REF!)</f>
        <v/>
      </c>
      <c r="H743" s="213">
        <f>iferror(G743*360,"")</f>
        <v/>
      </c>
      <c r="I743" s="213">
        <f>H743*0.1</f>
        <v/>
      </c>
    </row>
    <row r="744" ht="54.75" customHeight="1" s="222">
      <c r="A744" s="210">
        <f>#REF!</f>
        <v/>
      </c>
      <c r="B744" s="141">
        <f>#REF!</f>
        <v/>
      </c>
      <c r="C744" s="211" t="n">
        <v>0.6</v>
      </c>
      <c r="D744" s="212">
        <f>#REF!*C744</f>
        <v/>
      </c>
      <c r="E744" s="211" t="n">
        <v>0.4</v>
      </c>
      <c r="F744" s="212">
        <f>D744*E744</f>
        <v/>
      </c>
      <c r="G744" s="213">
        <f>if(or(eq(#REF!,"No Valet"),eq(#REF!,"Has Valet")), F744 * AVERAGE(Accounts!I$2:I$34),F744*#REF!)</f>
        <v/>
      </c>
      <c r="H744" s="213">
        <f>iferror(G744*360,"")</f>
        <v/>
      </c>
      <c r="I744" s="213">
        <f>H744*0.1</f>
        <v/>
      </c>
    </row>
    <row r="745" ht="54.75" customHeight="1" s="222">
      <c r="A745" s="210">
        <f>#REF!</f>
        <v/>
      </c>
      <c r="B745" s="141">
        <f>#REF!</f>
        <v/>
      </c>
      <c r="C745" s="211" t="n">
        <v>0.6</v>
      </c>
      <c r="D745" s="212">
        <f>#REF!*C745</f>
        <v/>
      </c>
      <c r="E745" s="211" t="n">
        <v>0.4</v>
      </c>
      <c r="F745" s="212">
        <f>D745*E745</f>
        <v/>
      </c>
      <c r="G745" s="213">
        <f>if(or(eq(#REF!,"No Valet"),eq(#REF!,"Has Valet")), F745 * AVERAGE(Accounts!I$2:I$34),F745*#REF!)</f>
        <v/>
      </c>
      <c r="H745" s="213">
        <f>iferror(G745*360,"")</f>
        <v/>
      </c>
      <c r="I745" s="213">
        <f>H745*0.1</f>
        <v/>
      </c>
    </row>
    <row r="746" ht="54.75" customHeight="1" s="222">
      <c r="A746" s="210">
        <f>#REF!</f>
        <v/>
      </c>
      <c r="B746" s="141">
        <f>#REF!</f>
        <v/>
      </c>
      <c r="C746" s="211" t="n">
        <v>0.6</v>
      </c>
      <c r="D746" s="212">
        <f>#REF!*C746</f>
        <v/>
      </c>
      <c r="E746" s="211" t="n">
        <v>0.4</v>
      </c>
      <c r="F746" s="212">
        <f>D746*E746</f>
        <v/>
      </c>
      <c r="G746" s="213">
        <f>if(or(eq(#REF!,"No Valet"),eq(#REF!,"Has Valet")), F746 * AVERAGE(Accounts!I$2:I$34),F746*#REF!)</f>
        <v/>
      </c>
      <c r="H746" s="213">
        <f>iferror(G746*360,"")</f>
        <v/>
      </c>
      <c r="I746" s="213">
        <f>H746*0.1</f>
        <v/>
      </c>
    </row>
    <row r="747" ht="54.75" customHeight="1" s="222">
      <c r="A747" s="210">
        <f>#REF!</f>
        <v/>
      </c>
      <c r="B747" s="141">
        <f>#REF!</f>
        <v/>
      </c>
      <c r="C747" s="211" t="n">
        <v>0.6</v>
      </c>
      <c r="D747" s="212">
        <f>#REF!*C747</f>
        <v/>
      </c>
      <c r="E747" s="211" t="n">
        <v>0.4</v>
      </c>
      <c r="F747" s="212">
        <f>D747*E747</f>
        <v/>
      </c>
      <c r="G747" s="213">
        <f>if(or(eq(#REF!,"No Valet"),eq(#REF!,"Has Valet")), F747 * AVERAGE(Accounts!I$2:I$34),F747*#REF!)</f>
        <v/>
      </c>
      <c r="H747" s="213">
        <f>iferror(G747*360,"")</f>
        <v/>
      </c>
      <c r="I747" s="213">
        <f>H747*0.1</f>
        <v/>
      </c>
    </row>
    <row r="748" ht="54.75" customHeight="1" s="222">
      <c r="A748" s="210">
        <f>#REF!</f>
        <v/>
      </c>
      <c r="B748" s="141">
        <f>#REF!</f>
        <v/>
      </c>
      <c r="C748" s="211" t="n">
        <v>0.6</v>
      </c>
      <c r="D748" s="212">
        <f>#REF!*C748</f>
        <v/>
      </c>
      <c r="E748" s="211" t="n">
        <v>0.4</v>
      </c>
      <c r="F748" s="212">
        <f>D748*E748</f>
        <v/>
      </c>
      <c r="G748" s="213">
        <f>if(or(eq(#REF!,"No Valet"),eq(#REF!,"Has Valet")), F748 * AVERAGE(Accounts!I$2:I$34),F748*#REF!)</f>
        <v/>
      </c>
      <c r="H748" s="213">
        <f>iferror(G748*360,"")</f>
        <v/>
      </c>
      <c r="I748" s="213">
        <f>H748*0.1</f>
        <v/>
      </c>
    </row>
    <row r="749" ht="54.75" customHeight="1" s="222">
      <c r="A749" s="210">
        <f>#REF!</f>
        <v/>
      </c>
      <c r="B749" s="141">
        <f>#REF!</f>
        <v/>
      </c>
      <c r="C749" s="211" t="n">
        <v>0.6</v>
      </c>
      <c r="D749" s="212">
        <f>#REF!*C749</f>
        <v/>
      </c>
      <c r="E749" s="211" t="n">
        <v>0.4</v>
      </c>
      <c r="F749" s="212">
        <f>D749*E749</f>
        <v/>
      </c>
      <c r="G749" s="213">
        <f>if(or(eq(#REF!,"No Valet"),eq(#REF!,"Has Valet")), F749 * AVERAGE(Accounts!I$2:I$34),F749*#REF!)</f>
        <v/>
      </c>
      <c r="H749" s="213">
        <f>iferror(G749*360,"")</f>
        <v/>
      </c>
      <c r="I749" s="213">
        <f>H749*0.1</f>
        <v/>
      </c>
    </row>
    <row r="750" ht="54.75" customHeight="1" s="222">
      <c r="A750" s="210">
        <f>#REF!</f>
        <v/>
      </c>
      <c r="B750" s="141">
        <f>#REF!</f>
        <v/>
      </c>
      <c r="C750" s="211" t="n">
        <v>0.6</v>
      </c>
      <c r="D750" s="212">
        <f>#REF!*C750</f>
        <v/>
      </c>
      <c r="E750" s="211" t="n">
        <v>0.4</v>
      </c>
      <c r="F750" s="212">
        <f>D750*E750</f>
        <v/>
      </c>
      <c r="G750" s="213">
        <f>if(or(eq(#REF!,"No Valet"),eq(#REF!,"Has Valet")), F750 * AVERAGE(Accounts!I$2:I$34),F750*#REF!)</f>
        <v/>
      </c>
      <c r="H750" s="213">
        <f>iferror(G750*360,"")</f>
        <v/>
      </c>
      <c r="I750" s="213">
        <f>H750*0.1</f>
        <v/>
      </c>
    </row>
    <row r="751" ht="54.75" customHeight="1" s="222">
      <c r="A751" s="210">
        <f>#REF!</f>
        <v/>
      </c>
      <c r="B751" s="141">
        <f>#REF!</f>
        <v/>
      </c>
      <c r="C751" s="211" t="n">
        <v>0.6</v>
      </c>
      <c r="D751" s="212">
        <f>#REF!*C751</f>
        <v/>
      </c>
      <c r="E751" s="211" t="n">
        <v>0.4</v>
      </c>
      <c r="F751" s="212">
        <f>D751*E751</f>
        <v/>
      </c>
      <c r="G751" s="213">
        <f>if(or(eq(#REF!,"No Valet"),eq(#REF!,"Has Valet")), F751 * AVERAGE(Accounts!I$2:I$34),F751*#REF!)</f>
        <v/>
      </c>
      <c r="H751" s="213">
        <f>iferror(G751*360,"")</f>
        <v/>
      </c>
      <c r="I751" s="213">
        <f>H751*0.1</f>
        <v/>
      </c>
    </row>
    <row r="752" ht="54.75" customHeight="1" s="222">
      <c r="A752" s="210">
        <f>#REF!</f>
        <v/>
      </c>
      <c r="B752" s="141">
        <f>#REF!</f>
        <v/>
      </c>
      <c r="C752" s="211" t="n">
        <v>0.6</v>
      </c>
      <c r="D752" s="212">
        <f>#REF!*C752</f>
        <v/>
      </c>
      <c r="E752" s="211" t="n">
        <v>0.4</v>
      </c>
      <c r="F752" s="212">
        <f>D752*E752</f>
        <v/>
      </c>
      <c r="G752" s="213">
        <f>if(or(eq(#REF!,"No Valet"),eq(#REF!,"Has Valet")), F752 * AVERAGE(Accounts!I$2:I$34),F752*#REF!)</f>
        <v/>
      </c>
      <c r="H752" s="213">
        <f>iferror(G752*360,"")</f>
        <v/>
      </c>
      <c r="I752" s="213">
        <f>H752*0.1</f>
        <v/>
      </c>
    </row>
    <row r="753" ht="54.75" customHeight="1" s="222">
      <c r="A753" s="210">
        <f>#REF!</f>
        <v/>
      </c>
      <c r="B753" s="141">
        <f>#REF!</f>
        <v/>
      </c>
      <c r="C753" s="211" t="n">
        <v>0.6</v>
      </c>
      <c r="D753" s="212">
        <f>#REF!*C753</f>
        <v/>
      </c>
      <c r="E753" s="211" t="n">
        <v>0.4</v>
      </c>
      <c r="F753" s="212">
        <f>D753*E753</f>
        <v/>
      </c>
      <c r="G753" s="213">
        <f>if(or(eq(#REF!,"No Valet"),eq(#REF!,"Has Valet")), F753 * AVERAGE(Accounts!I$2:I$34),F753*#REF!)</f>
        <v/>
      </c>
      <c r="H753" s="213">
        <f>iferror(G753*360,"")</f>
        <v/>
      </c>
      <c r="I753" s="213">
        <f>H753*0.1</f>
        <v/>
      </c>
    </row>
    <row r="754" ht="54.75" customHeight="1" s="222">
      <c r="A754" s="210">
        <f>#REF!</f>
        <v/>
      </c>
      <c r="B754" s="141">
        <f>#REF!</f>
        <v/>
      </c>
      <c r="C754" s="211" t="n">
        <v>0.6</v>
      </c>
      <c r="D754" s="212">
        <f>#REF!*C754</f>
        <v/>
      </c>
      <c r="E754" s="211" t="n">
        <v>0.4</v>
      </c>
      <c r="F754" s="212">
        <f>D754*E754</f>
        <v/>
      </c>
      <c r="G754" s="213">
        <f>if(or(eq(#REF!,"No Valet"),eq(#REF!,"Has Valet")), F754 * AVERAGE(Accounts!I$2:I$34),F754*#REF!)</f>
        <v/>
      </c>
      <c r="H754" s="213">
        <f>iferror(G754*360,"")</f>
        <v/>
      </c>
      <c r="I754" s="213">
        <f>H754*0.1</f>
        <v/>
      </c>
    </row>
    <row r="755" ht="54.75" customHeight="1" s="222">
      <c r="A755" s="210">
        <f>#REF!</f>
        <v/>
      </c>
      <c r="B755" s="141">
        <f>#REF!</f>
        <v/>
      </c>
      <c r="C755" s="211" t="n">
        <v>0.6</v>
      </c>
      <c r="D755" s="212">
        <f>#REF!*C755</f>
        <v/>
      </c>
      <c r="E755" s="211" t="n">
        <v>0.4</v>
      </c>
      <c r="F755" s="212">
        <f>D755*E755</f>
        <v/>
      </c>
      <c r="G755" s="213">
        <f>if(or(eq(#REF!,"No Valet"),eq(#REF!,"Has Valet")), F755 * AVERAGE(Accounts!I$2:I$34),F755*#REF!)</f>
        <v/>
      </c>
      <c r="H755" s="213">
        <f>iferror(G755*360,"")</f>
        <v/>
      </c>
      <c r="I755" s="213">
        <f>H755*0.1</f>
        <v/>
      </c>
    </row>
    <row r="756" ht="54.75" customHeight="1" s="222">
      <c r="A756" s="210">
        <f>#REF!</f>
        <v/>
      </c>
      <c r="B756" s="141">
        <f>#REF!</f>
        <v/>
      </c>
      <c r="C756" s="211" t="n">
        <v>0.6</v>
      </c>
      <c r="D756" s="212">
        <f>#REF!*C756</f>
        <v/>
      </c>
      <c r="E756" s="211" t="n">
        <v>0.4</v>
      </c>
      <c r="F756" s="212">
        <f>D756*E756</f>
        <v/>
      </c>
      <c r="G756" s="213">
        <f>if(or(eq(#REF!,"No Valet"),eq(#REF!,"Has Valet")), F756 * AVERAGE(Accounts!I$2:I$34),F756*#REF!)</f>
        <v/>
      </c>
      <c r="H756" s="213">
        <f>iferror(G756*360,"")</f>
        <v/>
      </c>
      <c r="I756" s="213">
        <f>H756*0.1</f>
        <v/>
      </c>
    </row>
    <row r="757" ht="54.75" customHeight="1" s="222">
      <c r="A757" s="210">
        <f>#REF!</f>
        <v/>
      </c>
      <c r="B757" s="141">
        <f>#REF!</f>
        <v/>
      </c>
      <c r="C757" s="211" t="n">
        <v>0.6</v>
      </c>
      <c r="D757" s="212">
        <f>#REF!*C757</f>
        <v/>
      </c>
      <c r="E757" s="211" t="n">
        <v>0.4</v>
      </c>
      <c r="F757" s="212">
        <f>D757*E757</f>
        <v/>
      </c>
      <c r="G757" s="213">
        <f>if(or(eq(#REF!,"No Valet"),eq(#REF!,"Has Valet")), F757 * AVERAGE(Accounts!I$2:I$34),F757*#REF!)</f>
        <v/>
      </c>
      <c r="H757" s="213">
        <f>iferror(G757*360,"")</f>
        <v/>
      </c>
      <c r="I757" s="213">
        <f>H757*0.1</f>
        <v/>
      </c>
    </row>
    <row r="758" ht="54.75" customHeight="1" s="222">
      <c r="A758" s="210">
        <f>#REF!</f>
        <v/>
      </c>
      <c r="B758" s="141">
        <f>#REF!</f>
        <v/>
      </c>
      <c r="C758" s="211" t="n">
        <v>0.6</v>
      </c>
      <c r="D758" s="212">
        <f>#REF!*C758</f>
        <v/>
      </c>
      <c r="E758" s="211" t="n">
        <v>0.4</v>
      </c>
      <c r="F758" s="212">
        <f>D758*E758</f>
        <v/>
      </c>
      <c r="G758" s="213">
        <f>if(or(eq(#REF!,"No Valet"),eq(#REF!,"Has Valet")), F758 * AVERAGE(Accounts!I$2:I$34),F758*#REF!)</f>
        <v/>
      </c>
      <c r="H758" s="213">
        <f>iferror(G758*360,"")</f>
        <v/>
      </c>
      <c r="I758" s="213">
        <f>H758*0.1</f>
        <v/>
      </c>
    </row>
    <row r="759" ht="54.75" customHeight="1" s="222">
      <c r="A759" s="210">
        <f>#REF!</f>
        <v/>
      </c>
      <c r="B759" s="141">
        <f>#REF!</f>
        <v/>
      </c>
      <c r="C759" s="211" t="n">
        <v>0.6</v>
      </c>
      <c r="D759" s="212">
        <f>#REF!*C759</f>
        <v/>
      </c>
      <c r="E759" s="211" t="n">
        <v>0.4</v>
      </c>
      <c r="F759" s="212">
        <f>D759*E759</f>
        <v/>
      </c>
      <c r="G759" s="213">
        <f>if(or(eq(#REF!,"No Valet"),eq(#REF!,"Has Valet")), F759 * AVERAGE(Accounts!I$2:I$34),F759*#REF!)</f>
        <v/>
      </c>
      <c r="H759" s="213">
        <f>iferror(G759*360,"")</f>
        <v/>
      </c>
      <c r="I759" s="213">
        <f>H759*0.1</f>
        <v/>
      </c>
    </row>
    <row r="760" ht="54.75" customHeight="1" s="222">
      <c r="A760" s="210">
        <f>#REF!</f>
        <v/>
      </c>
      <c r="B760" s="141">
        <f>#REF!</f>
        <v/>
      </c>
      <c r="C760" s="211" t="n">
        <v>0.6</v>
      </c>
      <c r="D760" s="212">
        <f>#REF!*C760</f>
        <v/>
      </c>
      <c r="E760" s="211" t="n">
        <v>0.4</v>
      </c>
      <c r="F760" s="212">
        <f>D760*E760</f>
        <v/>
      </c>
      <c r="G760" s="213">
        <f>if(or(eq(#REF!,"No Valet"),eq(#REF!,"Has Valet")), F760 * AVERAGE(Accounts!I$2:I$34),F760*#REF!)</f>
        <v/>
      </c>
      <c r="H760" s="213">
        <f>iferror(G760*360,"")</f>
        <v/>
      </c>
      <c r="I760" s="213">
        <f>H760*0.1</f>
        <v/>
      </c>
    </row>
    <row r="761" ht="54.75" customHeight="1" s="222">
      <c r="A761" s="210">
        <f>#REF!</f>
        <v/>
      </c>
      <c r="B761" s="141">
        <f>#REF!</f>
        <v/>
      </c>
      <c r="C761" s="211" t="n">
        <v>0.6</v>
      </c>
      <c r="D761" s="212">
        <f>#REF!*C761</f>
        <v/>
      </c>
      <c r="E761" s="211" t="n">
        <v>0.4</v>
      </c>
      <c r="F761" s="212">
        <f>D761*E761</f>
        <v/>
      </c>
      <c r="G761" s="213">
        <f>if(or(eq(#REF!,"No Valet"),eq(#REF!,"Has Valet")), F761 * AVERAGE(Accounts!I$2:I$34),F761*#REF!)</f>
        <v/>
      </c>
      <c r="H761" s="213">
        <f>iferror(G761*360,"")</f>
        <v/>
      </c>
      <c r="I761" s="213">
        <f>H761*0.1</f>
        <v/>
      </c>
    </row>
    <row r="762" ht="54.75" customHeight="1" s="222">
      <c r="A762" s="210">
        <f>#REF!</f>
        <v/>
      </c>
      <c r="B762" s="141">
        <f>#REF!</f>
        <v/>
      </c>
      <c r="C762" s="211" t="n">
        <v>0.6</v>
      </c>
      <c r="D762" s="212">
        <f>#REF!*C762</f>
        <v/>
      </c>
      <c r="E762" s="211" t="n">
        <v>0.4</v>
      </c>
      <c r="F762" s="212">
        <f>D762*E762</f>
        <v/>
      </c>
      <c r="G762" s="213">
        <f>if(or(eq(#REF!,"No Valet"),eq(#REF!,"Has Valet")), F762 * AVERAGE(Accounts!I$2:I$34),F762*#REF!)</f>
        <v/>
      </c>
      <c r="H762" s="213">
        <f>iferror(G762*360,"")</f>
        <v/>
      </c>
      <c r="I762" s="213">
        <f>H762*0.1</f>
        <v/>
      </c>
    </row>
    <row r="763" ht="54.75" customHeight="1" s="222">
      <c r="A763" s="210">
        <f>#REF!</f>
        <v/>
      </c>
      <c r="B763" s="141">
        <f>#REF!</f>
        <v/>
      </c>
      <c r="C763" s="211" t="n">
        <v>0.6</v>
      </c>
      <c r="D763" s="212">
        <f>#REF!*C763</f>
        <v/>
      </c>
      <c r="E763" s="211" t="n">
        <v>0.4</v>
      </c>
      <c r="F763" s="212">
        <f>D763*E763</f>
        <v/>
      </c>
      <c r="G763" s="213">
        <f>if(or(eq(#REF!,"No Valet"),eq(#REF!,"Has Valet")), F763 * AVERAGE(Accounts!I$2:I$34),F763*#REF!)</f>
        <v/>
      </c>
      <c r="H763" s="213">
        <f>iferror(G763*360,"")</f>
        <v/>
      </c>
      <c r="I763" s="213">
        <f>H763*0.1</f>
        <v/>
      </c>
    </row>
    <row r="764" ht="54.75" customHeight="1" s="222">
      <c r="A764" s="210">
        <f>#REF!</f>
        <v/>
      </c>
      <c r="B764" s="141">
        <f>#REF!</f>
        <v/>
      </c>
      <c r="C764" s="211" t="n">
        <v>0.6</v>
      </c>
      <c r="D764" s="212">
        <f>#REF!*C764</f>
        <v/>
      </c>
      <c r="E764" s="211" t="n">
        <v>0.4</v>
      </c>
      <c r="F764" s="212">
        <f>D764*E764</f>
        <v/>
      </c>
      <c r="G764" s="213">
        <f>if(or(eq(#REF!,"No Valet"),eq(#REF!,"Has Valet")), F764 * AVERAGE(Accounts!I$2:I$34),F764*#REF!)</f>
        <v/>
      </c>
      <c r="H764" s="213">
        <f>iferror(G764*360,"")</f>
        <v/>
      </c>
      <c r="I764" s="213">
        <f>H764*0.1</f>
        <v/>
      </c>
    </row>
    <row r="765" ht="54.75" customHeight="1" s="222">
      <c r="A765" s="210">
        <f>#REF!</f>
        <v/>
      </c>
      <c r="B765" s="141">
        <f>#REF!</f>
        <v/>
      </c>
      <c r="C765" s="211" t="n">
        <v>0.6</v>
      </c>
      <c r="D765" s="212">
        <f>#REF!*C765</f>
        <v/>
      </c>
      <c r="E765" s="211" t="n">
        <v>0.4</v>
      </c>
      <c r="F765" s="212">
        <f>D765*E765</f>
        <v/>
      </c>
      <c r="G765" s="213">
        <f>if(or(eq(#REF!,"No Valet"),eq(#REF!,"Has Valet")), F765 * AVERAGE(Accounts!I$2:I$34),F765*#REF!)</f>
        <v/>
      </c>
      <c r="H765" s="213">
        <f>iferror(G765*360,"")</f>
        <v/>
      </c>
      <c r="I765" s="213">
        <f>H765*0.1</f>
        <v/>
      </c>
    </row>
    <row r="766" ht="54.75" customHeight="1" s="222">
      <c r="A766" s="210">
        <f>#REF!</f>
        <v/>
      </c>
      <c r="B766" s="141">
        <f>#REF!</f>
        <v/>
      </c>
      <c r="C766" s="211" t="n">
        <v>0.6</v>
      </c>
      <c r="D766" s="212">
        <f>#REF!*C766</f>
        <v/>
      </c>
      <c r="E766" s="211" t="n">
        <v>0.4</v>
      </c>
      <c r="F766" s="212">
        <f>D766*E766</f>
        <v/>
      </c>
      <c r="G766" s="213">
        <f>if(or(eq(#REF!,"No Valet"),eq(#REF!,"Has Valet")), F766 * AVERAGE(Accounts!I$2:I$34),F766*#REF!)</f>
        <v/>
      </c>
      <c r="H766" s="213">
        <f>iferror(G766*360,"")</f>
        <v/>
      </c>
      <c r="I766" s="213">
        <f>H766*0.1</f>
        <v/>
      </c>
    </row>
    <row r="767" ht="54.75" customHeight="1" s="222">
      <c r="A767" s="210">
        <f>#REF!</f>
        <v/>
      </c>
      <c r="B767" s="141">
        <f>#REF!</f>
        <v/>
      </c>
      <c r="C767" s="211" t="n">
        <v>0.6</v>
      </c>
      <c r="D767" s="212">
        <f>#REF!*C767</f>
        <v/>
      </c>
      <c r="E767" s="211" t="n">
        <v>0.4</v>
      </c>
      <c r="F767" s="212">
        <f>D767*E767</f>
        <v/>
      </c>
      <c r="G767" s="213">
        <f>if(or(eq(#REF!,"No Valet"),eq(#REF!,"Has Valet")), F767 * AVERAGE(Accounts!I$2:I$34),F767*#REF!)</f>
        <v/>
      </c>
      <c r="H767" s="213">
        <f>iferror(G767*360,"")</f>
        <v/>
      </c>
      <c r="I767" s="213">
        <f>H767*0.1</f>
        <v/>
      </c>
    </row>
    <row r="768" ht="54.75" customHeight="1" s="222">
      <c r="A768" s="210">
        <f>#REF!</f>
        <v/>
      </c>
      <c r="B768" s="141">
        <f>#REF!</f>
        <v/>
      </c>
      <c r="C768" s="211" t="n">
        <v>0.6</v>
      </c>
      <c r="D768" s="212">
        <f>#REF!*C768</f>
        <v/>
      </c>
      <c r="E768" s="211" t="n">
        <v>0.4</v>
      </c>
      <c r="F768" s="212">
        <f>D768*E768</f>
        <v/>
      </c>
      <c r="G768" s="213">
        <f>if(or(eq(#REF!,"No Valet"),eq(#REF!,"Has Valet")), F768 * AVERAGE(Accounts!I$2:I$34),F768*#REF!)</f>
        <v/>
      </c>
      <c r="H768" s="213">
        <f>iferror(G768*360,"")</f>
        <v/>
      </c>
      <c r="I768" s="213">
        <f>H768*0.1</f>
        <v/>
      </c>
    </row>
    <row r="769" ht="54.75" customHeight="1" s="222">
      <c r="A769" s="210">
        <f>#REF!</f>
        <v/>
      </c>
      <c r="B769" s="141">
        <f>#REF!</f>
        <v/>
      </c>
      <c r="C769" s="211" t="n">
        <v>0.6</v>
      </c>
      <c r="D769" s="212">
        <f>#REF!*C769</f>
        <v/>
      </c>
      <c r="E769" s="211" t="n">
        <v>0.4</v>
      </c>
      <c r="F769" s="212">
        <f>D769*E769</f>
        <v/>
      </c>
      <c r="G769" s="213">
        <f>if(or(eq(#REF!,"No Valet"),eq(#REF!,"Has Valet")), F769 * AVERAGE(Accounts!I$2:I$34),F769*#REF!)</f>
        <v/>
      </c>
      <c r="H769" s="213">
        <f>iferror(G769*360,"")</f>
        <v/>
      </c>
      <c r="I769" s="213">
        <f>H769*0.1</f>
        <v/>
      </c>
    </row>
    <row r="770" ht="54.75" customHeight="1" s="222">
      <c r="A770" s="210">
        <f>#REF!</f>
        <v/>
      </c>
      <c r="B770" s="141">
        <f>#REF!</f>
        <v/>
      </c>
      <c r="C770" s="211" t="n">
        <v>0.6</v>
      </c>
      <c r="D770" s="212">
        <f>#REF!*C770</f>
        <v/>
      </c>
      <c r="E770" s="211" t="n">
        <v>0.4</v>
      </c>
      <c r="F770" s="212">
        <f>D770*E770</f>
        <v/>
      </c>
      <c r="G770" s="213">
        <f>if(or(eq(#REF!,"No Valet"),eq(#REF!,"Has Valet")), F770 * AVERAGE(Accounts!I$2:I$34),F770*#REF!)</f>
        <v/>
      </c>
      <c r="H770" s="213">
        <f>iferror(G770*360,"")</f>
        <v/>
      </c>
      <c r="I770" s="213">
        <f>H770*0.1</f>
        <v/>
      </c>
    </row>
    <row r="771" ht="54.75" customHeight="1" s="222">
      <c r="A771" s="210">
        <f>#REF!</f>
        <v/>
      </c>
      <c r="B771" s="141">
        <f>#REF!</f>
        <v/>
      </c>
      <c r="C771" s="211" t="n">
        <v>0.6</v>
      </c>
      <c r="D771" s="212">
        <f>#REF!*C771</f>
        <v/>
      </c>
      <c r="E771" s="211" t="n">
        <v>0.4</v>
      </c>
      <c r="F771" s="212">
        <f>D771*E771</f>
        <v/>
      </c>
      <c r="G771" s="213">
        <f>if(or(eq(#REF!,"No Valet"),eq(#REF!,"Has Valet")), F771 * AVERAGE(Accounts!I$2:I$34),F771*#REF!)</f>
        <v/>
      </c>
      <c r="H771" s="213">
        <f>iferror(G771*360,"")</f>
        <v/>
      </c>
      <c r="I771" s="213">
        <f>H771*0.1</f>
        <v/>
      </c>
    </row>
    <row r="772" ht="54.75" customHeight="1" s="222">
      <c r="A772" s="210">
        <f>#REF!</f>
        <v/>
      </c>
      <c r="B772" s="141">
        <f>#REF!</f>
        <v/>
      </c>
      <c r="C772" s="211" t="n">
        <v>0.6</v>
      </c>
      <c r="D772" s="212">
        <f>#REF!*C772</f>
        <v/>
      </c>
      <c r="E772" s="211" t="n">
        <v>0.4</v>
      </c>
      <c r="F772" s="212">
        <f>D772*E772</f>
        <v/>
      </c>
      <c r="G772" s="213">
        <f>if(or(eq(#REF!,"No Valet"),eq(#REF!,"Has Valet")), F772 * AVERAGE(Accounts!I$2:I$34),F772*#REF!)</f>
        <v/>
      </c>
      <c r="H772" s="213">
        <f>iferror(G772*360,"")</f>
        <v/>
      </c>
      <c r="I772" s="213">
        <f>H772*0.1</f>
        <v/>
      </c>
    </row>
    <row r="773" ht="54.75" customHeight="1" s="222">
      <c r="A773" s="210">
        <f>#REF!</f>
        <v/>
      </c>
      <c r="B773" s="141">
        <f>#REF!</f>
        <v/>
      </c>
      <c r="C773" s="211" t="n">
        <v>0.6</v>
      </c>
      <c r="D773" s="212">
        <f>#REF!*C773</f>
        <v/>
      </c>
      <c r="E773" s="211" t="n">
        <v>0.4</v>
      </c>
      <c r="F773" s="212">
        <f>D773*E773</f>
        <v/>
      </c>
      <c r="G773" s="213">
        <f>if(or(eq(#REF!,"No Valet"),eq(#REF!,"Has Valet")), F773 * AVERAGE(Accounts!I$2:I$34),F773*#REF!)</f>
        <v/>
      </c>
      <c r="H773" s="213">
        <f>iferror(G773*360,"")</f>
        <v/>
      </c>
      <c r="I773" s="213">
        <f>H773*0.1</f>
        <v/>
      </c>
    </row>
    <row r="774" ht="54.75" customHeight="1" s="222">
      <c r="A774" s="210">
        <f>#REF!</f>
        <v/>
      </c>
      <c r="B774" s="141">
        <f>#REF!</f>
        <v/>
      </c>
      <c r="C774" s="211" t="n">
        <v>0.6</v>
      </c>
      <c r="D774" s="212">
        <f>#REF!*C774</f>
        <v/>
      </c>
      <c r="E774" s="211" t="n">
        <v>0.4</v>
      </c>
      <c r="F774" s="212">
        <f>D774*E774</f>
        <v/>
      </c>
      <c r="G774" s="213">
        <f>if(or(eq(#REF!,"No Valet"),eq(#REF!,"Has Valet")), F774 * AVERAGE(Accounts!I$2:I$34),F774*#REF!)</f>
        <v/>
      </c>
      <c r="H774" s="213">
        <f>iferror(G774*360,"")</f>
        <v/>
      </c>
      <c r="I774" s="213">
        <f>H774*0.1</f>
        <v/>
      </c>
    </row>
    <row r="775" ht="54.75" customHeight="1" s="222">
      <c r="A775" s="210">
        <f>#REF!</f>
        <v/>
      </c>
      <c r="B775" s="141">
        <f>#REF!</f>
        <v/>
      </c>
      <c r="C775" s="211" t="n">
        <v>0.6</v>
      </c>
      <c r="D775" s="212">
        <f>#REF!*C775</f>
        <v/>
      </c>
      <c r="E775" s="211" t="n">
        <v>0.4</v>
      </c>
      <c r="F775" s="212">
        <f>D775*E775</f>
        <v/>
      </c>
      <c r="G775" s="213">
        <f>if(or(eq(#REF!,"No Valet"),eq(#REF!,"Has Valet")), F775 * AVERAGE(Accounts!I$2:I$34),F775*#REF!)</f>
        <v/>
      </c>
      <c r="H775" s="213">
        <f>iferror(G775*360,"")</f>
        <v/>
      </c>
      <c r="I775" s="213">
        <f>H775*0.1</f>
        <v/>
      </c>
    </row>
    <row r="776" ht="54.75" customHeight="1" s="222">
      <c r="A776" s="210">
        <f>#REF!</f>
        <v/>
      </c>
      <c r="B776" s="141">
        <f>#REF!</f>
        <v/>
      </c>
      <c r="C776" s="211" t="n">
        <v>0.6</v>
      </c>
      <c r="D776" s="212">
        <f>#REF!*C776</f>
        <v/>
      </c>
      <c r="E776" s="211" t="n">
        <v>0.4</v>
      </c>
      <c r="F776" s="212">
        <f>D776*E776</f>
        <v/>
      </c>
      <c r="G776" s="213">
        <f>if(or(eq(#REF!,"No Valet"),eq(#REF!,"Has Valet")), F776 * AVERAGE(Accounts!I$2:I$34),F776*#REF!)</f>
        <v/>
      </c>
      <c r="H776" s="213">
        <f>iferror(G776*360,"")</f>
        <v/>
      </c>
      <c r="I776" s="213">
        <f>H776*0.1</f>
        <v/>
      </c>
    </row>
    <row r="777" ht="54.75" customHeight="1" s="222">
      <c r="A777" s="210">
        <f>#REF!</f>
        <v/>
      </c>
      <c r="B777" s="141">
        <f>#REF!</f>
        <v/>
      </c>
      <c r="C777" s="211" t="n">
        <v>0.6</v>
      </c>
      <c r="D777" s="212">
        <f>#REF!*C777</f>
        <v/>
      </c>
      <c r="E777" s="211" t="n">
        <v>0.4</v>
      </c>
      <c r="F777" s="212">
        <f>D777*E777</f>
        <v/>
      </c>
      <c r="G777" s="213">
        <f>if(or(eq(#REF!,"No Valet"),eq(#REF!,"Has Valet")), F777 * AVERAGE(Accounts!I$2:I$34),F777*#REF!)</f>
        <v/>
      </c>
      <c r="H777" s="213">
        <f>iferror(G777*360,"")</f>
        <v/>
      </c>
      <c r="I777" s="213">
        <f>H777*0.1</f>
        <v/>
      </c>
    </row>
    <row r="778" ht="54.75" customHeight="1" s="222">
      <c r="A778" s="210">
        <f>#REF!</f>
        <v/>
      </c>
      <c r="B778" s="141">
        <f>#REF!</f>
        <v/>
      </c>
      <c r="C778" s="211" t="n">
        <v>0.6</v>
      </c>
      <c r="D778" s="212">
        <f>#REF!*C778</f>
        <v/>
      </c>
      <c r="E778" s="211" t="n">
        <v>0.4</v>
      </c>
      <c r="F778" s="212">
        <f>D778*E778</f>
        <v/>
      </c>
      <c r="G778" s="213">
        <f>if(or(eq(#REF!,"No Valet"),eq(#REF!,"Has Valet")), F778 * AVERAGE(Accounts!I$2:I$34),F778*#REF!)</f>
        <v/>
      </c>
      <c r="H778" s="213">
        <f>iferror(G778*360,"")</f>
        <v/>
      </c>
      <c r="I778" s="213">
        <f>H778*0.1</f>
        <v/>
      </c>
    </row>
    <row r="779" ht="54.75" customHeight="1" s="222">
      <c r="A779" s="210">
        <f>#REF!</f>
        <v/>
      </c>
      <c r="B779" s="141">
        <f>#REF!</f>
        <v/>
      </c>
      <c r="C779" s="211" t="n">
        <v>0.6</v>
      </c>
      <c r="D779" s="212">
        <f>#REF!*C779</f>
        <v/>
      </c>
      <c r="E779" s="211" t="n">
        <v>0.4</v>
      </c>
      <c r="F779" s="212">
        <f>D779*E779</f>
        <v/>
      </c>
      <c r="G779" s="213">
        <f>if(or(eq(#REF!,"No Valet"),eq(#REF!,"Has Valet")), F779 * AVERAGE(Accounts!I$2:I$34),F779*#REF!)</f>
        <v/>
      </c>
      <c r="H779" s="213">
        <f>iferror(G779*360,"")</f>
        <v/>
      </c>
      <c r="I779" s="213">
        <f>H779*0.1</f>
        <v/>
      </c>
    </row>
    <row r="780" ht="54.75" customHeight="1" s="222">
      <c r="A780" s="210">
        <f>#REF!</f>
        <v/>
      </c>
      <c r="B780" s="141">
        <f>#REF!</f>
        <v/>
      </c>
      <c r="C780" s="211" t="n">
        <v>0.6</v>
      </c>
      <c r="D780" s="212">
        <f>#REF!*C780</f>
        <v/>
      </c>
      <c r="E780" s="211" t="n">
        <v>0.4</v>
      </c>
      <c r="F780" s="212">
        <f>D780*E780</f>
        <v/>
      </c>
      <c r="G780" s="213">
        <f>if(or(eq(#REF!,"No Valet"),eq(#REF!,"Has Valet")), F780 * AVERAGE(Accounts!I$2:I$34),F780*#REF!)</f>
        <v/>
      </c>
      <c r="H780" s="213">
        <f>iferror(G780*360,"")</f>
        <v/>
      </c>
      <c r="I780" s="213">
        <f>H780*0.1</f>
        <v/>
      </c>
    </row>
    <row r="781" ht="54.75" customHeight="1" s="222">
      <c r="A781" s="210">
        <f>#REF!</f>
        <v/>
      </c>
      <c r="B781" s="141">
        <f>#REF!</f>
        <v/>
      </c>
      <c r="C781" s="211" t="n">
        <v>0.6</v>
      </c>
      <c r="D781" s="212">
        <f>#REF!*C781</f>
        <v/>
      </c>
      <c r="E781" s="211" t="n">
        <v>0.4</v>
      </c>
      <c r="F781" s="212">
        <f>D781*E781</f>
        <v/>
      </c>
      <c r="G781" s="213">
        <f>if(or(eq(#REF!,"No Valet"),eq(#REF!,"Has Valet")), F781 * AVERAGE(Accounts!I$2:I$34),F781*#REF!)</f>
        <v/>
      </c>
      <c r="H781" s="213">
        <f>iferror(G781*360,"")</f>
        <v/>
      </c>
      <c r="I781" s="213">
        <f>H781*0.1</f>
        <v/>
      </c>
    </row>
    <row r="782" ht="54.75" customHeight="1" s="222">
      <c r="A782" s="210">
        <f>#REF!</f>
        <v/>
      </c>
      <c r="B782" s="141">
        <f>#REF!</f>
        <v/>
      </c>
      <c r="C782" s="211" t="n">
        <v>0.6</v>
      </c>
      <c r="D782" s="212">
        <f>#REF!*C782</f>
        <v/>
      </c>
      <c r="E782" s="211" t="n">
        <v>0.4</v>
      </c>
      <c r="F782" s="212">
        <f>D782*E782</f>
        <v/>
      </c>
      <c r="G782" s="213">
        <f>if(or(eq(#REF!,"No Valet"),eq(#REF!,"Has Valet")), F782 * AVERAGE(Accounts!I$2:I$34),F782*#REF!)</f>
        <v/>
      </c>
      <c r="H782" s="213">
        <f>iferror(G782*360,"")</f>
        <v/>
      </c>
      <c r="I782" s="213">
        <f>H782*0.1</f>
        <v/>
      </c>
    </row>
    <row r="783" ht="54.75" customHeight="1" s="222">
      <c r="A783" s="210">
        <f>#REF!</f>
        <v/>
      </c>
      <c r="B783" s="141">
        <f>#REF!</f>
        <v/>
      </c>
      <c r="C783" s="211" t="n">
        <v>0.6</v>
      </c>
      <c r="D783" s="212">
        <f>#REF!*C783</f>
        <v/>
      </c>
      <c r="E783" s="211" t="n">
        <v>0.4</v>
      </c>
      <c r="F783" s="212">
        <f>D783*E783</f>
        <v/>
      </c>
      <c r="G783" s="213">
        <f>if(or(eq(#REF!,"No Valet"),eq(#REF!,"Has Valet")), F783 * AVERAGE(Accounts!I$2:I$34),F783*#REF!)</f>
        <v/>
      </c>
      <c r="H783" s="213">
        <f>iferror(G783*360,"")</f>
        <v/>
      </c>
      <c r="I783" s="213">
        <f>H783*0.1</f>
        <v/>
      </c>
    </row>
    <row r="784" ht="54.75" customHeight="1" s="222">
      <c r="A784" s="210">
        <f>#REF!</f>
        <v/>
      </c>
      <c r="B784" s="141">
        <f>#REF!</f>
        <v/>
      </c>
      <c r="C784" s="211" t="n">
        <v>0.6</v>
      </c>
      <c r="D784" s="212">
        <f>#REF!*C784</f>
        <v/>
      </c>
      <c r="E784" s="211" t="n">
        <v>0.4</v>
      </c>
      <c r="F784" s="212">
        <f>D784*E784</f>
        <v/>
      </c>
      <c r="G784" s="213">
        <f>if(or(eq(#REF!,"No Valet"),eq(#REF!,"Has Valet")), F784 * AVERAGE(Accounts!I$2:I$34),F784*#REF!)</f>
        <v/>
      </c>
      <c r="H784" s="213">
        <f>iferror(G784*360,"")</f>
        <v/>
      </c>
      <c r="I784" s="213">
        <f>H784*0.1</f>
        <v/>
      </c>
    </row>
    <row r="785" ht="54.75" customHeight="1" s="222">
      <c r="A785" s="210">
        <f>#REF!</f>
        <v/>
      </c>
      <c r="B785" s="141">
        <f>#REF!</f>
        <v/>
      </c>
      <c r="C785" s="211" t="n">
        <v>0.6</v>
      </c>
      <c r="D785" s="212">
        <f>#REF!*C785</f>
        <v/>
      </c>
      <c r="E785" s="211" t="n">
        <v>0.4</v>
      </c>
      <c r="F785" s="212">
        <f>D785*E785</f>
        <v/>
      </c>
      <c r="G785" s="213">
        <f>if(or(eq(#REF!,"No Valet"),eq(#REF!,"Has Valet")), F785 * AVERAGE(Accounts!I$2:I$34),F785*#REF!)</f>
        <v/>
      </c>
      <c r="H785" s="213">
        <f>iferror(G785*360,"")</f>
        <v/>
      </c>
      <c r="I785" s="213">
        <f>H785*0.1</f>
        <v/>
      </c>
    </row>
    <row r="786" ht="54.75" customHeight="1" s="222">
      <c r="A786" s="210">
        <f>#REF!</f>
        <v/>
      </c>
      <c r="B786" s="141">
        <f>#REF!</f>
        <v/>
      </c>
      <c r="C786" s="211" t="n">
        <v>0.6</v>
      </c>
      <c r="D786" s="212">
        <f>#REF!*C786</f>
        <v/>
      </c>
      <c r="E786" s="211" t="n">
        <v>0.4</v>
      </c>
      <c r="F786" s="212">
        <f>D786*E786</f>
        <v/>
      </c>
      <c r="G786" s="213">
        <f>if(or(eq(#REF!,"No Valet"),eq(#REF!,"Has Valet")), F786 * AVERAGE(Accounts!I$2:I$34),F786*#REF!)</f>
        <v/>
      </c>
      <c r="H786" s="213">
        <f>iferror(G786*360,"")</f>
        <v/>
      </c>
      <c r="I786" s="213">
        <f>H786*0.1</f>
        <v/>
      </c>
    </row>
    <row r="787" ht="54.75" customHeight="1" s="222">
      <c r="A787" s="210">
        <f>#REF!</f>
        <v/>
      </c>
      <c r="B787" s="141">
        <f>#REF!</f>
        <v/>
      </c>
      <c r="C787" s="211" t="n">
        <v>0.6</v>
      </c>
      <c r="D787" s="212">
        <f>#REF!*C787</f>
        <v/>
      </c>
      <c r="E787" s="211" t="n">
        <v>0.4</v>
      </c>
      <c r="F787" s="212">
        <f>D787*E787</f>
        <v/>
      </c>
      <c r="G787" s="213">
        <f>if(or(eq(#REF!,"No Valet"),eq(#REF!,"Has Valet")), F787 * AVERAGE(Accounts!I$2:I$34),F787*#REF!)</f>
        <v/>
      </c>
      <c r="H787" s="213">
        <f>iferror(G787*360,"")</f>
        <v/>
      </c>
      <c r="I787" s="213">
        <f>H787*0.1</f>
        <v/>
      </c>
    </row>
    <row r="788" ht="54.75" customHeight="1" s="222">
      <c r="A788" s="210">
        <f>#REF!</f>
        <v/>
      </c>
      <c r="B788" s="141">
        <f>#REF!</f>
        <v/>
      </c>
      <c r="C788" s="211" t="n">
        <v>0.6</v>
      </c>
      <c r="D788" s="212">
        <f>#REF!*C788</f>
        <v/>
      </c>
      <c r="E788" s="211" t="n">
        <v>0.4</v>
      </c>
      <c r="F788" s="212">
        <f>D788*E788</f>
        <v/>
      </c>
      <c r="G788" s="213">
        <f>if(or(eq(#REF!,"No Valet"),eq(#REF!,"Has Valet")), F788 * AVERAGE(Accounts!I$2:I$34),F788*#REF!)</f>
        <v/>
      </c>
      <c r="H788" s="213">
        <f>iferror(G788*360,"")</f>
        <v/>
      </c>
      <c r="I788" s="213">
        <f>H788*0.1</f>
        <v/>
      </c>
    </row>
    <row r="789" ht="54.75" customHeight="1" s="222">
      <c r="A789" s="210">
        <f>#REF!</f>
        <v/>
      </c>
      <c r="B789" s="141">
        <f>#REF!</f>
        <v/>
      </c>
      <c r="C789" s="211" t="n">
        <v>0.6</v>
      </c>
      <c r="D789" s="212">
        <f>#REF!*C789</f>
        <v/>
      </c>
      <c r="E789" s="211" t="n">
        <v>0.4</v>
      </c>
      <c r="F789" s="212">
        <f>D789*E789</f>
        <v/>
      </c>
      <c r="G789" s="213">
        <f>if(or(eq(#REF!,"No Valet"),eq(#REF!,"Has Valet")), F789 * AVERAGE(Accounts!I$2:I$34),F789*#REF!)</f>
        <v/>
      </c>
      <c r="H789" s="213">
        <f>iferror(G789*360,"")</f>
        <v/>
      </c>
      <c r="I789" s="213">
        <f>H789*0.1</f>
        <v/>
      </c>
    </row>
    <row r="790" ht="54.75" customHeight="1" s="222">
      <c r="A790" s="210">
        <f>#REF!</f>
        <v/>
      </c>
      <c r="B790" s="141">
        <f>#REF!</f>
        <v/>
      </c>
      <c r="C790" s="211" t="n">
        <v>0.6</v>
      </c>
      <c r="D790" s="212">
        <f>#REF!*C790</f>
        <v/>
      </c>
      <c r="E790" s="211" t="n">
        <v>0.4</v>
      </c>
      <c r="F790" s="212">
        <f>D790*E790</f>
        <v/>
      </c>
      <c r="G790" s="213">
        <f>if(or(eq(#REF!,"No Valet"),eq(#REF!,"Has Valet")), F790 * AVERAGE(Accounts!I$2:I$34),F790*#REF!)</f>
        <v/>
      </c>
      <c r="H790" s="213">
        <f>iferror(G790*360,"")</f>
        <v/>
      </c>
      <c r="I790" s="213">
        <f>H790*0.1</f>
        <v/>
      </c>
    </row>
    <row r="791" ht="54.75" customHeight="1" s="222">
      <c r="A791" s="210">
        <f>#REF!</f>
        <v/>
      </c>
      <c r="B791" s="141">
        <f>#REF!</f>
        <v/>
      </c>
      <c r="C791" s="211" t="n">
        <v>0.6</v>
      </c>
      <c r="D791" s="212">
        <f>#REF!*C791</f>
        <v/>
      </c>
      <c r="E791" s="211" t="n">
        <v>0.4</v>
      </c>
      <c r="F791" s="212">
        <f>D791*E791</f>
        <v/>
      </c>
      <c r="G791" s="213">
        <f>if(or(eq(#REF!,"No Valet"),eq(#REF!,"Has Valet")), F791 * AVERAGE(Accounts!I$2:I$34),F791*#REF!)</f>
        <v/>
      </c>
      <c r="H791" s="213">
        <f>iferror(G791*360,"")</f>
        <v/>
      </c>
      <c r="I791" s="213">
        <f>H791*0.1</f>
        <v/>
      </c>
    </row>
    <row r="792" ht="54.75" customHeight="1" s="222">
      <c r="A792" s="210">
        <f>#REF!</f>
        <v/>
      </c>
      <c r="B792" s="141">
        <f>#REF!</f>
        <v/>
      </c>
      <c r="C792" s="211" t="n">
        <v>0.6</v>
      </c>
      <c r="D792" s="212">
        <f>#REF!*C792</f>
        <v/>
      </c>
      <c r="E792" s="211" t="n">
        <v>0.4</v>
      </c>
      <c r="F792" s="212">
        <f>D792*E792</f>
        <v/>
      </c>
      <c r="G792" s="213">
        <f>if(or(eq(#REF!,"No Valet"),eq(#REF!,"Has Valet")), F792 * AVERAGE(Accounts!I$2:I$34),F792*#REF!)</f>
        <v/>
      </c>
      <c r="H792" s="213">
        <f>iferror(G792*360,"")</f>
        <v/>
      </c>
      <c r="I792" s="213">
        <f>H792*0.1</f>
        <v/>
      </c>
    </row>
    <row r="793" ht="54.75" customHeight="1" s="222">
      <c r="A793" s="210">
        <f>#REF!</f>
        <v/>
      </c>
      <c r="B793" s="141">
        <f>#REF!</f>
        <v/>
      </c>
      <c r="C793" s="211" t="n">
        <v>0.6</v>
      </c>
      <c r="D793" s="212">
        <f>#REF!*C793</f>
        <v/>
      </c>
      <c r="E793" s="211" t="n">
        <v>0.4</v>
      </c>
      <c r="F793" s="212">
        <f>D793*E793</f>
        <v/>
      </c>
      <c r="G793" s="213">
        <f>if(or(eq(#REF!,"No Valet"),eq(#REF!,"Has Valet")), F793 * AVERAGE(Accounts!I$2:I$34),F793*#REF!)</f>
        <v/>
      </c>
      <c r="H793" s="213">
        <f>iferror(G793*360,"")</f>
        <v/>
      </c>
      <c r="I793" s="213">
        <f>H793*0.1</f>
        <v/>
      </c>
    </row>
    <row r="794" ht="54.75" customHeight="1" s="222">
      <c r="A794" s="210">
        <f>#REF!</f>
        <v/>
      </c>
      <c r="B794" s="141">
        <f>#REF!</f>
        <v/>
      </c>
      <c r="C794" s="211" t="n">
        <v>0.6</v>
      </c>
      <c r="D794" s="212">
        <f>#REF!*C794</f>
        <v/>
      </c>
      <c r="E794" s="211" t="n">
        <v>0.4</v>
      </c>
      <c r="F794" s="212">
        <f>D794*E794</f>
        <v/>
      </c>
      <c r="G794" s="213">
        <f>if(or(eq(#REF!,"No Valet"),eq(#REF!,"Has Valet")), F794 * AVERAGE(Accounts!I$2:I$34),F794*#REF!)</f>
        <v/>
      </c>
      <c r="H794" s="213">
        <f>iferror(G794*360,"")</f>
        <v/>
      </c>
      <c r="I794" s="213">
        <f>H794*0.1</f>
        <v/>
      </c>
    </row>
    <row r="795" ht="54.75" customHeight="1" s="222">
      <c r="A795" s="210">
        <f>#REF!</f>
        <v/>
      </c>
      <c r="B795" s="141">
        <f>#REF!</f>
        <v/>
      </c>
      <c r="C795" s="211" t="n">
        <v>0.6</v>
      </c>
      <c r="D795" s="212">
        <f>#REF!*C795</f>
        <v/>
      </c>
      <c r="E795" s="211" t="n">
        <v>0.4</v>
      </c>
      <c r="F795" s="212">
        <f>D795*E795</f>
        <v/>
      </c>
      <c r="G795" s="213">
        <f>if(or(eq(#REF!,"No Valet"),eq(#REF!,"Has Valet")), F795 * AVERAGE(Accounts!I$2:I$34),F795*#REF!)</f>
        <v/>
      </c>
      <c r="H795" s="213">
        <f>iferror(G795*360,"")</f>
        <v/>
      </c>
      <c r="I795" s="213">
        <f>H795*0.1</f>
        <v/>
      </c>
    </row>
    <row r="796" ht="54.75" customHeight="1" s="222">
      <c r="A796" s="210">
        <f>#REF!</f>
        <v/>
      </c>
      <c r="B796" s="141">
        <f>#REF!</f>
        <v/>
      </c>
      <c r="C796" s="211" t="n">
        <v>0.6</v>
      </c>
      <c r="D796" s="212">
        <f>#REF!*C796</f>
        <v/>
      </c>
      <c r="E796" s="211" t="n">
        <v>0.4</v>
      </c>
      <c r="F796" s="212">
        <f>D796*E796</f>
        <v/>
      </c>
      <c r="G796" s="213">
        <f>if(or(eq(#REF!,"No Valet"),eq(#REF!,"Has Valet")), F796 * AVERAGE(Accounts!I$2:I$34),F796*#REF!)</f>
        <v/>
      </c>
      <c r="H796" s="213">
        <f>iferror(G796*360,"")</f>
        <v/>
      </c>
      <c r="I796" s="213">
        <f>H796*0.1</f>
        <v/>
      </c>
    </row>
    <row r="797" ht="54.75" customHeight="1" s="222">
      <c r="A797" s="210">
        <f>#REF!</f>
        <v/>
      </c>
      <c r="B797" s="141">
        <f>#REF!</f>
        <v/>
      </c>
      <c r="C797" s="211" t="n">
        <v>0.6</v>
      </c>
      <c r="D797" s="212">
        <f>#REF!*C797</f>
        <v/>
      </c>
      <c r="E797" s="211" t="n">
        <v>0.4</v>
      </c>
      <c r="F797" s="212">
        <f>D797*E797</f>
        <v/>
      </c>
      <c r="G797" s="213">
        <f>if(or(eq(#REF!,"No Valet"),eq(#REF!,"Has Valet")), F797 * AVERAGE(Accounts!I$2:I$34),F797*#REF!)</f>
        <v/>
      </c>
      <c r="H797" s="213">
        <f>iferror(G797*360,"")</f>
        <v/>
      </c>
      <c r="I797" s="213">
        <f>H797*0.1</f>
        <v/>
      </c>
    </row>
    <row r="798" ht="54.75" customHeight="1" s="222">
      <c r="A798" s="210">
        <f>#REF!</f>
        <v/>
      </c>
      <c r="B798" s="141">
        <f>#REF!</f>
        <v/>
      </c>
      <c r="C798" s="211" t="n">
        <v>0.6</v>
      </c>
      <c r="D798" s="212">
        <f>#REF!*C798</f>
        <v/>
      </c>
      <c r="E798" s="211" t="n">
        <v>0.4</v>
      </c>
      <c r="F798" s="212">
        <f>D798*E798</f>
        <v/>
      </c>
      <c r="G798" s="213">
        <f>if(or(eq(#REF!,"No Valet"),eq(#REF!,"Has Valet")), F798 * AVERAGE(Accounts!I$2:I$34),F798*#REF!)</f>
        <v/>
      </c>
      <c r="H798" s="213">
        <f>iferror(G798*360,"")</f>
        <v/>
      </c>
      <c r="I798" s="213">
        <f>H798*0.1</f>
        <v/>
      </c>
    </row>
    <row r="799" ht="54.75" customHeight="1" s="222">
      <c r="A799" s="210">
        <f>#REF!</f>
        <v/>
      </c>
      <c r="B799" s="141">
        <f>#REF!</f>
        <v/>
      </c>
      <c r="C799" s="211" t="n">
        <v>0.6</v>
      </c>
      <c r="D799" s="212">
        <f>#REF!*C799</f>
        <v/>
      </c>
      <c r="E799" s="211" t="n">
        <v>0.4</v>
      </c>
      <c r="F799" s="212">
        <f>D799*E799</f>
        <v/>
      </c>
      <c r="G799" s="213">
        <f>if(or(eq(#REF!,"No Valet"),eq(#REF!,"Has Valet")), F799 * AVERAGE(Accounts!I$2:I$34),F799*#REF!)</f>
        <v/>
      </c>
      <c r="H799" s="213">
        <f>iferror(G799*360,"")</f>
        <v/>
      </c>
      <c r="I799" s="213">
        <f>H799*0.1</f>
        <v/>
      </c>
    </row>
    <row r="800" ht="54.75" customHeight="1" s="222">
      <c r="A800" s="210">
        <f>#REF!</f>
        <v/>
      </c>
      <c r="B800" s="141">
        <f>#REF!</f>
        <v/>
      </c>
      <c r="C800" s="211" t="n">
        <v>0.6</v>
      </c>
      <c r="D800" s="212">
        <f>#REF!*C800</f>
        <v/>
      </c>
      <c r="E800" s="211" t="n">
        <v>0.4</v>
      </c>
      <c r="F800" s="212">
        <f>D800*E800</f>
        <v/>
      </c>
      <c r="G800" s="213">
        <f>if(or(eq(#REF!,"No Valet"),eq(#REF!,"Has Valet")), F800 * AVERAGE(Accounts!I$2:I$34),F800*#REF!)</f>
        <v/>
      </c>
      <c r="H800" s="213">
        <f>iferror(G800*360,"")</f>
        <v/>
      </c>
      <c r="I800" s="213">
        <f>H800*0.1</f>
        <v/>
      </c>
    </row>
    <row r="801" ht="54.75" customHeight="1" s="222">
      <c r="A801" s="210">
        <f>#REF!</f>
        <v/>
      </c>
      <c r="B801" s="141">
        <f>#REF!</f>
        <v/>
      </c>
      <c r="C801" s="211" t="n">
        <v>0.6</v>
      </c>
      <c r="D801" s="212">
        <f>#REF!*C801</f>
        <v/>
      </c>
      <c r="E801" s="211" t="n">
        <v>0.4</v>
      </c>
      <c r="F801" s="212">
        <f>D801*E801</f>
        <v/>
      </c>
      <c r="G801" s="213">
        <f>if(or(eq(#REF!,"No Valet"),eq(#REF!,"Has Valet")), F801 * AVERAGE(Accounts!I$2:I$34),F801*#REF!)</f>
        <v/>
      </c>
      <c r="H801" s="213">
        <f>iferror(G801*360,"")</f>
        <v/>
      </c>
      <c r="I801" s="213">
        <f>H801*0.1</f>
        <v/>
      </c>
    </row>
    <row r="802" ht="54.75" customHeight="1" s="222">
      <c r="A802" s="210">
        <f>#REF!</f>
        <v/>
      </c>
      <c r="B802" s="141">
        <f>#REF!</f>
        <v/>
      </c>
      <c r="C802" s="211" t="n">
        <v>0.6</v>
      </c>
      <c r="D802" s="212">
        <f>#REF!*C802</f>
        <v/>
      </c>
      <c r="E802" s="211" t="n">
        <v>0.4</v>
      </c>
      <c r="F802" s="212">
        <f>D802*E802</f>
        <v/>
      </c>
      <c r="G802" s="213">
        <f>if(or(eq(#REF!,"No Valet"),eq(#REF!,"Has Valet")), F802 * AVERAGE(Accounts!I$2:I$34),F802*#REF!)</f>
        <v/>
      </c>
      <c r="H802" s="213">
        <f>iferror(G802*360,"")</f>
        <v/>
      </c>
      <c r="I802" s="213">
        <f>H802*0.1</f>
        <v/>
      </c>
    </row>
    <row r="803" ht="54.75" customHeight="1" s="222">
      <c r="A803" s="210">
        <f>#REF!</f>
        <v/>
      </c>
      <c r="B803" s="141">
        <f>#REF!</f>
        <v/>
      </c>
      <c r="C803" s="211" t="n">
        <v>0.6</v>
      </c>
      <c r="D803" s="212">
        <f>#REF!*C803</f>
        <v/>
      </c>
      <c r="E803" s="211" t="n">
        <v>0.4</v>
      </c>
      <c r="F803" s="212">
        <f>D803*E803</f>
        <v/>
      </c>
      <c r="G803" s="213">
        <f>if(or(eq(#REF!,"No Valet"),eq(#REF!,"Has Valet")), F803 * AVERAGE(Accounts!I$2:I$34),F803*#REF!)</f>
        <v/>
      </c>
      <c r="H803" s="213">
        <f>iferror(G803*360,"")</f>
        <v/>
      </c>
      <c r="I803" s="213">
        <f>H803*0.1</f>
        <v/>
      </c>
    </row>
    <row r="804" ht="54.75" customHeight="1" s="222">
      <c r="A804" s="210">
        <f>#REF!</f>
        <v/>
      </c>
      <c r="B804" s="141">
        <f>#REF!</f>
        <v/>
      </c>
      <c r="C804" s="211" t="n">
        <v>0.6</v>
      </c>
      <c r="D804" s="212">
        <f>#REF!*C804</f>
        <v/>
      </c>
      <c r="E804" s="211" t="n">
        <v>0.4</v>
      </c>
      <c r="F804" s="212">
        <f>D804*E804</f>
        <v/>
      </c>
      <c r="G804" s="213">
        <f>if(or(eq(#REF!,"No Valet"),eq(#REF!,"Has Valet")), F804 * AVERAGE(Accounts!I$2:I$34),F804*#REF!)</f>
        <v/>
      </c>
      <c r="H804" s="213">
        <f>iferror(G804*360,"")</f>
        <v/>
      </c>
      <c r="I804" s="213">
        <f>H804*0.1</f>
        <v/>
      </c>
    </row>
    <row r="805" ht="54.75" customHeight="1" s="222">
      <c r="A805" s="210">
        <f>#REF!</f>
        <v/>
      </c>
      <c r="B805" s="141">
        <f>#REF!</f>
        <v/>
      </c>
      <c r="C805" s="211" t="n">
        <v>0.6</v>
      </c>
      <c r="D805" s="212">
        <f>#REF!*C805</f>
        <v/>
      </c>
      <c r="E805" s="211" t="n">
        <v>0.4</v>
      </c>
      <c r="F805" s="212">
        <f>D805*E805</f>
        <v/>
      </c>
      <c r="G805" s="213">
        <f>if(or(eq(#REF!,"No Valet"),eq(#REF!,"Has Valet")), F805 * AVERAGE(Accounts!I$2:I$34),F805*#REF!)</f>
        <v/>
      </c>
      <c r="H805" s="213">
        <f>iferror(G805*360,"")</f>
        <v/>
      </c>
      <c r="I805" s="213">
        <f>H805*0.1</f>
        <v/>
      </c>
    </row>
    <row r="806" ht="54.75" customHeight="1" s="222">
      <c r="A806" s="210">
        <f>#REF!</f>
        <v/>
      </c>
      <c r="B806" s="141">
        <f>#REF!</f>
        <v/>
      </c>
      <c r="C806" s="211" t="n">
        <v>0.6</v>
      </c>
      <c r="D806" s="212">
        <f>#REF!*C806</f>
        <v/>
      </c>
      <c r="E806" s="211" t="n">
        <v>0.4</v>
      </c>
      <c r="F806" s="212">
        <f>D806*E806</f>
        <v/>
      </c>
      <c r="G806" s="213">
        <f>if(or(eq(#REF!,"No Valet"),eq(#REF!,"Has Valet")), F806 * AVERAGE(Accounts!I$2:I$34),F806*#REF!)</f>
        <v/>
      </c>
      <c r="H806" s="213">
        <f>iferror(G806*360,"")</f>
        <v/>
      </c>
      <c r="I806" s="213">
        <f>H806*0.1</f>
        <v/>
      </c>
    </row>
    <row r="807" ht="54.75" customHeight="1" s="222">
      <c r="A807" s="210">
        <f>#REF!</f>
        <v/>
      </c>
      <c r="B807" s="141">
        <f>#REF!</f>
        <v/>
      </c>
      <c r="C807" s="211" t="n">
        <v>0.6</v>
      </c>
      <c r="D807" s="212">
        <f>#REF!*C807</f>
        <v/>
      </c>
      <c r="E807" s="211" t="n">
        <v>0.4</v>
      </c>
      <c r="F807" s="212">
        <f>D807*E807</f>
        <v/>
      </c>
      <c r="G807" s="213">
        <f>if(or(eq(#REF!,"No Valet"),eq(#REF!,"Has Valet")), F807 * AVERAGE(Accounts!I$2:I$34),F807*#REF!)</f>
        <v/>
      </c>
      <c r="H807" s="213">
        <f>iferror(G807*360,"")</f>
        <v/>
      </c>
      <c r="I807" s="213">
        <f>H807*0.1</f>
        <v/>
      </c>
    </row>
    <row r="808" ht="54.75" customHeight="1" s="222">
      <c r="A808" s="210">
        <f>#REF!</f>
        <v/>
      </c>
      <c r="B808" s="141">
        <f>#REF!</f>
        <v/>
      </c>
      <c r="C808" s="211" t="n">
        <v>0.6</v>
      </c>
      <c r="D808" s="212">
        <f>#REF!*C808</f>
        <v/>
      </c>
      <c r="E808" s="211" t="n">
        <v>0.4</v>
      </c>
      <c r="F808" s="212">
        <f>D808*E808</f>
        <v/>
      </c>
      <c r="G808" s="213">
        <f>if(or(eq(#REF!,"No Valet"),eq(#REF!,"Has Valet")), F808 * AVERAGE(Accounts!I$2:I$34),F808*#REF!)</f>
        <v/>
      </c>
      <c r="H808" s="213">
        <f>iferror(G808*360,"")</f>
        <v/>
      </c>
      <c r="I808" s="213">
        <f>H808*0.1</f>
        <v/>
      </c>
    </row>
    <row r="809" ht="54.75" customHeight="1" s="222">
      <c r="A809" s="210">
        <f>#REF!</f>
        <v/>
      </c>
      <c r="B809" s="141">
        <f>#REF!</f>
        <v/>
      </c>
      <c r="C809" s="211" t="n">
        <v>0.6</v>
      </c>
      <c r="D809" s="212">
        <f>#REF!*C809</f>
        <v/>
      </c>
      <c r="E809" s="211" t="n">
        <v>0.4</v>
      </c>
      <c r="F809" s="212">
        <f>D809*E809</f>
        <v/>
      </c>
      <c r="G809" s="213">
        <f>if(or(eq(#REF!,"No Valet"),eq(#REF!,"Has Valet")), F809 * AVERAGE(Accounts!I$2:I$34),F809*#REF!)</f>
        <v/>
      </c>
      <c r="H809" s="213">
        <f>iferror(G809*360,"")</f>
        <v/>
      </c>
      <c r="I809" s="213">
        <f>H809*0.1</f>
        <v/>
      </c>
    </row>
    <row r="810" ht="54.75" customHeight="1" s="222">
      <c r="A810" s="210">
        <f>#REF!</f>
        <v/>
      </c>
      <c r="B810" s="141">
        <f>#REF!</f>
        <v/>
      </c>
      <c r="C810" s="211" t="n">
        <v>0.6</v>
      </c>
      <c r="D810" s="212">
        <f>#REF!*C810</f>
        <v/>
      </c>
      <c r="E810" s="211" t="n">
        <v>0.4</v>
      </c>
      <c r="F810" s="212">
        <f>D810*E810</f>
        <v/>
      </c>
      <c r="G810" s="213">
        <f>if(or(eq(#REF!,"No Valet"),eq(#REF!,"Has Valet")), F810 * AVERAGE(Accounts!I$2:I$34),F810*#REF!)</f>
        <v/>
      </c>
      <c r="H810" s="213">
        <f>iferror(G810*360,"")</f>
        <v/>
      </c>
      <c r="I810" s="213">
        <f>H810*0.1</f>
        <v/>
      </c>
    </row>
    <row r="811" ht="54.75" customHeight="1" s="222">
      <c r="A811" s="210">
        <f>#REF!</f>
        <v/>
      </c>
      <c r="B811" s="141">
        <f>#REF!</f>
        <v/>
      </c>
      <c r="C811" s="211" t="n">
        <v>0.6</v>
      </c>
      <c r="D811" s="212">
        <f>#REF!*C811</f>
        <v/>
      </c>
      <c r="E811" s="211" t="n">
        <v>0.4</v>
      </c>
      <c r="F811" s="212">
        <f>D811*E811</f>
        <v/>
      </c>
      <c r="G811" s="213">
        <f>if(or(eq(#REF!,"No Valet"),eq(#REF!,"Has Valet")), F811 * AVERAGE(Accounts!I$2:I$34),F811*#REF!)</f>
        <v/>
      </c>
      <c r="H811" s="213">
        <f>iferror(G811*360,"")</f>
        <v/>
      </c>
      <c r="I811" s="213">
        <f>H811*0.1</f>
        <v/>
      </c>
    </row>
    <row r="812" ht="54.75" customHeight="1" s="222">
      <c r="A812" s="210">
        <f>#REF!</f>
        <v/>
      </c>
      <c r="B812" s="141">
        <f>#REF!</f>
        <v/>
      </c>
      <c r="C812" s="211" t="n">
        <v>0.6</v>
      </c>
      <c r="D812" s="212">
        <f>#REF!*C812</f>
        <v/>
      </c>
      <c r="E812" s="211" t="n">
        <v>0.4</v>
      </c>
      <c r="F812" s="212">
        <f>D812*E812</f>
        <v/>
      </c>
      <c r="G812" s="213">
        <f>if(or(eq(#REF!,"No Valet"),eq(#REF!,"Has Valet")), F812 * AVERAGE(Accounts!I$2:I$34),F812*#REF!)</f>
        <v/>
      </c>
      <c r="H812" s="213">
        <f>iferror(G812*360,"")</f>
        <v/>
      </c>
      <c r="I812" s="213">
        <f>H812*0.1</f>
        <v/>
      </c>
    </row>
    <row r="813" ht="54.75" customHeight="1" s="222">
      <c r="A813" s="210">
        <f>#REF!</f>
        <v/>
      </c>
      <c r="B813" s="141">
        <f>#REF!</f>
        <v/>
      </c>
      <c r="C813" s="211" t="n">
        <v>0.6</v>
      </c>
      <c r="D813" s="212">
        <f>#REF!*C813</f>
        <v/>
      </c>
      <c r="E813" s="211" t="n">
        <v>0.4</v>
      </c>
      <c r="F813" s="212">
        <f>D813*E813</f>
        <v/>
      </c>
      <c r="G813" s="213">
        <f>if(or(eq(#REF!,"No Valet"),eq(#REF!,"Has Valet")), F813 * AVERAGE(Accounts!I$2:I$34),F813*#REF!)</f>
        <v/>
      </c>
      <c r="H813" s="213">
        <f>iferror(G813*360,"")</f>
        <v/>
      </c>
      <c r="I813" s="213">
        <f>H813*0.1</f>
        <v/>
      </c>
    </row>
    <row r="814" ht="54.75" customHeight="1" s="222">
      <c r="A814" s="210">
        <f>#REF!</f>
        <v/>
      </c>
      <c r="B814" s="141">
        <f>#REF!</f>
        <v/>
      </c>
      <c r="C814" s="211" t="n">
        <v>0.6</v>
      </c>
      <c r="D814" s="212">
        <f>#REF!*C814</f>
        <v/>
      </c>
      <c r="E814" s="211" t="n">
        <v>0.4</v>
      </c>
      <c r="F814" s="212">
        <f>D814*E814</f>
        <v/>
      </c>
      <c r="G814" s="213">
        <f>if(or(eq(#REF!,"No Valet"),eq(#REF!,"Has Valet")), F814 * AVERAGE(Accounts!I$2:I$34),F814*#REF!)</f>
        <v/>
      </c>
      <c r="H814" s="213">
        <f>iferror(G814*360,"")</f>
        <v/>
      </c>
      <c r="I814" s="213">
        <f>H814*0.1</f>
        <v/>
      </c>
    </row>
    <row r="815" ht="54.75" customHeight="1" s="222">
      <c r="A815" s="210">
        <f>#REF!</f>
        <v/>
      </c>
      <c r="B815" s="141">
        <f>#REF!</f>
        <v/>
      </c>
      <c r="C815" s="211" t="n">
        <v>0.6</v>
      </c>
      <c r="D815" s="212">
        <f>#REF!*C815</f>
        <v/>
      </c>
      <c r="E815" s="211" t="n">
        <v>0.4</v>
      </c>
      <c r="F815" s="212">
        <f>D815*E815</f>
        <v/>
      </c>
      <c r="G815" s="213">
        <f>if(or(eq(#REF!,"No Valet"),eq(#REF!,"Has Valet")), F815 * AVERAGE(Accounts!I$2:I$34),F815*#REF!)</f>
        <v/>
      </c>
      <c r="H815" s="213">
        <f>iferror(G815*360,"")</f>
        <v/>
      </c>
      <c r="I815" s="213">
        <f>H815*0.1</f>
        <v/>
      </c>
    </row>
    <row r="816" ht="54.75" customHeight="1" s="222">
      <c r="A816" s="210">
        <f>#REF!</f>
        <v/>
      </c>
      <c r="B816" s="141">
        <f>#REF!</f>
        <v/>
      </c>
      <c r="C816" s="211" t="n">
        <v>0.6</v>
      </c>
      <c r="D816" s="212">
        <f>#REF!*C816</f>
        <v/>
      </c>
      <c r="E816" s="211" t="n">
        <v>0.4</v>
      </c>
      <c r="F816" s="212">
        <f>D816*E816</f>
        <v/>
      </c>
      <c r="G816" s="213">
        <f>if(or(eq(#REF!,"No Valet"),eq(#REF!,"Has Valet")), F816 * AVERAGE(Accounts!I$2:I$34),F816*#REF!)</f>
        <v/>
      </c>
      <c r="H816" s="213">
        <f>iferror(G816*360,"")</f>
        <v/>
      </c>
      <c r="I816" s="213">
        <f>H816*0.1</f>
        <v/>
      </c>
    </row>
    <row r="817" ht="54.75" customHeight="1" s="222">
      <c r="A817" s="210">
        <f>#REF!</f>
        <v/>
      </c>
      <c r="B817" s="141">
        <f>#REF!</f>
        <v/>
      </c>
      <c r="C817" s="211" t="n">
        <v>0.6</v>
      </c>
      <c r="D817" s="212">
        <f>#REF!*C817</f>
        <v/>
      </c>
      <c r="E817" s="211" t="n">
        <v>0.4</v>
      </c>
      <c r="F817" s="212">
        <f>D817*E817</f>
        <v/>
      </c>
      <c r="G817" s="213">
        <f>if(or(eq(#REF!,"No Valet"),eq(#REF!,"Has Valet")), F817 * AVERAGE(Accounts!I$2:I$34),F817*#REF!)</f>
        <v/>
      </c>
      <c r="H817" s="213">
        <f>iferror(G817*360,"")</f>
        <v/>
      </c>
      <c r="I817" s="213">
        <f>H817*0.1</f>
        <v/>
      </c>
    </row>
    <row r="818" ht="54.75" customHeight="1" s="222">
      <c r="A818" s="210">
        <f>#REF!</f>
        <v/>
      </c>
      <c r="B818" s="141">
        <f>#REF!</f>
        <v/>
      </c>
      <c r="C818" s="211" t="n">
        <v>0.6</v>
      </c>
      <c r="D818" s="212">
        <f>#REF!*C818</f>
        <v/>
      </c>
      <c r="E818" s="211" t="n">
        <v>0.4</v>
      </c>
      <c r="F818" s="212">
        <f>D818*E818</f>
        <v/>
      </c>
      <c r="G818" s="213">
        <f>if(or(eq(#REF!,"No Valet"),eq(#REF!,"Has Valet")), F818 * AVERAGE(Accounts!I$2:I$34),F818*#REF!)</f>
        <v/>
      </c>
      <c r="H818" s="213">
        <f>iferror(G818*360,"")</f>
        <v/>
      </c>
      <c r="I818" s="213">
        <f>H818*0.1</f>
        <v/>
      </c>
    </row>
    <row r="819" ht="54.75" customHeight="1" s="222">
      <c r="A819" s="210">
        <f>#REF!</f>
        <v/>
      </c>
      <c r="B819" s="141">
        <f>#REF!</f>
        <v/>
      </c>
      <c r="C819" s="211" t="n">
        <v>0.6</v>
      </c>
      <c r="D819" s="212">
        <f>#REF!*C819</f>
        <v/>
      </c>
      <c r="E819" s="211" t="n">
        <v>0.4</v>
      </c>
      <c r="F819" s="212">
        <f>D819*E819</f>
        <v/>
      </c>
      <c r="G819" s="213">
        <f>if(or(eq(#REF!,"No Valet"),eq(#REF!,"Has Valet")), F819 * AVERAGE(Accounts!I$2:I$34),F819*#REF!)</f>
        <v/>
      </c>
      <c r="H819" s="213">
        <f>iferror(G819*360,"")</f>
        <v/>
      </c>
      <c r="I819" s="213">
        <f>H819*0.1</f>
        <v/>
      </c>
    </row>
    <row r="820" ht="54.75" customHeight="1" s="222">
      <c r="A820" s="210">
        <f>#REF!</f>
        <v/>
      </c>
      <c r="B820" s="141">
        <f>#REF!</f>
        <v/>
      </c>
      <c r="C820" s="211" t="n">
        <v>0.6</v>
      </c>
      <c r="D820" s="212">
        <f>#REF!*C820</f>
        <v/>
      </c>
      <c r="E820" s="211" t="n">
        <v>0.4</v>
      </c>
      <c r="F820" s="212">
        <f>D820*E820</f>
        <v/>
      </c>
      <c r="G820" s="213">
        <f>if(or(eq(#REF!,"No Valet"),eq(#REF!,"Has Valet")), F820 * AVERAGE(Accounts!I$2:I$34),F820*#REF!)</f>
        <v/>
      </c>
      <c r="H820" s="213">
        <f>iferror(G820*360,"")</f>
        <v/>
      </c>
      <c r="I820" s="213">
        <f>H820*0.1</f>
        <v/>
      </c>
    </row>
    <row r="821" ht="54.75" customHeight="1" s="222">
      <c r="A821" s="210">
        <f>#REF!</f>
        <v/>
      </c>
      <c r="B821" s="141">
        <f>#REF!</f>
        <v/>
      </c>
      <c r="C821" s="211" t="n">
        <v>0.6</v>
      </c>
      <c r="D821" s="212">
        <f>#REF!*C821</f>
        <v/>
      </c>
      <c r="E821" s="211" t="n">
        <v>0.4</v>
      </c>
      <c r="F821" s="212">
        <f>D821*E821</f>
        <v/>
      </c>
      <c r="G821" s="213">
        <f>if(or(eq(#REF!,"No Valet"),eq(#REF!,"Has Valet")), F821 * AVERAGE(Accounts!I$2:I$34),F821*#REF!)</f>
        <v/>
      </c>
      <c r="H821" s="213">
        <f>iferror(G821*360,"")</f>
        <v/>
      </c>
      <c r="I821" s="213">
        <f>H821*0.1</f>
        <v/>
      </c>
    </row>
    <row r="822" ht="54.75" customHeight="1" s="222">
      <c r="A822" s="210">
        <f>#REF!</f>
        <v/>
      </c>
      <c r="B822" s="141">
        <f>#REF!</f>
        <v/>
      </c>
      <c r="C822" s="211" t="n">
        <v>0.6</v>
      </c>
      <c r="D822" s="212">
        <f>#REF!*C822</f>
        <v/>
      </c>
      <c r="E822" s="211" t="n">
        <v>0.4</v>
      </c>
      <c r="F822" s="212">
        <f>D822*E822</f>
        <v/>
      </c>
      <c r="G822" s="213">
        <f>if(or(eq(#REF!,"No Valet"),eq(#REF!,"Has Valet")), F822 * AVERAGE(Accounts!I$2:I$34),F822*#REF!)</f>
        <v/>
      </c>
      <c r="H822" s="213">
        <f>iferror(G822*360,"")</f>
        <v/>
      </c>
      <c r="I822" s="213">
        <f>H822*0.1</f>
        <v/>
      </c>
    </row>
    <row r="823" ht="54.75" customHeight="1" s="222">
      <c r="A823" s="210">
        <f>#REF!</f>
        <v/>
      </c>
      <c r="B823" s="141">
        <f>#REF!</f>
        <v/>
      </c>
      <c r="C823" s="211" t="n">
        <v>0.6</v>
      </c>
      <c r="D823" s="212">
        <f>#REF!*C823</f>
        <v/>
      </c>
      <c r="E823" s="211" t="n">
        <v>0.4</v>
      </c>
      <c r="F823" s="212">
        <f>D823*E823</f>
        <v/>
      </c>
      <c r="G823" s="213">
        <f>if(or(eq(#REF!,"No Valet"),eq(#REF!,"Has Valet")), F823 * AVERAGE(Accounts!I$2:I$34),F823*#REF!)</f>
        <v/>
      </c>
      <c r="H823" s="213">
        <f>iferror(G823*360,"")</f>
        <v/>
      </c>
      <c r="I823" s="213">
        <f>H823*0.1</f>
        <v/>
      </c>
    </row>
    <row r="824" ht="54.75" customHeight="1" s="222">
      <c r="A824" s="210">
        <f>#REF!</f>
        <v/>
      </c>
      <c r="B824" s="141">
        <f>#REF!</f>
        <v/>
      </c>
      <c r="C824" s="211" t="n">
        <v>0.6</v>
      </c>
      <c r="D824" s="212">
        <f>#REF!*C824</f>
        <v/>
      </c>
      <c r="E824" s="211" t="n">
        <v>0.4</v>
      </c>
      <c r="F824" s="212">
        <f>D824*E824</f>
        <v/>
      </c>
      <c r="G824" s="213">
        <f>if(or(eq(#REF!,"No Valet"),eq(#REF!,"Has Valet")), F824 * AVERAGE(Accounts!I$2:I$34),F824*#REF!)</f>
        <v/>
      </c>
      <c r="H824" s="213">
        <f>iferror(G824*360,"")</f>
        <v/>
      </c>
      <c r="I824" s="213">
        <f>H824*0.1</f>
        <v/>
      </c>
    </row>
    <row r="825" ht="54.75" customHeight="1" s="222">
      <c r="A825" s="210">
        <f>#REF!</f>
        <v/>
      </c>
      <c r="B825" s="141">
        <f>#REF!</f>
        <v/>
      </c>
      <c r="C825" s="211" t="n">
        <v>0.6</v>
      </c>
      <c r="D825" s="212">
        <f>#REF!*C825</f>
        <v/>
      </c>
      <c r="E825" s="211" t="n">
        <v>0.4</v>
      </c>
      <c r="F825" s="212">
        <f>D825*E825</f>
        <v/>
      </c>
      <c r="G825" s="213">
        <f>if(or(eq(#REF!,"No Valet"),eq(#REF!,"Has Valet")), F825 * AVERAGE(Accounts!I$2:I$34),F825*#REF!)</f>
        <v/>
      </c>
      <c r="H825" s="213">
        <f>iferror(G825*360,"")</f>
        <v/>
      </c>
      <c r="I825" s="213">
        <f>H825*0.1</f>
        <v/>
      </c>
    </row>
    <row r="826" ht="54.75" customHeight="1" s="222">
      <c r="A826" s="210">
        <f>#REF!</f>
        <v/>
      </c>
      <c r="B826" s="141">
        <f>#REF!</f>
        <v/>
      </c>
      <c r="C826" s="211" t="n">
        <v>0.6</v>
      </c>
      <c r="D826" s="212">
        <f>#REF!*C826</f>
        <v/>
      </c>
      <c r="E826" s="211" t="n">
        <v>0.4</v>
      </c>
      <c r="F826" s="212">
        <f>D826*E826</f>
        <v/>
      </c>
      <c r="G826" s="213">
        <f>if(or(eq(#REF!,"No Valet"),eq(#REF!,"Has Valet")), F826 * AVERAGE(Accounts!I$2:I$34),F826*#REF!)</f>
        <v/>
      </c>
      <c r="H826" s="213">
        <f>iferror(G826*360,"")</f>
        <v/>
      </c>
      <c r="I826" s="213">
        <f>H826*0.1</f>
        <v/>
      </c>
    </row>
    <row r="827" ht="54.75" customHeight="1" s="222">
      <c r="A827" s="210">
        <f>#REF!</f>
        <v/>
      </c>
      <c r="B827" s="141">
        <f>#REF!</f>
        <v/>
      </c>
      <c r="C827" s="211" t="n">
        <v>0.6</v>
      </c>
      <c r="D827" s="212">
        <f>#REF!*C827</f>
        <v/>
      </c>
      <c r="E827" s="211" t="n">
        <v>0.4</v>
      </c>
      <c r="F827" s="212">
        <f>D827*E827</f>
        <v/>
      </c>
      <c r="G827" s="213">
        <f>if(or(eq(#REF!,"No Valet"),eq(#REF!,"Has Valet")), F827 * AVERAGE(Accounts!I$2:I$34),F827*#REF!)</f>
        <v/>
      </c>
      <c r="H827" s="213">
        <f>iferror(G827*360,"")</f>
        <v/>
      </c>
      <c r="I827" s="213">
        <f>H827*0.1</f>
        <v/>
      </c>
    </row>
    <row r="828" ht="54.75" customHeight="1" s="222">
      <c r="A828" s="210">
        <f>#REF!</f>
        <v/>
      </c>
      <c r="B828" s="141">
        <f>#REF!</f>
        <v/>
      </c>
      <c r="C828" s="211" t="n">
        <v>0.6</v>
      </c>
      <c r="D828" s="212">
        <f>#REF!*C828</f>
        <v/>
      </c>
      <c r="E828" s="211" t="n">
        <v>0.4</v>
      </c>
      <c r="F828" s="212">
        <f>D828*E828</f>
        <v/>
      </c>
      <c r="G828" s="213">
        <f>if(or(eq(#REF!,"No Valet"),eq(#REF!,"Has Valet")), F828 * AVERAGE(Accounts!I$2:I$34),F828*#REF!)</f>
        <v/>
      </c>
      <c r="H828" s="213">
        <f>iferror(G828*360,"")</f>
        <v/>
      </c>
      <c r="I828" s="213">
        <f>H828*0.1</f>
        <v/>
      </c>
    </row>
    <row r="829" ht="54.75" customHeight="1" s="222">
      <c r="A829" s="210">
        <f>#REF!</f>
        <v/>
      </c>
      <c r="B829" s="141">
        <f>#REF!</f>
        <v/>
      </c>
      <c r="C829" s="211" t="n">
        <v>0.6</v>
      </c>
      <c r="D829" s="212">
        <f>#REF!*C829</f>
        <v/>
      </c>
      <c r="E829" s="211" t="n">
        <v>0.4</v>
      </c>
      <c r="F829" s="212">
        <f>D829*E829</f>
        <v/>
      </c>
      <c r="G829" s="213">
        <f>if(or(eq(#REF!,"No Valet"),eq(#REF!,"Has Valet")), F829 * AVERAGE(Accounts!I$2:I$34),F829*#REF!)</f>
        <v/>
      </c>
      <c r="H829" s="213">
        <f>iferror(G829*360,"")</f>
        <v/>
      </c>
      <c r="I829" s="213">
        <f>H829*0.1</f>
        <v/>
      </c>
    </row>
    <row r="830" ht="54.75" customHeight="1" s="222">
      <c r="A830" s="210">
        <f>#REF!</f>
        <v/>
      </c>
      <c r="B830" s="141">
        <f>#REF!</f>
        <v/>
      </c>
      <c r="C830" s="211" t="n">
        <v>0.6</v>
      </c>
      <c r="D830" s="212">
        <f>#REF!*C830</f>
        <v/>
      </c>
      <c r="E830" s="211" t="n">
        <v>0.4</v>
      </c>
      <c r="F830" s="212">
        <f>D830*E830</f>
        <v/>
      </c>
      <c r="G830" s="213">
        <f>if(or(eq(#REF!,"No Valet"),eq(#REF!,"Has Valet")), F830 * AVERAGE(Accounts!I$2:I$34),F830*#REF!)</f>
        <v/>
      </c>
      <c r="H830" s="213">
        <f>iferror(G830*360,"")</f>
        <v/>
      </c>
      <c r="I830" s="213">
        <f>H830*0.1</f>
        <v/>
      </c>
    </row>
    <row r="831" ht="54.75" customHeight="1" s="222">
      <c r="A831" s="210">
        <f>#REF!</f>
        <v/>
      </c>
      <c r="B831" s="141">
        <f>#REF!</f>
        <v/>
      </c>
      <c r="C831" s="211" t="n">
        <v>0.6</v>
      </c>
      <c r="D831" s="212">
        <f>#REF!*C831</f>
        <v/>
      </c>
      <c r="E831" s="211" t="n">
        <v>0.4</v>
      </c>
      <c r="F831" s="212">
        <f>D831*E831</f>
        <v/>
      </c>
      <c r="G831" s="213">
        <f>if(or(eq(#REF!,"No Valet"),eq(#REF!,"Has Valet")), F831 * AVERAGE(Accounts!I$2:I$34),F831*#REF!)</f>
        <v/>
      </c>
      <c r="H831" s="213">
        <f>iferror(G831*360,"")</f>
        <v/>
      </c>
      <c r="I831" s="213">
        <f>H831*0.1</f>
        <v/>
      </c>
    </row>
    <row r="832" ht="54.75" customHeight="1" s="222">
      <c r="A832" s="210">
        <f>#REF!</f>
        <v/>
      </c>
      <c r="B832" s="141">
        <f>#REF!</f>
        <v/>
      </c>
      <c r="C832" s="211" t="n">
        <v>0.6</v>
      </c>
      <c r="D832" s="212">
        <f>#REF!*C832</f>
        <v/>
      </c>
      <c r="E832" s="211" t="n">
        <v>0.4</v>
      </c>
      <c r="F832" s="212">
        <f>D832*E832</f>
        <v/>
      </c>
      <c r="G832" s="213">
        <f>if(or(eq(#REF!,"No Valet"),eq(#REF!,"Has Valet")), F832 * AVERAGE(Accounts!I$2:I$34),F832*#REF!)</f>
        <v/>
      </c>
      <c r="H832" s="213">
        <f>iferror(G832*360,"")</f>
        <v/>
      </c>
      <c r="I832" s="213">
        <f>H832*0.1</f>
        <v/>
      </c>
    </row>
    <row r="833" ht="54.75" customHeight="1" s="222">
      <c r="A833" s="210">
        <f>#REF!</f>
        <v/>
      </c>
      <c r="B833" s="141">
        <f>#REF!</f>
        <v/>
      </c>
      <c r="C833" s="211" t="n">
        <v>0.6</v>
      </c>
      <c r="D833" s="212">
        <f>#REF!*C833</f>
        <v/>
      </c>
      <c r="E833" s="211" t="n">
        <v>0.4</v>
      </c>
      <c r="F833" s="212">
        <f>D833*E833</f>
        <v/>
      </c>
      <c r="G833" s="213">
        <f>if(or(eq(#REF!,"No Valet"),eq(#REF!,"Has Valet")), F833 * AVERAGE(Accounts!I$2:I$34),F833*#REF!)</f>
        <v/>
      </c>
      <c r="H833" s="213">
        <f>iferror(G833*360,"")</f>
        <v/>
      </c>
      <c r="I833" s="213">
        <f>H833*0.1</f>
        <v/>
      </c>
    </row>
    <row r="834" ht="54.75" customHeight="1" s="222">
      <c r="A834" s="210">
        <f>#REF!</f>
        <v/>
      </c>
      <c r="B834" s="141">
        <f>#REF!</f>
        <v/>
      </c>
      <c r="C834" s="211" t="n">
        <v>0.6</v>
      </c>
      <c r="D834" s="212">
        <f>#REF!*C834</f>
        <v/>
      </c>
      <c r="E834" s="211" t="n">
        <v>0.4</v>
      </c>
      <c r="F834" s="212">
        <f>D834*E834</f>
        <v/>
      </c>
      <c r="G834" s="213">
        <f>if(or(eq(#REF!,"No Valet"),eq(#REF!,"Has Valet")), F834 * AVERAGE(Accounts!I$2:I$34),F834*#REF!)</f>
        <v/>
      </c>
      <c r="H834" s="213">
        <f>iferror(G834*360,"")</f>
        <v/>
      </c>
      <c r="I834" s="213">
        <f>H834*0.1</f>
        <v/>
      </c>
    </row>
    <row r="835" ht="54.75" customHeight="1" s="222">
      <c r="A835" s="210">
        <f>#REF!</f>
        <v/>
      </c>
      <c r="B835" s="141">
        <f>#REF!</f>
        <v/>
      </c>
      <c r="C835" s="211" t="n">
        <v>0.6</v>
      </c>
      <c r="D835" s="212">
        <f>#REF!*C835</f>
        <v/>
      </c>
      <c r="E835" s="211" t="n">
        <v>0.4</v>
      </c>
      <c r="F835" s="212">
        <f>D835*E835</f>
        <v/>
      </c>
      <c r="G835" s="213">
        <f>if(or(eq(#REF!,"No Valet"),eq(#REF!,"Has Valet")), F835 * AVERAGE(Accounts!I$2:I$34),F835*#REF!)</f>
        <v/>
      </c>
      <c r="H835" s="213">
        <f>iferror(G835*360,"")</f>
        <v/>
      </c>
      <c r="I835" s="213">
        <f>H835*0.1</f>
        <v/>
      </c>
    </row>
    <row r="836" ht="54.75" customHeight="1" s="222">
      <c r="A836" s="210">
        <f>#REF!</f>
        <v/>
      </c>
      <c r="B836" s="141">
        <f>#REF!</f>
        <v/>
      </c>
      <c r="C836" s="211" t="n">
        <v>0.6</v>
      </c>
      <c r="D836" s="212">
        <f>#REF!*C836</f>
        <v/>
      </c>
      <c r="E836" s="211" t="n">
        <v>0.4</v>
      </c>
      <c r="F836" s="212">
        <f>D836*E836</f>
        <v/>
      </c>
      <c r="G836" s="213">
        <f>if(or(eq(#REF!,"No Valet"),eq(#REF!,"Has Valet")), F836 * AVERAGE(Accounts!I$2:I$34),F836*#REF!)</f>
        <v/>
      </c>
      <c r="H836" s="213">
        <f>iferror(G836*360,"")</f>
        <v/>
      </c>
      <c r="I836" s="213">
        <f>H836*0.1</f>
        <v/>
      </c>
    </row>
    <row r="837" ht="54.75" customHeight="1" s="222">
      <c r="A837" s="210">
        <f>#REF!</f>
        <v/>
      </c>
      <c r="B837" s="141">
        <f>#REF!</f>
        <v/>
      </c>
      <c r="C837" s="211" t="n">
        <v>0.6</v>
      </c>
      <c r="D837" s="212">
        <f>#REF!*C837</f>
        <v/>
      </c>
      <c r="E837" s="211" t="n">
        <v>0.4</v>
      </c>
      <c r="F837" s="212">
        <f>D837*E837</f>
        <v/>
      </c>
      <c r="G837" s="213">
        <f>if(or(eq(#REF!,"No Valet"),eq(#REF!,"Has Valet")), F837 * AVERAGE(Accounts!I$2:I$34),F837*#REF!)</f>
        <v/>
      </c>
      <c r="H837" s="213">
        <f>iferror(G837*360,"")</f>
        <v/>
      </c>
      <c r="I837" s="213">
        <f>H837*0.1</f>
        <v/>
      </c>
    </row>
    <row r="838" ht="54.75" customHeight="1" s="222">
      <c r="A838" s="210">
        <f>#REF!</f>
        <v/>
      </c>
      <c r="B838" s="141">
        <f>#REF!</f>
        <v/>
      </c>
      <c r="C838" s="211" t="n">
        <v>0.6</v>
      </c>
      <c r="D838" s="212">
        <f>#REF!*C838</f>
        <v/>
      </c>
      <c r="E838" s="211" t="n">
        <v>0.4</v>
      </c>
      <c r="F838" s="212">
        <f>D838*E838</f>
        <v/>
      </c>
      <c r="G838" s="213">
        <f>if(or(eq(#REF!,"No Valet"),eq(#REF!,"Has Valet")), F838 * AVERAGE(Accounts!I$2:I$34),F838*#REF!)</f>
        <v/>
      </c>
      <c r="H838" s="213">
        <f>iferror(G838*360,"")</f>
        <v/>
      </c>
      <c r="I838" s="213">
        <f>H838*0.1</f>
        <v/>
      </c>
    </row>
    <row r="839" ht="54.75" customHeight="1" s="222">
      <c r="A839" s="210">
        <f>#REF!</f>
        <v/>
      </c>
      <c r="B839" s="141">
        <f>#REF!</f>
        <v/>
      </c>
      <c r="C839" s="211" t="n">
        <v>0.6</v>
      </c>
      <c r="D839" s="212">
        <f>#REF!*C839</f>
        <v/>
      </c>
      <c r="E839" s="211" t="n">
        <v>0.4</v>
      </c>
      <c r="F839" s="212">
        <f>D839*E839</f>
        <v/>
      </c>
      <c r="G839" s="213">
        <f>if(or(eq(#REF!,"No Valet"),eq(#REF!,"Has Valet")), F839 * AVERAGE(Accounts!I$2:I$34),F839*#REF!)</f>
        <v/>
      </c>
      <c r="H839" s="213">
        <f>iferror(G839*360,"")</f>
        <v/>
      </c>
      <c r="I839" s="213">
        <f>H839*0.1</f>
        <v/>
      </c>
    </row>
    <row r="840" ht="54.75" customHeight="1" s="222">
      <c r="A840" s="210">
        <f>#REF!</f>
        <v/>
      </c>
      <c r="B840" s="141">
        <f>#REF!</f>
        <v/>
      </c>
      <c r="C840" s="211" t="n">
        <v>0.6</v>
      </c>
      <c r="D840" s="212">
        <f>#REF!*C840</f>
        <v/>
      </c>
      <c r="E840" s="211" t="n">
        <v>0.4</v>
      </c>
      <c r="F840" s="212">
        <f>D840*E840</f>
        <v/>
      </c>
      <c r="G840" s="213">
        <f>if(or(eq(#REF!,"No Valet"),eq(#REF!,"Has Valet")), F840 * AVERAGE(Accounts!I$2:I$34),F840*#REF!)</f>
        <v/>
      </c>
      <c r="H840" s="213">
        <f>iferror(G840*360,"")</f>
        <v/>
      </c>
      <c r="I840" s="213">
        <f>H840*0.1</f>
        <v/>
      </c>
    </row>
    <row r="841" ht="54.75" customHeight="1" s="222">
      <c r="A841" s="210">
        <f>#REF!</f>
        <v/>
      </c>
      <c r="B841" s="141">
        <f>#REF!</f>
        <v/>
      </c>
      <c r="C841" s="211" t="n">
        <v>0.6</v>
      </c>
      <c r="D841" s="212">
        <f>#REF!*C841</f>
        <v/>
      </c>
      <c r="E841" s="211" t="n">
        <v>0.4</v>
      </c>
      <c r="F841" s="212">
        <f>D841*E841</f>
        <v/>
      </c>
      <c r="G841" s="213">
        <f>if(or(eq(#REF!,"No Valet"),eq(#REF!,"Has Valet")), F841 * AVERAGE(Accounts!I$2:I$34),F841*#REF!)</f>
        <v/>
      </c>
      <c r="H841" s="213">
        <f>iferror(G841*360,"")</f>
        <v/>
      </c>
      <c r="I841" s="213">
        <f>H841*0.1</f>
        <v/>
      </c>
    </row>
    <row r="842" ht="54.75" customHeight="1" s="222">
      <c r="A842" s="210">
        <f>#REF!</f>
        <v/>
      </c>
      <c r="B842" s="141">
        <f>#REF!</f>
        <v/>
      </c>
      <c r="C842" s="211" t="n">
        <v>0.6</v>
      </c>
      <c r="D842" s="212">
        <f>#REF!*C842</f>
        <v/>
      </c>
      <c r="E842" s="211" t="n">
        <v>0.4</v>
      </c>
      <c r="F842" s="212">
        <f>D842*E842</f>
        <v/>
      </c>
      <c r="G842" s="213">
        <f>if(or(eq(#REF!,"No Valet"),eq(#REF!,"Has Valet")), F842 * AVERAGE(Accounts!I$2:I$34),F842*#REF!)</f>
        <v/>
      </c>
      <c r="H842" s="213">
        <f>iferror(G842*360,"")</f>
        <v/>
      </c>
      <c r="I842" s="213">
        <f>H842*0.1</f>
        <v/>
      </c>
    </row>
    <row r="843" ht="54.75" customHeight="1" s="222">
      <c r="A843" s="210">
        <f>#REF!</f>
        <v/>
      </c>
      <c r="B843" s="141">
        <f>#REF!</f>
        <v/>
      </c>
      <c r="C843" s="211" t="n">
        <v>0.6</v>
      </c>
      <c r="D843" s="212">
        <f>#REF!*C843</f>
        <v/>
      </c>
      <c r="E843" s="211" t="n">
        <v>0.4</v>
      </c>
      <c r="F843" s="212">
        <f>D843*E843</f>
        <v/>
      </c>
      <c r="G843" s="213">
        <f>if(or(eq(#REF!,"No Valet"),eq(#REF!,"Has Valet")), F843 * AVERAGE(Accounts!I$2:I$34),F843*#REF!)</f>
        <v/>
      </c>
      <c r="H843" s="213">
        <f>iferror(G843*360,"")</f>
        <v/>
      </c>
      <c r="I843" s="213">
        <f>H843*0.1</f>
        <v/>
      </c>
    </row>
    <row r="844" ht="54.75" customHeight="1" s="222">
      <c r="A844" s="210">
        <f>#REF!</f>
        <v/>
      </c>
      <c r="B844" s="141">
        <f>#REF!</f>
        <v/>
      </c>
      <c r="C844" s="211" t="n">
        <v>0.6</v>
      </c>
      <c r="D844" s="212">
        <f>#REF!*C844</f>
        <v/>
      </c>
      <c r="E844" s="211" t="n">
        <v>0.4</v>
      </c>
      <c r="F844" s="212">
        <f>D844*E844</f>
        <v/>
      </c>
      <c r="G844" s="213">
        <f>if(or(eq(#REF!,"No Valet"),eq(#REF!,"Has Valet")), F844 * AVERAGE(Accounts!I$2:I$34),F844*#REF!)</f>
        <v/>
      </c>
      <c r="H844" s="213">
        <f>iferror(G844*360,"")</f>
        <v/>
      </c>
      <c r="I844" s="213">
        <f>H844*0.1</f>
        <v/>
      </c>
    </row>
    <row r="845" ht="54.75" customHeight="1" s="222">
      <c r="A845" s="210">
        <f>#REF!</f>
        <v/>
      </c>
      <c r="B845" s="141">
        <f>#REF!</f>
        <v/>
      </c>
      <c r="C845" s="211" t="n">
        <v>0.6</v>
      </c>
      <c r="D845" s="212">
        <f>#REF!*C845</f>
        <v/>
      </c>
      <c r="E845" s="211" t="n">
        <v>0.4</v>
      </c>
      <c r="F845" s="212">
        <f>D845*E845</f>
        <v/>
      </c>
      <c r="G845" s="213">
        <f>if(or(eq(#REF!,"No Valet"),eq(#REF!,"Has Valet")), F845 * AVERAGE(Accounts!I$2:I$34),F845*#REF!)</f>
        <v/>
      </c>
      <c r="H845" s="213">
        <f>iferror(G845*360,"")</f>
        <v/>
      </c>
      <c r="I845" s="213">
        <f>H845*0.1</f>
        <v/>
      </c>
    </row>
    <row r="846" ht="54.75" customHeight="1" s="222">
      <c r="A846" s="210">
        <f>#REF!</f>
        <v/>
      </c>
      <c r="B846" s="141">
        <f>#REF!</f>
        <v/>
      </c>
      <c r="C846" s="211" t="n">
        <v>0.6</v>
      </c>
      <c r="D846" s="212">
        <f>#REF!*C846</f>
        <v/>
      </c>
      <c r="E846" s="211" t="n">
        <v>0.4</v>
      </c>
      <c r="F846" s="212">
        <f>D846*E846</f>
        <v/>
      </c>
      <c r="G846" s="213">
        <f>if(or(eq(#REF!,"No Valet"),eq(#REF!,"Has Valet")), F846 * AVERAGE(Accounts!I$2:I$34),F846*#REF!)</f>
        <v/>
      </c>
      <c r="H846" s="213">
        <f>iferror(G846*360,"")</f>
        <v/>
      </c>
      <c r="I846" s="213">
        <f>H846*0.1</f>
        <v/>
      </c>
    </row>
    <row r="847" ht="54.75" customHeight="1" s="222">
      <c r="A847" s="210">
        <f>#REF!</f>
        <v/>
      </c>
      <c r="B847" s="141">
        <f>#REF!</f>
        <v/>
      </c>
      <c r="C847" s="211" t="n">
        <v>0.6</v>
      </c>
      <c r="D847" s="212">
        <f>#REF!*C847</f>
        <v/>
      </c>
      <c r="E847" s="211" t="n">
        <v>0.4</v>
      </c>
      <c r="F847" s="212">
        <f>D847*E847</f>
        <v/>
      </c>
      <c r="G847" s="213">
        <f>if(or(eq(#REF!,"No Valet"),eq(#REF!,"Has Valet")), F847 * AVERAGE(Accounts!I$2:I$34),F847*#REF!)</f>
        <v/>
      </c>
      <c r="H847" s="213">
        <f>iferror(G847*360,"")</f>
        <v/>
      </c>
      <c r="I847" s="213">
        <f>H847*0.1</f>
        <v/>
      </c>
    </row>
    <row r="848" ht="54.75" customHeight="1" s="222">
      <c r="A848" s="210">
        <f>#REF!</f>
        <v/>
      </c>
      <c r="B848" s="141">
        <f>#REF!</f>
        <v/>
      </c>
      <c r="C848" s="211" t="n">
        <v>0.6</v>
      </c>
      <c r="D848" s="212">
        <f>#REF!*C848</f>
        <v/>
      </c>
      <c r="E848" s="211" t="n">
        <v>0.4</v>
      </c>
      <c r="F848" s="212">
        <f>D848*E848</f>
        <v/>
      </c>
      <c r="G848" s="213">
        <f>if(or(eq(#REF!,"No Valet"),eq(#REF!,"Has Valet")), F848 * AVERAGE(Accounts!I$2:I$34),F848*#REF!)</f>
        <v/>
      </c>
      <c r="H848" s="213">
        <f>iferror(G848*360,"")</f>
        <v/>
      </c>
      <c r="I848" s="213">
        <f>H848*0.1</f>
        <v/>
      </c>
    </row>
    <row r="849" ht="54.75" customHeight="1" s="222">
      <c r="A849" s="210">
        <f>#REF!</f>
        <v/>
      </c>
      <c r="B849" s="141">
        <f>#REF!</f>
        <v/>
      </c>
      <c r="C849" s="211" t="n">
        <v>0.6</v>
      </c>
      <c r="D849" s="212">
        <f>#REF!*C849</f>
        <v/>
      </c>
      <c r="E849" s="211" t="n">
        <v>0.4</v>
      </c>
      <c r="F849" s="212">
        <f>D849*E849</f>
        <v/>
      </c>
      <c r="G849" s="213">
        <f>if(or(eq(#REF!,"No Valet"),eq(#REF!,"Has Valet")), F849 * AVERAGE(Accounts!I$2:I$34),F849*#REF!)</f>
        <v/>
      </c>
      <c r="H849" s="213">
        <f>iferror(G849*360,"")</f>
        <v/>
      </c>
      <c r="I849" s="213">
        <f>H849*0.1</f>
        <v/>
      </c>
    </row>
    <row r="850" ht="54.75" customHeight="1" s="222">
      <c r="A850" s="210">
        <f>#REF!</f>
        <v/>
      </c>
      <c r="B850" s="141">
        <f>#REF!</f>
        <v/>
      </c>
      <c r="C850" s="211" t="n">
        <v>0.6</v>
      </c>
      <c r="D850" s="212">
        <f>#REF!*C850</f>
        <v/>
      </c>
      <c r="E850" s="211" t="n">
        <v>0.4</v>
      </c>
      <c r="F850" s="212">
        <f>D850*E850</f>
        <v/>
      </c>
      <c r="G850" s="213">
        <f>if(or(eq(#REF!,"No Valet"),eq(#REF!,"Has Valet")), F850 * AVERAGE(Accounts!I$2:I$34),F850*#REF!)</f>
        <v/>
      </c>
      <c r="H850" s="213">
        <f>iferror(G850*360,"")</f>
        <v/>
      </c>
      <c r="I850" s="213">
        <f>H850*0.1</f>
        <v/>
      </c>
    </row>
    <row r="851" ht="54.75" customHeight="1" s="222">
      <c r="A851" s="210">
        <f>#REF!</f>
        <v/>
      </c>
      <c r="B851" s="141">
        <f>#REF!</f>
        <v/>
      </c>
      <c r="C851" s="211" t="n">
        <v>0.6</v>
      </c>
      <c r="D851" s="212">
        <f>#REF!*C851</f>
        <v/>
      </c>
      <c r="E851" s="211" t="n">
        <v>0.4</v>
      </c>
      <c r="F851" s="212">
        <f>D851*E851</f>
        <v/>
      </c>
      <c r="G851" s="213">
        <f>if(or(eq(#REF!,"No Valet"),eq(#REF!,"Has Valet")), F851 * AVERAGE(Accounts!I$2:I$34),F851*#REF!)</f>
        <v/>
      </c>
      <c r="H851" s="213">
        <f>iferror(G851*360,"")</f>
        <v/>
      </c>
      <c r="I851" s="213">
        <f>H851*0.1</f>
        <v/>
      </c>
    </row>
    <row r="852" ht="54.75" customHeight="1" s="222">
      <c r="A852" s="210">
        <f>#REF!</f>
        <v/>
      </c>
      <c r="B852" s="141">
        <f>#REF!</f>
        <v/>
      </c>
      <c r="C852" s="211" t="n">
        <v>0.6</v>
      </c>
      <c r="D852" s="212">
        <f>#REF!*C852</f>
        <v/>
      </c>
      <c r="E852" s="211" t="n">
        <v>0.4</v>
      </c>
      <c r="F852" s="212">
        <f>D852*E852</f>
        <v/>
      </c>
      <c r="G852" s="213">
        <f>if(or(eq(#REF!,"No Valet"),eq(#REF!,"Has Valet")), F852 * AVERAGE(Accounts!I$2:I$34),F852*#REF!)</f>
        <v/>
      </c>
      <c r="H852" s="213">
        <f>iferror(G852*360,"")</f>
        <v/>
      </c>
      <c r="I852" s="213">
        <f>H852*0.1</f>
        <v/>
      </c>
    </row>
    <row r="853" ht="54.75" customHeight="1" s="222">
      <c r="A853" s="210">
        <f>#REF!</f>
        <v/>
      </c>
      <c r="B853" s="141">
        <f>#REF!</f>
        <v/>
      </c>
      <c r="C853" s="211" t="n">
        <v>0.6</v>
      </c>
      <c r="D853" s="212">
        <f>#REF!*C853</f>
        <v/>
      </c>
      <c r="E853" s="211" t="n">
        <v>0.4</v>
      </c>
      <c r="F853" s="212">
        <f>D853*E853</f>
        <v/>
      </c>
      <c r="G853" s="213">
        <f>if(or(eq(#REF!,"No Valet"),eq(#REF!,"Has Valet")), F853 * AVERAGE(Accounts!I$2:I$34),F853*#REF!)</f>
        <v/>
      </c>
      <c r="H853" s="213">
        <f>iferror(G853*360,"")</f>
        <v/>
      </c>
      <c r="I853" s="213">
        <f>H853*0.1</f>
        <v/>
      </c>
    </row>
    <row r="854" ht="54.75" customHeight="1" s="222">
      <c r="A854" s="210">
        <f>#REF!</f>
        <v/>
      </c>
      <c r="B854" s="141">
        <f>#REF!</f>
        <v/>
      </c>
      <c r="C854" s="211" t="n">
        <v>0.6</v>
      </c>
      <c r="D854" s="212">
        <f>#REF!*C854</f>
        <v/>
      </c>
      <c r="E854" s="211" t="n">
        <v>0.4</v>
      </c>
      <c r="F854" s="212">
        <f>D854*E854</f>
        <v/>
      </c>
      <c r="G854" s="213">
        <f>if(or(eq(#REF!,"No Valet"),eq(#REF!,"Has Valet")), F854 * AVERAGE(Accounts!I$2:I$34),F854*#REF!)</f>
        <v/>
      </c>
      <c r="H854" s="213">
        <f>iferror(G854*360,"")</f>
        <v/>
      </c>
      <c r="I854" s="213">
        <f>H854*0.1</f>
        <v/>
      </c>
    </row>
    <row r="855" ht="54.75" customHeight="1" s="222">
      <c r="A855" s="210">
        <f>#REF!</f>
        <v/>
      </c>
      <c r="B855" s="141">
        <f>#REF!</f>
        <v/>
      </c>
      <c r="C855" s="211" t="n">
        <v>0.6</v>
      </c>
      <c r="D855" s="212">
        <f>#REF!*C855</f>
        <v/>
      </c>
      <c r="E855" s="211" t="n">
        <v>0.4</v>
      </c>
      <c r="F855" s="212">
        <f>D855*E855</f>
        <v/>
      </c>
      <c r="G855" s="213">
        <f>if(or(eq(#REF!,"No Valet"),eq(#REF!,"Has Valet")), F855 * AVERAGE(Accounts!I$2:I$34),F855*#REF!)</f>
        <v/>
      </c>
      <c r="H855" s="213">
        <f>iferror(G855*360,"")</f>
        <v/>
      </c>
      <c r="I855" s="213">
        <f>H855*0.1</f>
        <v/>
      </c>
    </row>
    <row r="856" ht="54.75" customHeight="1" s="222">
      <c r="A856" s="210">
        <f>#REF!</f>
        <v/>
      </c>
      <c r="B856" s="141">
        <f>#REF!</f>
        <v/>
      </c>
      <c r="C856" s="211" t="n">
        <v>0.6</v>
      </c>
      <c r="D856" s="212">
        <f>#REF!*C856</f>
        <v/>
      </c>
      <c r="E856" s="211" t="n">
        <v>0.4</v>
      </c>
      <c r="F856" s="212">
        <f>D856*E856</f>
        <v/>
      </c>
      <c r="G856" s="213">
        <f>if(or(eq(#REF!,"No Valet"),eq(#REF!,"Has Valet")), F856 * AVERAGE(Accounts!I$2:I$34),F856*#REF!)</f>
        <v/>
      </c>
      <c r="H856" s="213">
        <f>iferror(G856*360,"")</f>
        <v/>
      </c>
      <c r="I856" s="213">
        <f>H856*0.1</f>
        <v/>
      </c>
    </row>
    <row r="857" ht="54.75" customHeight="1" s="222">
      <c r="A857" s="210">
        <f>#REF!</f>
        <v/>
      </c>
      <c r="B857" s="141">
        <f>#REF!</f>
        <v/>
      </c>
      <c r="C857" s="211" t="n">
        <v>0.6</v>
      </c>
      <c r="D857" s="212">
        <f>#REF!*C857</f>
        <v/>
      </c>
      <c r="E857" s="211" t="n">
        <v>0.4</v>
      </c>
      <c r="F857" s="212">
        <f>D857*E857</f>
        <v/>
      </c>
      <c r="G857" s="213">
        <f>if(or(eq(#REF!,"No Valet"),eq(#REF!,"Has Valet")), F857 * AVERAGE(Accounts!I$2:I$34),F857*#REF!)</f>
        <v/>
      </c>
      <c r="H857" s="213">
        <f>iferror(G857*360,"")</f>
        <v/>
      </c>
      <c r="I857" s="213">
        <f>H857*0.1</f>
        <v/>
      </c>
    </row>
    <row r="858" ht="54.75" customHeight="1" s="222">
      <c r="A858" s="210">
        <f>#REF!</f>
        <v/>
      </c>
      <c r="B858" s="141">
        <f>#REF!</f>
        <v/>
      </c>
      <c r="C858" s="211" t="n">
        <v>0.6</v>
      </c>
      <c r="D858" s="212">
        <f>#REF!*C858</f>
        <v/>
      </c>
      <c r="E858" s="211" t="n">
        <v>0.4</v>
      </c>
      <c r="F858" s="212">
        <f>D858*E858</f>
        <v/>
      </c>
      <c r="G858" s="213">
        <f>if(or(eq(#REF!,"No Valet"),eq(#REF!,"Has Valet")), F858 * AVERAGE(Accounts!I$2:I$34),F858*#REF!)</f>
        <v/>
      </c>
      <c r="H858" s="213">
        <f>iferror(G858*360,"")</f>
        <v/>
      </c>
      <c r="I858" s="213">
        <f>H858*0.1</f>
        <v/>
      </c>
    </row>
    <row r="859" ht="54.75" customHeight="1" s="222">
      <c r="A859" s="210">
        <f>#REF!</f>
        <v/>
      </c>
      <c r="B859" s="141">
        <f>#REF!</f>
        <v/>
      </c>
      <c r="C859" s="211" t="n">
        <v>0.6</v>
      </c>
      <c r="D859" s="212">
        <f>#REF!*C859</f>
        <v/>
      </c>
      <c r="E859" s="211" t="n">
        <v>0.4</v>
      </c>
      <c r="F859" s="212">
        <f>D859*E859</f>
        <v/>
      </c>
      <c r="G859" s="213">
        <f>if(or(eq(#REF!,"No Valet"),eq(#REF!,"Has Valet")), F859 * AVERAGE(Accounts!I$2:I$34),F859*#REF!)</f>
        <v/>
      </c>
      <c r="H859" s="213">
        <f>iferror(G859*360,"")</f>
        <v/>
      </c>
      <c r="I859" s="213">
        <f>H859*0.1</f>
        <v/>
      </c>
    </row>
    <row r="860" ht="54.75" customHeight="1" s="222">
      <c r="A860" s="210">
        <f>#REF!</f>
        <v/>
      </c>
      <c r="B860" s="141">
        <f>#REF!</f>
        <v/>
      </c>
      <c r="C860" s="211" t="n">
        <v>0.6</v>
      </c>
      <c r="D860" s="212">
        <f>#REF!*C860</f>
        <v/>
      </c>
      <c r="E860" s="211" t="n">
        <v>0.4</v>
      </c>
      <c r="F860" s="212">
        <f>D860*E860</f>
        <v/>
      </c>
      <c r="G860" s="213">
        <f>if(or(eq(#REF!,"No Valet"),eq(#REF!,"Has Valet")), F860 * AVERAGE(Accounts!I$2:I$34),F860*#REF!)</f>
        <v/>
      </c>
      <c r="H860" s="213">
        <f>iferror(G860*360,"")</f>
        <v/>
      </c>
      <c r="I860" s="213">
        <f>H860*0.1</f>
        <v/>
      </c>
    </row>
    <row r="861" ht="54.75" customHeight="1" s="222">
      <c r="A861" s="210">
        <f>#REF!</f>
        <v/>
      </c>
      <c r="B861" s="141">
        <f>#REF!</f>
        <v/>
      </c>
      <c r="C861" s="211" t="n">
        <v>0.6</v>
      </c>
      <c r="D861" s="212">
        <f>#REF!*C861</f>
        <v/>
      </c>
      <c r="E861" s="211" t="n">
        <v>0.4</v>
      </c>
      <c r="F861" s="212">
        <f>D861*E861</f>
        <v/>
      </c>
      <c r="G861" s="213">
        <f>if(or(eq(#REF!,"No Valet"),eq(#REF!,"Has Valet")), F861 * AVERAGE(Accounts!I$2:I$34),F861*#REF!)</f>
        <v/>
      </c>
      <c r="H861" s="213">
        <f>iferror(G861*360,"")</f>
        <v/>
      </c>
      <c r="I861" s="213">
        <f>H861*0.1</f>
        <v/>
      </c>
    </row>
    <row r="862" ht="54.75" customHeight="1" s="222">
      <c r="A862" s="210">
        <f>#REF!</f>
        <v/>
      </c>
      <c r="B862" s="141">
        <f>#REF!</f>
        <v/>
      </c>
      <c r="C862" s="211" t="n">
        <v>0.6</v>
      </c>
      <c r="D862" s="212">
        <f>#REF!*C862</f>
        <v/>
      </c>
      <c r="E862" s="211" t="n">
        <v>0.4</v>
      </c>
      <c r="F862" s="212">
        <f>D862*E862</f>
        <v/>
      </c>
      <c r="G862" s="213">
        <f>if(or(eq(#REF!,"No Valet"),eq(#REF!,"Has Valet")), F862 * AVERAGE(Accounts!I$2:I$34),F862*#REF!)</f>
        <v/>
      </c>
      <c r="H862" s="213">
        <f>iferror(G862*360,"")</f>
        <v/>
      </c>
      <c r="I862" s="213">
        <f>H862*0.1</f>
        <v/>
      </c>
    </row>
    <row r="863" ht="54.75" customHeight="1" s="222">
      <c r="A863" s="210">
        <f>#REF!</f>
        <v/>
      </c>
      <c r="B863" s="141">
        <f>#REF!</f>
        <v/>
      </c>
      <c r="C863" s="211" t="n">
        <v>0.6</v>
      </c>
      <c r="D863" s="212">
        <f>#REF!*C863</f>
        <v/>
      </c>
      <c r="E863" s="211" t="n">
        <v>0.4</v>
      </c>
      <c r="F863" s="212">
        <f>D863*E863</f>
        <v/>
      </c>
      <c r="G863" s="213">
        <f>if(or(eq(#REF!,"No Valet"),eq(#REF!,"Has Valet")), F863 * AVERAGE(Accounts!I$2:I$34),F863*#REF!)</f>
        <v/>
      </c>
      <c r="H863" s="213">
        <f>iferror(G863*360,"")</f>
        <v/>
      </c>
      <c r="I863" s="213">
        <f>H863*0.1</f>
        <v/>
      </c>
    </row>
    <row r="864" ht="54.75" customHeight="1" s="222">
      <c r="A864" s="210">
        <f>#REF!</f>
        <v/>
      </c>
      <c r="B864" s="141">
        <f>#REF!</f>
        <v/>
      </c>
      <c r="C864" s="211" t="n">
        <v>0.6</v>
      </c>
      <c r="D864" s="212">
        <f>#REF!*C864</f>
        <v/>
      </c>
      <c r="E864" s="211" t="n">
        <v>0.4</v>
      </c>
      <c r="F864" s="212">
        <f>D864*E864</f>
        <v/>
      </c>
      <c r="G864" s="213">
        <f>if(or(eq(#REF!,"No Valet"),eq(#REF!,"Has Valet")), F864 * AVERAGE(Accounts!I$2:I$34),F864*#REF!)</f>
        <v/>
      </c>
      <c r="H864" s="213">
        <f>iferror(G864*360,"")</f>
        <v/>
      </c>
      <c r="I864" s="213">
        <f>H864*0.1</f>
        <v/>
      </c>
    </row>
    <row r="865" ht="54.75" customHeight="1" s="222">
      <c r="A865" s="210">
        <f>#REF!</f>
        <v/>
      </c>
      <c r="B865" s="141">
        <f>#REF!</f>
        <v/>
      </c>
      <c r="C865" s="211" t="n">
        <v>0.6</v>
      </c>
      <c r="D865" s="212">
        <f>#REF!*C865</f>
        <v/>
      </c>
      <c r="E865" s="211" t="n">
        <v>0.4</v>
      </c>
      <c r="F865" s="212">
        <f>D865*E865</f>
        <v/>
      </c>
      <c r="G865" s="213">
        <f>if(or(eq(#REF!,"No Valet"),eq(#REF!,"Has Valet")), F865 * AVERAGE(Accounts!I$2:I$34),F865*#REF!)</f>
        <v/>
      </c>
      <c r="H865" s="213">
        <f>iferror(G865*360,"")</f>
        <v/>
      </c>
      <c r="I865" s="213">
        <f>H865*0.1</f>
        <v/>
      </c>
    </row>
    <row r="866" ht="54.75" customHeight="1" s="222">
      <c r="A866" s="210">
        <f>#REF!</f>
        <v/>
      </c>
      <c r="B866" s="141">
        <f>#REF!</f>
        <v/>
      </c>
      <c r="C866" s="211" t="n">
        <v>0.6</v>
      </c>
      <c r="D866" s="212">
        <f>#REF!*C866</f>
        <v/>
      </c>
      <c r="E866" s="211" t="n">
        <v>0.4</v>
      </c>
      <c r="F866" s="212">
        <f>D866*E866</f>
        <v/>
      </c>
      <c r="G866" s="213">
        <f>if(or(eq(#REF!,"No Valet"),eq(#REF!,"Has Valet")), F866 * AVERAGE(Accounts!I$2:I$34),F866*#REF!)</f>
        <v/>
      </c>
      <c r="H866" s="213">
        <f>iferror(G866*360,"")</f>
        <v/>
      </c>
      <c r="I866" s="213">
        <f>H866*0.1</f>
        <v/>
      </c>
    </row>
    <row r="867" ht="54.75" customHeight="1" s="222">
      <c r="A867" s="210">
        <f>#REF!</f>
        <v/>
      </c>
      <c r="B867" s="141">
        <f>#REF!</f>
        <v/>
      </c>
      <c r="C867" s="211" t="n">
        <v>0.6</v>
      </c>
      <c r="D867" s="212">
        <f>#REF!*C867</f>
        <v/>
      </c>
      <c r="E867" s="211" t="n">
        <v>0.4</v>
      </c>
      <c r="F867" s="212">
        <f>D867*E867</f>
        <v/>
      </c>
      <c r="G867" s="213">
        <f>if(or(eq(#REF!,"No Valet"),eq(#REF!,"Has Valet")), F867 * AVERAGE(Accounts!I$2:I$34),F867*#REF!)</f>
        <v/>
      </c>
      <c r="H867" s="213">
        <f>iferror(G867*360,"")</f>
        <v/>
      </c>
      <c r="I867" s="213">
        <f>H867*0.1</f>
        <v/>
      </c>
    </row>
    <row r="868" ht="54.75" customHeight="1" s="222">
      <c r="A868" s="210">
        <f>#REF!</f>
        <v/>
      </c>
      <c r="B868" s="141">
        <f>#REF!</f>
        <v/>
      </c>
      <c r="C868" s="211" t="n">
        <v>0.6</v>
      </c>
      <c r="D868" s="212">
        <f>#REF!*C868</f>
        <v/>
      </c>
      <c r="E868" s="211" t="n">
        <v>0.4</v>
      </c>
      <c r="F868" s="212">
        <f>D868*E868</f>
        <v/>
      </c>
      <c r="G868" s="213">
        <f>if(or(eq(#REF!,"No Valet"),eq(#REF!,"Has Valet")), F868 * AVERAGE(Accounts!I$2:I$34),F868*#REF!)</f>
        <v/>
      </c>
      <c r="H868" s="213">
        <f>iferror(G868*360,"")</f>
        <v/>
      </c>
      <c r="I868" s="213">
        <f>H868*0.1</f>
        <v/>
      </c>
    </row>
    <row r="869" ht="54.75" customHeight="1" s="222">
      <c r="A869" s="210">
        <f>#REF!</f>
        <v/>
      </c>
      <c r="B869" s="141">
        <f>#REF!</f>
        <v/>
      </c>
      <c r="C869" s="211" t="n">
        <v>0.6</v>
      </c>
      <c r="D869" s="212">
        <f>#REF!*C869</f>
        <v/>
      </c>
      <c r="E869" s="211" t="n">
        <v>0.4</v>
      </c>
      <c r="F869" s="212">
        <f>D869*E869</f>
        <v/>
      </c>
      <c r="G869" s="213">
        <f>if(or(eq(#REF!,"No Valet"),eq(#REF!,"Has Valet")), F869 * AVERAGE(Accounts!I$2:I$34),F869*#REF!)</f>
        <v/>
      </c>
      <c r="H869" s="213">
        <f>iferror(G869*360,"")</f>
        <v/>
      </c>
      <c r="I869" s="213">
        <f>H869*0.1</f>
        <v/>
      </c>
    </row>
    <row r="870" ht="54.75" customHeight="1" s="222">
      <c r="A870" s="210">
        <f>#REF!</f>
        <v/>
      </c>
      <c r="B870" s="141">
        <f>#REF!</f>
        <v/>
      </c>
      <c r="C870" s="211" t="n">
        <v>0.6</v>
      </c>
      <c r="D870" s="212">
        <f>#REF!*C870</f>
        <v/>
      </c>
      <c r="E870" s="211" t="n">
        <v>0.4</v>
      </c>
      <c r="F870" s="212">
        <f>D870*E870</f>
        <v/>
      </c>
      <c r="G870" s="213">
        <f>if(or(eq(#REF!,"No Valet"),eq(#REF!,"Has Valet")), F870 * AVERAGE(Accounts!I$2:I$34),F870*#REF!)</f>
        <v/>
      </c>
      <c r="H870" s="213">
        <f>iferror(G870*360,"")</f>
        <v/>
      </c>
      <c r="I870" s="213">
        <f>H870*0.1</f>
        <v/>
      </c>
    </row>
    <row r="871" ht="54.75" customHeight="1" s="222">
      <c r="A871" s="210">
        <f>#REF!</f>
        <v/>
      </c>
      <c r="B871" s="141">
        <f>#REF!</f>
        <v/>
      </c>
      <c r="C871" s="211" t="n">
        <v>0.6</v>
      </c>
      <c r="D871" s="212">
        <f>#REF!*C871</f>
        <v/>
      </c>
      <c r="E871" s="211" t="n">
        <v>0.4</v>
      </c>
      <c r="F871" s="212">
        <f>D871*E871</f>
        <v/>
      </c>
      <c r="G871" s="213">
        <f>if(or(eq(#REF!,"No Valet"),eq(#REF!,"Has Valet")), F871 * AVERAGE(Accounts!I$2:I$34),F871*#REF!)</f>
        <v/>
      </c>
      <c r="H871" s="213">
        <f>iferror(G871*360,"")</f>
        <v/>
      </c>
      <c r="I871" s="213">
        <f>H871*0.1</f>
        <v/>
      </c>
    </row>
    <row r="872" ht="54.75" customHeight="1" s="222">
      <c r="A872" s="210">
        <f>#REF!</f>
        <v/>
      </c>
      <c r="B872" s="141">
        <f>#REF!</f>
        <v/>
      </c>
      <c r="C872" s="211" t="n">
        <v>0.6</v>
      </c>
      <c r="D872" s="212">
        <f>#REF!*C872</f>
        <v/>
      </c>
      <c r="E872" s="211" t="n">
        <v>0.4</v>
      </c>
      <c r="F872" s="212">
        <f>D872*E872</f>
        <v/>
      </c>
      <c r="G872" s="213">
        <f>if(or(eq(#REF!,"No Valet"),eq(#REF!,"Has Valet")), F872 * AVERAGE(Accounts!I$2:I$34),F872*#REF!)</f>
        <v/>
      </c>
      <c r="H872" s="213">
        <f>iferror(G872*360,"")</f>
        <v/>
      </c>
      <c r="I872" s="213">
        <f>H872*0.1</f>
        <v/>
      </c>
    </row>
    <row r="873" ht="54.75" customHeight="1" s="222">
      <c r="A873" s="210">
        <f>#REF!</f>
        <v/>
      </c>
      <c r="B873" s="141">
        <f>#REF!</f>
        <v/>
      </c>
      <c r="C873" s="211" t="n">
        <v>0.6</v>
      </c>
      <c r="D873" s="212">
        <f>#REF!*C873</f>
        <v/>
      </c>
      <c r="E873" s="211" t="n">
        <v>0.4</v>
      </c>
      <c r="F873" s="212">
        <f>D873*E873</f>
        <v/>
      </c>
      <c r="G873" s="213">
        <f>if(or(eq(#REF!,"No Valet"),eq(#REF!,"Has Valet")), F873 * AVERAGE(Accounts!I$2:I$34),F873*#REF!)</f>
        <v/>
      </c>
      <c r="H873" s="213">
        <f>iferror(G873*360,"")</f>
        <v/>
      </c>
      <c r="I873" s="213">
        <f>H873*0.1</f>
        <v/>
      </c>
    </row>
    <row r="874" ht="54.75" customHeight="1" s="222">
      <c r="A874" s="210">
        <f>#REF!</f>
        <v/>
      </c>
      <c r="B874" s="141">
        <f>#REF!</f>
        <v/>
      </c>
      <c r="C874" s="211" t="n">
        <v>0.6</v>
      </c>
      <c r="D874" s="212">
        <f>#REF!*C874</f>
        <v/>
      </c>
      <c r="E874" s="211" t="n">
        <v>0.4</v>
      </c>
      <c r="F874" s="212">
        <f>D874*E874</f>
        <v/>
      </c>
      <c r="G874" s="213">
        <f>if(or(eq(#REF!,"No Valet"),eq(#REF!,"Has Valet")), F874 * AVERAGE(Accounts!I$2:I$34),F874*#REF!)</f>
        <v/>
      </c>
      <c r="H874" s="213">
        <f>iferror(G874*360,"")</f>
        <v/>
      </c>
      <c r="I874" s="213">
        <f>H874*0.1</f>
        <v/>
      </c>
    </row>
    <row r="875" ht="54.75" customHeight="1" s="222">
      <c r="A875" s="210">
        <f>#REF!</f>
        <v/>
      </c>
      <c r="B875" s="141">
        <f>#REF!</f>
        <v/>
      </c>
      <c r="C875" s="211" t="n">
        <v>0.6</v>
      </c>
      <c r="D875" s="212">
        <f>#REF!*C875</f>
        <v/>
      </c>
      <c r="E875" s="211" t="n">
        <v>0.4</v>
      </c>
      <c r="F875" s="212">
        <f>D875*E875</f>
        <v/>
      </c>
      <c r="G875" s="213">
        <f>if(or(eq(#REF!,"No Valet"),eq(#REF!,"Has Valet")), F875 * AVERAGE(Accounts!I$2:I$34),F875*#REF!)</f>
        <v/>
      </c>
      <c r="H875" s="213">
        <f>iferror(G875*360,"")</f>
        <v/>
      </c>
      <c r="I875" s="213">
        <f>H875*0.1</f>
        <v/>
      </c>
    </row>
    <row r="876" ht="54.75" customHeight="1" s="222">
      <c r="A876" s="210">
        <f>#REF!</f>
        <v/>
      </c>
      <c r="B876" s="141">
        <f>#REF!</f>
        <v/>
      </c>
      <c r="C876" s="211" t="n">
        <v>0.6</v>
      </c>
      <c r="D876" s="212">
        <f>#REF!*C876</f>
        <v/>
      </c>
      <c r="E876" s="211" t="n">
        <v>0.4</v>
      </c>
      <c r="F876" s="212">
        <f>D876*E876</f>
        <v/>
      </c>
      <c r="G876" s="213">
        <f>if(or(eq(#REF!,"No Valet"),eq(#REF!,"Has Valet")), F876 * AVERAGE(Accounts!I$2:I$34),F876*#REF!)</f>
        <v/>
      </c>
      <c r="H876" s="213">
        <f>iferror(G876*360,"")</f>
        <v/>
      </c>
      <c r="I876" s="213">
        <f>H876*0.1</f>
        <v/>
      </c>
    </row>
    <row r="877" ht="54.75" customHeight="1" s="222">
      <c r="A877" s="210">
        <f>#REF!</f>
        <v/>
      </c>
      <c r="B877" s="141">
        <f>#REF!</f>
        <v/>
      </c>
      <c r="C877" s="211" t="n">
        <v>0.6</v>
      </c>
      <c r="D877" s="212">
        <f>#REF!*C877</f>
        <v/>
      </c>
      <c r="E877" s="211" t="n">
        <v>0.4</v>
      </c>
      <c r="F877" s="212">
        <f>D877*E877</f>
        <v/>
      </c>
      <c r="G877" s="213">
        <f>if(or(eq(#REF!,"No Valet"),eq(#REF!,"Has Valet")), F877 * AVERAGE(Accounts!I$2:I$34),F877*#REF!)</f>
        <v/>
      </c>
      <c r="H877" s="213">
        <f>iferror(G877*360,"")</f>
        <v/>
      </c>
      <c r="I877" s="213">
        <f>H877*0.1</f>
        <v/>
      </c>
    </row>
    <row r="878" ht="54.75" customHeight="1" s="222">
      <c r="A878" s="210">
        <f>#REF!</f>
        <v/>
      </c>
      <c r="B878" s="141">
        <f>#REF!</f>
        <v/>
      </c>
      <c r="C878" s="211" t="n">
        <v>0.6</v>
      </c>
      <c r="D878" s="212">
        <f>#REF!*C878</f>
        <v/>
      </c>
      <c r="E878" s="211" t="n">
        <v>0.4</v>
      </c>
      <c r="F878" s="212">
        <f>D878*E878</f>
        <v/>
      </c>
      <c r="G878" s="213">
        <f>if(or(eq(#REF!,"No Valet"),eq(#REF!,"Has Valet")), F878 * AVERAGE(Accounts!I$2:I$34),F878*#REF!)</f>
        <v/>
      </c>
      <c r="H878" s="213">
        <f>iferror(G878*360,"")</f>
        <v/>
      </c>
      <c r="I878" s="213">
        <f>H878*0.1</f>
        <v/>
      </c>
    </row>
    <row r="879" ht="54.75" customHeight="1" s="222">
      <c r="A879" s="210">
        <f>#REF!</f>
        <v/>
      </c>
      <c r="B879" s="141">
        <f>#REF!</f>
        <v/>
      </c>
      <c r="C879" s="211" t="n">
        <v>0.6</v>
      </c>
      <c r="D879" s="212">
        <f>#REF!*C879</f>
        <v/>
      </c>
      <c r="E879" s="211" t="n">
        <v>0.4</v>
      </c>
      <c r="F879" s="212">
        <f>D879*E879</f>
        <v/>
      </c>
      <c r="G879" s="213">
        <f>if(or(eq(#REF!,"No Valet"),eq(#REF!,"Has Valet")), F879 * AVERAGE(Accounts!I$2:I$34),F879*#REF!)</f>
        <v/>
      </c>
      <c r="H879" s="213">
        <f>iferror(G879*360,"")</f>
        <v/>
      </c>
      <c r="I879" s="213">
        <f>H879*0.1</f>
        <v/>
      </c>
    </row>
    <row r="880" ht="54.75" customHeight="1" s="222">
      <c r="A880" s="210">
        <f>#REF!</f>
        <v/>
      </c>
      <c r="B880" s="141">
        <f>#REF!</f>
        <v/>
      </c>
      <c r="C880" s="211" t="n">
        <v>0.6</v>
      </c>
      <c r="D880" s="212">
        <f>#REF!*C880</f>
        <v/>
      </c>
      <c r="E880" s="211" t="n">
        <v>0.4</v>
      </c>
      <c r="F880" s="212">
        <f>D880*E880</f>
        <v/>
      </c>
      <c r="G880" s="213">
        <f>if(or(eq(#REF!,"No Valet"),eq(#REF!,"Has Valet")), F880 * AVERAGE(Accounts!I$2:I$34),F880*#REF!)</f>
        <v/>
      </c>
      <c r="H880" s="213">
        <f>iferror(G880*360,"")</f>
        <v/>
      </c>
      <c r="I880" s="213">
        <f>H880*0.1</f>
        <v/>
      </c>
    </row>
    <row r="881" ht="54.75" customHeight="1" s="222">
      <c r="A881" s="210">
        <f>#REF!</f>
        <v/>
      </c>
      <c r="B881" s="141">
        <f>#REF!</f>
        <v/>
      </c>
      <c r="C881" s="211" t="n">
        <v>0.6</v>
      </c>
      <c r="D881" s="212">
        <f>#REF!*C881</f>
        <v/>
      </c>
      <c r="E881" s="211" t="n">
        <v>0.4</v>
      </c>
      <c r="F881" s="212">
        <f>D881*E881</f>
        <v/>
      </c>
      <c r="G881" s="213">
        <f>if(or(eq(#REF!,"No Valet"),eq(#REF!,"Has Valet")), F881 * AVERAGE(Accounts!I$2:I$34),F881*#REF!)</f>
        <v/>
      </c>
      <c r="H881" s="213">
        <f>iferror(G881*360,"")</f>
        <v/>
      </c>
      <c r="I881" s="213">
        <f>H881*0.1</f>
        <v/>
      </c>
    </row>
    <row r="882" ht="54.75" customHeight="1" s="222">
      <c r="A882" s="210">
        <f>#REF!</f>
        <v/>
      </c>
      <c r="B882" s="141">
        <f>#REF!</f>
        <v/>
      </c>
      <c r="C882" s="211" t="n">
        <v>0.6</v>
      </c>
      <c r="D882" s="212">
        <f>#REF!*C882</f>
        <v/>
      </c>
      <c r="E882" s="211" t="n">
        <v>0.4</v>
      </c>
      <c r="F882" s="212">
        <f>D882*E882</f>
        <v/>
      </c>
      <c r="G882" s="213">
        <f>if(or(eq(#REF!,"No Valet"),eq(#REF!,"Has Valet")), F882 * AVERAGE(Accounts!I$2:I$34),F882*#REF!)</f>
        <v/>
      </c>
      <c r="H882" s="213">
        <f>iferror(G882*360,"")</f>
        <v/>
      </c>
      <c r="I882" s="213">
        <f>H882*0.1</f>
        <v/>
      </c>
    </row>
    <row r="883" ht="54.75" customHeight="1" s="222">
      <c r="A883" s="210">
        <f>#REF!</f>
        <v/>
      </c>
      <c r="B883" s="141">
        <f>#REF!</f>
        <v/>
      </c>
      <c r="C883" s="211" t="n">
        <v>0.6</v>
      </c>
      <c r="D883" s="212">
        <f>#REF!*C883</f>
        <v/>
      </c>
      <c r="E883" s="211" t="n">
        <v>0.4</v>
      </c>
      <c r="F883" s="212">
        <f>D883*E883</f>
        <v/>
      </c>
      <c r="G883" s="213">
        <f>if(or(eq(#REF!,"No Valet"),eq(#REF!,"Has Valet")), F883 * AVERAGE(Accounts!I$2:I$34),F883*#REF!)</f>
        <v/>
      </c>
      <c r="H883" s="213">
        <f>iferror(G883*360,"")</f>
        <v/>
      </c>
      <c r="I883" s="213">
        <f>H883*0.1</f>
        <v/>
      </c>
    </row>
    <row r="884" ht="54.75" customHeight="1" s="222">
      <c r="A884" s="210">
        <f>#REF!</f>
        <v/>
      </c>
      <c r="B884" s="141">
        <f>#REF!</f>
        <v/>
      </c>
      <c r="C884" s="211" t="n">
        <v>0.6</v>
      </c>
      <c r="D884" s="212">
        <f>#REF!*C884</f>
        <v/>
      </c>
      <c r="E884" s="211" t="n">
        <v>0.4</v>
      </c>
      <c r="F884" s="212">
        <f>D884*E884</f>
        <v/>
      </c>
      <c r="G884" s="213">
        <f>if(or(eq(#REF!,"No Valet"),eq(#REF!,"Has Valet")), F884 * AVERAGE(Accounts!I$2:I$34),F884*#REF!)</f>
        <v/>
      </c>
      <c r="H884" s="213">
        <f>iferror(G884*360,"")</f>
        <v/>
      </c>
      <c r="I884" s="213">
        <f>H884*0.1</f>
        <v/>
      </c>
    </row>
    <row r="885" ht="54.75" customHeight="1" s="222">
      <c r="A885" s="210">
        <f>#REF!</f>
        <v/>
      </c>
      <c r="B885" s="141">
        <f>#REF!</f>
        <v/>
      </c>
      <c r="C885" s="211" t="n">
        <v>0.6</v>
      </c>
      <c r="D885" s="212">
        <f>#REF!*C885</f>
        <v/>
      </c>
      <c r="E885" s="211" t="n">
        <v>0.4</v>
      </c>
      <c r="F885" s="212">
        <f>D885*E885</f>
        <v/>
      </c>
      <c r="G885" s="213">
        <f>if(or(eq(#REF!,"No Valet"),eq(#REF!,"Has Valet")), F885 * AVERAGE(Accounts!I$2:I$34),F885*#REF!)</f>
        <v/>
      </c>
      <c r="H885" s="213">
        <f>iferror(G885*360,"")</f>
        <v/>
      </c>
      <c r="I885" s="213">
        <f>H885*0.1</f>
        <v/>
      </c>
    </row>
    <row r="886" ht="54.75" customHeight="1" s="222">
      <c r="A886" s="210">
        <f>#REF!</f>
        <v/>
      </c>
      <c r="B886" s="141">
        <f>#REF!</f>
        <v/>
      </c>
      <c r="C886" s="211" t="n">
        <v>0.6</v>
      </c>
      <c r="D886" s="212">
        <f>#REF!*C886</f>
        <v/>
      </c>
      <c r="E886" s="211" t="n">
        <v>0.4</v>
      </c>
      <c r="F886" s="212">
        <f>D886*E886</f>
        <v/>
      </c>
      <c r="G886" s="213">
        <f>if(or(eq(#REF!,"No Valet"),eq(#REF!,"Has Valet")), F886 * AVERAGE(Accounts!I$2:I$34),F886*#REF!)</f>
        <v/>
      </c>
      <c r="H886" s="213">
        <f>iferror(G886*360,"")</f>
        <v/>
      </c>
      <c r="I886" s="213">
        <f>H886*0.1</f>
        <v/>
      </c>
    </row>
    <row r="887" ht="54.75" customHeight="1" s="222">
      <c r="A887" s="210">
        <f>#REF!</f>
        <v/>
      </c>
      <c r="B887" s="141">
        <f>#REF!</f>
        <v/>
      </c>
      <c r="C887" s="211" t="n">
        <v>0.6</v>
      </c>
      <c r="D887" s="212">
        <f>#REF!*C887</f>
        <v/>
      </c>
      <c r="E887" s="211" t="n">
        <v>0.4</v>
      </c>
      <c r="F887" s="212">
        <f>D887*E887</f>
        <v/>
      </c>
      <c r="G887" s="213">
        <f>if(or(eq(#REF!,"No Valet"),eq(#REF!,"Has Valet")), F887 * AVERAGE(Accounts!I$2:I$34),F887*#REF!)</f>
        <v/>
      </c>
      <c r="H887" s="213">
        <f>iferror(G887*360,"")</f>
        <v/>
      </c>
      <c r="I887" s="213">
        <f>H887*0.1</f>
        <v/>
      </c>
    </row>
    <row r="888" ht="54.75" customHeight="1" s="222">
      <c r="A888" s="210">
        <f>#REF!</f>
        <v/>
      </c>
      <c r="B888" s="141">
        <f>#REF!</f>
        <v/>
      </c>
      <c r="C888" s="211" t="n">
        <v>0.6</v>
      </c>
      <c r="D888" s="212">
        <f>#REF!*C888</f>
        <v/>
      </c>
      <c r="E888" s="211" t="n">
        <v>0.4</v>
      </c>
      <c r="F888" s="212">
        <f>D888*E888</f>
        <v/>
      </c>
      <c r="G888" s="213">
        <f>if(or(eq(#REF!,"No Valet"),eq(#REF!,"Has Valet")), F888 * AVERAGE(Accounts!I$2:I$34),F888*#REF!)</f>
        <v/>
      </c>
      <c r="H888" s="213">
        <f>iferror(G888*360,"")</f>
        <v/>
      </c>
      <c r="I888" s="213">
        <f>H888*0.1</f>
        <v/>
      </c>
    </row>
    <row r="889" ht="54.75" customHeight="1" s="222">
      <c r="A889" s="210">
        <f>#REF!</f>
        <v/>
      </c>
      <c r="B889" s="141">
        <f>#REF!</f>
        <v/>
      </c>
      <c r="C889" s="211" t="n">
        <v>0.6</v>
      </c>
      <c r="D889" s="212">
        <f>#REF!*C889</f>
        <v/>
      </c>
      <c r="E889" s="211" t="n">
        <v>0.4</v>
      </c>
      <c r="F889" s="212">
        <f>D889*E889</f>
        <v/>
      </c>
      <c r="G889" s="213">
        <f>if(or(eq(#REF!,"No Valet"),eq(#REF!,"Has Valet")), F889 * AVERAGE(Accounts!I$2:I$34),F889*#REF!)</f>
        <v/>
      </c>
      <c r="H889" s="213">
        <f>iferror(G889*360,"")</f>
        <v/>
      </c>
      <c r="I889" s="213">
        <f>H889*0.1</f>
        <v/>
      </c>
    </row>
    <row r="890" ht="54.75" customHeight="1" s="222">
      <c r="A890" s="210">
        <f>#REF!</f>
        <v/>
      </c>
      <c r="B890" s="141">
        <f>#REF!</f>
        <v/>
      </c>
      <c r="C890" s="211" t="n">
        <v>0.6</v>
      </c>
      <c r="D890" s="212">
        <f>#REF!*C890</f>
        <v/>
      </c>
      <c r="E890" s="211" t="n">
        <v>0.4</v>
      </c>
      <c r="F890" s="212">
        <f>D890*E890</f>
        <v/>
      </c>
      <c r="G890" s="213">
        <f>if(or(eq(#REF!,"No Valet"),eq(#REF!,"Has Valet")), F890 * AVERAGE(Accounts!I$2:I$34),F890*#REF!)</f>
        <v/>
      </c>
      <c r="H890" s="213">
        <f>iferror(G890*360,"")</f>
        <v/>
      </c>
      <c r="I890" s="213">
        <f>H890*0.1</f>
        <v/>
      </c>
    </row>
    <row r="891" ht="54.75" customHeight="1" s="222">
      <c r="A891" s="210">
        <f>#REF!</f>
        <v/>
      </c>
      <c r="B891" s="141">
        <f>#REF!</f>
        <v/>
      </c>
      <c r="C891" s="211" t="n">
        <v>0.6</v>
      </c>
      <c r="D891" s="212">
        <f>#REF!*C891</f>
        <v/>
      </c>
      <c r="E891" s="211" t="n">
        <v>0.4</v>
      </c>
      <c r="F891" s="212">
        <f>D891*E891</f>
        <v/>
      </c>
      <c r="G891" s="213">
        <f>if(or(eq(#REF!,"No Valet"),eq(#REF!,"Has Valet")), F891 * AVERAGE(Accounts!I$2:I$34),F891*#REF!)</f>
        <v/>
      </c>
      <c r="H891" s="213">
        <f>iferror(G891*360,"")</f>
        <v/>
      </c>
      <c r="I891" s="213">
        <f>H891*0.1</f>
        <v/>
      </c>
    </row>
    <row r="892" ht="54.75" customHeight="1" s="222">
      <c r="A892" s="210">
        <f>#REF!</f>
        <v/>
      </c>
      <c r="B892" s="141">
        <f>#REF!</f>
        <v/>
      </c>
      <c r="C892" s="211" t="n">
        <v>0.6</v>
      </c>
      <c r="D892" s="212">
        <f>#REF!*C892</f>
        <v/>
      </c>
      <c r="E892" s="211" t="n">
        <v>0.4</v>
      </c>
      <c r="F892" s="212">
        <f>D892*E892</f>
        <v/>
      </c>
      <c r="G892" s="213">
        <f>if(or(eq(#REF!,"No Valet"),eq(#REF!,"Has Valet")), F892 * AVERAGE(Accounts!I$2:I$34),F892*#REF!)</f>
        <v/>
      </c>
      <c r="H892" s="213">
        <f>iferror(G892*360,"")</f>
        <v/>
      </c>
      <c r="I892" s="213">
        <f>H892*0.1</f>
        <v/>
      </c>
    </row>
    <row r="893" ht="54.75" customHeight="1" s="222">
      <c r="A893" s="210">
        <f>#REF!</f>
        <v/>
      </c>
      <c r="B893" s="141">
        <f>#REF!</f>
        <v/>
      </c>
      <c r="C893" s="211" t="n">
        <v>0.6</v>
      </c>
      <c r="D893" s="212">
        <f>#REF!*C893</f>
        <v/>
      </c>
      <c r="E893" s="211" t="n">
        <v>0.4</v>
      </c>
      <c r="F893" s="212">
        <f>D893*E893</f>
        <v/>
      </c>
      <c r="G893" s="213">
        <f>if(or(eq(#REF!,"No Valet"),eq(#REF!,"Has Valet")), F893 * AVERAGE(Accounts!I$2:I$34),F893*#REF!)</f>
        <v/>
      </c>
      <c r="H893" s="213">
        <f>iferror(G893*360,"")</f>
        <v/>
      </c>
      <c r="I893" s="213">
        <f>H893*0.1</f>
        <v/>
      </c>
    </row>
    <row r="894" ht="54.75" customHeight="1" s="222">
      <c r="A894" s="210">
        <f>#REF!</f>
        <v/>
      </c>
      <c r="B894" s="141">
        <f>#REF!</f>
        <v/>
      </c>
      <c r="C894" s="211" t="n">
        <v>0.6</v>
      </c>
      <c r="D894" s="212">
        <f>#REF!*C894</f>
        <v/>
      </c>
      <c r="E894" s="211" t="n">
        <v>0.4</v>
      </c>
      <c r="F894" s="212">
        <f>D894*E894</f>
        <v/>
      </c>
      <c r="G894" s="213">
        <f>if(or(eq(#REF!,"No Valet"),eq(#REF!,"Has Valet")), F894 * AVERAGE(Accounts!I$2:I$34),F894*#REF!)</f>
        <v/>
      </c>
      <c r="H894" s="213">
        <f>iferror(G894*360,"")</f>
        <v/>
      </c>
      <c r="I894" s="213">
        <f>H894*0.1</f>
        <v/>
      </c>
    </row>
    <row r="895" ht="54.75" customHeight="1" s="222">
      <c r="A895" s="210">
        <f>#REF!</f>
        <v/>
      </c>
      <c r="B895" s="141">
        <f>#REF!</f>
        <v/>
      </c>
      <c r="C895" s="211" t="n">
        <v>0.6</v>
      </c>
      <c r="D895" s="212">
        <f>#REF!*C895</f>
        <v/>
      </c>
      <c r="E895" s="211" t="n">
        <v>0.4</v>
      </c>
      <c r="F895" s="212">
        <f>D895*E895</f>
        <v/>
      </c>
      <c r="G895" s="213">
        <f>if(or(eq(#REF!,"No Valet"),eq(#REF!,"Has Valet")), F895 * AVERAGE(Accounts!I$2:I$34),F895*#REF!)</f>
        <v/>
      </c>
      <c r="H895" s="213">
        <f>iferror(G895*360,"")</f>
        <v/>
      </c>
      <c r="I895" s="213">
        <f>H895*0.1</f>
        <v/>
      </c>
    </row>
    <row r="896" ht="54.75" customHeight="1" s="222">
      <c r="A896" s="210">
        <f>#REF!</f>
        <v/>
      </c>
      <c r="B896" s="141">
        <f>#REF!</f>
        <v/>
      </c>
      <c r="C896" s="211" t="n">
        <v>0.6</v>
      </c>
      <c r="D896" s="212">
        <f>#REF!*C896</f>
        <v/>
      </c>
      <c r="E896" s="211" t="n">
        <v>0.4</v>
      </c>
      <c r="F896" s="212">
        <f>D896*E896</f>
        <v/>
      </c>
      <c r="G896" s="213">
        <f>if(or(eq(#REF!,"No Valet"),eq(#REF!,"Has Valet")), F896 * AVERAGE(Accounts!I$2:I$34),F896*#REF!)</f>
        <v/>
      </c>
      <c r="H896" s="213">
        <f>iferror(G896*360,"")</f>
        <v/>
      </c>
      <c r="I896" s="213">
        <f>H896*0.1</f>
        <v/>
      </c>
    </row>
    <row r="897" ht="54.75" customHeight="1" s="222">
      <c r="A897" s="210">
        <f>#REF!</f>
        <v/>
      </c>
      <c r="B897" s="141">
        <f>#REF!</f>
        <v/>
      </c>
      <c r="C897" s="211" t="n">
        <v>0.6</v>
      </c>
      <c r="D897" s="212">
        <f>#REF!*C897</f>
        <v/>
      </c>
      <c r="E897" s="211" t="n">
        <v>0.4</v>
      </c>
      <c r="F897" s="212">
        <f>D897*E897</f>
        <v/>
      </c>
      <c r="G897" s="213">
        <f>if(or(eq(#REF!,"No Valet"),eq(#REF!,"Has Valet")), F897 * AVERAGE(Accounts!I$2:I$34),F897*#REF!)</f>
        <v/>
      </c>
      <c r="H897" s="213">
        <f>iferror(G897*360,"")</f>
        <v/>
      </c>
      <c r="I897" s="213">
        <f>H897*0.1</f>
        <v/>
      </c>
    </row>
    <row r="898" ht="54.75" customHeight="1" s="222">
      <c r="A898" s="210">
        <f>#REF!</f>
        <v/>
      </c>
      <c r="B898" s="141">
        <f>#REF!</f>
        <v/>
      </c>
      <c r="C898" s="211" t="n">
        <v>0.6</v>
      </c>
      <c r="D898" s="212">
        <f>#REF!*C898</f>
        <v/>
      </c>
      <c r="E898" s="211" t="n">
        <v>0.4</v>
      </c>
      <c r="F898" s="212">
        <f>D898*E898</f>
        <v/>
      </c>
      <c r="G898" s="213">
        <f>if(or(eq(#REF!,"No Valet"),eq(#REF!,"Has Valet")), F898 * AVERAGE(Accounts!I$2:I$34),F898*#REF!)</f>
        <v/>
      </c>
      <c r="H898" s="213">
        <f>iferror(G898*360,"")</f>
        <v/>
      </c>
      <c r="I898" s="213">
        <f>H898*0.1</f>
        <v/>
      </c>
    </row>
    <row r="899" ht="54.75" customHeight="1" s="222">
      <c r="A899" s="210">
        <f>#REF!</f>
        <v/>
      </c>
      <c r="B899" s="141">
        <f>#REF!</f>
        <v/>
      </c>
      <c r="C899" s="211" t="n">
        <v>0.6</v>
      </c>
      <c r="D899" s="212">
        <f>#REF!*C899</f>
        <v/>
      </c>
      <c r="E899" s="211" t="n">
        <v>0.4</v>
      </c>
      <c r="F899" s="212">
        <f>D899*E899</f>
        <v/>
      </c>
      <c r="G899" s="213">
        <f>if(or(eq(#REF!,"No Valet"),eq(#REF!,"Has Valet")), F899 * AVERAGE(Accounts!I$2:I$34),F899*#REF!)</f>
        <v/>
      </c>
      <c r="H899" s="213">
        <f>iferror(G899*360,"")</f>
        <v/>
      </c>
      <c r="I899" s="213">
        <f>H899*0.1</f>
        <v/>
      </c>
    </row>
    <row r="900" ht="54.75" customHeight="1" s="222">
      <c r="A900" s="210">
        <f>#REF!</f>
        <v/>
      </c>
      <c r="B900" s="141">
        <f>#REF!</f>
        <v/>
      </c>
      <c r="C900" s="211" t="n">
        <v>0.6</v>
      </c>
      <c r="D900" s="212">
        <f>#REF!*C900</f>
        <v/>
      </c>
      <c r="E900" s="211" t="n">
        <v>0.4</v>
      </c>
      <c r="F900" s="212">
        <f>D900*E900</f>
        <v/>
      </c>
      <c r="G900" s="213">
        <f>if(or(eq(#REF!,"No Valet"),eq(#REF!,"Has Valet")), F900 * AVERAGE(Accounts!I$2:I$34),F900*#REF!)</f>
        <v/>
      </c>
      <c r="H900" s="213">
        <f>iferror(G900*360,"")</f>
        <v/>
      </c>
      <c r="I900" s="213">
        <f>H900*0.1</f>
        <v/>
      </c>
    </row>
    <row r="901" ht="54.75" customHeight="1" s="222">
      <c r="A901" s="210">
        <f>#REF!</f>
        <v/>
      </c>
      <c r="B901" s="141">
        <f>#REF!</f>
        <v/>
      </c>
      <c r="C901" s="211" t="n">
        <v>0.6</v>
      </c>
      <c r="D901" s="212">
        <f>#REF!*C901</f>
        <v/>
      </c>
      <c r="E901" s="211" t="n">
        <v>0.4</v>
      </c>
      <c r="F901" s="212">
        <f>D901*E901</f>
        <v/>
      </c>
      <c r="G901" s="213">
        <f>if(or(eq(#REF!,"No Valet"),eq(#REF!,"Has Valet")), F901 * AVERAGE(Accounts!I$2:I$34),F901*#REF!)</f>
        <v/>
      </c>
      <c r="H901" s="213">
        <f>iferror(G901*360,"")</f>
        <v/>
      </c>
      <c r="I901" s="213">
        <f>H901*0.1</f>
        <v/>
      </c>
    </row>
    <row r="902" ht="54.75" customHeight="1" s="222">
      <c r="A902" s="210">
        <f>#REF!</f>
        <v/>
      </c>
      <c r="B902" s="141">
        <f>#REF!</f>
        <v/>
      </c>
      <c r="C902" s="211" t="n">
        <v>0.6</v>
      </c>
      <c r="D902" s="212">
        <f>#REF!*C902</f>
        <v/>
      </c>
      <c r="E902" s="211" t="n">
        <v>0.4</v>
      </c>
      <c r="F902" s="212">
        <f>D902*E902</f>
        <v/>
      </c>
      <c r="G902" s="213">
        <f>if(or(eq(#REF!,"No Valet"),eq(#REF!,"Has Valet")), F902 * AVERAGE(Accounts!I$2:I$34),F902*#REF!)</f>
        <v/>
      </c>
      <c r="H902" s="213">
        <f>iferror(G902*360,"")</f>
        <v/>
      </c>
      <c r="I902" s="213">
        <f>H902*0.1</f>
        <v/>
      </c>
    </row>
    <row r="903" ht="54.75" customHeight="1" s="222">
      <c r="A903" s="210">
        <f>#REF!</f>
        <v/>
      </c>
      <c r="B903" s="141">
        <f>#REF!</f>
        <v/>
      </c>
      <c r="C903" s="211" t="n">
        <v>0.6</v>
      </c>
      <c r="D903" s="212">
        <f>#REF!*C903</f>
        <v/>
      </c>
      <c r="E903" s="211" t="n">
        <v>0.4</v>
      </c>
      <c r="F903" s="212">
        <f>D903*E903</f>
        <v/>
      </c>
      <c r="G903" s="213">
        <f>if(or(eq(#REF!,"No Valet"),eq(#REF!,"Has Valet")), F903 * AVERAGE(Accounts!I$2:I$34),F903*#REF!)</f>
        <v/>
      </c>
      <c r="H903" s="213">
        <f>iferror(G903*360,"")</f>
        <v/>
      </c>
      <c r="I903" s="213">
        <f>H903*0.1</f>
        <v/>
      </c>
    </row>
    <row r="904" ht="54.75" customHeight="1" s="222">
      <c r="A904" s="210">
        <f>#REF!</f>
        <v/>
      </c>
      <c r="B904" s="141">
        <f>#REF!</f>
        <v/>
      </c>
      <c r="C904" s="211" t="n">
        <v>0.6</v>
      </c>
      <c r="D904" s="212">
        <f>#REF!*C904</f>
        <v/>
      </c>
      <c r="E904" s="211" t="n">
        <v>0.4</v>
      </c>
      <c r="F904" s="212">
        <f>D904*E904</f>
        <v/>
      </c>
      <c r="G904" s="213">
        <f>if(or(eq(#REF!,"No Valet"),eq(#REF!,"Has Valet")), F904 * AVERAGE(Accounts!I$2:I$34),F904*#REF!)</f>
        <v/>
      </c>
      <c r="H904" s="213">
        <f>iferror(G904*360,"")</f>
        <v/>
      </c>
      <c r="I904" s="213">
        <f>H904*0.1</f>
        <v/>
      </c>
    </row>
    <row r="905" ht="54.75" customHeight="1" s="222">
      <c r="A905" s="210">
        <f>#REF!</f>
        <v/>
      </c>
      <c r="B905" s="141">
        <f>#REF!</f>
        <v/>
      </c>
      <c r="C905" s="211" t="n">
        <v>0.6</v>
      </c>
      <c r="D905" s="212">
        <f>#REF!*C905</f>
        <v/>
      </c>
      <c r="E905" s="211" t="n">
        <v>0.4</v>
      </c>
      <c r="F905" s="212">
        <f>D905*E905</f>
        <v/>
      </c>
      <c r="G905" s="213">
        <f>if(or(eq(#REF!,"No Valet"),eq(#REF!,"Has Valet")), F905 * AVERAGE(Accounts!I$2:I$34),F905*#REF!)</f>
        <v/>
      </c>
      <c r="H905" s="213">
        <f>iferror(G905*360,"")</f>
        <v/>
      </c>
      <c r="I905" s="213">
        <f>H905*0.1</f>
        <v/>
      </c>
    </row>
    <row r="906" ht="54.75" customHeight="1" s="222">
      <c r="A906" s="210">
        <f>#REF!</f>
        <v/>
      </c>
      <c r="B906" s="141">
        <f>#REF!</f>
        <v/>
      </c>
      <c r="C906" s="211" t="n">
        <v>0.6</v>
      </c>
      <c r="D906" s="212">
        <f>#REF!*C906</f>
        <v/>
      </c>
      <c r="E906" s="211" t="n">
        <v>0.4</v>
      </c>
      <c r="F906" s="212">
        <f>D906*E906</f>
        <v/>
      </c>
      <c r="G906" s="213">
        <f>if(or(eq(#REF!,"No Valet"),eq(#REF!,"Has Valet")), F906 * AVERAGE(Accounts!I$2:I$34),F906*#REF!)</f>
        <v/>
      </c>
      <c r="H906" s="213">
        <f>iferror(G906*360,"")</f>
        <v/>
      </c>
      <c r="I906" s="213">
        <f>H906*0.1</f>
        <v/>
      </c>
    </row>
    <row r="907" ht="54.75" customHeight="1" s="222">
      <c r="A907" s="210">
        <f>#REF!</f>
        <v/>
      </c>
      <c r="B907" s="141">
        <f>#REF!</f>
        <v/>
      </c>
      <c r="C907" s="211" t="n">
        <v>0.6</v>
      </c>
      <c r="D907" s="212">
        <f>#REF!*C907</f>
        <v/>
      </c>
      <c r="E907" s="211" t="n">
        <v>0.4</v>
      </c>
      <c r="F907" s="212">
        <f>D907*E907</f>
        <v/>
      </c>
      <c r="G907" s="213">
        <f>if(or(eq(#REF!,"No Valet"),eq(#REF!,"Has Valet")), F907 * AVERAGE(Accounts!I$2:I$34),F907*#REF!)</f>
        <v/>
      </c>
      <c r="H907" s="213">
        <f>iferror(G907*360,"")</f>
        <v/>
      </c>
      <c r="I907" s="213">
        <f>H907*0.1</f>
        <v/>
      </c>
    </row>
    <row r="908" ht="54.75" customHeight="1" s="222">
      <c r="A908" s="210">
        <f>#REF!</f>
        <v/>
      </c>
      <c r="B908" s="141">
        <f>#REF!</f>
        <v/>
      </c>
      <c r="C908" s="211" t="n">
        <v>0.6</v>
      </c>
      <c r="D908" s="212">
        <f>#REF!*C908</f>
        <v/>
      </c>
      <c r="E908" s="211" t="n">
        <v>0.4</v>
      </c>
      <c r="F908" s="212">
        <f>D908*E908</f>
        <v/>
      </c>
      <c r="G908" s="213">
        <f>if(or(eq(#REF!,"No Valet"),eq(#REF!,"Has Valet")), F908 * AVERAGE(Accounts!I$2:I$34),F908*#REF!)</f>
        <v/>
      </c>
      <c r="H908" s="213">
        <f>iferror(G908*360,"")</f>
        <v/>
      </c>
      <c r="I908" s="213">
        <f>H908*0.1</f>
        <v/>
      </c>
    </row>
    <row r="909" ht="54.75" customHeight="1" s="222">
      <c r="A909" s="210">
        <f>#REF!</f>
        <v/>
      </c>
      <c r="B909" s="141">
        <f>#REF!</f>
        <v/>
      </c>
      <c r="C909" s="211" t="n">
        <v>0.6</v>
      </c>
      <c r="D909" s="212">
        <f>#REF!*C909</f>
        <v/>
      </c>
      <c r="E909" s="211" t="n">
        <v>0.4</v>
      </c>
      <c r="F909" s="212">
        <f>D909*E909</f>
        <v/>
      </c>
      <c r="G909" s="213">
        <f>if(or(eq(#REF!,"No Valet"),eq(#REF!,"Has Valet")), F909 * AVERAGE(Accounts!I$2:I$34),F909*#REF!)</f>
        <v/>
      </c>
      <c r="H909" s="213">
        <f>iferror(G909*360,"")</f>
        <v/>
      </c>
      <c r="I909" s="213">
        <f>H909*0.1</f>
        <v/>
      </c>
    </row>
    <row r="910" ht="54.75" customHeight="1" s="222">
      <c r="A910" s="210">
        <f>#REF!</f>
        <v/>
      </c>
      <c r="B910" s="141">
        <f>#REF!</f>
        <v/>
      </c>
      <c r="C910" s="211" t="n">
        <v>0.6</v>
      </c>
      <c r="D910" s="212">
        <f>#REF!*C910</f>
        <v/>
      </c>
      <c r="E910" s="211" t="n">
        <v>0.4</v>
      </c>
      <c r="F910" s="212">
        <f>D910*E910</f>
        <v/>
      </c>
      <c r="G910" s="213">
        <f>if(or(eq(#REF!,"No Valet"),eq(#REF!,"Has Valet")), F910 * AVERAGE(Accounts!I$2:I$34),F910*#REF!)</f>
        <v/>
      </c>
      <c r="H910" s="213">
        <f>iferror(G910*360,"")</f>
        <v/>
      </c>
      <c r="I910" s="213">
        <f>H910*0.1</f>
        <v/>
      </c>
    </row>
    <row r="911" ht="54.75" customHeight="1" s="222">
      <c r="A911" s="210">
        <f>#REF!</f>
        <v/>
      </c>
      <c r="B911" s="141">
        <f>#REF!</f>
        <v/>
      </c>
      <c r="C911" s="211" t="n">
        <v>0.6</v>
      </c>
      <c r="D911" s="212">
        <f>#REF!*C911</f>
        <v/>
      </c>
      <c r="E911" s="211" t="n">
        <v>0.4</v>
      </c>
      <c r="F911" s="212">
        <f>D911*E911</f>
        <v/>
      </c>
      <c r="G911" s="213">
        <f>if(or(eq(#REF!,"No Valet"),eq(#REF!,"Has Valet")), F911 * AVERAGE(Accounts!I$2:I$34),F911*#REF!)</f>
        <v/>
      </c>
      <c r="H911" s="213">
        <f>iferror(G911*360,"")</f>
        <v/>
      </c>
      <c r="I911" s="213">
        <f>H911*0.1</f>
        <v/>
      </c>
    </row>
    <row r="912" ht="54.75" customHeight="1" s="222">
      <c r="A912" s="210">
        <f>#REF!</f>
        <v/>
      </c>
      <c r="B912" s="141">
        <f>#REF!</f>
        <v/>
      </c>
      <c r="C912" s="211" t="n">
        <v>0.6</v>
      </c>
      <c r="D912" s="212">
        <f>#REF!*C912</f>
        <v/>
      </c>
      <c r="E912" s="211" t="n">
        <v>0.4</v>
      </c>
      <c r="F912" s="212">
        <f>D912*E912</f>
        <v/>
      </c>
      <c r="G912" s="213">
        <f>if(or(eq(#REF!,"No Valet"),eq(#REF!,"Has Valet")), F912 * AVERAGE(Accounts!I$2:I$34),F912*#REF!)</f>
        <v/>
      </c>
      <c r="H912" s="213">
        <f>iferror(G912*360,"")</f>
        <v/>
      </c>
      <c r="I912" s="213">
        <f>H912*0.1</f>
        <v/>
      </c>
    </row>
    <row r="913" ht="54.75" customHeight="1" s="222">
      <c r="A913" s="210">
        <f>#REF!</f>
        <v/>
      </c>
      <c r="B913" s="141">
        <f>#REF!</f>
        <v/>
      </c>
      <c r="C913" s="211" t="n">
        <v>0.6</v>
      </c>
      <c r="D913" s="212">
        <f>#REF!*C913</f>
        <v/>
      </c>
      <c r="E913" s="211" t="n">
        <v>0.4</v>
      </c>
      <c r="F913" s="212">
        <f>D913*E913</f>
        <v/>
      </c>
      <c r="G913" s="213">
        <f>if(or(eq(#REF!,"No Valet"),eq(#REF!,"Has Valet")), F913 * AVERAGE(Accounts!I$2:I$34),F913*#REF!)</f>
        <v/>
      </c>
      <c r="H913" s="213">
        <f>iferror(G913*360,"")</f>
        <v/>
      </c>
      <c r="I913" s="213">
        <f>H913*0.1</f>
        <v/>
      </c>
    </row>
    <row r="914" ht="54.75" customHeight="1" s="222">
      <c r="A914" s="210">
        <f>#REF!</f>
        <v/>
      </c>
      <c r="B914" s="141">
        <f>#REF!</f>
        <v/>
      </c>
      <c r="C914" s="211" t="n">
        <v>0.6</v>
      </c>
      <c r="D914" s="212">
        <f>#REF!*C914</f>
        <v/>
      </c>
      <c r="E914" s="211" t="n">
        <v>0.4</v>
      </c>
      <c r="F914" s="212">
        <f>D914*E914</f>
        <v/>
      </c>
      <c r="G914" s="213">
        <f>if(or(eq(#REF!,"No Valet"),eq(#REF!,"Has Valet")), F914 * AVERAGE(Accounts!I$2:I$34),F914*#REF!)</f>
        <v/>
      </c>
      <c r="H914" s="213">
        <f>iferror(G914*360,"")</f>
        <v/>
      </c>
      <c r="I914" s="213">
        <f>H914*0.1</f>
        <v/>
      </c>
    </row>
    <row r="915" ht="54.75" customHeight="1" s="222">
      <c r="A915" s="210">
        <f>#REF!</f>
        <v/>
      </c>
      <c r="B915" s="141">
        <f>#REF!</f>
        <v/>
      </c>
      <c r="C915" s="211" t="n">
        <v>0.6</v>
      </c>
      <c r="D915" s="212">
        <f>#REF!*C915</f>
        <v/>
      </c>
      <c r="E915" s="211" t="n">
        <v>0.4</v>
      </c>
      <c r="F915" s="212">
        <f>D915*E915</f>
        <v/>
      </c>
      <c r="G915" s="213">
        <f>if(or(eq(#REF!,"No Valet"),eq(#REF!,"Has Valet")), F915 * AVERAGE(Accounts!I$2:I$34),F915*#REF!)</f>
        <v/>
      </c>
      <c r="H915" s="213">
        <f>iferror(G915*360,"")</f>
        <v/>
      </c>
      <c r="I915" s="213">
        <f>H915*0.1</f>
        <v/>
      </c>
    </row>
    <row r="916" ht="54.75" customHeight="1" s="222">
      <c r="A916" s="210">
        <f>#REF!</f>
        <v/>
      </c>
      <c r="B916" s="141">
        <f>#REF!</f>
        <v/>
      </c>
      <c r="C916" s="211" t="n">
        <v>0.6</v>
      </c>
      <c r="D916" s="212">
        <f>#REF!*C916</f>
        <v/>
      </c>
      <c r="E916" s="211" t="n">
        <v>0.4</v>
      </c>
      <c r="F916" s="212">
        <f>D916*E916</f>
        <v/>
      </c>
      <c r="G916" s="213">
        <f>if(or(eq(#REF!,"No Valet"),eq(#REF!,"Has Valet")), F916 * AVERAGE(Accounts!I$2:I$34),F916*#REF!)</f>
        <v/>
      </c>
      <c r="H916" s="213">
        <f>iferror(G916*360,"")</f>
        <v/>
      </c>
      <c r="I916" s="213">
        <f>H916*0.1</f>
        <v/>
      </c>
    </row>
    <row r="917" ht="54.75" customHeight="1" s="222">
      <c r="A917" s="210">
        <f>#REF!</f>
        <v/>
      </c>
      <c r="B917" s="141">
        <f>#REF!</f>
        <v/>
      </c>
      <c r="C917" s="211" t="n">
        <v>0.6</v>
      </c>
      <c r="D917" s="212">
        <f>#REF!*C917</f>
        <v/>
      </c>
      <c r="E917" s="211" t="n">
        <v>0.4</v>
      </c>
      <c r="F917" s="212">
        <f>D917*E917</f>
        <v/>
      </c>
      <c r="G917" s="213">
        <f>if(or(eq(#REF!,"No Valet"),eq(#REF!,"Has Valet")), F917 * AVERAGE(Accounts!I$2:I$34),F917*#REF!)</f>
        <v/>
      </c>
      <c r="H917" s="213">
        <f>iferror(G917*360,"")</f>
        <v/>
      </c>
      <c r="I917" s="213">
        <f>H917*0.1</f>
        <v/>
      </c>
    </row>
    <row r="918" ht="54.75" customHeight="1" s="222">
      <c r="A918" s="210">
        <f>#REF!</f>
        <v/>
      </c>
      <c r="B918" s="141">
        <f>#REF!</f>
        <v/>
      </c>
      <c r="C918" s="211" t="n">
        <v>0.6</v>
      </c>
      <c r="D918" s="212">
        <f>#REF!*C918</f>
        <v/>
      </c>
      <c r="E918" s="211" t="n">
        <v>0.4</v>
      </c>
      <c r="F918" s="212">
        <f>D918*E918</f>
        <v/>
      </c>
      <c r="G918" s="213">
        <f>if(or(eq(#REF!,"No Valet"),eq(#REF!,"Has Valet")), F918 * AVERAGE(Accounts!I$2:I$34),F918*#REF!)</f>
        <v/>
      </c>
      <c r="H918" s="213">
        <f>iferror(G918*360,"")</f>
        <v/>
      </c>
      <c r="I918" s="213">
        <f>H918*0.1</f>
        <v/>
      </c>
    </row>
    <row r="919" ht="54.75" customHeight="1" s="222">
      <c r="A919" s="210">
        <f>#REF!</f>
        <v/>
      </c>
      <c r="B919" s="141">
        <f>#REF!</f>
        <v/>
      </c>
      <c r="C919" s="211" t="n">
        <v>0.6</v>
      </c>
      <c r="D919" s="212">
        <f>#REF!*C919</f>
        <v/>
      </c>
      <c r="E919" s="211" t="n">
        <v>0.4</v>
      </c>
      <c r="F919" s="212">
        <f>D919*E919</f>
        <v/>
      </c>
      <c r="G919" s="213">
        <f>if(or(eq(#REF!,"No Valet"),eq(#REF!,"Has Valet")), F919 * AVERAGE(Accounts!I$2:I$34),F919*#REF!)</f>
        <v/>
      </c>
      <c r="H919" s="213">
        <f>iferror(G919*360,"")</f>
        <v/>
      </c>
      <c r="I919" s="213">
        <f>H919*0.1</f>
        <v/>
      </c>
    </row>
    <row r="920" ht="54.75" customHeight="1" s="222">
      <c r="A920" s="210">
        <f>#REF!</f>
        <v/>
      </c>
      <c r="B920" s="141">
        <f>#REF!</f>
        <v/>
      </c>
      <c r="C920" s="211" t="n">
        <v>0.6</v>
      </c>
      <c r="D920" s="212">
        <f>#REF!*C920</f>
        <v/>
      </c>
      <c r="E920" s="211" t="n">
        <v>0.4</v>
      </c>
      <c r="F920" s="212">
        <f>D920*E920</f>
        <v/>
      </c>
      <c r="G920" s="213">
        <f>if(or(eq(#REF!,"No Valet"),eq(#REF!,"Has Valet")), F920 * AVERAGE(Accounts!I$2:I$34),F920*#REF!)</f>
        <v/>
      </c>
      <c r="H920" s="213">
        <f>iferror(G920*360,"")</f>
        <v/>
      </c>
      <c r="I920" s="213">
        <f>H920*0.1</f>
        <v/>
      </c>
    </row>
    <row r="921" ht="54.75" customHeight="1" s="222">
      <c r="A921" s="210">
        <f>#REF!</f>
        <v/>
      </c>
      <c r="B921" s="141">
        <f>#REF!</f>
        <v/>
      </c>
      <c r="C921" s="211" t="n">
        <v>0.6</v>
      </c>
      <c r="D921" s="212">
        <f>#REF!*C921</f>
        <v/>
      </c>
      <c r="E921" s="211" t="n">
        <v>0.4</v>
      </c>
      <c r="F921" s="212">
        <f>D921*E921</f>
        <v/>
      </c>
      <c r="G921" s="213">
        <f>if(or(eq(#REF!,"No Valet"),eq(#REF!,"Has Valet")), F921 * AVERAGE(Accounts!I$2:I$34),F921*#REF!)</f>
        <v/>
      </c>
      <c r="H921" s="213">
        <f>iferror(G921*360,"")</f>
        <v/>
      </c>
      <c r="I921" s="213">
        <f>H921*0.1</f>
        <v/>
      </c>
    </row>
    <row r="922" ht="54.75" customHeight="1" s="222">
      <c r="A922" s="210">
        <f>#REF!</f>
        <v/>
      </c>
      <c r="B922" s="141">
        <f>#REF!</f>
        <v/>
      </c>
      <c r="C922" s="211" t="n">
        <v>0.6</v>
      </c>
      <c r="D922" s="212">
        <f>#REF!*C922</f>
        <v/>
      </c>
      <c r="E922" s="211" t="n">
        <v>0.4</v>
      </c>
      <c r="F922" s="212">
        <f>D922*E922</f>
        <v/>
      </c>
      <c r="G922" s="213">
        <f>if(or(eq(#REF!,"No Valet"),eq(#REF!,"Has Valet")), F922 * AVERAGE(Accounts!I$2:I$34),F922*#REF!)</f>
        <v/>
      </c>
      <c r="H922" s="213">
        <f>iferror(G922*360,"")</f>
        <v/>
      </c>
      <c r="I922" s="213">
        <f>H922*0.1</f>
        <v/>
      </c>
    </row>
    <row r="923" ht="54.75" customHeight="1" s="222">
      <c r="A923" s="210">
        <f>#REF!</f>
        <v/>
      </c>
      <c r="B923" s="141">
        <f>#REF!</f>
        <v/>
      </c>
      <c r="C923" s="211" t="n">
        <v>0.6</v>
      </c>
      <c r="D923" s="212">
        <f>#REF!*C923</f>
        <v/>
      </c>
      <c r="E923" s="211" t="n">
        <v>0.4</v>
      </c>
      <c r="F923" s="212">
        <f>D923*E923</f>
        <v/>
      </c>
      <c r="G923" s="213">
        <f>if(or(eq(#REF!,"No Valet"),eq(#REF!,"Has Valet")), F923 * AVERAGE(Accounts!I$2:I$34),F923*#REF!)</f>
        <v/>
      </c>
      <c r="H923" s="213">
        <f>iferror(G923*360,"")</f>
        <v/>
      </c>
      <c r="I923" s="213">
        <f>H923*0.1</f>
        <v/>
      </c>
    </row>
    <row r="924" ht="54.75" customHeight="1" s="222">
      <c r="A924" s="210">
        <f>#REF!</f>
        <v/>
      </c>
      <c r="B924" s="141">
        <f>#REF!</f>
        <v/>
      </c>
      <c r="C924" s="211" t="n">
        <v>0.6</v>
      </c>
      <c r="D924" s="212">
        <f>#REF!*C924</f>
        <v/>
      </c>
      <c r="E924" s="211" t="n">
        <v>0.4</v>
      </c>
      <c r="F924" s="212">
        <f>D924*E924</f>
        <v/>
      </c>
      <c r="G924" s="213">
        <f>if(or(eq(#REF!,"No Valet"),eq(#REF!,"Has Valet")), F924 * AVERAGE(Accounts!I$2:I$34),F924*#REF!)</f>
        <v/>
      </c>
      <c r="H924" s="213">
        <f>iferror(G924*360,"")</f>
        <v/>
      </c>
      <c r="I924" s="213">
        <f>H924*0.1</f>
        <v/>
      </c>
    </row>
    <row r="925" ht="54.75" customHeight="1" s="222">
      <c r="A925" s="210">
        <f>#REF!</f>
        <v/>
      </c>
      <c r="B925" s="141">
        <f>#REF!</f>
        <v/>
      </c>
      <c r="C925" s="211" t="n">
        <v>0.6</v>
      </c>
      <c r="D925" s="212">
        <f>#REF!*C925</f>
        <v/>
      </c>
      <c r="E925" s="211" t="n">
        <v>0.4</v>
      </c>
      <c r="F925" s="212">
        <f>D925*E925</f>
        <v/>
      </c>
      <c r="G925" s="213">
        <f>if(or(eq(#REF!,"No Valet"),eq(#REF!,"Has Valet")), F925 * AVERAGE(Accounts!I$2:I$34),F925*#REF!)</f>
        <v/>
      </c>
      <c r="H925" s="213">
        <f>iferror(G925*360,"")</f>
        <v/>
      </c>
      <c r="I925" s="213">
        <f>H925*0.1</f>
        <v/>
      </c>
    </row>
    <row r="926" ht="54.75" customHeight="1" s="222">
      <c r="A926" s="210">
        <f>#REF!</f>
        <v/>
      </c>
      <c r="B926" s="141">
        <f>#REF!</f>
        <v/>
      </c>
      <c r="C926" s="211" t="n">
        <v>0.6</v>
      </c>
      <c r="D926" s="212">
        <f>#REF!*C926</f>
        <v/>
      </c>
      <c r="E926" s="211" t="n">
        <v>0.4</v>
      </c>
      <c r="F926" s="212">
        <f>D926*E926</f>
        <v/>
      </c>
      <c r="G926" s="213">
        <f>if(or(eq(#REF!,"No Valet"),eq(#REF!,"Has Valet")), F926 * AVERAGE(Accounts!I$2:I$34),F926*#REF!)</f>
        <v/>
      </c>
      <c r="H926" s="213">
        <f>iferror(G926*360,"")</f>
        <v/>
      </c>
      <c r="I926" s="213">
        <f>H926*0.1</f>
        <v/>
      </c>
    </row>
    <row r="927" ht="54.75" customHeight="1" s="222">
      <c r="A927" s="210">
        <f>#REF!</f>
        <v/>
      </c>
      <c r="B927" s="141">
        <f>#REF!</f>
        <v/>
      </c>
      <c r="C927" s="211" t="n">
        <v>0.6</v>
      </c>
      <c r="D927" s="212">
        <f>#REF!*C927</f>
        <v/>
      </c>
      <c r="E927" s="211" t="n">
        <v>0.4</v>
      </c>
      <c r="F927" s="212">
        <f>D927*E927</f>
        <v/>
      </c>
      <c r="G927" s="213">
        <f>if(or(eq(#REF!,"No Valet"),eq(#REF!,"Has Valet")), F927 * AVERAGE(Accounts!I$2:I$34),F927*#REF!)</f>
        <v/>
      </c>
      <c r="H927" s="213">
        <f>iferror(G927*360,"")</f>
        <v/>
      </c>
      <c r="I927" s="213">
        <f>H927*0.1</f>
        <v/>
      </c>
    </row>
    <row r="928" ht="54.75" customHeight="1" s="222">
      <c r="A928" s="210">
        <f>#REF!</f>
        <v/>
      </c>
      <c r="B928" s="141">
        <f>#REF!</f>
        <v/>
      </c>
      <c r="C928" s="211" t="n">
        <v>0.6</v>
      </c>
      <c r="D928" s="212">
        <f>#REF!*C928</f>
        <v/>
      </c>
      <c r="E928" s="211" t="n">
        <v>0.4</v>
      </c>
      <c r="F928" s="212">
        <f>D928*E928</f>
        <v/>
      </c>
      <c r="G928" s="213">
        <f>if(or(eq(#REF!,"No Valet"),eq(#REF!,"Has Valet")), F928 * AVERAGE(Accounts!I$2:I$34),F928*#REF!)</f>
        <v/>
      </c>
      <c r="H928" s="213">
        <f>iferror(G928*360,"")</f>
        <v/>
      </c>
      <c r="I928" s="213">
        <f>H928*0.1</f>
        <v/>
      </c>
    </row>
    <row r="929" ht="54.75" customHeight="1" s="222">
      <c r="A929" s="210">
        <f>#REF!</f>
        <v/>
      </c>
      <c r="B929" s="141">
        <f>#REF!</f>
        <v/>
      </c>
      <c r="C929" s="211" t="n">
        <v>0.6</v>
      </c>
      <c r="D929" s="212">
        <f>#REF!*C929</f>
        <v/>
      </c>
      <c r="E929" s="211" t="n">
        <v>0.4</v>
      </c>
      <c r="F929" s="212">
        <f>D929*E929</f>
        <v/>
      </c>
      <c r="G929" s="213">
        <f>if(or(eq(#REF!,"No Valet"),eq(#REF!,"Has Valet")), F929 * AVERAGE(Accounts!I$2:I$34),F929*#REF!)</f>
        <v/>
      </c>
      <c r="H929" s="213">
        <f>iferror(G929*360,"")</f>
        <v/>
      </c>
      <c r="I929" s="213">
        <f>H929*0.1</f>
        <v/>
      </c>
    </row>
    <row r="930" ht="54.75" customHeight="1" s="222">
      <c r="A930" s="210">
        <f>#REF!</f>
        <v/>
      </c>
      <c r="B930" s="141">
        <f>#REF!</f>
        <v/>
      </c>
      <c r="C930" s="211" t="n">
        <v>0.6</v>
      </c>
      <c r="D930" s="212">
        <f>#REF!*C930</f>
        <v/>
      </c>
      <c r="E930" s="211" t="n">
        <v>0.4</v>
      </c>
      <c r="F930" s="212">
        <f>D930*E930</f>
        <v/>
      </c>
      <c r="G930" s="213">
        <f>if(or(eq(#REF!,"No Valet"),eq(#REF!,"Has Valet")), F930 * AVERAGE(Accounts!I$2:I$34),F930*#REF!)</f>
        <v/>
      </c>
      <c r="H930" s="213">
        <f>iferror(G930*360,"")</f>
        <v/>
      </c>
      <c r="I930" s="213">
        <f>H930*0.1</f>
        <v/>
      </c>
    </row>
    <row r="931" ht="54.75" customHeight="1" s="222">
      <c r="A931" s="210">
        <f>#REF!</f>
        <v/>
      </c>
      <c r="B931" s="141">
        <f>#REF!</f>
        <v/>
      </c>
      <c r="C931" s="211" t="n">
        <v>0.6</v>
      </c>
      <c r="D931" s="212">
        <f>#REF!*C931</f>
        <v/>
      </c>
      <c r="E931" s="211" t="n">
        <v>0.4</v>
      </c>
      <c r="F931" s="212">
        <f>D931*E931</f>
        <v/>
      </c>
      <c r="G931" s="213">
        <f>if(or(eq(#REF!,"No Valet"),eq(#REF!,"Has Valet")), F931 * AVERAGE(Accounts!I$2:I$34),F931*#REF!)</f>
        <v/>
      </c>
      <c r="H931" s="213">
        <f>iferror(G931*360,"")</f>
        <v/>
      </c>
      <c r="I931" s="213">
        <f>H931*0.1</f>
        <v/>
      </c>
    </row>
    <row r="932" ht="54.75" customHeight="1" s="222">
      <c r="A932" s="210">
        <f>#REF!</f>
        <v/>
      </c>
      <c r="B932" s="141">
        <f>#REF!</f>
        <v/>
      </c>
      <c r="C932" s="211" t="n">
        <v>0.6</v>
      </c>
      <c r="D932" s="212">
        <f>#REF!*C932</f>
        <v/>
      </c>
      <c r="E932" s="211" t="n">
        <v>0.4</v>
      </c>
      <c r="F932" s="212">
        <f>D932*E932</f>
        <v/>
      </c>
      <c r="G932" s="213">
        <f>if(or(eq(#REF!,"No Valet"),eq(#REF!,"Has Valet")), F932 * AVERAGE(Accounts!I$2:I$34),F932*#REF!)</f>
        <v/>
      </c>
      <c r="H932" s="213">
        <f>iferror(G932*360,"")</f>
        <v/>
      </c>
      <c r="I932" s="213">
        <f>H932*0.1</f>
        <v/>
      </c>
    </row>
    <row r="933" ht="54.75" customHeight="1" s="222">
      <c r="A933" s="210">
        <f>#REF!</f>
        <v/>
      </c>
      <c r="B933" s="141">
        <f>#REF!</f>
        <v/>
      </c>
      <c r="C933" s="211" t="n">
        <v>0.6</v>
      </c>
      <c r="D933" s="212">
        <f>#REF!*C933</f>
        <v/>
      </c>
      <c r="E933" s="211" t="n">
        <v>0.4</v>
      </c>
      <c r="F933" s="212">
        <f>D933*E933</f>
        <v/>
      </c>
      <c r="G933" s="213">
        <f>if(or(eq(#REF!,"No Valet"),eq(#REF!,"Has Valet")), F933 * AVERAGE(Accounts!I$2:I$34),F933*#REF!)</f>
        <v/>
      </c>
      <c r="H933" s="213">
        <f>iferror(G933*360,"")</f>
        <v/>
      </c>
      <c r="I933" s="213">
        <f>H933*0.1</f>
        <v/>
      </c>
    </row>
    <row r="934" ht="54.75" customHeight="1" s="222">
      <c r="A934" s="210">
        <f>#REF!</f>
        <v/>
      </c>
      <c r="B934" s="141">
        <f>#REF!</f>
        <v/>
      </c>
      <c r="C934" s="211" t="n">
        <v>0.6</v>
      </c>
      <c r="D934" s="212">
        <f>#REF!*C934</f>
        <v/>
      </c>
      <c r="E934" s="211" t="n">
        <v>0.4</v>
      </c>
      <c r="F934" s="212">
        <f>D934*E934</f>
        <v/>
      </c>
      <c r="G934" s="213">
        <f>if(or(eq(#REF!,"No Valet"),eq(#REF!,"Has Valet")), F934 * AVERAGE(Accounts!I$2:I$34),F934*#REF!)</f>
        <v/>
      </c>
      <c r="H934" s="213">
        <f>iferror(G934*360,"")</f>
        <v/>
      </c>
      <c r="I934" s="213">
        <f>H934*0.1</f>
        <v/>
      </c>
    </row>
    <row r="935" ht="54.75" customHeight="1" s="222">
      <c r="A935" s="210">
        <f>#REF!</f>
        <v/>
      </c>
      <c r="B935" s="141">
        <f>#REF!</f>
        <v/>
      </c>
      <c r="C935" s="211" t="n">
        <v>0.6</v>
      </c>
      <c r="D935" s="212">
        <f>#REF!*C935</f>
        <v/>
      </c>
      <c r="E935" s="211" t="n">
        <v>0.4</v>
      </c>
      <c r="F935" s="212">
        <f>D935*E935</f>
        <v/>
      </c>
      <c r="G935" s="213">
        <f>if(or(eq(#REF!,"No Valet"),eq(#REF!,"Has Valet")), F935 * AVERAGE(Accounts!I$2:I$34),F935*#REF!)</f>
        <v/>
      </c>
      <c r="H935" s="213">
        <f>iferror(G935*360,"")</f>
        <v/>
      </c>
      <c r="I935" s="213">
        <f>H935*0.1</f>
        <v/>
      </c>
    </row>
    <row r="936" ht="54.75" customHeight="1" s="222">
      <c r="A936" s="210">
        <f>#REF!</f>
        <v/>
      </c>
      <c r="B936" s="141">
        <f>#REF!</f>
        <v/>
      </c>
      <c r="C936" s="211" t="n">
        <v>0.6</v>
      </c>
      <c r="D936" s="212">
        <f>#REF!*C936</f>
        <v/>
      </c>
      <c r="E936" s="211" t="n">
        <v>0.4</v>
      </c>
      <c r="F936" s="212">
        <f>D936*E936</f>
        <v/>
      </c>
      <c r="G936" s="213">
        <f>if(or(eq(#REF!,"No Valet"),eq(#REF!,"Has Valet")), F936 * AVERAGE(Accounts!I$2:I$34),F936*#REF!)</f>
        <v/>
      </c>
      <c r="H936" s="213">
        <f>iferror(G936*360,"")</f>
        <v/>
      </c>
      <c r="I936" s="213">
        <f>H936*0.1</f>
        <v/>
      </c>
    </row>
    <row r="937" ht="54.75" customHeight="1" s="222">
      <c r="A937" s="210">
        <f>#REF!</f>
        <v/>
      </c>
      <c r="B937" s="141">
        <f>#REF!</f>
        <v/>
      </c>
      <c r="C937" s="211" t="n">
        <v>0.6</v>
      </c>
      <c r="D937" s="212">
        <f>#REF!*C937</f>
        <v/>
      </c>
      <c r="E937" s="211" t="n">
        <v>0.4</v>
      </c>
      <c r="F937" s="212">
        <f>D937*E937</f>
        <v/>
      </c>
      <c r="G937" s="213">
        <f>if(or(eq(#REF!,"No Valet"),eq(#REF!,"Has Valet")), F937 * AVERAGE(Accounts!I$2:I$34),F937*#REF!)</f>
        <v/>
      </c>
      <c r="H937" s="213">
        <f>iferror(G937*360,"")</f>
        <v/>
      </c>
      <c r="I937" s="213">
        <f>H937*0.1</f>
        <v/>
      </c>
    </row>
    <row r="938" ht="54.75" customHeight="1" s="222">
      <c r="A938" s="210">
        <f>#REF!</f>
        <v/>
      </c>
      <c r="B938" s="141">
        <f>#REF!</f>
        <v/>
      </c>
      <c r="C938" s="211" t="n">
        <v>0.6</v>
      </c>
      <c r="D938" s="212">
        <f>#REF!*C938</f>
        <v/>
      </c>
      <c r="E938" s="211" t="n">
        <v>0.4</v>
      </c>
      <c r="F938" s="212">
        <f>D938*E938</f>
        <v/>
      </c>
      <c r="G938" s="213">
        <f>if(or(eq(#REF!,"No Valet"),eq(#REF!,"Has Valet")), F938 * AVERAGE(Accounts!I$2:I$34),F938*#REF!)</f>
        <v/>
      </c>
      <c r="H938" s="213">
        <f>iferror(G938*360,"")</f>
        <v/>
      </c>
      <c r="I938" s="213">
        <f>H938*0.1</f>
        <v/>
      </c>
    </row>
    <row r="939" ht="54.75" customHeight="1" s="222">
      <c r="A939" s="210">
        <f>#REF!</f>
        <v/>
      </c>
      <c r="B939" s="141">
        <f>#REF!</f>
        <v/>
      </c>
      <c r="C939" s="211" t="n">
        <v>0.6</v>
      </c>
      <c r="D939" s="212">
        <f>#REF!*C939</f>
        <v/>
      </c>
      <c r="E939" s="211" t="n">
        <v>0.4</v>
      </c>
      <c r="F939" s="212">
        <f>D939*E939</f>
        <v/>
      </c>
      <c r="G939" s="213">
        <f>if(or(eq(#REF!,"No Valet"),eq(#REF!,"Has Valet")), F939 * AVERAGE(Accounts!I$2:I$34),F939*#REF!)</f>
        <v/>
      </c>
      <c r="H939" s="213">
        <f>iferror(G939*360,"")</f>
        <v/>
      </c>
      <c r="I939" s="213">
        <f>H939*0.1</f>
        <v/>
      </c>
    </row>
    <row r="940" ht="54.75" customHeight="1" s="222">
      <c r="A940" s="210">
        <f>#REF!</f>
        <v/>
      </c>
      <c r="B940" s="141">
        <f>#REF!</f>
        <v/>
      </c>
      <c r="C940" s="211" t="n">
        <v>0.6</v>
      </c>
      <c r="D940" s="212">
        <f>#REF!*C940</f>
        <v/>
      </c>
      <c r="E940" s="211" t="n">
        <v>0.4</v>
      </c>
      <c r="F940" s="212">
        <f>D940*E940</f>
        <v/>
      </c>
      <c r="G940" s="213">
        <f>if(or(eq(#REF!,"No Valet"),eq(#REF!,"Has Valet")), F940 * AVERAGE(Accounts!I$2:I$34),F940*#REF!)</f>
        <v/>
      </c>
      <c r="H940" s="213">
        <f>iferror(G940*360,"")</f>
        <v/>
      </c>
      <c r="I940" s="213">
        <f>H940*0.1</f>
        <v/>
      </c>
    </row>
    <row r="941" ht="54.75" customHeight="1" s="222">
      <c r="A941" s="210">
        <f>#REF!</f>
        <v/>
      </c>
      <c r="B941" s="141">
        <f>#REF!</f>
        <v/>
      </c>
      <c r="C941" s="211" t="n">
        <v>0.6</v>
      </c>
      <c r="D941" s="212">
        <f>#REF!*C941</f>
        <v/>
      </c>
      <c r="E941" s="211" t="n">
        <v>0.4</v>
      </c>
      <c r="F941" s="212">
        <f>D941*E941</f>
        <v/>
      </c>
      <c r="G941" s="213">
        <f>if(or(eq(#REF!,"No Valet"),eq(#REF!,"Has Valet")), F941 * AVERAGE(Accounts!I$2:I$34),F941*#REF!)</f>
        <v/>
      </c>
      <c r="H941" s="213">
        <f>iferror(G941*360,"")</f>
        <v/>
      </c>
      <c r="I941" s="213">
        <f>H941*0.1</f>
        <v/>
      </c>
    </row>
    <row r="942" ht="54.75" customHeight="1" s="222">
      <c r="A942" s="210">
        <f>#REF!</f>
        <v/>
      </c>
      <c r="B942" s="141">
        <f>#REF!</f>
        <v/>
      </c>
      <c r="C942" s="211" t="n">
        <v>0.6</v>
      </c>
      <c r="D942" s="212">
        <f>#REF!*C942</f>
        <v/>
      </c>
      <c r="E942" s="211" t="n">
        <v>0.4</v>
      </c>
      <c r="F942" s="212">
        <f>D942*E942</f>
        <v/>
      </c>
      <c r="G942" s="213">
        <f>if(or(eq(#REF!,"No Valet"),eq(#REF!,"Has Valet")), F942 * AVERAGE(Accounts!I$2:I$34),F942*#REF!)</f>
        <v/>
      </c>
      <c r="H942" s="213">
        <f>iferror(G942*360,"")</f>
        <v/>
      </c>
      <c r="I942" s="213">
        <f>H942*0.1</f>
        <v/>
      </c>
    </row>
    <row r="943" ht="54.75" customHeight="1" s="222">
      <c r="A943" s="210">
        <f>#REF!</f>
        <v/>
      </c>
      <c r="B943" s="141">
        <f>#REF!</f>
        <v/>
      </c>
      <c r="C943" s="211" t="n">
        <v>0.6</v>
      </c>
      <c r="D943" s="212">
        <f>#REF!*C943</f>
        <v/>
      </c>
      <c r="E943" s="211" t="n">
        <v>0.4</v>
      </c>
      <c r="F943" s="212">
        <f>D943*E943</f>
        <v/>
      </c>
      <c r="G943" s="213">
        <f>if(or(eq(#REF!,"No Valet"),eq(#REF!,"Has Valet")), F943 * AVERAGE(Accounts!I$2:I$34),F943*#REF!)</f>
        <v/>
      </c>
      <c r="H943" s="213">
        <f>iferror(G943*360,"")</f>
        <v/>
      </c>
      <c r="I943" s="213">
        <f>H943*0.1</f>
        <v/>
      </c>
    </row>
    <row r="944" ht="54.75" customHeight="1" s="222">
      <c r="A944" s="210">
        <f>#REF!</f>
        <v/>
      </c>
      <c r="B944" s="141">
        <f>#REF!</f>
        <v/>
      </c>
      <c r="C944" s="211" t="n">
        <v>0.6</v>
      </c>
      <c r="D944" s="212">
        <f>#REF!*C944</f>
        <v/>
      </c>
      <c r="E944" s="211" t="n">
        <v>0.4</v>
      </c>
      <c r="F944" s="212">
        <f>D944*E944</f>
        <v/>
      </c>
      <c r="G944" s="213">
        <f>if(or(eq(#REF!,"No Valet"),eq(#REF!,"Has Valet")), F944 * AVERAGE(Accounts!I$2:I$34),F944*#REF!)</f>
        <v/>
      </c>
      <c r="H944" s="213">
        <f>iferror(G944*360,"")</f>
        <v/>
      </c>
      <c r="I944" s="213">
        <f>H944*0.1</f>
        <v/>
      </c>
    </row>
    <row r="945" ht="54.75" customHeight="1" s="222">
      <c r="A945" s="210">
        <f>#REF!</f>
        <v/>
      </c>
      <c r="B945" s="141">
        <f>#REF!</f>
        <v/>
      </c>
      <c r="C945" s="211" t="n">
        <v>0.6</v>
      </c>
      <c r="D945" s="212">
        <f>#REF!*C945</f>
        <v/>
      </c>
      <c r="E945" s="211" t="n">
        <v>0.4</v>
      </c>
      <c r="F945" s="212">
        <f>D945*E945</f>
        <v/>
      </c>
      <c r="G945" s="213">
        <f>if(or(eq(#REF!,"No Valet"),eq(#REF!,"Has Valet")), F945 * AVERAGE(Accounts!I$2:I$34),F945*#REF!)</f>
        <v/>
      </c>
      <c r="H945" s="213">
        <f>iferror(G945*360,"")</f>
        <v/>
      </c>
      <c r="I945" s="213">
        <f>H945*0.1</f>
        <v/>
      </c>
    </row>
    <row r="946" ht="54.75" customHeight="1" s="222">
      <c r="A946" s="210">
        <f>#REF!</f>
        <v/>
      </c>
      <c r="B946" s="141">
        <f>#REF!</f>
        <v/>
      </c>
      <c r="C946" s="211" t="n">
        <v>0.6</v>
      </c>
      <c r="D946" s="212">
        <f>#REF!*C946</f>
        <v/>
      </c>
      <c r="E946" s="211" t="n">
        <v>0.4</v>
      </c>
      <c r="F946" s="212">
        <f>D946*E946</f>
        <v/>
      </c>
      <c r="G946" s="213">
        <f>if(or(eq(#REF!,"No Valet"),eq(#REF!,"Has Valet")), F946 * AVERAGE(Accounts!I$2:I$34),F946*#REF!)</f>
        <v/>
      </c>
      <c r="H946" s="213">
        <f>iferror(G946*360,"")</f>
        <v/>
      </c>
      <c r="I946" s="213">
        <f>H946*0.1</f>
        <v/>
      </c>
    </row>
    <row r="947" ht="54.75" customHeight="1" s="222">
      <c r="A947" s="210">
        <f>#REF!</f>
        <v/>
      </c>
      <c r="B947" s="141">
        <f>#REF!</f>
        <v/>
      </c>
      <c r="C947" s="211" t="n">
        <v>0.6</v>
      </c>
      <c r="D947" s="212">
        <f>#REF!*C947</f>
        <v/>
      </c>
      <c r="E947" s="211" t="n">
        <v>0.4</v>
      </c>
      <c r="F947" s="212">
        <f>D947*E947</f>
        <v/>
      </c>
      <c r="G947" s="213">
        <f>if(or(eq(#REF!,"No Valet"),eq(#REF!,"Has Valet")), F947 * AVERAGE(Accounts!I$2:I$34),F947*#REF!)</f>
        <v/>
      </c>
      <c r="H947" s="213">
        <f>iferror(G947*360,"")</f>
        <v/>
      </c>
      <c r="I947" s="213">
        <f>H947*0.1</f>
        <v/>
      </c>
    </row>
    <row r="948" ht="54.75" customHeight="1" s="222">
      <c r="A948" s="210">
        <f>#REF!</f>
        <v/>
      </c>
      <c r="B948" s="141">
        <f>#REF!</f>
        <v/>
      </c>
      <c r="C948" s="211" t="n">
        <v>0.6</v>
      </c>
      <c r="D948" s="212">
        <f>#REF!*C948</f>
        <v/>
      </c>
      <c r="E948" s="211" t="n">
        <v>0.4</v>
      </c>
      <c r="F948" s="212">
        <f>D948*E948</f>
        <v/>
      </c>
      <c r="G948" s="213">
        <f>if(or(eq(#REF!,"No Valet"),eq(#REF!,"Has Valet")), F948 * AVERAGE(Accounts!I$2:I$34),F948*#REF!)</f>
        <v/>
      </c>
      <c r="H948" s="213">
        <f>iferror(G948*360,"")</f>
        <v/>
      </c>
      <c r="I948" s="213">
        <f>H948*0.1</f>
        <v/>
      </c>
    </row>
    <row r="949" ht="54.75" customHeight="1" s="222">
      <c r="A949" s="210">
        <f>#REF!</f>
        <v/>
      </c>
      <c r="B949" s="141">
        <f>#REF!</f>
        <v/>
      </c>
      <c r="C949" s="211" t="n">
        <v>0.6</v>
      </c>
      <c r="D949" s="212">
        <f>#REF!*C949</f>
        <v/>
      </c>
      <c r="E949" s="211" t="n">
        <v>0.4</v>
      </c>
      <c r="F949" s="212">
        <f>D949*E949</f>
        <v/>
      </c>
      <c r="G949" s="213">
        <f>if(or(eq(#REF!,"No Valet"),eq(#REF!,"Has Valet")), F949 * AVERAGE(Accounts!I$2:I$34),F949*#REF!)</f>
        <v/>
      </c>
      <c r="H949" s="213">
        <f>iferror(G949*360,"")</f>
        <v/>
      </c>
      <c r="I949" s="213">
        <f>H949*0.1</f>
        <v/>
      </c>
    </row>
    <row r="950" ht="54.75" customHeight="1" s="222">
      <c r="A950" s="210">
        <f>#REF!</f>
        <v/>
      </c>
      <c r="B950" s="141">
        <f>#REF!</f>
        <v/>
      </c>
      <c r="C950" s="211" t="n">
        <v>0.6</v>
      </c>
      <c r="D950" s="212">
        <f>#REF!*C950</f>
        <v/>
      </c>
      <c r="E950" s="211" t="n">
        <v>0.4</v>
      </c>
      <c r="F950" s="212">
        <f>D950*E950</f>
        <v/>
      </c>
      <c r="G950" s="213">
        <f>if(or(eq(#REF!,"No Valet"),eq(#REF!,"Has Valet")), F950 * AVERAGE(Accounts!I$2:I$34),F950*#REF!)</f>
        <v/>
      </c>
      <c r="H950" s="213">
        <f>iferror(G950*360,"")</f>
        <v/>
      </c>
      <c r="I950" s="213">
        <f>H950*0.1</f>
        <v/>
      </c>
    </row>
    <row r="951" ht="54.75" customHeight="1" s="222">
      <c r="A951" s="210">
        <f>#REF!</f>
        <v/>
      </c>
      <c r="B951" s="141">
        <f>#REF!</f>
        <v/>
      </c>
      <c r="C951" s="211" t="n">
        <v>0.6</v>
      </c>
      <c r="D951" s="212">
        <f>#REF!*C951</f>
        <v/>
      </c>
      <c r="E951" s="211" t="n">
        <v>0.4</v>
      </c>
      <c r="F951" s="212">
        <f>D951*E951</f>
        <v/>
      </c>
      <c r="G951" s="213">
        <f>if(or(eq(#REF!,"No Valet"),eq(#REF!,"Has Valet")), F951 * AVERAGE(Accounts!I$2:I$34),F951*#REF!)</f>
        <v/>
      </c>
      <c r="H951" s="213">
        <f>iferror(G951*360,"")</f>
        <v/>
      </c>
      <c r="I951" s="213">
        <f>H951*0.1</f>
        <v/>
      </c>
    </row>
    <row r="952" ht="54.75" customHeight="1" s="222">
      <c r="A952" s="210">
        <f>#REF!</f>
        <v/>
      </c>
      <c r="B952" s="141">
        <f>#REF!</f>
        <v/>
      </c>
      <c r="C952" s="211" t="n">
        <v>0.6</v>
      </c>
      <c r="D952" s="212">
        <f>#REF!*C952</f>
        <v/>
      </c>
      <c r="E952" s="211" t="n">
        <v>0.4</v>
      </c>
      <c r="F952" s="212">
        <f>D952*E952</f>
        <v/>
      </c>
      <c r="G952" s="213">
        <f>if(or(eq(#REF!,"No Valet"),eq(#REF!,"Has Valet")), F952 * AVERAGE(Accounts!I$2:I$34),F952*#REF!)</f>
        <v/>
      </c>
      <c r="H952" s="213">
        <f>iferror(G952*360,"")</f>
        <v/>
      </c>
      <c r="I952" s="213">
        <f>H952*0.1</f>
        <v/>
      </c>
    </row>
    <row r="953" ht="54.75" customHeight="1" s="222">
      <c r="A953" s="210">
        <f>#REF!</f>
        <v/>
      </c>
      <c r="B953" s="141">
        <f>#REF!</f>
        <v/>
      </c>
      <c r="C953" s="211" t="n">
        <v>0.6</v>
      </c>
      <c r="D953" s="212">
        <f>#REF!*C953</f>
        <v/>
      </c>
      <c r="E953" s="211" t="n">
        <v>0.4</v>
      </c>
      <c r="F953" s="212">
        <f>D953*E953</f>
        <v/>
      </c>
      <c r="G953" s="213">
        <f>if(or(eq(#REF!,"No Valet"),eq(#REF!,"Has Valet")), F953 * AVERAGE(Accounts!I$2:I$34),F953*#REF!)</f>
        <v/>
      </c>
      <c r="H953" s="213">
        <f>iferror(G953*360,"")</f>
        <v/>
      </c>
      <c r="I953" s="213">
        <f>H953*0.1</f>
        <v/>
      </c>
    </row>
    <row r="954" ht="54.75" customHeight="1" s="222">
      <c r="A954" s="210">
        <f>#REF!</f>
        <v/>
      </c>
      <c r="B954" s="141">
        <f>#REF!</f>
        <v/>
      </c>
      <c r="C954" s="211" t="n">
        <v>0.6</v>
      </c>
      <c r="D954" s="212">
        <f>#REF!*C954</f>
        <v/>
      </c>
      <c r="E954" s="211" t="n">
        <v>0.4</v>
      </c>
      <c r="F954" s="212">
        <f>D954*E954</f>
        <v/>
      </c>
      <c r="G954" s="213">
        <f>if(or(eq(#REF!,"No Valet"),eq(#REF!,"Has Valet")), F954 * AVERAGE(Accounts!I$2:I$34),F954*#REF!)</f>
        <v/>
      </c>
      <c r="H954" s="213">
        <f>iferror(G954*360,"")</f>
        <v/>
      </c>
      <c r="I954" s="213">
        <f>H954*0.1</f>
        <v/>
      </c>
    </row>
    <row r="955" ht="54.75" customHeight="1" s="222">
      <c r="A955" s="210">
        <f>#REF!</f>
        <v/>
      </c>
      <c r="B955" s="141">
        <f>#REF!</f>
        <v/>
      </c>
      <c r="C955" s="211" t="n">
        <v>0.6</v>
      </c>
      <c r="D955" s="212">
        <f>#REF!*C955</f>
        <v/>
      </c>
      <c r="E955" s="211" t="n">
        <v>0.4</v>
      </c>
      <c r="F955" s="212">
        <f>D955*E955</f>
        <v/>
      </c>
      <c r="G955" s="213">
        <f>if(or(eq(#REF!,"No Valet"),eq(#REF!,"Has Valet")), F955 * AVERAGE(Accounts!I$2:I$34),F955*#REF!)</f>
        <v/>
      </c>
      <c r="H955" s="213">
        <f>iferror(G955*360,"")</f>
        <v/>
      </c>
      <c r="I955" s="213">
        <f>H955*0.1</f>
        <v/>
      </c>
    </row>
    <row r="956" ht="54.75" customHeight="1" s="222">
      <c r="A956" s="210">
        <f>#REF!</f>
        <v/>
      </c>
      <c r="B956" s="141">
        <f>#REF!</f>
        <v/>
      </c>
      <c r="C956" s="211" t="n">
        <v>0.6</v>
      </c>
      <c r="D956" s="212">
        <f>#REF!*C956</f>
        <v/>
      </c>
      <c r="E956" s="211" t="n">
        <v>0.4</v>
      </c>
      <c r="F956" s="212">
        <f>D956*E956</f>
        <v/>
      </c>
      <c r="G956" s="213">
        <f>if(or(eq(#REF!,"No Valet"),eq(#REF!,"Has Valet")), F956 * AVERAGE(Accounts!I$2:I$34),F956*#REF!)</f>
        <v/>
      </c>
      <c r="H956" s="213">
        <f>iferror(G956*360,"")</f>
        <v/>
      </c>
      <c r="I956" s="213">
        <f>H956*0.1</f>
        <v/>
      </c>
    </row>
    <row r="957" ht="54.75" customHeight="1" s="222">
      <c r="A957" s="210">
        <f>#REF!</f>
        <v/>
      </c>
      <c r="B957" s="141">
        <f>#REF!</f>
        <v/>
      </c>
      <c r="C957" s="211" t="n">
        <v>0.6</v>
      </c>
      <c r="D957" s="212">
        <f>#REF!*C957</f>
        <v/>
      </c>
      <c r="E957" s="211" t="n">
        <v>0.4</v>
      </c>
      <c r="F957" s="212">
        <f>D957*E957</f>
        <v/>
      </c>
      <c r="G957" s="213">
        <f>if(or(eq(#REF!,"No Valet"),eq(#REF!,"Has Valet")), F957 * AVERAGE(Accounts!I$2:I$34),F957*#REF!)</f>
        <v/>
      </c>
      <c r="H957" s="213">
        <f>iferror(G957*360,"")</f>
        <v/>
      </c>
      <c r="I957" s="213">
        <f>H957*0.1</f>
        <v/>
      </c>
    </row>
    <row r="958" ht="54.75" customHeight="1" s="222">
      <c r="A958" s="210">
        <f>#REF!</f>
        <v/>
      </c>
      <c r="B958" s="141">
        <f>#REF!</f>
        <v/>
      </c>
      <c r="C958" s="211" t="n">
        <v>0.6</v>
      </c>
      <c r="D958" s="212">
        <f>#REF!*C958</f>
        <v/>
      </c>
      <c r="E958" s="211" t="n">
        <v>0.4</v>
      </c>
      <c r="F958" s="212">
        <f>D958*E958</f>
        <v/>
      </c>
      <c r="G958" s="213">
        <f>if(or(eq(#REF!,"No Valet"),eq(#REF!,"Has Valet")), F958 * AVERAGE(Accounts!I$2:I$34),F958*#REF!)</f>
        <v/>
      </c>
      <c r="H958" s="213">
        <f>iferror(G958*360,"")</f>
        <v/>
      </c>
      <c r="I958" s="213">
        <f>H958*0.1</f>
        <v/>
      </c>
    </row>
    <row r="959" ht="54.75" customHeight="1" s="222">
      <c r="A959" s="210">
        <f>#REF!</f>
        <v/>
      </c>
      <c r="B959" s="141">
        <f>#REF!</f>
        <v/>
      </c>
      <c r="C959" s="211" t="n">
        <v>0.6</v>
      </c>
      <c r="D959" s="212">
        <f>#REF!*C959</f>
        <v/>
      </c>
      <c r="E959" s="211" t="n">
        <v>0.4</v>
      </c>
      <c r="F959" s="212">
        <f>D959*E959</f>
        <v/>
      </c>
      <c r="G959" s="213">
        <f>if(or(eq(#REF!,"No Valet"),eq(#REF!,"Has Valet")), F959 * AVERAGE(Accounts!I$2:I$34),F959*#REF!)</f>
        <v/>
      </c>
      <c r="H959" s="213">
        <f>iferror(G959*360,"")</f>
        <v/>
      </c>
      <c r="I959" s="213">
        <f>H959*0.1</f>
        <v/>
      </c>
    </row>
    <row r="960" ht="54.75" customHeight="1" s="222">
      <c r="A960" s="210">
        <f>#REF!</f>
        <v/>
      </c>
      <c r="B960" s="141">
        <f>#REF!</f>
        <v/>
      </c>
      <c r="C960" s="211" t="n">
        <v>0.6</v>
      </c>
      <c r="D960" s="212">
        <f>#REF!*C960</f>
        <v/>
      </c>
      <c r="E960" s="211" t="n">
        <v>0.4</v>
      </c>
      <c r="F960" s="212">
        <f>D960*E960</f>
        <v/>
      </c>
      <c r="G960" s="213">
        <f>if(or(eq(#REF!,"No Valet"),eq(#REF!,"Has Valet")), F960 * AVERAGE(Accounts!I$2:I$34),F960*#REF!)</f>
        <v/>
      </c>
      <c r="H960" s="213">
        <f>iferror(G960*360,"")</f>
        <v/>
      </c>
      <c r="I960" s="213">
        <f>H960*0.1</f>
        <v/>
      </c>
    </row>
    <row r="961" ht="54.75" customHeight="1" s="222">
      <c r="A961" s="210">
        <f>#REF!</f>
        <v/>
      </c>
      <c r="B961" s="141">
        <f>#REF!</f>
        <v/>
      </c>
      <c r="C961" s="211" t="n">
        <v>0.6</v>
      </c>
      <c r="D961" s="212">
        <f>#REF!*C961</f>
        <v/>
      </c>
      <c r="E961" s="211" t="n">
        <v>0.4</v>
      </c>
      <c r="F961" s="212">
        <f>D961*E961</f>
        <v/>
      </c>
      <c r="G961" s="213">
        <f>if(or(eq(#REF!,"No Valet"),eq(#REF!,"Has Valet")), F961 * AVERAGE(Accounts!I$2:I$34),F961*#REF!)</f>
        <v/>
      </c>
      <c r="H961" s="213">
        <f>iferror(G961*360,"")</f>
        <v/>
      </c>
      <c r="I961" s="213">
        <f>H961*0.1</f>
        <v/>
      </c>
    </row>
    <row r="962" ht="54.75" customHeight="1" s="222">
      <c r="A962" s="210">
        <f>#REF!</f>
        <v/>
      </c>
      <c r="B962" s="141">
        <f>#REF!</f>
        <v/>
      </c>
      <c r="C962" s="211" t="n">
        <v>0.6</v>
      </c>
      <c r="D962" s="212">
        <f>#REF!*C962</f>
        <v/>
      </c>
      <c r="E962" s="211" t="n">
        <v>0.4</v>
      </c>
      <c r="F962" s="212">
        <f>D962*E962</f>
        <v/>
      </c>
      <c r="G962" s="213">
        <f>if(or(eq(#REF!,"No Valet"),eq(#REF!,"Has Valet")), F962 * AVERAGE(Accounts!I$2:I$34),F962*#REF!)</f>
        <v/>
      </c>
      <c r="H962" s="213">
        <f>iferror(G962*360,"")</f>
        <v/>
      </c>
      <c r="I962" s="213">
        <f>H962*0.1</f>
        <v/>
      </c>
    </row>
    <row r="963" ht="54.75" customHeight="1" s="222">
      <c r="A963" s="210">
        <f>#REF!</f>
        <v/>
      </c>
      <c r="B963" s="141">
        <f>#REF!</f>
        <v/>
      </c>
      <c r="C963" s="211" t="n">
        <v>0.6</v>
      </c>
      <c r="D963" s="212">
        <f>#REF!*C963</f>
        <v/>
      </c>
      <c r="E963" s="211" t="n">
        <v>0.4</v>
      </c>
      <c r="F963" s="212">
        <f>D963*E963</f>
        <v/>
      </c>
      <c r="G963" s="213">
        <f>if(or(eq(#REF!,"No Valet"),eq(#REF!,"Has Valet")), F963 * AVERAGE(Accounts!I$2:I$34),F963*#REF!)</f>
        <v/>
      </c>
      <c r="H963" s="213">
        <f>iferror(G963*360,"")</f>
        <v/>
      </c>
      <c r="I963" s="213">
        <f>H963*0.1</f>
        <v/>
      </c>
    </row>
    <row r="964" ht="54.75" customHeight="1" s="222">
      <c r="A964" s="210">
        <f>#REF!</f>
        <v/>
      </c>
      <c r="B964" s="141">
        <f>#REF!</f>
        <v/>
      </c>
      <c r="C964" s="211" t="n">
        <v>0.6</v>
      </c>
      <c r="D964" s="212">
        <f>#REF!*C964</f>
        <v/>
      </c>
      <c r="E964" s="211" t="n">
        <v>0.4</v>
      </c>
      <c r="F964" s="212">
        <f>D964*E964</f>
        <v/>
      </c>
      <c r="G964" s="213">
        <f>if(or(eq(#REF!,"No Valet"),eq(#REF!,"Has Valet")), F964 * AVERAGE(Accounts!I$2:I$34),F964*#REF!)</f>
        <v/>
      </c>
      <c r="H964" s="213">
        <f>iferror(G964*360,"")</f>
        <v/>
      </c>
      <c r="I964" s="213">
        <f>H964*0.1</f>
        <v/>
      </c>
    </row>
    <row r="965" ht="54.75" customHeight="1" s="222">
      <c r="A965" s="210">
        <f>#REF!</f>
        <v/>
      </c>
      <c r="B965" s="141">
        <f>#REF!</f>
        <v/>
      </c>
      <c r="C965" s="211" t="n">
        <v>0.6</v>
      </c>
      <c r="D965" s="212">
        <f>#REF!*C965</f>
        <v/>
      </c>
      <c r="E965" s="211" t="n">
        <v>0.4</v>
      </c>
      <c r="F965" s="212">
        <f>D965*E965</f>
        <v/>
      </c>
      <c r="G965" s="213">
        <f>if(or(eq(#REF!,"No Valet"),eq(#REF!,"Has Valet")), F965 * AVERAGE(Accounts!I$2:I$34),F965*#REF!)</f>
        <v/>
      </c>
      <c r="H965" s="213">
        <f>iferror(G965*360,"")</f>
        <v/>
      </c>
      <c r="I965" s="213">
        <f>H965*0.1</f>
        <v/>
      </c>
    </row>
    <row r="966" ht="54.75" customHeight="1" s="222">
      <c r="A966" s="210">
        <f>#REF!</f>
        <v/>
      </c>
      <c r="B966" s="141">
        <f>#REF!</f>
        <v/>
      </c>
      <c r="C966" s="211" t="n">
        <v>0.6</v>
      </c>
      <c r="D966" s="212">
        <f>#REF!*C966</f>
        <v/>
      </c>
      <c r="E966" s="211" t="n">
        <v>0.4</v>
      </c>
      <c r="F966" s="212">
        <f>D966*E966</f>
        <v/>
      </c>
      <c r="G966" s="213">
        <f>if(or(eq(#REF!,"No Valet"),eq(#REF!,"Has Valet")), F966 * AVERAGE(Accounts!I$2:I$34),F966*#REF!)</f>
        <v/>
      </c>
      <c r="H966" s="213">
        <f>iferror(G966*360,"")</f>
        <v/>
      </c>
      <c r="I966" s="213">
        <f>H966*0.1</f>
        <v/>
      </c>
    </row>
    <row r="967" ht="54.75" customHeight="1" s="222">
      <c r="A967" s="210">
        <f>#REF!</f>
        <v/>
      </c>
      <c r="B967" s="141">
        <f>#REF!</f>
        <v/>
      </c>
      <c r="C967" s="211" t="n">
        <v>0.6</v>
      </c>
      <c r="D967" s="212">
        <f>#REF!*C967</f>
        <v/>
      </c>
      <c r="E967" s="211" t="n">
        <v>0.4</v>
      </c>
      <c r="F967" s="212">
        <f>D967*E967</f>
        <v/>
      </c>
      <c r="G967" s="213">
        <f>if(or(eq(#REF!,"No Valet"),eq(#REF!,"Has Valet")), F967 * AVERAGE(Accounts!I$2:I$34),F967*#REF!)</f>
        <v/>
      </c>
      <c r="H967" s="213">
        <f>iferror(G967*360,"")</f>
        <v/>
      </c>
      <c r="I967" s="213">
        <f>H967*0.1</f>
        <v/>
      </c>
    </row>
    <row r="968" ht="54.75" customHeight="1" s="222">
      <c r="A968" s="210">
        <f>#REF!</f>
        <v/>
      </c>
      <c r="B968" s="141">
        <f>#REF!</f>
        <v/>
      </c>
      <c r="C968" s="211" t="n">
        <v>0.6</v>
      </c>
      <c r="D968" s="212">
        <f>#REF!*C968</f>
        <v/>
      </c>
      <c r="E968" s="211" t="n">
        <v>0.4</v>
      </c>
      <c r="F968" s="212">
        <f>D968*E968</f>
        <v/>
      </c>
      <c r="G968" s="213">
        <f>if(or(eq(#REF!,"No Valet"),eq(#REF!,"Has Valet")), F968 * AVERAGE(Accounts!I$2:I$34),F968*#REF!)</f>
        <v/>
      </c>
      <c r="H968" s="213">
        <f>iferror(G968*360,"")</f>
        <v/>
      </c>
      <c r="I968" s="213">
        <f>H968*0.1</f>
        <v/>
      </c>
    </row>
    <row r="969" ht="54.75" customHeight="1" s="222">
      <c r="A969" s="210">
        <f>#REF!</f>
        <v/>
      </c>
      <c r="B969" s="141">
        <f>#REF!</f>
        <v/>
      </c>
      <c r="C969" s="211" t="n">
        <v>0.6</v>
      </c>
      <c r="D969" s="212">
        <f>#REF!*C969</f>
        <v/>
      </c>
      <c r="E969" s="211" t="n">
        <v>0.4</v>
      </c>
      <c r="F969" s="212">
        <f>D969*E969</f>
        <v/>
      </c>
      <c r="G969" s="213">
        <f>if(or(eq(#REF!,"No Valet"),eq(#REF!,"Has Valet")), F969 * AVERAGE(Accounts!I$2:I$34),F969*#REF!)</f>
        <v/>
      </c>
      <c r="H969" s="213">
        <f>iferror(G969*360,"")</f>
        <v/>
      </c>
      <c r="I969" s="213">
        <f>H969*0.1</f>
        <v/>
      </c>
    </row>
    <row r="970" ht="54.75" customHeight="1" s="222">
      <c r="A970" s="210">
        <f>#REF!</f>
        <v/>
      </c>
      <c r="B970" s="141">
        <f>#REF!</f>
        <v/>
      </c>
      <c r="C970" s="211" t="n">
        <v>0.6</v>
      </c>
      <c r="D970" s="212">
        <f>#REF!*C970</f>
        <v/>
      </c>
      <c r="E970" s="211" t="n">
        <v>0.4</v>
      </c>
      <c r="F970" s="212">
        <f>D970*E970</f>
        <v/>
      </c>
      <c r="G970" s="213">
        <f>if(or(eq(#REF!,"No Valet"),eq(#REF!,"Has Valet")), F970 * AVERAGE(Accounts!I$2:I$34),F970*#REF!)</f>
        <v/>
      </c>
      <c r="H970" s="213">
        <f>iferror(G970*360,"")</f>
        <v/>
      </c>
      <c r="I970" s="213">
        <f>H970*0.1</f>
        <v/>
      </c>
    </row>
    <row r="971" ht="54.75" customHeight="1" s="222">
      <c r="A971" s="210">
        <f>#REF!</f>
        <v/>
      </c>
      <c r="B971" s="141">
        <f>#REF!</f>
        <v/>
      </c>
      <c r="C971" s="211" t="n">
        <v>0.6</v>
      </c>
      <c r="D971" s="212">
        <f>#REF!*C971</f>
        <v/>
      </c>
      <c r="E971" s="211" t="n">
        <v>0.4</v>
      </c>
      <c r="F971" s="212">
        <f>D971*E971</f>
        <v/>
      </c>
      <c r="G971" s="213">
        <f>if(or(eq(#REF!,"No Valet"),eq(#REF!,"Has Valet")), F971 * AVERAGE(Accounts!I$2:I$34),F971*#REF!)</f>
        <v/>
      </c>
      <c r="H971" s="213">
        <f>iferror(G971*360,"")</f>
        <v/>
      </c>
      <c r="I971" s="213">
        <f>H971*0.1</f>
        <v/>
      </c>
    </row>
    <row r="972" ht="54.75" customHeight="1" s="222">
      <c r="A972" s="210">
        <f>#REF!</f>
        <v/>
      </c>
      <c r="B972" s="141">
        <f>#REF!</f>
        <v/>
      </c>
      <c r="C972" s="211" t="n">
        <v>0.6</v>
      </c>
      <c r="D972" s="212">
        <f>#REF!*C972</f>
        <v/>
      </c>
      <c r="E972" s="211" t="n">
        <v>0.4</v>
      </c>
      <c r="F972" s="212">
        <f>D972*E972</f>
        <v/>
      </c>
      <c r="G972" s="213">
        <f>if(or(eq(#REF!,"No Valet"),eq(#REF!,"Has Valet")), F972 * AVERAGE(Accounts!I$2:I$34),F972*#REF!)</f>
        <v/>
      </c>
      <c r="H972" s="213">
        <f>iferror(G972*360,"")</f>
        <v/>
      </c>
      <c r="I972" s="213">
        <f>H972*0.1</f>
        <v/>
      </c>
    </row>
    <row r="973" ht="54.75" customHeight="1" s="222">
      <c r="A973" s="210">
        <f>#REF!</f>
        <v/>
      </c>
      <c r="B973" s="141">
        <f>#REF!</f>
        <v/>
      </c>
      <c r="C973" s="211" t="n">
        <v>0.6</v>
      </c>
      <c r="D973" s="212">
        <f>#REF!*C973</f>
        <v/>
      </c>
      <c r="E973" s="211" t="n">
        <v>0.4</v>
      </c>
      <c r="F973" s="212">
        <f>D973*E973</f>
        <v/>
      </c>
      <c r="G973" s="213">
        <f>if(or(eq(#REF!,"No Valet"),eq(#REF!,"Has Valet")), F973 * AVERAGE(Accounts!I$2:I$34),F973*#REF!)</f>
        <v/>
      </c>
      <c r="H973" s="213">
        <f>iferror(G973*360,"")</f>
        <v/>
      </c>
      <c r="I973" s="213">
        <f>H973*0.1</f>
        <v/>
      </c>
    </row>
    <row r="974" ht="54.75" customHeight="1" s="222">
      <c r="A974" s="210">
        <f>#REF!</f>
        <v/>
      </c>
      <c r="B974" s="141">
        <f>#REF!</f>
        <v/>
      </c>
      <c r="C974" s="211" t="n">
        <v>0.6</v>
      </c>
      <c r="D974" s="212">
        <f>#REF!*C974</f>
        <v/>
      </c>
      <c r="E974" s="211" t="n">
        <v>0.4</v>
      </c>
      <c r="F974" s="212">
        <f>D974*E974</f>
        <v/>
      </c>
      <c r="G974" s="213">
        <f>if(or(eq(#REF!,"No Valet"),eq(#REF!,"Has Valet")), F974 * AVERAGE(Accounts!I$2:I$34),F974*#REF!)</f>
        <v/>
      </c>
      <c r="H974" s="213">
        <f>iferror(G974*360,"")</f>
        <v/>
      </c>
      <c r="I974" s="213">
        <f>H974*0.1</f>
        <v/>
      </c>
    </row>
    <row r="975" ht="54.75" customHeight="1" s="222">
      <c r="A975" s="210">
        <f>#REF!</f>
        <v/>
      </c>
      <c r="B975" s="141">
        <f>#REF!</f>
        <v/>
      </c>
      <c r="C975" s="211" t="n">
        <v>0.6</v>
      </c>
      <c r="D975" s="212">
        <f>#REF!*C975</f>
        <v/>
      </c>
      <c r="E975" s="211" t="n">
        <v>0.4</v>
      </c>
      <c r="F975" s="212">
        <f>D975*E975</f>
        <v/>
      </c>
      <c r="G975" s="213">
        <f>if(or(eq(#REF!,"No Valet"),eq(#REF!,"Has Valet")), F975 * AVERAGE(Accounts!I$2:I$34),F975*#REF!)</f>
        <v/>
      </c>
      <c r="H975" s="213">
        <f>iferror(G975*360,"")</f>
        <v/>
      </c>
      <c r="I975" s="213">
        <f>H975*0.1</f>
        <v/>
      </c>
    </row>
    <row r="976" ht="54.75" customHeight="1" s="222">
      <c r="A976" s="210">
        <f>#REF!</f>
        <v/>
      </c>
      <c r="B976" s="141">
        <f>#REF!</f>
        <v/>
      </c>
      <c r="C976" s="211" t="n">
        <v>0.6</v>
      </c>
      <c r="D976" s="212">
        <f>#REF!*C976</f>
        <v/>
      </c>
      <c r="E976" s="211" t="n">
        <v>0.4</v>
      </c>
      <c r="F976" s="212">
        <f>D976*E976</f>
        <v/>
      </c>
      <c r="G976" s="213">
        <f>if(or(eq(#REF!,"No Valet"),eq(#REF!,"Has Valet")), F976 * AVERAGE(Accounts!I$2:I$34),F976*#REF!)</f>
        <v/>
      </c>
      <c r="H976" s="213">
        <f>iferror(G976*360,"")</f>
        <v/>
      </c>
      <c r="I976" s="213">
        <f>H976*0.1</f>
        <v/>
      </c>
    </row>
    <row r="977" ht="54.75" customHeight="1" s="222">
      <c r="A977" s="210">
        <f>#REF!</f>
        <v/>
      </c>
      <c r="B977" s="141">
        <f>#REF!</f>
        <v/>
      </c>
      <c r="C977" s="211" t="n">
        <v>0.6</v>
      </c>
      <c r="D977" s="212">
        <f>#REF!*C977</f>
        <v/>
      </c>
      <c r="E977" s="211" t="n">
        <v>0.4</v>
      </c>
      <c r="F977" s="212">
        <f>D977*E977</f>
        <v/>
      </c>
      <c r="G977" s="213">
        <f>if(or(eq(#REF!,"No Valet"),eq(#REF!,"Has Valet")), F977 * AVERAGE(Accounts!I$2:I$34),F977*#REF!)</f>
        <v/>
      </c>
      <c r="H977" s="213">
        <f>iferror(G977*360,"")</f>
        <v/>
      </c>
      <c r="I977" s="213">
        <f>H977*0.1</f>
        <v/>
      </c>
    </row>
    <row r="978" ht="54.75" customHeight="1" s="222">
      <c r="A978" s="210">
        <f>#REF!</f>
        <v/>
      </c>
      <c r="B978" s="141">
        <f>#REF!</f>
        <v/>
      </c>
      <c r="C978" s="211" t="n">
        <v>0.6</v>
      </c>
      <c r="D978" s="212">
        <f>#REF!*C978</f>
        <v/>
      </c>
      <c r="E978" s="211" t="n">
        <v>0.4</v>
      </c>
      <c r="F978" s="212">
        <f>D978*E978</f>
        <v/>
      </c>
      <c r="G978" s="213">
        <f>if(or(eq(#REF!,"No Valet"),eq(#REF!,"Has Valet")), F978 * AVERAGE(Accounts!I$2:I$34),F978*#REF!)</f>
        <v/>
      </c>
      <c r="H978" s="213">
        <f>iferror(G978*360,"")</f>
        <v/>
      </c>
      <c r="I978" s="213">
        <f>H978*0.1</f>
        <v/>
      </c>
    </row>
    <row r="979" ht="54.75" customHeight="1" s="222">
      <c r="A979" s="210">
        <f>#REF!</f>
        <v/>
      </c>
      <c r="B979" s="141">
        <f>#REF!</f>
        <v/>
      </c>
      <c r="C979" s="211" t="n">
        <v>0.6</v>
      </c>
      <c r="D979" s="212">
        <f>#REF!*C979</f>
        <v/>
      </c>
      <c r="E979" s="211" t="n">
        <v>0.4</v>
      </c>
      <c r="F979" s="212">
        <f>D979*E979</f>
        <v/>
      </c>
      <c r="G979" s="213">
        <f>if(or(eq(#REF!,"No Valet"),eq(#REF!,"Has Valet")), F979 * AVERAGE(Accounts!I$2:I$34),F979*#REF!)</f>
        <v/>
      </c>
      <c r="H979" s="213">
        <f>iferror(G979*360,"")</f>
        <v/>
      </c>
      <c r="I979" s="213">
        <f>H979*0.1</f>
        <v/>
      </c>
    </row>
    <row r="980" ht="54.75" customHeight="1" s="222">
      <c r="A980" s="210">
        <f>#REF!</f>
        <v/>
      </c>
      <c r="B980" s="141">
        <f>#REF!</f>
        <v/>
      </c>
      <c r="C980" s="211" t="n">
        <v>0.6</v>
      </c>
      <c r="D980" s="212">
        <f>#REF!*C980</f>
        <v/>
      </c>
      <c r="E980" s="211" t="n">
        <v>0.4</v>
      </c>
      <c r="F980" s="212">
        <f>D980*E980</f>
        <v/>
      </c>
      <c r="G980" s="213">
        <f>if(or(eq(#REF!,"No Valet"),eq(#REF!,"Has Valet")), F980 * AVERAGE(Accounts!I$2:I$34),F980*#REF!)</f>
        <v/>
      </c>
      <c r="H980" s="213">
        <f>iferror(G980*360,"")</f>
        <v/>
      </c>
      <c r="I980" s="213">
        <f>H980*0.1</f>
        <v/>
      </c>
    </row>
    <row r="981" ht="54.75" customHeight="1" s="222">
      <c r="A981" s="210">
        <f>#REF!</f>
        <v/>
      </c>
      <c r="B981" s="141">
        <f>#REF!</f>
        <v/>
      </c>
      <c r="C981" s="211" t="n">
        <v>0.6</v>
      </c>
      <c r="D981" s="212">
        <f>#REF!*C981</f>
        <v/>
      </c>
      <c r="E981" s="211" t="n">
        <v>0.4</v>
      </c>
      <c r="F981" s="212">
        <f>D981*E981</f>
        <v/>
      </c>
      <c r="G981" s="213">
        <f>if(or(eq(#REF!,"No Valet"),eq(#REF!,"Has Valet")), F981 * AVERAGE(Accounts!I$2:I$34),F981*#REF!)</f>
        <v/>
      </c>
      <c r="H981" s="213">
        <f>iferror(G981*360,"")</f>
        <v/>
      </c>
      <c r="I981" s="213">
        <f>H981*0.1</f>
        <v/>
      </c>
    </row>
    <row r="982" ht="54.75" customHeight="1" s="222">
      <c r="A982" s="210">
        <f>#REF!</f>
        <v/>
      </c>
      <c r="B982" s="141">
        <f>#REF!</f>
        <v/>
      </c>
      <c r="C982" s="211" t="n">
        <v>0.6</v>
      </c>
      <c r="D982" s="212">
        <f>#REF!*C982</f>
        <v/>
      </c>
      <c r="E982" s="211" t="n">
        <v>0.4</v>
      </c>
      <c r="F982" s="212">
        <f>D982*E982</f>
        <v/>
      </c>
      <c r="G982" s="213">
        <f>if(or(eq(#REF!,"No Valet"),eq(#REF!,"Has Valet")), F982 * AVERAGE(Accounts!I$2:I$34),F982*#REF!)</f>
        <v/>
      </c>
      <c r="H982" s="213">
        <f>iferror(G982*360,"")</f>
        <v/>
      </c>
      <c r="I982" s="213">
        <f>H982*0.1</f>
        <v/>
      </c>
    </row>
    <row r="983" ht="54.75" customHeight="1" s="222">
      <c r="A983" s="210">
        <f>#REF!</f>
        <v/>
      </c>
      <c r="B983" s="141">
        <f>#REF!</f>
        <v/>
      </c>
      <c r="C983" s="211" t="n">
        <v>0.6</v>
      </c>
      <c r="D983" s="212">
        <f>#REF!*C983</f>
        <v/>
      </c>
      <c r="E983" s="211" t="n">
        <v>0.4</v>
      </c>
      <c r="F983" s="212">
        <f>D983*E983</f>
        <v/>
      </c>
      <c r="G983" s="213">
        <f>if(or(eq(#REF!,"No Valet"),eq(#REF!,"Has Valet")), F983 * AVERAGE(Accounts!I$2:I$34),F983*#REF!)</f>
        <v/>
      </c>
      <c r="H983" s="213">
        <f>iferror(G983*360,"")</f>
        <v/>
      </c>
      <c r="I983" s="213">
        <f>H983*0.1</f>
        <v/>
      </c>
    </row>
    <row r="984" ht="54.75" customHeight="1" s="222">
      <c r="A984" s="210">
        <f>#REF!</f>
        <v/>
      </c>
      <c r="B984" s="141">
        <f>#REF!</f>
        <v/>
      </c>
      <c r="C984" s="211" t="n">
        <v>0.6</v>
      </c>
      <c r="D984" s="212">
        <f>#REF!*C984</f>
        <v/>
      </c>
      <c r="E984" s="211" t="n">
        <v>0.4</v>
      </c>
      <c r="F984" s="212">
        <f>D984*E984</f>
        <v/>
      </c>
      <c r="G984" s="213">
        <f>if(or(eq(#REF!,"No Valet"),eq(#REF!,"Has Valet")), F984 * AVERAGE(Accounts!I$2:I$34),F984*#REF!)</f>
        <v/>
      </c>
      <c r="H984" s="213">
        <f>iferror(G984*360,"")</f>
        <v/>
      </c>
      <c r="I984" s="213">
        <f>H984*0.1</f>
        <v/>
      </c>
    </row>
    <row r="985" ht="54.75" customHeight="1" s="222">
      <c r="A985" s="210">
        <f>#REF!</f>
        <v/>
      </c>
      <c r="B985" s="141">
        <f>#REF!</f>
        <v/>
      </c>
      <c r="C985" s="211" t="n">
        <v>0.6</v>
      </c>
      <c r="D985" s="212">
        <f>#REF!*C985</f>
        <v/>
      </c>
      <c r="E985" s="211" t="n">
        <v>0.4</v>
      </c>
      <c r="F985" s="212">
        <f>D985*E985</f>
        <v/>
      </c>
      <c r="G985" s="213">
        <f>if(or(eq(#REF!,"No Valet"),eq(#REF!,"Has Valet")), F985 * AVERAGE(Accounts!I$2:I$34),F985*#REF!)</f>
        <v/>
      </c>
      <c r="H985" s="213">
        <f>iferror(G985*360,"")</f>
        <v/>
      </c>
      <c r="I985" s="213">
        <f>H985*0.1</f>
        <v/>
      </c>
    </row>
    <row r="986" ht="54.75" customHeight="1" s="222">
      <c r="A986" s="210">
        <f>#REF!</f>
        <v/>
      </c>
      <c r="B986" s="141">
        <f>#REF!</f>
        <v/>
      </c>
      <c r="C986" s="211" t="n">
        <v>0.6</v>
      </c>
      <c r="D986" s="212">
        <f>#REF!*C986</f>
        <v/>
      </c>
      <c r="E986" s="211" t="n">
        <v>0.4</v>
      </c>
      <c r="F986" s="212">
        <f>D986*E986</f>
        <v/>
      </c>
      <c r="G986" s="213">
        <f>if(or(eq(#REF!,"No Valet"),eq(#REF!,"Has Valet")), F986 * AVERAGE(Accounts!I$2:I$34),F986*#REF!)</f>
        <v/>
      </c>
      <c r="H986" s="213">
        <f>iferror(G986*360,"")</f>
        <v/>
      </c>
      <c r="I986" s="213">
        <f>H986*0.1</f>
        <v/>
      </c>
    </row>
    <row r="987" ht="54.75" customHeight="1" s="222">
      <c r="A987" s="210">
        <f>#REF!</f>
        <v/>
      </c>
      <c r="B987" s="141">
        <f>#REF!</f>
        <v/>
      </c>
      <c r="C987" s="211" t="n">
        <v>0.6</v>
      </c>
      <c r="D987" s="212">
        <f>#REF!*C987</f>
        <v/>
      </c>
      <c r="E987" s="211" t="n">
        <v>0.4</v>
      </c>
      <c r="F987" s="212">
        <f>D987*E987</f>
        <v/>
      </c>
      <c r="G987" s="213">
        <f>if(or(eq(#REF!,"No Valet"),eq(#REF!,"Has Valet")), F987 * AVERAGE(Accounts!I$2:I$34),F987*#REF!)</f>
        <v/>
      </c>
      <c r="H987" s="213">
        <f>iferror(G987*360,"")</f>
        <v/>
      </c>
      <c r="I987" s="213">
        <f>H987*0.1</f>
        <v/>
      </c>
    </row>
    <row r="988" ht="54.75" customHeight="1" s="222">
      <c r="A988" s="210">
        <f>#REF!</f>
        <v/>
      </c>
      <c r="B988" s="141">
        <f>#REF!</f>
        <v/>
      </c>
      <c r="C988" s="211" t="n">
        <v>0.6</v>
      </c>
      <c r="D988" s="212">
        <f>#REF!*C988</f>
        <v/>
      </c>
      <c r="E988" s="211" t="n">
        <v>0.4</v>
      </c>
      <c r="F988" s="212">
        <f>D988*E988</f>
        <v/>
      </c>
      <c r="G988" s="213">
        <f>if(or(eq(#REF!,"No Valet"),eq(#REF!,"Has Valet")), F988 * AVERAGE(Accounts!I$2:I$34),F988*#REF!)</f>
        <v/>
      </c>
      <c r="H988" s="213">
        <f>iferror(G988*360,"")</f>
        <v/>
      </c>
      <c r="I988" s="213">
        <f>H988*0.1</f>
        <v/>
      </c>
    </row>
    <row r="989" ht="54.75" customHeight="1" s="222">
      <c r="A989" s="210">
        <f>#REF!</f>
        <v/>
      </c>
      <c r="B989" s="141">
        <f>#REF!</f>
        <v/>
      </c>
      <c r="C989" s="211" t="n">
        <v>0.6</v>
      </c>
      <c r="D989" s="212">
        <f>#REF!*C989</f>
        <v/>
      </c>
      <c r="E989" s="211" t="n">
        <v>0.4</v>
      </c>
      <c r="F989" s="212">
        <f>D989*E989</f>
        <v/>
      </c>
      <c r="G989" s="213">
        <f>if(or(eq(#REF!,"No Valet"),eq(#REF!,"Has Valet")), F989 * AVERAGE(Accounts!I$2:I$34),F989*#REF!)</f>
        <v/>
      </c>
      <c r="H989" s="213">
        <f>iferror(G989*360,"")</f>
        <v/>
      </c>
      <c r="I989" s="213">
        <f>H989*0.1</f>
        <v/>
      </c>
    </row>
    <row r="990" ht="54.75" customHeight="1" s="222">
      <c r="A990" s="210">
        <f>#REF!</f>
        <v/>
      </c>
      <c r="B990" s="141">
        <f>#REF!</f>
        <v/>
      </c>
      <c r="C990" s="211" t="n">
        <v>0.6</v>
      </c>
      <c r="D990" s="212">
        <f>#REF!*C990</f>
        <v/>
      </c>
      <c r="E990" s="211" t="n">
        <v>0.4</v>
      </c>
      <c r="F990" s="212">
        <f>D990*E990</f>
        <v/>
      </c>
      <c r="G990" s="213">
        <f>if(or(eq(#REF!,"No Valet"),eq(#REF!,"Has Valet")), F990 * AVERAGE(Accounts!I$2:I$34),F990*#REF!)</f>
        <v/>
      </c>
      <c r="H990" s="213">
        <f>iferror(G990*360,"")</f>
        <v/>
      </c>
      <c r="I990" s="213">
        <f>H990*0.1</f>
        <v/>
      </c>
    </row>
    <row r="991" ht="54.75" customHeight="1" s="222">
      <c r="A991" s="210">
        <f>#REF!</f>
        <v/>
      </c>
      <c r="B991" s="141">
        <f>#REF!</f>
        <v/>
      </c>
      <c r="C991" s="211" t="n">
        <v>0.6</v>
      </c>
      <c r="D991" s="212">
        <f>#REF!*C991</f>
        <v/>
      </c>
      <c r="E991" s="211" t="n">
        <v>0.4</v>
      </c>
      <c r="F991" s="212">
        <f>D991*E991</f>
        <v/>
      </c>
      <c r="G991" s="213">
        <f>if(or(eq(#REF!,"No Valet"),eq(#REF!,"Has Valet")), F991 * AVERAGE(Accounts!I$2:I$34),F991*#REF!)</f>
        <v/>
      </c>
      <c r="H991" s="213">
        <f>iferror(G991*360,"")</f>
        <v/>
      </c>
      <c r="I991" s="213">
        <f>H991*0.1</f>
        <v/>
      </c>
    </row>
    <row r="992" ht="54.75" customHeight="1" s="222">
      <c r="A992" s="210">
        <f>#REF!</f>
        <v/>
      </c>
      <c r="B992" s="141">
        <f>#REF!</f>
        <v/>
      </c>
      <c r="C992" s="211" t="n">
        <v>0.6</v>
      </c>
      <c r="D992" s="212">
        <f>#REF!*C992</f>
        <v/>
      </c>
      <c r="E992" s="211" t="n">
        <v>0.4</v>
      </c>
      <c r="F992" s="212">
        <f>D992*E992</f>
        <v/>
      </c>
      <c r="G992" s="213">
        <f>if(or(eq(#REF!,"No Valet"),eq(#REF!,"Has Valet")), F992 * AVERAGE(Accounts!I$2:I$34),F992*#REF!)</f>
        <v/>
      </c>
      <c r="H992" s="213">
        <f>iferror(G992*360,"")</f>
        <v/>
      </c>
      <c r="I992" s="213">
        <f>H992*0.1</f>
        <v/>
      </c>
    </row>
    <row r="993" ht="54.75" customHeight="1" s="222">
      <c r="A993" s="210">
        <f>#REF!</f>
        <v/>
      </c>
      <c r="B993" s="141">
        <f>#REF!</f>
        <v/>
      </c>
      <c r="C993" s="211" t="n">
        <v>0.6</v>
      </c>
      <c r="D993" s="212">
        <f>#REF!*C993</f>
        <v/>
      </c>
      <c r="E993" s="211" t="n">
        <v>0.4</v>
      </c>
      <c r="F993" s="212">
        <f>D993*E993</f>
        <v/>
      </c>
      <c r="G993" s="213">
        <f>if(or(eq(#REF!,"No Valet"),eq(#REF!,"Has Valet")), F993 * AVERAGE(Accounts!I$2:I$34),F993*#REF!)</f>
        <v/>
      </c>
      <c r="H993" s="213">
        <f>iferror(G993*360,"")</f>
        <v/>
      </c>
      <c r="I993" s="213">
        <f>H993*0.1</f>
        <v/>
      </c>
    </row>
    <row r="994" ht="54.75" customHeight="1" s="222">
      <c r="A994" s="210">
        <f>#REF!</f>
        <v/>
      </c>
      <c r="B994" s="141">
        <f>#REF!</f>
        <v/>
      </c>
      <c r="C994" s="211" t="n">
        <v>0.6</v>
      </c>
      <c r="D994" s="212">
        <f>#REF!*C994</f>
        <v/>
      </c>
      <c r="E994" s="211" t="n">
        <v>0.4</v>
      </c>
      <c r="F994" s="212">
        <f>D994*E994</f>
        <v/>
      </c>
      <c r="G994" s="213">
        <f>if(or(eq(#REF!,"No Valet"),eq(#REF!,"Has Valet")), F994 * AVERAGE(Accounts!I$2:I$34),F994*#REF!)</f>
        <v/>
      </c>
      <c r="H994" s="213">
        <f>iferror(G994*360,"")</f>
        <v/>
      </c>
      <c r="I994" s="213">
        <f>H994*0.1</f>
        <v/>
      </c>
    </row>
    <row r="995" ht="54.75" customHeight="1" s="222">
      <c r="A995" s="210">
        <f>#REF!</f>
        <v/>
      </c>
      <c r="B995" s="141">
        <f>#REF!</f>
        <v/>
      </c>
      <c r="C995" s="211" t="n">
        <v>0.6</v>
      </c>
      <c r="D995" s="212">
        <f>#REF!*C995</f>
        <v/>
      </c>
      <c r="E995" s="211" t="n">
        <v>0.4</v>
      </c>
      <c r="F995" s="212">
        <f>D995*E995</f>
        <v/>
      </c>
      <c r="G995" s="213">
        <f>if(or(eq(#REF!,"No Valet"),eq(#REF!,"Has Valet")), F995 * AVERAGE(Accounts!I$2:I$34),F995*#REF!)</f>
        <v/>
      </c>
      <c r="H995" s="213">
        <f>iferror(G995*360,"")</f>
        <v/>
      </c>
      <c r="I995" s="213">
        <f>H995*0.1</f>
        <v/>
      </c>
    </row>
    <row r="996" ht="54.75" customHeight="1" s="222">
      <c r="A996" s="210">
        <f>#REF!</f>
        <v/>
      </c>
      <c r="B996" s="141">
        <f>#REF!</f>
        <v/>
      </c>
      <c r="C996" s="211" t="n">
        <v>0.6</v>
      </c>
      <c r="D996" s="212">
        <f>#REF!*C996</f>
        <v/>
      </c>
      <c r="E996" s="211" t="n">
        <v>0.4</v>
      </c>
      <c r="F996" s="212">
        <f>D996*E996</f>
        <v/>
      </c>
      <c r="G996" s="213">
        <f>if(or(eq(#REF!,"No Valet"),eq(#REF!,"Has Valet")), F996 * AVERAGE(Accounts!I$2:I$34),F996*#REF!)</f>
        <v/>
      </c>
      <c r="H996" s="213">
        <f>iferror(G996*360,"")</f>
        <v/>
      </c>
      <c r="I996" s="213">
        <f>H996*0.1</f>
        <v/>
      </c>
    </row>
    <row r="997" ht="54.75" customHeight="1" s="222">
      <c r="A997" s="210">
        <f>#REF!</f>
        <v/>
      </c>
      <c r="B997" s="141">
        <f>#REF!</f>
        <v/>
      </c>
      <c r="C997" s="211" t="n">
        <v>0.6</v>
      </c>
      <c r="D997" s="212">
        <f>#REF!*C997</f>
        <v/>
      </c>
      <c r="E997" s="211" t="n">
        <v>0.4</v>
      </c>
      <c r="F997" s="212">
        <f>D997*E997</f>
        <v/>
      </c>
      <c r="G997" s="213">
        <f>if(or(eq(#REF!,"No Valet"),eq(#REF!,"Has Valet")), F997 * AVERAGE(Accounts!I$2:I$34),F997*#REF!)</f>
        <v/>
      </c>
      <c r="H997" s="213">
        <f>iferror(G997*360,"")</f>
        <v/>
      </c>
      <c r="I997" s="213">
        <f>H997*0.1</f>
        <v/>
      </c>
    </row>
    <row r="998" ht="54.75" customHeight="1" s="222">
      <c r="A998" s="210">
        <f>#REF!</f>
        <v/>
      </c>
      <c r="B998" s="141">
        <f>#REF!</f>
        <v/>
      </c>
      <c r="C998" s="211" t="n">
        <v>0.6</v>
      </c>
      <c r="D998" s="212">
        <f>#REF!*C998</f>
        <v/>
      </c>
      <c r="E998" s="211" t="n">
        <v>0.4</v>
      </c>
      <c r="F998" s="212">
        <f>D998*E998</f>
        <v/>
      </c>
      <c r="G998" s="213">
        <f>if(or(eq(#REF!,"No Valet"),eq(#REF!,"Has Valet")), F998 * AVERAGE(Accounts!I$2:I$34),F998*#REF!)</f>
        <v/>
      </c>
      <c r="H998" s="213">
        <f>iferror(G998*360,"")</f>
        <v/>
      </c>
      <c r="I998" s="213">
        <f>H998*0.1</f>
        <v/>
      </c>
    </row>
    <row r="999" ht="54.75" customHeight="1" s="222">
      <c r="A999" s="210">
        <f>#REF!</f>
        <v/>
      </c>
      <c r="B999" s="141">
        <f>#REF!</f>
        <v/>
      </c>
      <c r="C999" s="211" t="n">
        <v>0.6</v>
      </c>
      <c r="D999" s="212">
        <f>#REF!*C999</f>
        <v/>
      </c>
      <c r="E999" s="211" t="n">
        <v>0.4</v>
      </c>
      <c r="F999" s="212">
        <f>D999*E999</f>
        <v/>
      </c>
      <c r="G999" s="213">
        <f>if(or(eq(#REF!,"No Valet"),eq(#REF!,"Has Valet")), F999 * AVERAGE(Accounts!I$2:I$34),F999*#REF!)</f>
        <v/>
      </c>
      <c r="H999" s="213">
        <f>iferror(G999*360,"")</f>
        <v/>
      </c>
      <c r="I999" s="213">
        <f>H999*0.1</f>
        <v/>
      </c>
    </row>
    <row r="1000" ht="54.75" customHeight="1" s="222">
      <c r="A1000" s="210">
        <f>#REF!</f>
        <v/>
      </c>
      <c r="B1000" s="141">
        <f>#REF!</f>
        <v/>
      </c>
      <c r="C1000" s="211" t="n">
        <v>0.6</v>
      </c>
      <c r="D1000" s="212">
        <f>#REF!*C1000</f>
        <v/>
      </c>
      <c r="E1000" s="211" t="n">
        <v>0.4</v>
      </c>
      <c r="F1000" s="212">
        <f>D1000*E1000</f>
        <v/>
      </c>
      <c r="G1000" s="213">
        <f>if(or(eq(#REF!,"No Valet"),eq(#REF!,"Has Valet")), F1000 * AVERAGE(Accounts!I$2:I$34),F1000*#REF!)</f>
        <v/>
      </c>
      <c r="H1000" s="213">
        <f>iferror(G1000*360,"")</f>
        <v/>
      </c>
      <c r="I1000" s="213">
        <f>H1000*0.1</f>
        <v/>
      </c>
    </row>
    <row r="1001" ht="54.75" customHeight="1" s="222">
      <c r="A1001" s="210">
        <f>#REF!</f>
        <v/>
      </c>
      <c r="B1001" s="141">
        <f>#REF!</f>
        <v/>
      </c>
      <c r="C1001" s="211" t="n">
        <v>0.6</v>
      </c>
      <c r="D1001" s="212">
        <f>#REF!*C1001</f>
        <v/>
      </c>
      <c r="E1001" s="211" t="n">
        <v>0.4</v>
      </c>
      <c r="F1001" s="212">
        <f>D1001*E1001</f>
        <v/>
      </c>
      <c r="G1001" s="213">
        <f>if(or(eq(#REF!,"No Valet"),eq(#REF!,"Has Valet")), F1001 * AVERAGE(Accounts!I$2:I$34),F1001*#REF!)</f>
        <v/>
      </c>
      <c r="H1001" s="213">
        <f>iferror(G1001*360,"")</f>
        <v/>
      </c>
      <c r="I1001" s="213">
        <f>H1001*0.1</f>
        <v/>
      </c>
    </row>
    <row r="1002" ht="54.75" customHeight="1" s="222">
      <c r="A1002" s="210">
        <f>#REF!</f>
        <v/>
      </c>
      <c r="B1002" s="141">
        <f>#REF!</f>
        <v/>
      </c>
      <c r="C1002" s="211" t="n">
        <v>0.6</v>
      </c>
      <c r="D1002" s="212">
        <f>#REF!*C1002</f>
        <v/>
      </c>
      <c r="E1002" s="211" t="n">
        <v>0.4</v>
      </c>
      <c r="F1002" s="212">
        <f>D1002*E1002</f>
        <v/>
      </c>
      <c r="G1002" s="213">
        <f>if(or(eq(#REF!,"No Valet"),eq(#REF!,"Has Valet")), F1002 * AVERAGE(Accounts!I$2:I$34),F1002*#REF!)</f>
        <v/>
      </c>
      <c r="H1002" s="213">
        <f>iferror(G1002*360,"")</f>
        <v/>
      </c>
      <c r="I1002" s="213">
        <f>H1002*0.1</f>
        <v/>
      </c>
    </row>
    <row r="1003" ht="54.75" customHeight="1" s="222">
      <c r="A1003" s="210">
        <f>#REF!</f>
        <v/>
      </c>
      <c r="B1003" s="141">
        <f>#REF!</f>
        <v/>
      </c>
      <c r="C1003" s="211" t="n">
        <v>0.6</v>
      </c>
      <c r="D1003" s="212">
        <f>#REF!*C1003</f>
        <v/>
      </c>
      <c r="E1003" s="211" t="n">
        <v>0.4</v>
      </c>
      <c r="F1003" s="212">
        <f>D1003*E1003</f>
        <v/>
      </c>
      <c r="G1003" s="213">
        <f>if(or(eq(#REF!,"No Valet"),eq(#REF!,"Has Valet")), F1003 * AVERAGE(Accounts!I$2:I$34),F1003*#REF!)</f>
        <v/>
      </c>
      <c r="H1003" s="213">
        <f>iferror(G1003*360,"")</f>
        <v/>
      </c>
      <c r="I1003" s="213">
        <f>H1003*0.1</f>
        <v/>
      </c>
    </row>
    <row r="1004" ht="54.75" customHeight="1" s="222">
      <c r="A1004" s="210">
        <f>#REF!</f>
        <v/>
      </c>
      <c r="B1004" s="141">
        <f>#REF!</f>
        <v/>
      </c>
      <c r="C1004" s="211" t="n">
        <v>0.6</v>
      </c>
      <c r="D1004" s="212">
        <f>#REF!*C1004</f>
        <v/>
      </c>
      <c r="E1004" s="211" t="n">
        <v>0.4</v>
      </c>
      <c r="F1004" s="212">
        <f>D1004*E1004</f>
        <v/>
      </c>
      <c r="G1004" s="213">
        <f>if(or(eq(#REF!,"No Valet"),eq(#REF!,"Has Valet")), F1004 * AVERAGE(Accounts!I$2:I$34),F1004*#REF!)</f>
        <v/>
      </c>
      <c r="H1004" s="213">
        <f>iferror(G1004*360,"")</f>
        <v/>
      </c>
      <c r="I1004" s="213">
        <f>H1004*0.1</f>
        <v/>
      </c>
    </row>
    <row r="1005" ht="54.75" customHeight="1" s="222">
      <c r="A1005" s="210">
        <f>#REF!</f>
        <v/>
      </c>
      <c r="B1005" s="141">
        <f>#REF!</f>
        <v/>
      </c>
      <c r="C1005" s="211" t="n">
        <v>0.6</v>
      </c>
      <c r="D1005" s="212">
        <f>#REF!*C1005</f>
        <v/>
      </c>
      <c r="E1005" s="211" t="n">
        <v>0.4</v>
      </c>
      <c r="F1005" s="212">
        <f>D1005*E1005</f>
        <v/>
      </c>
      <c r="G1005" s="213">
        <f>if(or(eq(#REF!,"No Valet"),eq(#REF!,"Has Valet")), F1005 * AVERAGE(Accounts!I$2:I$34),F1005*#REF!)</f>
        <v/>
      </c>
      <c r="H1005" s="213">
        <f>iferror(G1005*360,"")</f>
        <v/>
      </c>
      <c r="I1005" s="213">
        <f>H1005*0.1</f>
        <v/>
      </c>
    </row>
    <row r="1006" ht="54.75" customHeight="1" s="222">
      <c r="A1006" s="210">
        <f>#REF!</f>
        <v/>
      </c>
      <c r="B1006" s="141">
        <f>#REF!</f>
        <v/>
      </c>
      <c r="C1006" s="211" t="n">
        <v>0.6</v>
      </c>
      <c r="D1006" s="212">
        <f>#REF!*C1006</f>
        <v/>
      </c>
      <c r="E1006" s="211" t="n">
        <v>0.4</v>
      </c>
      <c r="F1006" s="212">
        <f>D1006*E1006</f>
        <v/>
      </c>
      <c r="G1006" s="213">
        <f>if(or(eq(#REF!,"No Valet"),eq(#REF!,"Has Valet")), F1006 * AVERAGE(Accounts!I$2:I$34),F1006*#REF!)</f>
        <v/>
      </c>
      <c r="H1006" s="213">
        <f>iferror(G1006*360,"")</f>
        <v/>
      </c>
      <c r="I1006" s="213">
        <f>H1006*0.1</f>
        <v/>
      </c>
    </row>
    <row r="1007" ht="54.75" customHeight="1" s="222">
      <c r="A1007" s="210">
        <f>#REF!</f>
        <v/>
      </c>
      <c r="B1007" s="141">
        <f>#REF!</f>
        <v/>
      </c>
      <c r="C1007" s="211" t="n">
        <v>0.6</v>
      </c>
      <c r="D1007" s="212">
        <f>#REF!*C1007</f>
        <v/>
      </c>
      <c r="E1007" s="211" t="n">
        <v>0.4</v>
      </c>
      <c r="F1007" s="212">
        <f>D1007*E1007</f>
        <v/>
      </c>
      <c r="G1007" s="213">
        <f>if(or(eq(#REF!,"No Valet"),eq(#REF!,"Has Valet")), F1007 * AVERAGE(Accounts!I$2:I$34),F1007*#REF!)</f>
        <v/>
      </c>
      <c r="H1007" s="213">
        <f>iferror(G1007*360,"")</f>
        <v/>
      </c>
      <c r="I1007" s="213">
        <f>H1007*0.1</f>
        <v/>
      </c>
    </row>
    <row r="1008" ht="54.75" customHeight="1" s="222">
      <c r="A1008" s="210">
        <f>#REF!</f>
        <v/>
      </c>
      <c r="B1008" s="141">
        <f>#REF!</f>
        <v/>
      </c>
      <c r="C1008" s="211" t="n">
        <v>0.6</v>
      </c>
      <c r="D1008" s="212">
        <f>#REF!*C1008</f>
        <v/>
      </c>
      <c r="E1008" s="211" t="n">
        <v>0.4</v>
      </c>
      <c r="F1008" s="212">
        <f>D1008*E1008</f>
        <v/>
      </c>
      <c r="G1008" s="213">
        <f>if(or(eq(#REF!,"No Valet"),eq(#REF!,"Has Valet")), F1008 * AVERAGE(Accounts!I$2:I$34),F1008*#REF!)</f>
        <v/>
      </c>
      <c r="H1008" s="213">
        <f>iferror(G1008*360,"")</f>
        <v/>
      </c>
      <c r="I1008" s="213">
        <f>H1008*0.1</f>
        <v/>
      </c>
    </row>
    <row r="1009" ht="54.75" customHeight="1" s="222">
      <c r="A1009" s="210">
        <f>#REF!</f>
        <v/>
      </c>
      <c r="B1009" s="141">
        <f>#REF!</f>
        <v/>
      </c>
      <c r="C1009" s="211" t="n">
        <v>0.6</v>
      </c>
      <c r="D1009" s="212">
        <f>#REF!*C1009</f>
        <v/>
      </c>
      <c r="E1009" s="211" t="n">
        <v>0.4</v>
      </c>
      <c r="F1009" s="212">
        <f>D1009*E1009</f>
        <v/>
      </c>
      <c r="G1009" s="213">
        <f>if(or(eq(#REF!,"No Valet"),eq(#REF!,"Has Valet")), F1009 * AVERAGE(Accounts!I$2:I$34),F1009*#REF!)</f>
        <v/>
      </c>
      <c r="H1009" s="213">
        <f>iferror(G1009*360,"")</f>
        <v/>
      </c>
      <c r="I1009" s="213">
        <f>H1009*0.1</f>
        <v/>
      </c>
    </row>
    <row r="1010" ht="54.75" customHeight="1" s="222">
      <c r="A1010" s="210">
        <f>#REF!</f>
        <v/>
      </c>
      <c r="B1010" s="141">
        <f>#REF!</f>
        <v/>
      </c>
      <c r="C1010" s="211" t="n">
        <v>0.6</v>
      </c>
      <c r="D1010" s="212">
        <f>#REF!*C1010</f>
        <v/>
      </c>
      <c r="E1010" s="211" t="n">
        <v>0.4</v>
      </c>
      <c r="F1010" s="212">
        <f>D1010*E1010</f>
        <v/>
      </c>
      <c r="G1010" s="213">
        <f>if(or(eq(#REF!,"No Valet"),eq(#REF!,"Has Valet")), F1010 * AVERAGE(Accounts!I$2:I$34),F1010*#REF!)</f>
        <v/>
      </c>
      <c r="H1010" s="213">
        <f>iferror(G1010*360,"")</f>
        <v/>
      </c>
      <c r="I1010" s="213">
        <f>H1010*0.1</f>
        <v/>
      </c>
    </row>
    <row r="1011" ht="54.75" customHeight="1" s="222">
      <c r="A1011" s="210">
        <f>#REF!</f>
        <v/>
      </c>
      <c r="B1011" s="141">
        <f>#REF!</f>
        <v/>
      </c>
      <c r="C1011" s="211" t="n">
        <v>0.6</v>
      </c>
      <c r="D1011" s="212">
        <f>#REF!*C1011</f>
        <v/>
      </c>
      <c r="E1011" s="211" t="n">
        <v>0.4</v>
      </c>
      <c r="F1011" s="212">
        <f>D1011*E1011</f>
        <v/>
      </c>
      <c r="G1011" s="213">
        <f>if(or(eq(#REF!,"No Valet"),eq(#REF!,"Has Valet")), F1011 * AVERAGE(Accounts!I$2:I$34),F1011*#REF!)</f>
        <v/>
      </c>
      <c r="H1011" s="213">
        <f>iferror(G1011*360,"")</f>
        <v/>
      </c>
      <c r="I1011" s="213">
        <f>H1011*0.1</f>
        <v/>
      </c>
    </row>
    <row r="1012" ht="54.75" customHeight="1" s="222">
      <c r="A1012" s="210">
        <f>#REF!</f>
        <v/>
      </c>
      <c r="B1012" s="141">
        <f>#REF!</f>
        <v/>
      </c>
      <c r="C1012" s="211" t="n">
        <v>0.6</v>
      </c>
      <c r="D1012" s="212">
        <f>#REF!*C1012</f>
        <v/>
      </c>
      <c r="E1012" s="211" t="n">
        <v>0.4</v>
      </c>
      <c r="F1012" s="212">
        <f>D1012*E1012</f>
        <v/>
      </c>
      <c r="G1012" s="213">
        <f>if(or(eq(#REF!,"No Valet"),eq(#REF!,"Has Valet")), F1012 * AVERAGE(Accounts!I$2:I$34),F1012*#REF!)</f>
        <v/>
      </c>
      <c r="H1012" s="213">
        <f>iferror(G1012*360,"")</f>
        <v/>
      </c>
      <c r="I1012" s="213">
        <f>H1012*0.1</f>
        <v/>
      </c>
    </row>
    <row r="1013" ht="54.75" customHeight="1" s="222">
      <c r="A1013" s="210">
        <f>#REF!</f>
        <v/>
      </c>
      <c r="B1013" s="141">
        <f>#REF!</f>
        <v/>
      </c>
      <c r="C1013" s="211" t="n">
        <v>0.6</v>
      </c>
      <c r="D1013" s="212">
        <f>#REF!*C1013</f>
        <v/>
      </c>
      <c r="E1013" s="211" t="n">
        <v>0.4</v>
      </c>
      <c r="F1013" s="212">
        <f>D1013*E1013</f>
        <v/>
      </c>
      <c r="G1013" s="213">
        <f>if(or(eq(#REF!,"No Valet"),eq(#REF!,"Has Valet")), F1013 * AVERAGE(Accounts!I$2:I$34),F1013*#REF!)</f>
        <v/>
      </c>
      <c r="H1013" s="213">
        <f>iferror(G1013*360,"")</f>
        <v/>
      </c>
      <c r="I1013" s="213">
        <f>H1013*0.1</f>
        <v/>
      </c>
    </row>
    <row r="1014" ht="54.75" customHeight="1" s="222">
      <c r="A1014" s="210">
        <f>#REF!</f>
        <v/>
      </c>
      <c r="B1014" s="141">
        <f>#REF!</f>
        <v/>
      </c>
      <c r="C1014" s="211" t="n">
        <v>0.6</v>
      </c>
      <c r="D1014" s="212">
        <f>#REF!*C1014</f>
        <v/>
      </c>
      <c r="E1014" s="211" t="n">
        <v>0.4</v>
      </c>
      <c r="F1014" s="212">
        <f>D1014*E1014</f>
        <v/>
      </c>
      <c r="G1014" s="213">
        <f>if(or(eq(#REF!,"No Valet"),eq(#REF!,"Has Valet")), F1014 * AVERAGE(Accounts!I$2:I$34),F1014*#REF!)</f>
        <v/>
      </c>
      <c r="H1014" s="213">
        <f>iferror(G1014*360,"")</f>
        <v/>
      </c>
      <c r="I1014" s="213">
        <f>H1014*0.1</f>
        <v/>
      </c>
    </row>
    <row r="1015" ht="54.75" customHeight="1" s="222">
      <c r="A1015" s="210">
        <f>#REF!</f>
        <v/>
      </c>
      <c r="B1015" s="141">
        <f>#REF!</f>
        <v/>
      </c>
      <c r="C1015" s="211" t="n">
        <v>0.6</v>
      </c>
      <c r="D1015" s="212">
        <f>#REF!*C1015</f>
        <v/>
      </c>
      <c r="E1015" s="211" t="n">
        <v>0.4</v>
      </c>
      <c r="F1015" s="212">
        <f>D1015*E1015</f>
        <v/>
      </c>
      <c r="G1015" s="213">
        <f>if(or(eq(#REF!,"No Valet"),eq(#REF!,"Has Valet")), F1015 * AVERAGE(Accounts!I$2:I$34),F1015*#REF!)</f>
        <v/>
      </c>
      <c r="H1015" s="213">
        <f>iferror(G1015*360,"")</f>
        <v/>
      </c>
      <c r="I1015" s="213">
        <f>H1015*0.1</f>
        <v/>
      </c>
    </row>
    <row r="1016" ht="54.75" customHeight="1" s="222">
      <c r="A1016" s="210">
        <f>#REF!</f>
        <v/>
      </c>
      <c r="B1016" s="141">
        <f>#REF!</f>
        <v/>
      </c>
      <c r="C1016" s="211" t="n">
        <v>0.6</v>
      </c>
      <c r="D1016" s="212">
        <f>#REF!*C1016</f>
        <v/>
      </c>
      <c r="E1016" s="211" t="n">
        <v>0.4</v>
      </c>
      <c r="F1016" s="212">
        <f>D1016*E1016</f>
        <v/>
      </c>
      <c r="G1016" s="213">
        <f>if(or(eq(#REF!,"No Valet"),eq(#REF!,"Has Valet")), F1016 * AVERAGE(Accounts!I$2:I$34),F1016*#REF!)</f>
        <v/>
      </c>
      <c r="H1016" s="213">
        <f>iferror(G1016*360,"")</f>
        <v/>
      </c>
      <c r="I1016" s="213">
        <f>H1016*0.1</f>
        <v/>
      </c>
    </row>
    <row r="1017" ht="54.75" customHeight="1" s="222">
      <c r="A1017" s="210">
        <f>#REF!</f>
        <v/>
      </c>
      <c r="B1017" s="141">
        <f>#REF!</f>
        <v/>
      </c>
      <c r="C1017" s="211" t="n">
        <v>0.6</v>
      </c>
      <c r="D1017" s="212">
        <f>#REF!*C1017</f>
        <v/>
      </c>
      <c r="E1017" s="211" t="n">
        <v>0.4</v>
      </c>
      <c r="F1017" s="212">
        <f>D1017*E1017</f>
        <v/>
      </c>
      <c r="G1017" s="213">
        <f>if(or(eq(#REF!,"No Valet"),eq(#REF!,"Has Valet")), F1017 * AVERAGE(Accounts!I$2:I$34),F1017*#REF!)</f>
        <v/>
      </c>
      <c r="H1017" s="213">
        <f>iferror(G1017*360,"")</f>
        <v/>
      </c>
      <c r="I1017" s="213">
        <f>H1017*0.1</f>
        <v/>
      </c>
    </row>
    <row r="1018" ht="54.75" customHeight="1" s="222">
      <c r="A1018" s="210">
        <f>#REF!</f>
        <v/>
      </c>
      <c r="B1018" s="141">
        <f>#REF!</f>
        <v/>
      </c>
      <c r="C1018" s="211" t="n">
        <v>0.6</v>
      </c>
      <c r="D1018" s="212">
        <f>#REF!*C1018</f>
        <v/>
      </c>
      <c r="E1018" s="211" t="n">
        <v>0.4</v>
      </c>
      <c r="F1018" s="212">
        <f>D1018*E1018</f>
        <v/>
      </c>
      <c r="G1018" s="213">
        <f>if(or(eq(#REF!,"No Valet"),eq(#REF!,"Has Valet")), F1018 * AVERAGE(Accounts!I$2:I$34),F1018*#REF!)</f>
        <v/>
      </c>
      <c r="H1018" s="213">
        <f>iferror(G1018*360,"")</f>
        <v/>
      </c>
      <c r="I1018" s="213">
        <f>H1018*0.1</f>
        <v/>
      </c>
    </row>
    <row r="1019" ht="54.75" customHeight="1" s="222">
      <c r="A1019" s="210">
        <f>#REF!</f>
        <v/>
      </c>
      <c r="B1019" s="141">
        <f>#REF!</f>
        <v/>
      </c>
      <c r="C1019" s="211" t="n">
        <v>0.6</v>
      </c>
      <c r="D1019" s="212">
        <f>#REF!*C1019</f>
        <v/>
      </c>
      <c r="E1019" s="211" t="n">
        <v>0.4</v>
      </c>
      <c r="F1019" s="212">
        <f>D1019*E1019</f>
        <v/>
      </c>
      <c r="G1019" s="213">
        <f>if(or(eq(#REF!,"No Valet"),eq(#REF!,"Has Valet")), F1019 * AVERAGE(Accounts!I$2:I$34),F1019*#REF!)</f>
        <v/>
      </c>
      <c r="H1019" s="213">
        <f>iferror(G1019*360,"")</f>
        <v/>
      </c>
      <c r="I1019" s="213">
        <f>H1019*0.1</f>
        <v/>
      </c>
    </row>
    <row r="1020" ht="54.75" customHeight="1" s="222">
      <c r="A1020" s="210">
        <f>#REF!</f>
        <v/>
      </c>
      <c r="B1020" s="141">
        <f>#REF!</f>
        <v/>
      </c>
      <c r="C1020" s="211" t="n">
        <v>0.6</v>
      </c>
      <c r="D1020" s="212">
        <f>#REF!*C1020</f>
        <v/>
      </c>
      <c r="E1020" s="211" t="n">
        <v>0.4</v>
      </c>
      <c r="F1020" s="212">
        <f>D1020*E1020</f>
        <v/>
      </c>
      <c r="G1020" s="213">
        <f>if(or(eq(#REF!,"No Valet"),eq(#REF!,"Has Valet")), F1020 * AVERAGE(Accounts!I$2:I$34),F1020*#REF!)</f>
        <v/>
      </c>
      <c r="H1020" s="213">
        <f>iferror(G1020*360,"")</f>
        <v/>
      </c>
      <c r="I1020" s="213">
        <f>H1020*0.1</f>
        <v/>
      </c>
    </row>
    <row r="1021" ht="54.75" customHeight="1" s="222">
      <c r="A1021" s="210">
        <f>#REF!</f>
        <v/>
      </c>
      <c r="B1021" s="141">
        <f>#REF!</f>
        <v/>
      </c>
      <c r="C1021" s="211" t="n">
        <v>0.6</v>
      </c>
      <c r="D1021" s="212">
        <f>#REF!*C1021</f>
        <v/>
      </c>
      <c r="E1021" s="211" t="n">
        <v>0.4</v>
      </c>
      <c r="F1021" s="212">
        <f>D1021*E1021</f>
        <v/>
      </c>
      <c r="G1021" s="213">
        <f>if(or(eq(#REF!,"No Valet"),eq(#REF!,"Has Valet")), F1021 * AVERAGE(Accounts!I$2:I$34),F1021*#REF!)</f>
        <v/>
      </c>
      <c r="H1021" s="213">
        <f>iferror(G1021*360,"")</f>
        <v/>
      </c>
      <c r="I1021" s="213">
        <f>H1021*0.1</f>
        <v/>
      </c>
    </row>
    <row r="1022" ht="54.75" customHeight="1" s="222">
      <c r="A1022" s="210">
        <f>#REF!</f>
        <v/>
      </c>
      <c r="B1022" s="141">
        <f>#REF!</f>
        <v/>
      </c>
      <c r="C1022" s="211" t="n">
        <v>0.6</v>
      </c>
      <c r="D1022" s="212">
        <f>#REF!*C1022</f>
        <v/>
      </c>
      <c r="E1022" s="211" t="n">
        <v>0.4</v>
      </c>
      <c r="F1022" s="212">
        <f>D1022*E1022</f>
        <v/>
      </c>
      <c r="G1022" s="213">
        <f>if(or(eq(#REF!,"No Valet"),eq(#REF!,"Has Valet")), F1022 * AVERAGE(Accounts!I$2:I$34),F1022*#REF!)</f>
        <v/>
      </c>
      <c r="H1022" s="213">
        <f>iferror(G1022*360,"")</f>
        <v/>
      </c>
      <c r="I1022" s="213">
        <f>H1022*0.1</f>
        <v/>
      </c>
    </row>
    <row r="1023" ht="54.75" customHeight="1" s="222">
      <c r="A1023" s="210">
        <f>#REF!</f>
        <v/>
      </c>
      <c r="B1023" s="141">
        <f>#REF!</f>
        <v/>
      </c>
      <c r="C1023" s="211" t="n">
        <v>0.6</v>
      </c>
      <c r="D1023" s="212">
        <f>#REF!*C1023</f>
        <v/>
      </c>
      <c r="E1023" s="211" t="n">
        <v>0.4</v>
      </c>
      <c r="F1023" s="212">
        <f>D1023*E1023</f>
        <v/>
      </c>
      <c r="G1023" s="213">
        <f>if(or(eq(#REF!,"No Valet"),eq(#REF!,"Has Valet")), F1023 * AVERAGE(Accounts!I$2:I$34),F1023*#REF!)</f>
        <v/>
      </c>
      <c r="H1023" s="213">
        <f>iferror(G1023*360,"")</f>
        <v/>
      </c>
      <c r="I1023" s="213">
        <f>H1023*0.1</f>
        <v/>
      </c>
    </row>
    <row r="1024" ht="54.75" customHeight="1" s="222">
      <c r="A1024" s="210">
        <f>#REF!</f>
        <v/>
      </c>
      <c r="B1024" s="141">
        <f>#REF!</f>
        <v/>
      </c>
      <c r="C1024" s="211" t="n">
        <v>0.6</v>
      </c>
      <c r="D1024" s="212">
        <f>#REF!*C1024</f>
        <v/>
      </c>
      <c r="E1024" s="211" t="n">
        <v>0.4</v>
      </c>
      <c r="F1024" s="212">
        <f>D1024*E1024</f>
        <v/>
      </c>
      <c r="G1024" s="213">
        <f>if(or(eq(#REF!,"No Valet"),eq(#REF!,"Has Valet")), F1024 * AVERAGE(Accounts!I$2:I$34),F1024*#REF!)</f>
        <v/>
      </c>
      <c r="H1024" s="213">
        <f>iferror(G1024*360,"")</f>
        <v/>
      </c>
      <c r="I1024" s="213">
        <f>H1024*0.1</f>
        <v/>
      </c>
    </row>
    <row r="1025" ht="54.75" customHeight="1" s="222">
      <c r="A1025" s="210">
        <f>#REF!</f>
        <v/>
      </c>
      <c r="B1025" s="141">
        <f>#REF!</f>
        <v/>
      </c>
      <c r="C1025" s="211" t="n">
        <v>0.6</v>
      </c>
      <c r="D1025" s="212">
        <f>#REF!*C1025</f>
        <v/>
      </c>
      <c r="E1025" s="211" t="n">
        <v>0.4</v>
      </c>
      <c r="F1025" s="212">
        <f>D1025*E1025</f>
        <v/>
      </c>
      <c r="G1025" s="213">
        <f>if(or(eq(#REF!,"No Valet"),eq(#REF!,"Has Valet")), F1025 * AVERAGE(Accounts!I$2:I$34),F1025*#REF!)</f>
        <v/>
      </c>
      <c r="H1025" s="213">
        <f>iferror(G1025*360,"")</f>
        <v/>
      </c>
      <c r="I1025" s="213">
        <f>H1025*0.1</f>
        <v/>
      </c>
    </row>
    <row r="1026" ht="54.75" customHeight="1" s="222">
      <c r="A1026" s="210">
        <f>#REF!</f>
        <v/>
      </c>
      <c r="B1026" s="141">
        <f>#REF!</f>
        <v/>
      </c>
      <c r="C1026" s="211" t="n">
        <v>0.6</v>
      </c>
      <c r="D1026" s="212">
        <f>#REF!*C1026</f>
        <v/>
      </c>
      <c r="E1026" s="211" t="n">
        <v>0.4</v>
      </c>
      <c r="F1026" s="212">
        <f>D1026*E1026</f>
        <v/>
      </c>
      <c r="G1026" s="213">
        <f>if(or(eq(#REF!,"No Valet"),eq(#REF!,"Has Valet")), F1026 * AVERAGE(Accounts!I$2:I$34),F1026*#REF!)</f>
        <v/>
      </c>
      <c r="H1026" s="213">
        <f>iferror(G1026*360,"")</f>
        <v/>
      </c>
      <c r="I1026" s="213">
        <f>H1026*0.1</f>
        <v/>
      </c>
    </row>
    <row r="1027" ht="54.75" customHeight="1" s="222">
      <c r="A1027" s="210">
        <f>#REF!</f>
        <v/>
      </c>
      <c r="B1027" s="141">
        <f>#REF!</f>
        <v/>
      </c>
      <c r="C1027" s="211" t="n">
        <v>0.6</v>
      </c>
      <c r="D1027" s="212">
        <f>#REF!*C1027</f>
        <v/>
      </c>
      <c r="E1027" s="211" t="n">
        <v>0.4</v>
      </c>
      <c r="F1027" s="212">
        <f>D1027*E1027</f>
        <v/>
      </c>
      <c r="G1027" s="213">
        <f>if(or(eq(#REF!,"No Valet"),eq(#REF!,"Has Valet")), F1027 * AVERAGE(Accounts!I$2:I$34),F1027*#REF!)</f>
        <v/>
      </c>
      <c r="H1027" s="213">
        <f>iferror(G1027*360,"")</f>
        <v/>
      </c>
      <c r="I1027" s="213">
        <f>H1027*0.1</f>
        <v/>
      </c>
    </row>
    <row r="1028" ht="54.75" customHeight="1" s="222">
      <c r="A1028" s="210">
        <f>#REF!</f>
        <v/>
      </c>
      <c r="B1028" s="141">
        <f>#REF!</f>
        <v/>
      </c>
      <c r="C1028" s="211" t="n">
        <v>0.6</v>
      </c>
      <c r="D1028" s="212">
        <f>#REF!*C1028</f>
        <v/>
      </c>
      <c r="E1028" s="211" t="n">
        <v>0.4</v>
      </c>
      <c r="F1028" s="212">
        <f>D1028*E1028</f>
        <v/>
      </c>
      <c r="G1028" s="213">
        <f>if(or(eq(#REF!,"No Valet"),eq(#REF!,"Has Valet")), F1028 * AVERAGE(Accounts!I$2:I$34),F1028*#REF!)</f>
        <v/>
      </c>
      <c r="H1028" s="213">
        <f>iferror(G1028*360,"")</f>
        <v/>
      </c>
      <c r="I1028" s="213">
        <f>H1028*0.1</f>
        <v/>
      </c>
    </row>
    <row r="1029" ht="54.75" customHeight="1" s="222">
      <c r="A1029" s="210">
        <f>#REF!</f>
        <v/>
      </c>
      <c r="B1029" s="141">
        <f>#REF!</f>
        <v/>
      </c>
      <c r="C1029" s="211" t="n">
        <v>0.6</v>
      </c>
      <c r="D1029" s="212">
        <f>#REF!*C1029</f>
        <v/>
      </c>
      <c r="E1029" s="211" t="n">
        <v>0.4</v>
      </c>
      <c r="F1029" s="212">
        <f>D1029*E1029</f>
        <v/>
      </c>
      <c r="G1029" s="213">
        <f>if(or(eq(#REF!,"No Valet"),eq(#REF!,"Has Valet")), F1029 * AVERAGE(Accounts!I$2:I$34),F1029*#REF!)</f>
        <v/>
      </c>
      <c r="H1029" s="213">
        <f>iferror(G1029*360,"")</f>
        <v/>
      </c>
      <c r="I1029" s="213">
        <f>H1029*0.1</f>
        <v/>
      </c>
    </row>
    <row r="1030" ht="54.75" customHeight="1" s="222">
      <c r="A1030" s="210">
        <f>#REF!</f>
        <v/>
      </c>
      <c r="B1030" s="141">
        <f>#REF!</f>
        <v/>
      </c>
      <c r="C1030" s="211" t="n">
        <v>0.6</v>
      </c>
      <c r="D1030" s="212">
        <f>#REF!*C1030</f>
        <v/>
      </c>
      <c r="E1030" s="211" t="n">
        <v>0.4</v>
      </c>
      <c r="F1030" s="212">
        <f>D1030*E1030</f>
        <v/>
      </c>
      <c r="G1030" s="213">
        <f>if(or(eq(#REF!,"No Valet"),eq(#REF!,"Has Valet")), F1030 * AVERAGE(Accounts!I$2:I$34),F1030*#REF!)</f>
        <v/>
      </c>
      <c r="H1030" s="213">
        <f>iferror(G1030*360,"")</f>
        <v/>
      </c>
      <c r="I1030" s="213">
        <f>H1030*0.1</f>
        <v/>
      </c>
    </row>
    <row r="1031" ht="54.75" customHeight="1" s="222">
      <c r="A1031" s="210">
        <f>#REF!</f>
        <v/>
      </c>
      <c r="B1031" s="141">
        <f>#REF!</f>
        <v/>
      </c>
      <c r="C1031" s="211" t="n">
        <v>0.6</v>
      </c>
      <c r="D1031" s="212">
        <f>#REF!*C1031</f>
        <v/>
      </c>
      <c r="E1031" s="211" t="n">
        <v>0.4</v>
      </c>
      <c r="F1031" s="212">
        <f>D1031*E1031</f>
        <v/>
      </c>
      <c r="G1031" s="213">
        <f>if(or(eq(#REF!,"No Valet"),eq(#REF!,"Has Valet")), F1031 * AVERAGE(Accounts!I$2:I$34),F1031*#REF!)</f>
        <v/>
      </c>
      <c r="H1031" s="213">
        <f>iferror(G1031*360,"")</f>
        <v/>
      </c>
      <c r="I1031" s="213">
        <f>H1031*0.1</f>
        <v/>
      </c>
    </row>
    <row r="1032" ht="54.75" customHeight="1" s="222">
      <c r="A1032" s="210">
        <f>#REF!</f>
        <v/>
      </c>
      <c r="B1032" s="141">
        <f>#REF!</f>
        <v/>
      </c>
      <c r="C1032" s="211" t="n">
        <v>0.6</v>
      </c>
      <c r="D1032" s="212">
        <f>#REF!*C1032</f>
        <v/>
      </c>
      <c r="E1032" s="211" t="n">
        <v>0.4</v>
      </c>
      <c r="F1032" s="212">
        <f>D1032*E1032</f>
        <v/>
      </c>
      <c r="G1032" s="213">
        <f>if(or(eq(#REF!,"No Valet"),eq(#REF!,"Has Valet")), F1032 * AVERAGE(Accounts!I$2:I$34),F1032*#REF!)</f>
        <v/>
      </c>
      <c r="H1032" s="213">
        <f>iferror(G1032*360,"")</f>
        <v/>
      </c>
      <c r="I1032" s="213">
        <f>H1032*0.1</f>
        <v/>
      </c>
    </row>
    <row r="1033" ht="54.75" customHeight="1" s="222">
      <c r="A1033" s="210">
        <f>#REF!</f>
        <v/>
      </c>
      <c r="B1033" s="141">
        <f>#REF!</f>
        <v/>
      </c>
      <c r="C1033" s="211" t="n">
        <v>0.6</v>
      </c>
      <c r="D1033" s="212">
        <f>#REF!*C1033</f>
        <v/>
      </c>
      <c r="E1033" s="211" t="n">
        <v>0.4</v>
      </c>
      <c r="F1033" s="212">
        <f>D1033*E1033</f>
        <v/>
      </c>
      <c r="G1033" s="213">
        <f>if(or(eq(#REF!,"No Valet"),eq(#REF!,"Has Valet")), F1033 * AVERAGE(Accounts!I$2:I$34),F1033*#REF!)</f>
        <v/>
      </c>
      <c r="H1033" s="213">
        <f>iferror(G1033*360,"")</f>
        <v/>
      </c>
      <c r="I1033" s="213">
        <f>H1033*0.1</f>
        <v/>
      </c>
    </row>
    <row r="1034" ht="54.75" customHeight="1" s="222">
      <c r="A1034" s="210">
        <f>#REF!</f>
        <v/>
      </c>
      <c r="B1034" s="141">
        <f>#REF!</f>
        <v/>
      </c>
      <c r="C1034" s="211" t="n">
        <v>0.6</v>
      </c>
      <c r="D1034" s="212">
        <f>#REF!*C1034</f>
        <v/>
      </c>
      <c r="E1034" s="211" t="n">
        <v>0.4</v>
      </c>
      <c r="F1034" s="212">
        <f>D1034*E1034</f>
        <v/>
      </c>
      <c r="G1034" s="213">
        <f>if(or(eq(#REF!,"No Valet"),eq(#REF!,"Has Valet")), F1034 * AVERAGE(Accounts!I$2:I$34),F1034*#REF!)</f>
        <v/>
      </c>
      <c r="H1034" s="213">
        <f>iferror(G1034*360,"")</f>
        <v/>
      </c>
      <c r="I1034" s="213">
        <f>H1034*0.1</f>
        <v/>
      </c>
    </row>
    <row r="1035" ht="54.75" customHeight="1" s="222">
      <c r="A1035" s="210">
        <f>#REF!</f>
        <v/>
      </c>
      <c r="B1035" s="141">
        <f>#REF!</f>
        <v/>
      </c>
      <c r="C1035" s="211" t="n">
        <v>0.6</v>
      </c>
      <c r="D1035" s="212">
        <f>#REF!*C1035</f>
        <v/>
      </c>
      <c r="E1035" s="211" t="n">
        <v>0.4</v>
      </c>
      <c r="F1035" s="212">
        <f>D1035*E1035</f>
        <v/>
      </c>
      <c r="G1035" s="213">
        <f>if(or(eq(#REF!,"No Valet"),eq(#REF!,"Has Valet")), F1035 * AVERAGE(Accounts!I$2:I$34),F1035*#REF!)</f>
        <v/>
      </c>
      <c r="H1035" s="213">
        <f>iferror(G1035*360,"")</f>
        <v/>
      </c>
      <c r="I1035" s="213">
        <f>H1035*0.1</f>
        <v/>
      </c>
    </row>
    <row r="1036" ht="54.75" customHeight="1" s="222">
      <c r="A1036" s="210">
        <f>#REF!</f>
        <v/>
      </c>
      <c r="B1036" s="141">
        <f>#REF!</f>
        <v/>
      </c>
      <c r="C1036" s="211" t="n">
        <v>0.6</v>
      </c>
      <c r="D1036" s="212">
        <f>#REF!*C1036</f>
        <v/>
      </c>
      <c r="E1036" s="211" t="n">
        <v>0.4</v>
      </c>
      <c r="F1036" s="212">
        <f>D1036*E1036</f>
        <v/>
      </c>
      <c r="G1036" s="213">
        <f>if(or(eq(#REF!,"No Valet"),eq(#REF!,"Has Valet")), F1036 * AVERAGE(Accounts!I$2:I$34),F1036*#REF!)</f>
        <v/>
      </c>
      <c r="H1036" s="213">
        <f>iferror(G1036*360,"")</f>
        <v/>
      </c>
      <c r="I1036" s="213">
        <f>H1036*0.1</f>
        <v/>
      </c>
    </row>
    <row r="1037" ht="54.75" customHeight="1" s="222">
      <c r="A1037" s="210">
        <f>#REF!</f>
        <v/>
      </c>
      <c r="B1037" s="141">
        <f>#REF!</f>
        <v/>
      </c>
      <c r="C1037" s="211" t="n">
        <v>0.6</v>
      </c>
      <c r="D1037" s="212">
        <f>#REF!*C1037</f>
        <v/>
      </c>
      <c r="E1037" s="211" t="n">
        <v>0.4</v>
      </c>
      <c r="F1037" s="212">
        <f>D1037*E1037</f>
        <v/>
      </c>
      <c r="G1037" s="213">
        <f>if(or(eq(#REF!,"No Valet"),eq(#REF!,"Has Valet")), F1037 * AVERAGE(Accounts!I$2:I$34),F1037*#REF!)</f>
        <v/>
      </c>
      <c r="H1037" s="213">
        <f>iferror(G1037*360,"")</f>
        <v/>
      </c>
      <c r="I1037" s="213">
        <f>H1037*0.1</f>
        <v/>
      </c>
    </row>
    <row r="1038" ht="54.75" customHeight="1" s="222">
      <c r="A1038" s="210">
        <f>#REF!</f>
        <v/>
      </c>
      <c r="B1038" s="141">
        <f>#REF!</f>
        <v/>
      </c>
      <c r="C1038" s="211" t="n">
        <v>0.6</v>
      </c>
      <c r="D1038" s="212">
        <f>#REF!*C1038</f>
        <v/>
      </c>
      <c r="E1038" s="211" t="n">
        <v>0.4</v>
      </c>
      <c r="F1038" s="212">
        <f>D1038*E1038</f>
        <v/>
      </c>
      <c r="G1038" s="213">
        <f>if(or(eq(#REF!,"No Valet"),eq(#REF!,"Has Valet")), F1038 * AVERAGE(Accounts!I$2:I$34),F1038*#REF!)</f>
        <v/>
      </c>
      <c r="H1038" s="213">
        <f>iferror(G1038*360,"")</f>
        <v/>
      </c>
      <c r="I1038" s="213">
        <f>H1038*0.1</f>
        <v/>
      </c>
    </row>
    <row r="1039" ht="54.75" customHeight="1" s="222">
      <c r="A1039" s="210">
        <f>#REF!</f>
        <v/>
      </c>
      <c r="B1039" s="141">
        <f>#REF!</f>
        <v/>
      </c>
      <c r="C1039" s="211" t="n">
        <v>0.6</v>
      </c>
      <c r="D1039" s="212">
        <f>#REF!*C1039</f>
        <v/>
      </c>
      <c r="E1039" s="211" t="n">
        <v>0.4</v>
      </c>
      <c r="F1039" s="212">
        <f>D1039*E1039</f>
        <v/>
      </c>
      <c r="G1039" s="213">
        <f>if(or(eq(#REF!,"No Valet"),eq(#REF!,"Has Valet")), F1039 * AVERAGE(Accounts!I$2:I$34),F1039*#REF!)</f>
        <v/>
      </c>
      <c r="H1039" s="213">
        <f>iferror(G1039*360,"")</f>
        <v/>
      </c>
      <c r="I1039" s="213">
        <f>H1039*0.1</f>
        <v/>
      </c>
    </row>
    <row r="1040" ht="54.75" customHeight="1" s="222">
      <c r="A1040" s="210">
        <f>#REF!</f>
        <v/>
      </c>
      <c r="B1040" s="141">
        <f>#REF!</f>
        <v/>
      </c>
      <c r="C1040" s="211" t="n">
        <v>0.6</v>
      </c>
      <c r="D1040" s="212">
        <f>#REF!*C1040</f>
        <v/>
      </c>
      <c r="E1040" s="211" t="n">
        <v>0.4</v>
      </c>
      <c r="F1040" s="212">
        <f>D1040*E1040</f>
        <v/>
      </c>
      <c r="G1040" s="213">
        <f>if(or(eq(#REF!,"No Valet"),eq(#REF!,"Has Valet")), F1040 * AVERAGE(Accounts!I$2:I$34),F1040*#REF!)</f>
        <v/>
      </c>
      <c r="H1040" s="213">
        <f>iferror(G1040*360,"")</f>
        <v/>
      </c>
      <c r="I1040" s="213">
        <f>H1040*0.1</f>
        <v/>
      </c>
    </row>
    <row r="1041" ht="54.75" customHeight="1" s="222">
      <c r="A1041" s="210">
        <f>#REF!</f>
        <v/>
      </c>
      <c r="B1041" s="141">
        <f>#REF!</f>
        <v/>
      </c>
      <c r="C1041" s="211" t="n">
        <v>0.6</v>
      </c>
      <c r="D1041" s="212">
        <f>#REF!*C1041</f>
        <v/>
      </c>
      <c r="E1041" s="211" t="n">
        <v>0.4</v>
      </c>
      <c r="F1041" s="212">
        <f>D1041*E1041</f>
        <v/>
      </c>
      <c r="G1041" s="213">
        <f>if(or(eq(#REF!,"No Valet"),eq(#REF!,"Has Valet")), F1041 * AVERAGE(Accounts!I$2:I$34),F1041*#REF!)</f>
        <v/>
      </c>
      <c r="H1041" s="213">
        <f>iferror(G1041*360,"")</f>
        <v/>
      </c>
      <c r="I1041" s="213">
        <f>H1041*0.1</f>
        <v/>
      </c>
    </row>
    <row r="1042" ht="54.75" customHeight="1" s="222">
      <c r="A1042" s="210">
        <f>#REF!</f>
        <v/>
      </c>
      <c r="B1042" s="141">
        <f>#REF!</f>
        <v/>
      </c>
      <c r="C1042" s="211" t="n">
        <v>0.6</v>
      </c>
      <c r="D1042" s="212">
        <f>#REF!*C1042</f>
        <v/>
      </c>
      <c r="E1042" s="211" t="n">
        <v>0.4</v>
      </c>
      <c r="F1042" s="212">
        <f>D1042*E1042</f>
        <v/>
      </c>
      <c r="G1042" s="213">
        <f>if(or(eq(#REF!,"No Valet"),eq(#REF!,"Has Valet")), F1042 * AVERAGE(Accounts!I$2:I$34),F1042*#REF!)</f>
        <v/>
      </c>
      <c r="H1042" s="213">
        <f>iferror(G1042*360,"")</f>
        <v/>
      </c>
      <c r="I1042" s="213">
        <f>H1042*0.1</f>
        <v/>
      </c>
    </row>
    <row r="1043" ht="54.75" customHeight="1" s="222">
      <c r="A1043" s="210">
        <f>#REF!</f>
        <v/>
      </c>
      <c r="B1043" s="141">
        <f>#REF!</f>
        <v/>
      </c>
      <c r="C1043" s="211" t="n">
        <v>0.6</v>
      </c>
      <c r="D1043" s="212">
        <f>#REF!*C1043</f>
        <v/>
      </c>
      <c r="E1043" s="211" t="n">
        <v>0.4</v>
      </c>
      <c r="F1043" s="212">
        <f>D1043*E1043</f>
        <v/>
      </c>
      <c r="G1043" s="213">
        <f>if(or(eq(#REF!,"No Valet"),eq(#REF!,"Has Valet")), F1043 * AVERAGE(Accounts!I$2:I$34),F1043*#REF!)</f>
        <v/>
      </c>
      <c r="H1043" s="213">
        <f>iferror(G1043*360,"")</f>
        <v/>
      </c>
      <c r="I1043" s="213">
        <f>H1043*0.1</f>
        <v/>
      </c>
    </row>
    <row r="1044" ht="54.75" customHeight="1" s="222">
      <c r="A1044" s="210">
        <f>#REF!</f>
        <v/>
      </c>
      <c r="B1044" s="141">
        <f>#REF!</f>
        <v/>
      </c>
      <c r="C1044" s="211" t="n">
        <v>0.6</v>
      </c>
      <c r="D1044" s="212">
        <f>#REF!*C1044</f>
        <v/>
      </c>
      <c r="E1044" s="211" t="n">
        <v>0.4</v>
      </c>
      <c r="F1044" s="212">
        <f>D1044*E1044</f>
        <v/>
      </c>
      <c r="G1044" s="213">
        <f>if(or(eq(#REF!,"No Valet"),eq(#REF!,"Has Valet")), F1044 * AVERAGE(Accounts!I$2:I$34),F1044*#REF!)</f>
        <v/>
      </c>
      <c r="H1044" s="213">
        <f>iferror(G1044*360,"")</f>
        <v/>
      </c>
      <c r="I1044" s="213">
        <f>H1044*0.1</f>
        <v/>
      </c>
    </row>
    <row r="1045" ht="54.75" customHeight="1" s="222">
      <c r="A1045" s="210">
        <f>#REF!</f>
        <v/>
      </c>
      <c r="B1045" s="141">
        <f>#REF!</f>
        <v/>
      </c>
      <c r="C1045" s="211" t="n">
        <v>0.6</v>
      </c>
      <c r="D1045" s="212">
        <f>#REF!*C1045</f>
        <v/>
      </c>
      <c r="E1045" s="211" t="n">
        <v>0.4</v>
      </c>
      <c r="F1045" s="212">
        <f>D1045*E1045</f>
        <v/>
      </c>
      <c r="G1045" s="213">
        <f>if(or(eq(#REF!,"No Valet"),eq(#REF!,"Has Valet")), F1045 * AVERAGE(Accounts!I$2:I$34),F1045*#REF!)</f>
        <v/>
      </c>
      <c r="H1045" s="213">
        <f>iferror(G1045*360,"")</f>
        <v/>
      </c>
      <c r="I1045" s="213">
        <f>H1045*0.1</f>
        <v/>
      </c>
    </row>
    <row r="1046" ht="54.75" customHeight="1" s="222">
      <c r="A1046" s="210">
        <f>#REF!</f>
        <v/>
      </c>
      <c r="B1046" s="141">
        <f>#REF!</f>
        <v/>
      </c>
      <c r="C1046" s="211" t="n">
        <v>0.6</v>
      </c>
      <c r="D1046" s="212">
        <f>#REF!*C1046</f>
        <v/>
      </c>
      <c r="E1046" s="211" t="n">
        <v>0.4</v>
      </c>
      <c r="F1046" s="212">
        <f>D1046*E1046</f>
        <v/>
      </c>
      <c r="G1046" s="213">
        <f>if(or(eq(#REF!,"No Valet"),eq(#REF!,"Has Valet")), F1046 * AVERAGE(Accounts!I$2:I$34),F1046*#REF!)</f>
        <v/>
      </c>
      <c r="H1046" s="213">
        <f>iferror(G1046*360,"")</f>
        <v/>
      </c>
      <c r="I1046" s="213">
        <f>H1046*0.1</f>
        <v/>
      </c>
    </row>
    <row r="1047" ht="54.75" customHeight="1" s="222">
      <c r="A1047" s="210">
        <f>#REF!</f>
        <v/>
      </c>
      <c r="B1047" s="141">
        <f>#REF!</f>
        <v/>
      </c>
      <c r="C1047" s="211" t="n">
        <v>0.6</v>
      </c>
      <c r="D1047" s="212">
        <f>#REF!*C1047</f>
        <v/>
      </c>
      <c r="E1047" s="211" t="n">
        <v>0.4</v>
      </c>
      <c r="F1047" s="212">
        <f>D1047*E1047</f>
        <v/>
      </c>
      <c r="G1047" s="213">
        <f>if(or(eq(#REF!,"No Valet"),eq(#REF!,"Has Valet")), F1047 * AVERAGE(Accounts!I$2:I$34),F1047*#REF!)</f>
        <v/>
      </c>
      <c r="H1047" s="213">
        <f>iferror(G1047*360,"")</f>
        <v/>
      </c>
      <c r="I1047" s="213">
        <f>H1047*0.1</f>
        <v/>
      </c>
    </row>
    <row r="1048" ht="54.75" customHeight="1" s="222">
      <c r="A1048" s="210">
        <f>#REF!</f>
        <v/>
      </c>
      <c r="B1048" s="141">
        <f>#REF!</f>
        <v/>
      </c>
      <c r="C1048" s="211" t="n">
        <v>0.6</v>
      </c>
      <c r="D1048" s="212">
        <f>#REF!*C1048</f>
        <v/>
      </c>
      <c r="E1048" s="211" t="n">
        <v>0.4</v>
      </c>
      <c r="F1048" s="212">
        <f>D1048*E1048</f>
        <v/>
      </c>
      <c r="G1048" s="213">
        <f>if(or(eq(#REF!,"No Valet"),eq(#REF!,"Has Valet")), F1048 * AVERAGE(Accounts!I$2:I$34),F1048*#REF!)</f>
        <v/>
      </c>
      <c r="H1048" s="213">
        <f>iferror(G1048*360,"")</f>
        <v/>
      </c>
      <c r="I1048" s="213">
        <f>H1048*0.1</f>
        <v/>
      </c>
    </row>
    <row r="1049" ht="54.75" customHeight="1" s="222">
      <c r="A1049" s="210">
        <f>#REF!</f>
        <v/>
      </c>
      <c r="B1049" s="141">
        <f>#REF!</f>
        <v/>
      </c>
      <c r="C1049" s="211" t="n">
        <v>0.6</v>
      </c>
      <c r="D1049" s="212">
        <f>#REF!*C1049</f>
        <v/>
      </c>
      <c r="E1049" s="211" t="n">
        <v>0.4</v>
      </c>
      <c r="F1049" s="212">
        <f>D1049*E1049</f>
        <v/>
      </c>
      <c r="G1049" s="213">
        <f>if(or(eq(#REF!,"No Valet"),eq(#REF!,"Has Valet")), F1049 * AVERAGE(Accounts!I$2:I$34),F1049*#REF!)</f>
        <v/>
      </c>
      <c r="H1049" s="213">
        <f>iferror(G1049*360,"")</f>
        <v/>
      </c>
      <c r="I1049" s="213">
        <f>H1049*0.1</f>
        <v/>
      </c>
    </row>
    <row r="1050" ht="54.75" customHeight="1" s="222">
      <c r="A1050" s="210">
        <f>#REF!</f>
        <v/>
      </c>
      <c r="B1050" s="141">
        <f>#REF!</f>
        <v/>
      </c>
      <c r="C1050" s="211" t="n">
        <v>0.6</v>
      </c>
      <c r="D1050" s="212">
        <f>#REF!*C1050</f>
        <v/>
      </c>
      <c r="E1050" s="211" t="n">
        <v>0.4</v>
      </c>
      <c r="F1050" s="212">
        <f>D1050*E1050</f>
        <v/>
      </c>
      <c r="G1050" s="213">
        <f>if(or(eq(#REF!,"No Valet"),eq(#REF!,"Has Valet")), F1050 * AVERAGE(Accounts!I$2:I$34),F1050*#REF!)</f>
        <v/>
      </c>
      <c r="H1050" s="213">
        <f>iferror(G1050*360,"")</f>
        <v/>
      </c>
      <c r="I1050" s="213">
        <f>H1050*0.1</f>
        <v/>
      </c>
    </row>
    <row r="1051" ht="54.75" customHeight="1" s="222">
      <c r="A1051" s="210">
        <f>#REF!</f>
        <v/>
      </c>
      <c r="B1051" s="141">
        <f>#REF!</f>
        <v/>
      </c>
      <c r="C1051" s="211" t="n">
        <v>0.6</v>
      </c>
      <c r="D1051" s="212">
        <f>#REF!*C1051</f>
        <v/>
      </c>
      <c r="E1051" s="211" t="n">
        <v>0.4</v>
      </c>
      <c r="F1051" s="212">
        <f>D1051*E1051</f>
        <v/>
      </c>
      <c r="G1051" s="213">
        <f>if(or(eq(#REF!,"No Valet"),eq(#REF!,"Has Valet")), F1051 * AVERAGE(Accounts!I$2:I$34),F1051*#REF!)</f>
        <v/>
      </c>
      <c r="H1051" s="213">
        <f>iferror(G1051*360,"")</f>
        <v/>
      </c>
      <c r="I1051" s="213">
        <f>H1051*0.1</f>
        <v/>
      </c>
    </row>
    <row r="1052" ht="54.75" customHeight="1" s="222">
      <c r="A1052" s="210">
        <f>#REF!</f>
        <v/>
      </c>
      <c r="B1052" s="141">
        <f>#REF!</f>
        <v/>
      </c>
      <c r="C1052" s="211" t="n">
        <v>0.6</v>
      </c>
      <c r="D1052" s="212">
        <f>#REF!*C1052</f>
        <v/>
      </c>
      <c r="E1052" s="211" t="n">
        <v>0.4</v>
      </c>
      <c r="F1052" s="212">
        <f>D1052*E1052</f>
        <v/>
      </c>
      <c r="G1052" s="213">
        <f>if(or(eq(#REF!,"No Valet"),eq(#REF!,"Has Valet")), F1052 * AVERAGE(Accounts!I$2:I$34),F1052*#REF!)</f>
        <v/>
      </c>
      <c r="H1052" s="213">
        <f>iferror(G1052*360,"")</f>
        <v/>
      </c>
      <c r="I1052" s="213">
        <f>H1052*0.1</f>
        <v/>
      </c>
    </row>
    <row r="1053" ht="54.75" customHeight="1" s="222">
      <c r="A1053" s="210">
        <f>#REF!</f>
        <v/>
      </c>
      <c r="B1053" s="141">
        <f>#REF!</f>
        <v/>
      </c>
      <c r="C1053" s="211" t="n">
        <v>0.6</v>
      </c>
      <c r="D1053" s="212">
        <f>#REF!*C1053</f>
        <v/>
      </c>
      <c r="E1053" s="211" t="n">
        <v>0.4</v>
      </c>
      <c r="F1053" s="212">
        <f>D1053*E1053</f>
        <v/>
      </c>
      <c r="G1053" s="213">
        <f>if(or(eq(#REF!,"No Valet"),eq(#REF!,"Has Valet")), F1053 * AVERAGE(Accounts!I$2:I$34),F1053*#REF!)</f>
        <v/>
      </c>
      <c r="H1053" s="213">
        <f>iferror(G1053*360,"")</f>
        <v/>
      </c>
      <c r="I1053" s="213">
        <f>H1053*0.1</f>
        <v/>
      </c>
    </row>
    <row r="1054" ht="54.75" customHeight="1" s="222">
      <c r="A1054" s="210">
        <f>#REF!</f>
        <v/>
      </c>
      <c r="B1054" s="141">
        <f>#REF!</f>
        <v/>
      </c>
      <c r="C1054" s="211" t="n">
        <v>0.6</v>
      </c>
      <c r="D1054" s="212">
        <f>#REF!*C1054</f>
        <v/>
      </c>
      <c r="E1054" s="211" t="n">
        <v>0.4</v>
      </c>
      <c r="F1054" s="212">
        <f>D1054*E1054</f>
        <v/>
      </c>
      <c r="G1054" s="213">
        <f>if(or(eq(#REF!,"No Valet"),eq(#REF!,"Has Valet")), F1054 * AVERAGE(Accounts!I$2:I$34),F1054*#REF!)</f>
        <v/>
      </c>
      <c r="H1054" s="213">
        <f>iferror(G1054*360,"")</f>
        <v/>
      </c>
      <c r="I1054" s="213">
        <f>H1054*0.1</f>
        <v/>
      </c>
    </row>
    <row r="1055" ht="54.75" customHeight="1" s="222">
      <c r="A1055" s="210">
        <f>#REF!</f>
        <v/>
      </c>
      <c r="B1055" s="141">
        <f>#REF!</f>
        <v/>
      </c>
      <c r="C1055" s="211" t="n">
        <v>0.6</v>
      </c>
      <c r="D1055" s="212">
        <f>#REF!*C1055</f>
        <v/>
      </c>
      <c r="E1055" s="211" t="n">
        <v>0.4</v>
      </c>
      <c r="F1055" s="212">
        <f>D1055*E1055</f>
        <v/>
      </c>
      <c r="G1055" s="213">
        <f>if(or(eq(#REF!,"No Valet"),eq(#REF!,"Has Valet")), F1055 * AVERAGE(Accounts!I$2:I$34),F1055*#REF!)</f>
        <v/>
      </c>
      <c r="H1055" s="213">
        <f>iferror(G1055*360,"")</f>
        <v/>
      </c>
      <c r="I1055" s="213">
        <f>H1055*0.1</f>
        <v/>
      </c>
    </row>
    <row r="1056" ht="54.75" customHeight="1" s="222">
      <c r="A1056" s="210">
        <f>#REF!</f>
        <v/>
      </c>
      <c r="B1056" s="141">
        <f>#REF!</f>
        <v/>
      </c>
      <c r="C1056" s="211" t="n">
        <v>0.6</v>
      </c>
      <c r="D1056" s="212">
        <f>#REF!*C1056</f>
        <v/>
      </c>
      <c r="E1056" s="211" t="n">
        <v>0.4</v>
      </c>
      <c r="F1056" s="212">
        <f>D1056*E1056</f>
        <v/>
      </c>
      <c r="G1056" s="213">
        <f>if(or(eq(#REF!,"No Valet"),eq(#REF!,"Has Valet")), F1056 * AVERAGE(Accounts!I$2:I$34),F1056*#REF!)</f>
        <v/>
      </c>
      <c r="H1056" s="213">
        <f>iferror(G1056*360,"")</f>
        <v/>
      </c>
      <c r="I1056" s="213">
        <f>H1056*0.1</f>
        <v/>
      </c>
    </row>
    <row r="1057" ht="54.75" customHeight="1" s="222">
      <c r="A1057" s="210">
        <f>#REF!</f>
        <v/>
      </c>
      <c r="B1057" s="141">
        <f>#REF!</f>
        <v/>
      </c>
      <c r="C1057" s="211" t="n">
        <v>0.6</v>
      </c>
      <c r="D1057" s="212">
        <f>#REF!*C1057</f>
        <v/>
      </c>
      <c r="E1057" s="211" t="n">
        <v>0.4</v>
      </c>
      <c r="F1057" s="212">
        <f>D1057*E1057</f>
        <v/>
      </c>
      <c r="G1057" s="213">
        <f>if(or(eq(#REF!,"No Valet"),eq(#REF!,"Has Valet")), F1057 * AVERAGE(Accounts!I$2:I$34),F1057*#REF!)</f>
        <v/>
      </c>
      <c r="H1057" s="213">
        <f>iferror(G1057*360,"")</f>
        <v/>
      </c>
      <c r="I1057" s="213">
        <f>H1057*0.1</f>
        <v/>
      </c>
    </row>
    <row r="1058" ht="54.75" customHeight="1" s="222">
      <c r="A1058" s="210">
        <f>#REF!</f>
        <v/>
      </c>
      <c r="B1058" s="141">
        <f>#REF!</f>
        <v/>
      </c>
      <c r="C1058" s="211" t="n">
        <v>0.6</v>
      </c>
      <c r="D1058" s="212">
        <f>#REF!*C1058</f>
        <v/>
      </c>
      <c r="E1058" s="211" t="n">
        <v>0.4</v>
      </c>
      <c r="F1058" s="212">
        <f>D1058*E1058</f>
        <v/>
      </c>
      <c r="G1058" s="213">
        <f>if(or(eq(#REF!,"No Valet"),eq(#REF!,"Has Valet")), F1058 * AVERAGE(Accounts!I$2:I$34),F1058*#REF!)</f>
        <v/>
      </c>
      <c r="H1058" s="213">
        <f>iferror(G1058*360,"")</f>
        <v/>
      </c>
      <c r="I1058" s="213">
        <f>H1058*0.1</f>
        <v/>
      </c>
    </row>
    <row r="1059" ht="54.75" customHeight="1" s="222">
      <c r="A1059" s="210">
        <f>#REF!</f>
        <v/>
      </c>
      <c r="B1059" s="141">
        <f>#REF!</f>
        <v/>
      </c>
      <c r="C1059" s="211" t="n">
        <v>0.6</v>
      </c>
      <c r="D1059" s="212">
        <f>#REF!*C1059</f>
        <v/>
      </c>
      <c r="E1059" s="211" t="n">
        <v>0.4</v>
      </c>
      <c r="F1059" s="212">
        <f>D1059*E1059</f>
        <v/>
      </c>
      <c r="G1059" s="213">
        <f>if(or(eq(#REF!,"No Valet"),eq(#REF!,"Has Valet")), F1059 * AVERAGE(Accounts!I$2:I$34),F1059*#REF!)</f>
        <v/>
      </c>
      <c r="H1059" s="213">
        <f>iferror(G1059*360,"")</f>
        <v/>
      </c>
      <c r="I1059" s="213">
        <f>H1059*0.1</f>
        <v/>
      </c>
    </row>
    <row r="1060" ht="54.75" customHeight="1" s="222">
      <c r="A1060" s="210">
        <f>Accounts!A446</f>
        <v/>
      </c>
      <c r="B1060" s="141">
        <f>Accounts!J446</f>
        <v/>
      </c>
      <c r="C1060" s="211" t="n">
        <v>0.6</v>
      </c>
      <c r="D1060" s="212">
        <f>Accounts!J446*C1060</f>
        <v/>
      </c>
      <c r="E1060" s="211" t="n">
        <v>0.4</v>
      </c>
      <c r="F1060" s="212">
        <f>D1060*E1060</f>
        <v/>
      </c>
      <c r="G1060" s="213">
        <f>if(or(eq(Accounts!I446,"No Valet"),eq(Accounts!I446,"Has Valet")), F1060 * AVERAGE(Accounts!I$2:I$34),F1060*Accounts!I446)</f>
        <v/>
      </c>
      <c r="H1060" s="213">
        <f>iferror(G1060*360,"")</f>
        <v/>
      </c>
      <c r="I1060" s="213">
        <f>H1060*0.1</f>
        <v/>
      </c>
    </row>
  </sheetData>
  <conditionalFormatting sqref="G2:I1060">
    <cfRule type="expression" priority="1" dxfId="4">
      <formula>eq(#REF!,  "No Valet")</formula>
    </cfRule>
    <cfRule type="expression" priority="2" dxfId="5">
      <formula>eq(#REF!,  "Has Valet")</formula>
    </cfRule>
  </conditionalFormatting>
  <pageMargins left="0.75" right="0.75" top="1" bottom="1" header="0.5" footer="0.5"/>
</worksheet>
</file>

<file path=xl/worksheets/sheet6.xml><?xml version="1.0" encoding="utf-8"?>
<worksheet xmlns="http://schemas.openxmlformats.org/spreadsheetml/2006/main">
  <sheetPr>
    <outlinePr summaryBelow="0" summaryRight="0"/>
    <pageSetUpPr/>
  </sheetPr>
  <dimension ref="A1:M17"/>
  <sheetViews>
    <sheetView workbookViewId="0">
      <selection activeCell="A1" sqref="A1"/>
    </sheetView>
  </sheetViews>
  <sheetFormatPr baseColWidth="8" defaultColWidth="12.63" defaultRowHeight="15" customHeight="1"/>
  <cols>
    <col width="17.88" customWidth="1" style="222" min="1" max="1"/>
    <col width="30.75" customWidth="1" style="222" min="2" max="2"/>
    <col width="19.25" customWidth="1" style="222" min="6" max="6"/>
    <col width="29.88" customWidth="1" style="222" min="7" max="7"/>
    <col width="17" customWidth="1" style="222" min="10" max="13"/>
  </cols>
  <sheetData>
    <row r="1">
      <c r="A1" s="201" t="inlineStr">
        <is>
          <t>Company</t>
        </is>
      </c>
      <c r="B1" s="201" t="inlineStr">
        <is>
          <t>Role</t>
        </is>
      </c>
      <c r="C1" s="201" t="inlineStr">
        <is>
          <t>Low Pay</t>
        </is>
      </c>
      <c r="D1" s="201" t="inlineStr">
        <is>
          <t>High Play</t>
        </is>
      </c>
      <c r="E1" s="201" t="inlineStr">
        <is>
          <t>Type</t>
        </is>
      </c>
      <c r="F1" s="201" t="inlineStr">
        <is>
          <t>SOPHI  role Equivalance</t>
        </is>
      </c>
      <c r="G1" s="201" t="inlineStr">
        <is>
          <t>Benefits</t>
        </is>
      </c>
      <c r="H1" s="201" t="inlineStr">
        <is>
          <t>Bonus?</t>
        </is>
      </c>
    </row>
    <row r="2">
      <c r="A2" s="201" t="inlineStr">
        <is>
          <t>Crescent</t>
        </is>
      </c>
      <c r="B2" s="201" t="inlineStr">
        <is>
          <t>PT Overnight Valet Attendant</t>
        </is>
      </c>
      <c r="C2" s="215" t="n">
        <v>13.5</v>
      </c>
      <c r="D2" s="215" t="n">
        <v>17.5</v>
      </c>
      <c r="E2" s="201" t="inlineStr">
        <is>
          <t>PT</t>
        </is>
      </c>
      <c r="F2" s="201" t="inlineStr">
        <is>
          <t xml:space="preserve">Overnight </t>
        </is>
      </c>
      <c r="G2" s="201" t="inlineStr">
        <is>
          <t>Retirement, PTO</t>
        </is>
      </c>
      <c r="J2" s="216" t="inlineStr">
        <is>
          <t>OVERNIGHT SUPER</t>
        </is>
      </c>
      <c r="K2" s="216" t="inlineStr">
        <is>
          <t>OVERNIGHT ASSOC</t>
        </is>
      </c>
      <c r="L2" s="216" t="inlineStr">
        <is>
          <t>ASSOCIATE</t>
        </is>
      </c>
      <c r="M2" s="216" t="inlineStr">
        <is>
          <t>SUPERVISOR</t>
        </is>
      </c>
    </row>
    <row r="3">
      <c r="A3" s="201" t="inlineStr">
        <is>
          <t>PMC</t>
        </is>
      </c>
      <c r="B3" s="201" t="inlineStr">
        <is>
          <t>Overnight Valet Attendant</t>
        </is>
      </c>
      <c r="C3" s="215" t="n">
        <v>14.69</v>
      </c>
      <c r="D3" s="215" t="n">
        <v>14.69</v>
      </c>
      <c r="E3" s="201" t="inlineStr">
        <is>
          <t>PT</t>
        </is>
      </c>
      <c r="F3" s="201" t="inlineStr">
        <is>
          <t xml:space="preserve">Overnight </t>
        </is>
      </c>
      <c r="J3" s="217">
        <f>AVERAGE(D2:D7)</f>
        <v/>
      </c>
      <c r="K3" s="217">
        <f>AVERAGE(C2:C7)</f>
        <v/>
      </c>
      <c r="L3" s="217">
        <f>AVERAGE(C8:C17)</f>
        <v/>
      </c>
      <c r="M3" s="217">
        <f>AVERAGE(D8:D17)</f>
        <v/>
      </c>
    </row>
    <row r="4">
      <c r="A4" s="201" t="inlineStr">
        <is>
          <t>Crescent</t>
        </is>
      </c>
      <c r="B4" s="201" t="inlineStr">
        <is>
          <t>FT Overnight Valet Attendant</t>
        </is>
      </c>
      <c r="C4" s="215" t="n">
        <v>13.5</v>
      </c>
      <c r="D4" s="215" t="n">
        <v>18</v>
      </c>
      <c r="E4" s="201" t="inlineStr">
        <is>
          <t>FT</t>
        </is>
      </c>
      <c r="F4" s="201" t="inlineStr">
        <is>
          <t xml:space="preserve">Overnight </t>
        </is>
      </c>
    </row>
    <row r="5">
      <c r="A5" s="201" t="inlineStr">
        <is>
          <t xml:space="preserve">SP+ </t>
        </is>
      </c>
      <c r="B5" s="201" t="inlineStr">
        <is>
          <t>Overnight Valet Driver</t>
        </is>
      </c>
      <c r="C5" s="215" t="n">
        <v>16.5</v>
      </c>
      <c r="D5" s="215" t="n">
        <v>16.5</v>
      </c>
      <c r="E5" s="201" t="inlineStr">
        <is>
          <t>FT</t>
        </is>
      </c>
      <c r="F5" s="201" t="inlineStr">
        <is>
          <t xml:space="preserve">Overnight </t>
        </is>
      </c>
    </row>
    <row r="6">
      <c r="A6" s="201" t="inlineStr">
        <is>
          <t>PMC</t>
        </is>
      </c>
      <c r="B6" s="201" t="inlineStr">
        <is>
          <t>Overnight Valet Attendant</t>
        </is>
      </c>
      <c r="C6" s="215" t="n">
        <v>14.69</v>
      </c>
      <c r="D6" s="215" t="n">
        <v>14.69</v>
      </c>
      <c r="E6" s="201" t="inlineStr">
        <is>
          <t>FT</t>
        </is>
      </c>
      <c r="F6" s="201" t="inlineStr">
        <is>
          <t xml:space="preserve">Overnight </t>
        </is>
      </c>
    </row>
    <row r="7">
      <c r="A7" s="201" t="inlineStr">
        <is>
          <t xml:space="preserve">SP+ </t>
        </is>
      </c>
      <c r="B7" s="201" t="inlineStr">
        <is>
          <t>Valet Driver Overnight</t>
        </is>
      </c>
      <c r="C7" s="215" t="n">
        <v>15</v>
      </c>
      <c r="D7" s="215" t="n">
        <v>20</v>
      </c>
      <c r="E7" s="201" t="inlineStr">
        <is>
          <t>FT</t>
        </is>
      </c>
      <c r="F7" s="201" t="inlineStr">
        <is>
          <t>Overnight</t>
        </is>
      </c>
    </row>
    <row r="8">
      <c r="A8" s="201" t="inlineStr">
        <is>
          <t>FreedomPark</t>
        </is>
      </c>
      <c r="B8" s="201" t="inlineStr">
        <is>
          <t>Valet - Sky Harbor Airport</t>
        </is>
      </c>
      <c r="C8" s="215" t="n">
        <v>16.5</v>
      </c>
      <c r="D8" s="215" t="n">
        <v>18.5</v>
      </c>
      <c r="E8" s="201" t="inlineStr">
        <is>
          <t>FT</t>
        </is>
      </c>
    </row>
    <row r="9">
      <c r="A9" s="201" t="inlineStr">
        <is>
          <t>EPIC</t>
        </is>
      </c>
      <c r="B9" s="201" t="inlineStr">
        <is>
          <t>Valet Parking Attendant</t>
        </is>
      </c>
      <c r="C9" s="215" t="n">
        <v>13.5</v>
      </c>
      <c r="D9" s="215" t="n">
        <v>17.75</v>
      </c>
      <c r="E9" s="201" t="inlineStr">
        <is>
          <t>PT</t>
        </is>
      </c>
    </row>
    <row r="10">
      <c r="A10" s="201" t="inlineStr">
        <is>
          <t>Elevate Parking</t>
        </is>
      </c>
      <c r="B10" s="201" t="inlineStr">
        <is>
          <t>Valet</t>
        </is>
      </c>
      <c r="C10" s="215" t="n">
        <v>20</v>
      </c>
      <c r="D10" s="215" t="n">
        <v>35</v>
      </c>
      <c r="E10" s="201" t="inlineStr">
        <is>
          <t>FT</t>
        </is>
      </c>
    </row>
    <row r="11">
      <c r="A11" s="201" t="inlineStr">
        <is>
          <t>Hyatt Andaz</t>
        </is>
      </c>
      <c r="B11" s="201" t="inlineStr">
        <is>
          <t>Bellman/Valet</t>
        </is>
      </c>
      <c r="C11" s="215" t="n">
        <v>14</v>
      </c>
      <c r="D11" s="215" t="n">
        <v>18.75</v>
      </c>
      <c r="E11" s="201" t="inlineStr">
        <is>
          <t>FT</t>
        </is>
      </c>
      <c r="G11" s="201" t="inlineStr">
        <is>
          <t>Medical Dental Vision Retirement</t>
        </is>
      </c>
    </row>
    <row r="12">
      <c r="A12" s="201" t="inlineStr">
        <is>
          <t>PRS Management</t>
        </is>
      </c>
      <c r="B12" s="201" t="inlineStr">
        <is>
          <t>Driver/Valet</t>
        </is>
      </c>
      <c r="C12" s="215" t="n">
        <v>13.5</v>
      </c>
      <c r="D12" s="215" t="n">
        <v>18</v>
      </c>
      <c r="E12" s="201" t="inlineStr">
        <is>
          <t>FT</t>
        </is>
      </c>
      <c r="G12" s="201" t="inlineStr">
        <is>
          <t>Retirement, PTO</t>
        </is>
      </c>
    </row>
    <row r="13">
      <c r="A13" s="201" t="inlineStr">
        <is>
          <t>Desert Mountain</t>
        </is>
      </c>
      <c r="B13" s="201" t="inlineStr">
        <is>
          <t>Valet Attendant</t>
        </is>
      </c>
      <c r="C13" s="215" t="n">
        <v>14</v>
      </c>
      <c r="D13" s="215" t="n">
        <v>18.25</v>
      </c>
      <c r="E13" s="201" t="inlineStr">
        <is>
          <t>PT</t>
        </is>
      </c>
      <c r="G13" s="201" t="inlineStr">
        <is>
          <t>Medical Dental Vision PTO 401k match</t>
        </is>
      </c>
    </row>
    <row r="14">
      <c r="A14" s="201" t="inlineStr">
        <is>
          <t>ACE Parking</t>
        </is>
      </c>
      <c r="B14" s="201" t="inlineStr">
        <is>
          <t>VALET</t>
        </is>
      </c>
      <c r="C14" s="215" t="n">
        <v>15</v>
      </c>
      <c r="D14" s="215" t="n">
        <v>19.75</v>
      </c>
      <c r="E14" s="201" t="inlineStr">
        <is>
          <t>FT</t>
        </is>
      </c>
      <c r="G14" s="201" t="inlineStr">
        <is>
          <t>Medical Dental Vision PTO 401k match</t>
        </is>
      </c>
    </row>
    <row r="15">
      <c r="A15" s="201" t="inlineStr">
        <is>
          <t>Desert Highlands</t>
        </is>
      </c>
      <c r="B15" s="201" t="inlineStr">
        <is>
          <t>Seasonal Valet</t>
        </is>
      </c>
      <c r="C15" s="215" t="n">
        <v>20</v>
      </c>
      <c r="D15" s="215" t="n">
        <v>23</v>
      </c>
      <c r="E15" s="201" t="inlineStr">
        <is>
          <t>FT</t>
        </is>
      </c>
    </row>
    <row r="16">
      <c r="A16" s="201" t="inlineStr">
        <is>
          <t>PMC</t>
        </is>
      </c>
      <c r="B16" s="201" t="inlineStr">
        <is>
          <t>Valet Attendant</t>
        </is>
      </c>
      <c r="C16" s="215" t="n">
        <v>11.7</v>
      </c>
      <c r="D16" s="215" t="n">
        <v>11.7</v>
      </c>
      <c r="E16" s="201" t="inlineStr">
        <is>
          <t>PT/FT</t>
        </is>
      </c>
      <c r="G16" s="201" t="inlineStr">
        <is>
          <t>Medical Dental Vision PTO 401k match</t>
        </is>
      </c>
    </row>
    <row r="17">
      <c r="A17" s="201" t="inlineStr">
        <is>
          <t>Troon Golf</t>
        </is>
      </c>
      <c r="B17" s="201" t="inlineStr">
        <is>
          <t>Valet Parking Attendant</t>
        </is>
      </c>
      <c r="C17" s="215" t="n">
        <v>17</v>
      </c>
      <c r="D17" s="215" t="n">
        <v>17</v>
      </c>
      <c r="E17" s="201" t="inlineStr">
        <is>
          <t>PT</t>
        </is>
      </c>
      <c r="H17" s="201" t="inlineStr">
        <is>
          <t>NO TIPS</t>
        </is>
      </c>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F36"/>
  <sheetViews>
    <sheetView workbookViewId="0">
      <selection activeCell="A1" sqref="A1"/>
    </sheetView>
  </sheetViews>
  <sheetFormatPr baseColWidth="8" defaultColWidth="12.63" defaultRowHeight="15" customHeight="1"/>
  <cols>
    <col width="14.38" customWidth="1" style="222" min="1" max="1"/>
    <col width="14.13" customWidth="1" style="222" min="2" max="2"/>
    <col width="22.75" customWidth="1" style="222" min="3" max="3"/>
    <col width="25" customWidth="1" style="222" min="4" max="4"/>
    <col width="14.88" customWidth="1" style="222" min="5" max="5"/>
    <col width="37.88" customWidth="1" style="222" min="6" max="6"/>
  </cols>
  <sheetData>
    <row r="1" ht="33" customHeight="1" s="222">
      <c r="A1" s="218" t="inlineStr">
        <is>
          <t>Employees</t>
        </is>
      </c>
      <c r="B1" s="218" t="inlineStr">
        <is>
          <t>Contacted</t>
        </is>
      </c>
      <c r="C1" s="218" t="inlineStr">
        <is>
          <t>Avalibility</t>
        </is>
      </c>
      <c r="D1" s="218" t="inlineStr">
        <is>
          <t>Contact Info</t>
        </is>
      </c>
      <c r="E1" s="218" t="inlineStr">
        <is>
          <t>Interested?</t>
        </is>
      </c>
      <c r="F1" s="218" t="inlineStr">
        <is>
          <t>Notes</t>
        </is>
      </c>
    </row>
    <row r="2">
      <c r="A2" s="220" t="n"/>
      <c r="B2" s="220" t="b">
        <v>0</v>
      </c>
      <c r="C2" s="220" t="n"/>
      <c r="D2" s="220" t="n"/>
      <c r="E2" s="220" t="b">
        <v>0</v>
      </c>
      <c r="F2" s="220" t="n"/>
    </row>
    <row r="3">
      <c r="A3" s="220" t="n"/>
      <c r="B3" s="220" t="b">
        <v>0</v>
      </c>
      <c r="C3" s="220" t="n"/>
      <c r="D3" s="220" t="n"/>
      <c r="E3" s="220" t="b">
        <v>0</v>
      </c>
      <c r="F3" s="220" t="n"/>
    </row>
    <row r="4">
      <c r="A4" s="220" t="n"/>
      <c r="B4" s="220" t="b">
        <v>0</v>
      </c>
      <c r="C4" s="220" t="n"/>
      <c r="D4" s="220" t="n"/>
      <c r="E4" s="220" t="b">
        <v>0</v>
      </c>
      <c r="F4" s="220" t="n"/>
    </row>
    <row r="5">
      <c r="A5" s="220" t="n"/>
      <c r="B5" s="220" t="b">
        <v>0</v>
      </c>
      <c r="C5" s="220" t="n"/>
      <c r="D5" s="220" t="n"/>
      <c r="E5" s="220" t="b">
        <v>0</v>
      </c>
      <c r="F5" s="220" t="n"/>
    </row>
    <row r="6">
      <c r="A6" s="220" t="n"/>
      <c r="B6" s="220" t="b">
        <v>0</v>
      </c>
      <c r="C6" s="220" t="n"/>
      <c r="D6" s="220" t="n"/>
      <c r="E6" s="220" t="b">
        <v>0</v>
      </c>
      <c r="F6" s="220" t="n"/>
    </row>
    <row r="7">
      <c r="A7" s="220" t="n"/>
      <c r="B7" s="220" t="b">
        <v>0</v>
      </c>
      <c r="C7" s="220" t="n"/>
      <c r="D7" s="220" t="n"/>
      <c r="E7" s="220" t="b">
        <v>0</v>
      </c>
      <c r="F7" s="220" t="n"/>
    </row>
    <row r="8">
      <c r="A8" s="220" t="n"/>
      <c r="B8" s="220" t="b">
        <v>0</v>
      </c>
      <c r="C8" s="220" t="n"/>
      <c r="D8" s="220" t="n"/>
      <c r="E8" s="220" t="b">
        <v>0</v>
      </c>
      <c r="F8" s="220" t="n"/>
    </row>
    <row r="9">
      <c r="A9" s="220" t="n"/>
      <c r="B9" s="220" t="b">
        <v>0</v>
      </c>
      <c r="C9" s="220" t="n"/>
      <c r="D9" s="220" t="n"/>
      <c r="E9" s="220" t="b">
        <v>0</v>
      </c>
      <c r="F9" s="220" t="n"/>
    </row>
    <row r="10">
      <c r="A10" s="220" t="n"/>
      <c r="B10" s="220" t="b">
        <v>0</v>
      </c>
      <c r="C10" s="220" t="n"/>
      <c r="D10" s="220" t="n"/>
      <c r="E10" s="220" t="b">
        <v>0</v>
      </c>
      <c r="F10" s="220" t="n"/>
    </row>
    <row r="11">
      <c r="A11" s="220" t="n"/>
      <c r="B11" s="220" t="b">
        <v>0</v>
      </c>
      <c r="C11" s="220" t="n"/>
      <c r="D11" s="220" t="n"/>
      <c r="E11" s="220" t="b">
        <v>0</v>
      </c>
      <c r="F11" s="220" t="n"/>
    </row>
    <row r="12">
      <c r="A12" s="220" t="n"/>
      <c r="B12" s="220" t="b">
        <v>0</v>
      </c>
      <c r="C12" s="220" t="n"/>
      <c r="D12" s="220" t="n"/>
      <c r="E12" s="220" t="b">
        <v>0</v>
      </c>
      <c r="F12" s="220" t="n"/>
    </row>
    <row r="13">
      <c r="A13" s="220" t="n"/>
      <c r="B13" s="220" t="b">
        <v>0</v>
      </c>
      <c r="C13" s="220" t="n"/>
      <c r="D13" s="220" t="n"/>
      <c r="E13" s="220" t="b">
        <v>0</v>
      </c>
      <c r="F13" s="220" t="n"/>
    </row>
    <row r="14">
      <c r="A14" s="220" t="n"/>
      <c r="B14" s="220" t="b">
        <v>0</v>
      </c>
      <c r="C14" s="220" t="n"/>
      <c r="D14" s="220" t="n"/>
      <c r="E14" s="220" t="b">
        <v>0</v>
      </c>
      <c r="F14" s="220" t="n"/>
    </row>
    <row r="15">
      <c r="A15" s="220" t="n"/>
      <c r="B15" s="220" t="b">
        <v>0</v>
      </c>
      <c r="C15" s="220" t="n"/>
      <c r="D15" s="220" t="n"/>
      <c r="E15" s="220" t="b">
        <v>0</v>
      </c>
      <c r="F15" s="220" t="n"/>
    </row>
    <row r="16">
      <c r="A16" s="220" t="n"/>
      <c r="B16" s="220" t="b">
        <v>0</v>
      </c>
      <c r="C16" s="220" t="n"/>
      <c r="D16" s="220" t="n"/>
      <c r="E16" s="220" t="b">
        <v>0</v>
      </c>
      <c r="F16" s="220" t="n"/>
    </row>
    <row r="17">
      <c r="A17" s="220" t="n"/>
      <c r="B17" s="220" t="b">
        <v>0</v>
      </c>
      <c r="C17" s="220" t="n"/>
      <c r="D17" s="220" t="n"/>
      <c r="E17" s="220" t="b">
        <v>0</v>
      </c>
      <c r="F17" s="220" t="n"/>
    </row>
    <row r="18">
      <c r="A18" s="220" t="n"/>
      <c r="B18" s="220" t="b">
        <v>0</v>
      </c>
      <c r="C18" s="220" t="n"/>
      <c r="D18" s="220" t="n"/>
      <c r="E18" s="220" t="b">
        <v>0</v>
      </c>
      <c r="F18" s="220" t="n"/>
    </row>
    <row r="19">
      <c r="A19" s="220" t="n"/>
      <c r="B19" s="220" t="b">
        <v>0</v>
      </c>
      <c r="C19" s="220" t="n"/>
      <c r="D19" s="220" t="n"/>
      <c r="E19" s="220" t="b">
        <v>0</v>
      </c>
      <c r="F19" s="220" t="n"/>
    </row>
    <row r="20">
      <c r="A20" s="220" t="n"/>
      <c r="B20" s="220" t="b">
        <v>0</v>
      </c>
      <c r="C20" s="220" t="n"/>
      <c r="D20" s="220" t="n"/>
      <c r="E20" s="220" t="b">
        <v>0</v>
      </c>
      <c r="F20" s="220" t="n"/>
    </row>
    <row r="21">
      <c r="A21" s="220" t="n"/>
      <c r="B21" s="220" t="b">
        <v>0</v>
      </c>
      <c r="C21" s="220" t="n"/>
      <c r="D21" s="220" t="n"/>
      <c r="E21" s="220" t="b">
        <v>0</v>
      </c>
      <c r="F21" s="220" t="n"/>
    </row>
    <row r="22">
      <c r="A22" s="220" t="n"/>
      <c r="B22" s="220" t="b">
        <v>0</v>
      </c>
      <c r="C22" s="220" t="n"/>
      <c r="D22" s="220" t="n"/>
      <c r="E22" s="220" t="b">
        <v>0</v>
      </c>
      <c r="F22" s="220" t="n"/>
    </row>
    <row r="23">
      <c r="A23" s="220" t="n"/>
      <c r="B23" s="220" t="b">
        <v>0</v>
      </c>
      <c r="C23" s="220" t="n"/>
      <c r="D23" s="220" t="n"/>
      <c r="E23" s="220" t="b">
        <v>0</v>
      </c>
      <c r="F23" s="220" t="n"/>
    </row>
    <row r="24">
      <c r="A24" s="220" t="n"/>
      <c r="B24" s="220" t="b">
        <v>0</v>
      </c>
      <c r="C24" s="220" t="n"/>
      <c r="D24" s="220" t="n"/>
      <c r="E24" s="220" t="b">
        <v>0</v>
      </c>
      <c r="F24" s="220" t="n"/>
    </row>
    <row r="25">
      <c r="A25" s="220" t="n"/>
      <c r="B25" s="220" t="b">
        <v>0</v>
      </c>
      <c r="C25" s="220" t="n"/>
      <c r="D25" s="220" t="n"/>
      <c r="E25" s="220" t="b">
        <v>0</v>
      </c>
      <c r="F25" s="220" t="n"/>
    </row>
    <row r="26">
      <c r="A26" s="220" t="n"/>
      <c r="B26" s="220" t="b">
        <v>0</v>
      </c>
      <c r="C26" s="220" t="n"/>
      <c r="D26" s="220" t="n"/>
      <c r="E26" s="220" t="b">
        <v>0</v>
      </c>
      <c r="F26" s="220" t="n"/>
    </row>
    <row r="27">
      <c r="A27" s="220" t="n"/>
      <c r="B27" s="220" t="b">
        <v>0</v>
      </c>
      <c r="C27" s="220" t="n"/>
      <c r="D27" s="220" t="n"/>
      <c r="E27" s="220" t="b">
        <v>0</v>
      </c>
      <c r="F27" s="220" t="n"/>
    </row>
    <row r="28">
      <c r="A28" s="220" t="n"/>
      <c r="B28" s="220" t="b">
        <v>0</v>
      </c>
      <c r="C28" s="220" t="n"/>
      <c r="D28" s="220" t="n"/>
      <c r="E28" s="220" t="b">
        <v>0</v>
      </c>
      <c r="F28" s="220" t="n"/>
    </row>
    <row r="29">
      <c r="A29" s="220" t="n"/>
      <c r="B29" s="220" t="b">
        <v>0</v>
      </c>
      <c r="C29" s="220" t="n"/>
      <c r="D29" s="220" t="n"/>
      <c r="E29" s="220" t="b">
        <v>0</v>
      </c>
      <c r="F29" s="220" t="n"/>
    </row>
    <row r="30">
      <c r="A30" s="220" t="n"/>
      <c r="B30" s="220" t="b">
        <v>0</v>
      </c>
      <c r="C30" s="220" t="n"/>
      <c r="D30" s="220" t="n"/>
      <c r="E30" s="220" t="b">
        <v>0</v>
      </c>
      <c r="F30" s="220" t="n"/>
    </row>
    <row r="31">
      <c r="A31" s="220" t="n"/>
      <c r="B31" s="220" t="b">
        <v>0</v>
      </c>
      <c r="C31" s="220" t="n"/>
      <c r="D31" s="220" t="n"/>
      <c r="E31" s="220" t="b">
        <v>0</v>
      </c>
      <c r="F31" s="220" t="n"/>
    </row>
    <row r="32">
      <c r="A32" s="220" t="n"/>
      <c r="B32" s="220" t="b">
        <v>0</v>
      </c>
      <c r="C32" s="220" t="n"/>
      <c r="D32" s="220" t="n"/>
      <c r="E32" s="220" t="b">
        <v>0</v>
      </c>
      <c r="F32" s="220" t="n"/>
    </row>
    <row r="33">
      <c r="A33" s="220" t="n"/>
      <c r="B33" s="220" t="b">
        <v>0</v>
      </c>
      <c r="C33" s="220" t="n"/>
      <c r="D33" s="220" t="n"/>
      <c r="E33" s="220" t="b">
        <v>0</v>
      </c>
      <c r="F33" s="220" t="n"/>
    </row>
    <row r="34">
      <c r="A34" s="220" t="n"/>
      <c r="B34" s="220" t="b">
        <v>0</v>
      </c>
      <c r="C34" s="220" t="n"/>
      <c r="D34" s="220" t="n"/>
      <c r="E34" s="220" t="b">
        <v>0</v>
      </c>
      <c r="F34" s="220" t="n"/>
    </row>
    <row r="35">
      <c r="A35" s="220" t="n"/>
      <c r="B35" s="220" t="b">
        <v>0</v>
      </c>
      <c r="C35" s="220" t="n"/>
      <c r="D35" s="220" t="n"/>
      <c r="E35" s="220" t="b">
        <v>0</v>
      </c>
      <c r="F35" s="220" t="n"/>
    </row>
    <row r="36">
      <c r="A36" s="220" t="n"/>
      <c r="B36" s="220" t="b">
        <v>0</v>
      </c>
      <c r="C36" s="220" t="n"/>
      <c r="D36" s="220" t="n"/>
      <c r="E36" s="220" t="b">
        <v>0</v>
      </c>
      <c r="F36" s="220"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H2"/>
  <sheetViews>
    <sheetView workbookViewId="0">
      <selection activeCell="A1" sqref="A1"/>
    </sheetView>
  </sheetViews>
  <sheetFormatPr baseColWidth="8" defaultColWidth="12.63" defaultRowHeight="15" customHeight="1"/>
  <cols>
    <col width="20.5" customWidth="1" style="222" min="1" max="26"/>
  </cols>
  <sheetData>
    <row r="1" ht="24.75" customHeight="1" s="222">
      <c r="A1" s="221" t="inlineStr">
        <is>
          <t>NOTES</t>
        </is>
      </c>
    </row>
    <row r="2" ht="24.75" customHeight="1" s="222">
      <c r="A2" s="148" t="inlineStr">
        <is>
          <t>Hospitality Groups</t>
        </is>
      </c>
      <c r="B2" s="148" t="inlineStr">
        <is>
          <t>Partners</t>
        </is>
      </c>
      <c r="C2" s="148" t="inlineStr">
        <is>
          <t>POC</t>
        </is>
      </c>
    </row>
    <row r="3" ht="24.75" customHeight="1" s="222"/>
    <row r="4" ht="24.75" customHeight="1" s="222"/>
    <row r="5" ht="24.75" customHeight="1" s="222"/>
    <row r="6" ht="24.75" customHeight="1" s="222"/>
    <row r="7" ht="24.75" customHeight="1" s="222"/>
    <row r="8" ht="24.75" customHeight="1" s="222"/>
    <row r="9" ht="24.75" customHeight="1" s="222"/>
    <row r="10" ht="24.75" customHeight="1" s="222"/>
    <row r="11" ht="24.75" customHeight="1" s="222"/>
    <row r="12" ht="24.75" customHeight="1" s="222"/>
    <row r="13" ht="24.75" customHeight="1" s="222"/>
    <row r="14" ht="24.75" customHeight="1" s="222"/>
    <row r="15" ht="24.75" customHeight="1" s="222"/>
    <row r="16" ht="24.75" customHeight="1" s="222"/>
    <row r="17" ht="24.75" customHeight="1" s="222"/>
    <row r="18" ht="24.75" customHeight="1" s="222"/>
    <row r="19" ht="24.75" customHeight="1" s="222"/>
    <row r="20" ht="24.75" customHeight="1" s="222"/>
    <row r="21" ht="24.75" customHeight="1" s="222"/>
    <row r="22" ht="24.75" customHeight="1" s="222"/>
    <row r="23" ht="24.75" customHeight="1" s="222"/>
    <row r="24" ht="24.75" customHeight="1" s="222"/>
    <row r="25" ht="24.75" customHeight="1" s="222"/>
    <row r="26" ht="24.75" customHeight="1" s="222"/>
    <row r="27" ht="24.75" customHeight="1" s="222"/>
    <row r="28" ht="24.75" customHeight="1" s="222"/>
    <row r="29" ht="24.75" customHeight="1" s="222"/>
    <row r="30" ht="24.75" customHeight="1" s="222"/>
    <row r="31" ht="24.75" customHeight="1" s="222"/>
    <row r="32" ht="24.75" customHeight="1" s="222"/>
    <row r="33" ht="24.75" customHeight="1" s="222"/>
    <row r="34" ht="24.75" customHeight="1" s="222"/>
    <row r="35" ht="24.75" customHeight="1" s="222"/>
    <row r="36" ht="24.75" customHeight="1" s="222"/>
    <row r="37" ht="24.75" customHeight="1" s="222"/>
    <row r="38" ht="24.75" customHeight="1" s="222"/>
    <row r="39" ht="24.75" customHeight="1" s="222"/>
    <row r="40" ht="24.75" customHeight="1" s="222"/>
    <row r="41" ht="24.75" customHeight="1" s="222"/>
    <row r="42" ht="24.75" customHeight="1" s="222"/>
    <row r="43" ht="24.75" customHeight="1" s="222"/>
    <row r="44" ht="24.75" customHeight="1" s="222"/>
    <row r="45" ht="24.75" customHeight="1" s="222"/>
    <row r="46" ht="24.75" customHeight="1" s="222"/>
    <row r="47" ht="24.75" customHeight="1" s="222"/>
    <row r="48" ht="24.75" customHeight="1" s="222"/>
    <row r="49" ht="24.75" customHeight="1" s="222"/>
    <row r="50" ht="24.75" customHeight="1" s="222"/>
    <row r="51" ht="24.75" customHeight="1" s="222"/>
    <row r="52" ht="24.75" customHeight="1" s="222"/>
    <row r="53" ht="24.75" customHeight="1" s="222"/>
    <row r="54" ht="24.75" customHeight="1" s="222"/>
    <row r="55" ht="24.75" customHeight="1" s="222"/>
    <row r="56" ht="24.75" customHeight="1" s="222"/>
    <row r="57" ht="24.75" customHeight="1" s="222"/>
    <row r="58" ht="24.75" customHeight="1" s="222"/>
    <row r="59" ht="24.75" customHeight="1" s="222"/>
    <row r="60" ht="24.75" customHeight="1" s="222"/>
    <row r="61" ht="24.75" customHeight="1" s="222"/>
    <row r="62" ht="24.75" customHeight="1" s="222"/>
    <row r="63" ht="24.75" customHeight="1" s="222"/>
    <row r="64" ht="24.75" customHeight="1" s="222"/>
    <row r="65" ht="24.75" customHeight="1" s="222"/>
    <row r="66" ht="24.75" customHeight="1" s="222"/>
    <row r="67" ht="24.75" customHeight="1" s="222"/>
    <row r="68" ht="24.75" customHeight="1" s="222"/>
    <row r="69" ht="24.75" customHeight="1" s="222"/>
    <row r="70" ht="24.75" customHeight="1" s="222"/>
    <row r="71" ht="24.75" customHeight="1" s="222"/>
    <row r="72" ht="24.75" customHeight="1" s="222"/>
    <row r="73" ht="24.75" customHeight="1" s="222"/>
    <row r="74" ht="24.75" customHeight="1" s="222"/>
    <row r="75" ht="24.75" customHeight="1" s="222"/>
    <row r="76" ht="24.75" customHeight="1" s="222"/>
    <row r="77" ht="24.75" customHeight="1" s="222"/>
    <row r="78" ht="24.75" customHeight="1" s="222"/>
    <row r="79" ht="24.75" customHeight="1" s="222"/>
    <row r="80" ht="24.75" customHeight="1" s="222"/>
    <row r="81" ht="24.75" customHeight="1" s="222"/>
    <row r="82" ht="24.75" customHeight="1" s="222"/>
    <row r="83" ht="24.75" customHeight="1" s="222"/>
    <row r="84" ht="24.75" customHeight="1" s="222"/>
    <row r="85" ht="24.75" customHeight="1" s="222"/>
    <row r="86" ht="24.75" customHeight="1" s="222"/>
    <row r="87" ht="24.75" customHeight="1" s="222"/>
    <row r="88" ht="24.75" customHeight="1" s="222"/>
    <row r="89" ht="24.75" customHeight="1" s="222"/>
    <row r="90" ht="24.75" customHeight="1" s="222"/>
    <row r="91" ht="24.75" customHeight="1" s="222"/>
    <row r="92" ht="24.75" customHeight="1" s="222"/>
    <row r="93" ht="24.75" customHeight="1" s="222"/>
    <row r="94" ht="24.75" customHeight="1" s="222"/>
    <row r="95" ht="24.75" customHeight="1" s="222"/>
    <row r="96" ht="24.75" customHeight="1" s="222"/>
    <row r="97" ht="24.75" customHeight="1" s="222"/>
    <row r="98" ht="24.75" customHeight="1" s="222"/>
    <row r="99" ht="24.75" customHeight="1" s="222"/>
    <row r="100" ht="24.75" customHeight="1" s="222"/>
    <row r="101" ht="24.75" customHeight="1" s="222"/>
    <row r="102" ht="24.75" customHeight="1" s="222"/>
    <row r="103" ht="24.75" customHeight="1" s="222"/>
    <row r="104" ht="24.75" customHeight="1" s="222"/>
    <row r="105" ht="24.75" customHeight="1" s="222"/>
    <row r="106" ht="24.75" customHeight="1" s="222"/>
    <row r="107" ht="24.75" customHeight="1" s="222"/>
    <row r="108" ht="24.75" customHeight="1" s="222"/>
    <row r="109" ht="24.75" customHeight="1" s="222"/>
    <row r="110" ht="24.75" customHeight="1" s="222"/>
    <row r="111" ht="24.75" customHeight="1" s="222"/>
    <row r="112" ht="24.75" customHeight="1" s="222"/>
    <row r="113" ht="24.75" customHeight="1" s="222"/>
    <row r="114" ht="24.75" customHeight="1" s="222"/>
    <row r="115" ht="24.75" customHeight="1" s="222"/>
    <row r="116" ht="24.75" customHeight="1" s="222"/>
    <row r="117" ht="24.75" customHeight="1" s="222"/>
    <row r="118" ht="24.75" customHeight="1" s="222"/>
    <row r="119" ht="24.75" customHeight="1" s="222"/>
    <row r="120" ht="24.75" customHeight="1" s="222"/>
    <row r="121" ht="24.75" customHeight="1" s="222"/>
    <row r="122" ht="24.75" customHeight="1" s="222"/>
    <row r="123" ht="24.75" customHeight="1" s="222"/>
    <row r="124" ht="24.75" customHeight="1" s="222"/>
    <row r="125" ht="24.75" customHeight="1" s="222"/>
    <row r="126" ht="24.75" customHeight="1" s="222"/>
    <row r="127" ht="24.75" customHeight="1" s="222"/>
    <row r="128" ht="24.75" customHeight="1" s="222"/>
    <row r="129" ht="24.75" customHeight="1" s="222"/>
    <row r="130" ht="24.75" customHeight="1" s="222"/>
    <row r="131" ht="24.75" customHeight="1" s="222"/>
    <row r="132" ht="24.75" customHeight="1" s="222"/>
    <row r="133" ht="24.75" customHeight="1" s="222"/>
    <row r="134" ht="24.75" customHeight="1" s="222"/>
    <row r="135" ht="24.75" customHeight="1" s="222"/>
    <row r="136" ht="24.75" customHeight="1" s="222"/>
    <row r="137" ht="24.75" customHeight="1" s="222"/>
    <row r="138" ht="24.75" customHeight="1" s="222"/>
    <row r="139" ht="24.75" customHeight="1" s="222"/>
    <row r="140" ht="24.75" customHeight="1" s="222"/>
    <row r="141" ht="24.75" customHeight="1" s="222"/>
    <row r="142" ht="24.75" customHeight="1" s="222"/>
    <row r="143" ht="24.75" customHeight="1" s="222"/>
    <row r="144" ht="24.75" customHeight="1" s="222"/>
    <row r="145" ht="24.75" customHeight="1" s="222"/>
    <row r="146" ht="24.75" customHeight="1" s="222"/>
    <row r="147" ht="24.75" customHeight="1" s="222"/>
    <row r="148" ht="24.75" customHeight="1" s="222"/>
    <row r="149" ht="24.75" customHeight="1" s="222"/>
    <row r="150" ht="24.75" customHeight="1" s="222"/>
    <row r="151" ht="24.75" customHeight="1" s="222"/>
    <row r="152" ht="24.75" customHeight="1" s="222"/>
    <row r="153" ht="24.75" customHeight="1" s="222"/>
    <row r="154" ht="24.75" customHeight="1" s="222"/>
    <row r="155" ht="24.75" customHeight="1" s="222"/>
    <row r="156" ht="24.75" customHeight="1" s="222"/>
    <row r="157" ht="24.75" customHeight="1" s="222"/>
    <row r="158" ht="24.75" customHeight="1" s="222"/>
    <row r="159" ht="24.75" customHeight="1" s="222"/>
    <row r="160" ht="24.75" customHeight="1" s="222"/>
    <row r="161" ht="24.75" customHeight="1" s="222"/>
    <row r="162" ht="24.75" customHeight="1" s="222"/>
    <row r="163" ht="24.75" customHeight="1" s="222"/>
    <row r="164" ht="24.75" customHeight="1" s="222"/>
    <row r="165" ht="24.75" customHeight="1" s="222"/>
    <row r="166" ht="24.75" customHeight="1" s="222"/>
    <row r="167" ht="24.75" customHeight="1" s="222"/>
    <row r="168" ht="24.75" customHeight="1" s="222"/>
    <row r="169" ht="24.75" customHeight="1" s="222"/>
    <row r="170" ht="24.75" customHeight="1" s="222"/>
    <row r="171" ht="24.75" customHeight="1" s="222"/>
    <row r="172" ht="24.75" customHeight="1" s="222"/>
    <row r="173" ht="24.75" customHeight="1" s="222"/>
    <row r="174" ht="24.75" customHeight="1" s="222"/>
    <row r="175" ht="24.75" customHeight="1" s="222"/>
    <row r="176" ht="24.75" customHeight="1" s="222"/>
    <row r="177" ht="24.75" customHeight="1" s="222"/>
    <row r="178" ht="24.75" customHeight="1" s="222"/>
    <row r="179" ht="24.75" customHeight="1" s="222"/>
    <row r="180" ht="24.75" customHeight="1" s="222"/>
    <row r="181" ht="24.75" customHeight="1" s="222"/>
    <row r="182" ht="24.75" customHeight="1" s="222"/>
    <row r="183" ht="24.75" customHeight="1" s="222"/>
    <row r="184" ht="24.75" customHeight="1" s="222"/>
    <row r="185" ht="24.75" customHeight="1" s="222"/>
    <row r="186" ht="24.75" customHeight="1" s="222"/>
    <row r="187" ht="24.75" customHeight="1" s="222"/>
    <row r="188" ht="24.75" customHeight="1" s="222"/>
    <row r="189" ht="24.75" customHeight="1" s="222"/>
    <row r="190" ht="24.75" customHeight="1" s="222"/>
    <row r="191" ht="24.75" customHeight="1" s="222"/>
    <row r="192" ht="24.75" customHeight="1" s="222"/>
    <row r="193" ht="24.75" customHeight="1" s="222"/>
    <row r="194" ht="24.75" customHeight="1" s="222"/>
    <row r="195" ht="24.75" customHeight="1" s="222"/>
    <row r="196" ht="24.75" customHeight="1" s="222"/>
    <row r="197" ht="24.75" customHeight="1" s="222"/>
    <row r="198" ht="24.75" customHeight="1" s="222"/>
    <row r="199" ht="24.75" customHeight="1" s="222"/>
    <row r="200" ht="24.75" customHeight="1" s="222"/>
    <row r="201" ht="24.75" customHeight="1" s="222"/>
    <row r="202" ht="24.75" customHeight="1" s="222"/>
    <row r="203" ht="24.75" customHeight="1" s="222"/>
    <row r="204" ht="24.75" customHeight="1" s="222"/>
    <row r="205" ht="24.75" customHeight="1" s="222"/>
    <row r="206" ht="24.75" customHeight="1" s="222"/>
    <row r="207" ht="24.75" customHeight="1" s="222"/>
    <row r="208" ht="24.75" customHeight="1" s="222"/>
    <row r="209" ht="24.75" customHeight="1" s="222"/>
    <row r="210" ht="24.75" customHeight="1" s="222"/>
    <row r="211" ht="24.75" customHeight="1" s="222"/>
    <row r="212" ht="24.75" customHeight="1" s="222"/>
    <row r="213" ht="24.75" customHeight="1" s="222"/>
    <row r="214" ht="24.75" customHeight="1" s="222"/>
    <row r="215" ht="24.75" customHeight="1" s="222"/>
    <row r="216" ht="24.75" customHeight="1" s="222"/>
    <row r="217" ht="24.75" customHeight="1" s="222"/>
    <row r="218" ht="24.75" customHeight="1" s="222"/>
    <row r="219" ht="24.75" customHeight="1" s="222"/>
    <row r="220" ht="24.75" customHeight="1" s="222"/>
    <row r="221" ht="24.75" customHeight="1" s="222"/>
    <row r="222" ht="24.75" customHeight="1" s="222"/>
    <row r="223" ht="24.75" customHeight="1" s="222"/>
    <row r="224" ht="24.75" customHeight="1" s="222"/>
    <row r="225" ht="24.75" customHeight="1" s="222"/>
    <row r="226" ht="24.75" customHeight="1" s="222"/>
    <row r="227" ht="24.75" customHeight="1" s="222"/>
    <row r="228" ht="24.75" customHeight="1" s="222"/>
    <row r="229" ht="24.75" customHeight="1" s="222"/>
    <row r="230" ht="24.75" customHeight="1" s="222"/>
    <row r="231" ht="24.75" customHeight="1" s="222"/>
    <row r="232" ht="24.75" customHeight="1" s="222"/>
    <row r="233" ht="24.75" customHeight="1" s="222"/>
    <row r="234" ht="24.75" customHeight="1" s="222"/>
    <row r="235" ht="24.75" customHeight="1" s="222"/>
    <row r="236" ht="24.75" customHeight="1" s="222"/>
    <row r="237" ht="24.75" customHeight="1" s="222"/>
    <row r="238" ht="24.75" customHeight="1" s="222"/>
    <row r="239" ht="24.75" customHeight="1" s="222"/>
    <row r="240" ht="24.75" customHeight="1" s="222"/>
    <row r="241" ht="24.75" customHeight="1" s="222"/>
    <row r="242" ht="24.75" customHeight="1" s="222"/>
    <row r="243" ht="24.75" customHeight="1" s="222"/>
    <row r="244" ht="24.75" customHeight="1" s="222"/>
    <row r="245" ht="24.75" customHeight="1" s="222"/>
    <row r="246" ht="24.75" customHeight="1" s="222"/>
    <row r="247" ht="24.75" customHeight="1" s="222"/>
    <row r="248" ht="24.75" customHeight="1" s="222"/>
    <row r="249" ht="24.75" customHeight="1" s="222"/>
    <row r="250" ht="24.75" customHeight="1" s="222"/>
    <row r="251" ht="24.75" customHeight="1" s="222"/>
    <row r="252" ht="24.75" customHeight="1" s="222"/>
    <row r="253" ht="24.75" customHeight="1" s="222"/>
    <row r="254" ht="24.75" customHeight="1" s="222"/>
    <row r="255" ht="24.75" customHeight="1" s="222"/>
    <row r="256" ht="24.75" customHeight="1" s="222"/>
    <row r="257" ht="24.75" customHeight="1" s="222"/>
    <row r="258" ht="24.75" customHeight="1" s="222"/>
    <row r="259" ht="24.75" customHeight="1" s="222"/>
    <row r="260" ht="24.75" customHeight="1" s="222"/>
    <row r="261" ht="24.75" customHeight="1" s="222"/>
    <row r="262" ht="24.75" customHeight="1" s="222"/>
    <row r="263" ht="24.75" customHeight="1" s="222"/>
    <row r="264" ht="24.75" customHeight="1" s="222"/>
    <row r="265" ht="24.75" customHeight="1" s="222"/>
    <row r="266" ht="24.75" customHeight="1" s="222"/>
    <row r="267" ht="24.75" customHeight="1" s="222"/>
    <row r="268" ht="24.75" customHeight="1" s="222"/>
    <row r="269" ht="24.75" customHeight="1" s="222"/>
    <row r="270" ht="24.75" customHeight="1" s="222"/>
    <row r="271" ht="24.75" customHeight="1" s="222"/>
    <row r="272" ht="24.75" customHeight="1" s="222"/>
    <row r="273" ht="24.75" customHeight="1" s="222"/>
    <row r="274" ht="24.75" customHeight="1" s="222"/>
    <row r="275" ht="24.75" customHeight="1" s="222"/>
    <row r="276" ht="24.75" customHeight="1" s="222"/>
    <row r="277" ht="24.75" customHeight="1" s="222"/>
    <row r="278" ht="24.75" customHeight="1" s="222"/>
    <row r="279" ht="24.75" customHeight="1" s="222"/>
    <row r="280" ht="24.75" customHeight="1" s="222"/>
    <row r="281" ht="24.75" customHeight="1" s="222"/>
    <row r="282" ht="24.75" customHeight="1" s="222"/>
    <row r="283" ht="24.75" customHeight="1" s="222"/>
    <row r="284" ht="24.75" customHeight="1" s="222"/>
    <row r="285" ht="24.75" customHeight="1" s="222"/>
    <row r="286" ht="24.75" customHeight="1" s="222"/>
    <row r="287" ht="24.75" customHeight="1" s="222"/>
    <row r="288" ht="24.75" customHeight="1" s="222"/>
    <row r="289" ht="24.75" customHeight="1" s="222"/>
    <row r="290" ht="24.75" customHeight="1" s="222"/>
    <row r="291" ht="24.75" customHeight="1" s="222"/>
    <row r="292" ht="24.75" customHeight="1" s="222"/>
    <row r="293" ht="24.75" customHeight="1" s="222"/>
    <row r="294" ht="24.75" customHeight="1" s="222"/>
    <row r="295" ht="24.75" customHeight="1" s="222"/>
    <row r="296" ht="24.75" customHeight="1" s="222"/>
    <row r="297" ht="24.75" customHeight="1" s="222"/>
    <row r="298" ht="24.75" customHeight="1" s="222"/>
    <row r="299" ht="24.75" customHeight="1" s="222"/>
    <row r="300" ht="24.75" customHeight="1" s="222"/>
    <row r="301" ht="24.75" customHeight="1" s="222"/>
    <row r="302" ht="24.75" customHeight="1" s="222"/>
    <row r="303" ht="24.75" customHeight="1" s="222"/>
    <row r="304" ht="24.75" customHeight="1" s="222"/>
    <row r="305" ht="24.75" customHeight="1" s="222"/>
    <row r="306" ht="24.75" customHeight="1" s="222"/>
    <row r="307" ht="24.75" customHeight="1" s="222"/>
    <row r="308" ht="24.75" customHeight="1" s="222"/>
    <row r="309" ht="24.75" customHeight="1" s="222"/>
    <row r="310" ht="24.75" customHeight="1" s="222"/>
    <row r="311" ht="24.75" customHeight="1" s="222"/>
    <row r="312" ht="24.75" customHeight="1" s="222"/>
    <row r="313" ht="24.75" customHeight="1" s="222"/>
    <row r="314" ht="24.75" customHeight="1" s="222"/>
    <row r="315" ht="24.75" customHeight="1" s="222"/>
    <row r="316" ht="24.75" customHeight="1" s="222"/>
    <row r="317" ht="24.75" customHeight="1" s="222"/>
    <row r="318" ht="24.75" customHeight="1" s="222"/>
    <row r="319" ht="24.75" customHeight="1" s="222"/>
    <row r="320" ht="24.75" customHeight="1" s="222"/>
    <row r="321" ht="24.75" customHeight="1" s="222"/>
    <row r="322" ht="24.75" customHeight="1" s="222"/>
    <row r="323" ht="24.75" customHeight="1" s="222"/>
    <row r="324" ht="24.75" customHeight="1" s="222"/>
    <row r="325" ht="24.75" customHeight="1" s="222"/>
    <row r="326" ht="24.75" customHeight="1" s="222"/>
    <row r="327" ht="24.75" customHeight="1" s="222"/>
    <row r="328" ht="24.75" customHeight="1" s="222"/>
    <row r="329" ht="24.75" customHeight="1" s="222"/>
    <row r="330" ht="24.75" customHeight="1" s="222"/>
    <row r="331" ht="24.75" customHeight="1" s="222"/>
    <row r="332" ht="24.75" customHeight="1" s="222"/>
    <row r="333" ht="24.75" customHeight="1" s="222"/>
    <row r="334" ht="24.75" customHeight="1" s="222"/>
    <row r="335" ht="24.75" customHeight="1" s="222"/>
    <row r="336" ht="24.75" customHeight="1" s="222"/>
    <row r="337" ht="24.75" customHeight="1" s="222"/>
    <row r="338" ht="24.75" customHeight="1" s="222"/>
    <row r="339" ht="24.75" customHeight="1" s="222"/>
    <row r="340" ht="24.75" customHeight="1" s="222"/>
    <row r="341" ht="24.75" customHeight="1" s="222"/>
    <row r="342" ht="24.75" customHeight="1" s="222"/>
    <row r="343" ht="24.75" customHeight="1" s="222"/>
    <row r="344" ht="24.75" customHeight="1" s="222"/>
    <row r="345" ht="24.75" customHeight="1" s="222"/>
    <row r="346" ht="24.75" customHeight="1" s="222"/>
    <row r="347" ht="24.75" customHeight="1" s="222"/>
    <row r="348" ht="24.75" customHeight="1" s="222"/>
    <row r="349" ht="24.75" customHeight="1" s="222"/>
    <row r="350" ht="24.75" customHeight="1" s="222"/>
    <row r="351" ht="24.75" customHeight="1" s="222"/>
    <row r="352" ht="24.75" customHeight="1" s="222"/>
    <row r="353" ht="24.75" customHeight="1" s="222"/>
    <row r="354" ht="24.75" customHeight="1" s="222"/>
    <row r="355" ht="24.75" customHeight="1" s="222"/>
    <row r="356" ht="24.75" customHeight="1" s="222"/>
    <row r="357" ht="24.75" customHeight="1" s="222"/>
    <row r="358" ht="24.75" customHeight="1" s="222"/>
    <row r="359" ht="24.75" customHeight="1" s="222"/>
    <row r="360" ht="24.75" customHeight="1" s="222"/>
    <row r="361" ht="24.75" customHeight="1" s="222"/>
    <row r="362" ht="24.75" customHeight="1" s="222"/>
    <row r="363" ht="24.75" customHeight="1" s="222"/>
    <row r="364" ht="24.75" customHeight="1" s="222"/>
    <row r="365" ht="24.75" customHeight="1" s="222"/>
    <row r="366" ht="24.75" customHeight="1" s="222"/>
    <row r="367" ht="24.75" customHeight="1" s="222"/>
    <row r="368" ht="24.75" customHeight="1" s="222"/>
    <row r="369" ht="24.75" customHeight="1" s="222"/>
    <row r="370" ht="24.75" customHeight="1" s="222"/>
    <row r="371" ht="24.75" customHeight="1" s="222"/>
    <row r="372" ht="24.75" customHeight="1" s="222"/>
    <row r="373" ht="24.75" customHeight="1" s="222"/>
    <row r="374" ht="24.75" customHeight="1" s="222"/>
    <row r="375" ht="24.75" customHeight="1" s="222"/>
    <row r="376" ht="24.75" customHeight="1" s="222"/>
    <row r="377" ht="24.75" customHeight="1" s="222"/>
    <row r="378" ht="24.75" customHeight="1" s="222"/>
    <row r="379" ht="24.75" customHeight="1" s="222"/>
    <row r="380" ht="24.75" customHeight="1" s="222"/>
    <row r="381" ht="24.75" customHeight="1" s="222"/>
    <row r="382" ht="24.75" customHeight="1" s="222"/>
    <row r="383" ht="24.75" customHeight="1" s="222"/>
    <row r="384" ht="24.75" customHeight="1" s="222"/>
    <row r="385" ht="24.75" customHeight="1" s="222"/>
    <row r="386" ht="24.75" customHeight="1" s="222"/>
    <row r="387" ht="24.75" customHeight="1" s="222"/>
    <row r="388" ht="24.75" customHeight="1" s="222"/>
    <row r="389" ht="24.75" customHeight="1" s="222"/>
    <row r="390" ht="24.75" customHeight="1" s="222"/>
    <row r="391" ht="24.75" customHeight="1" s="222"/>
    <row r="392" ht="24.75" customHeight="1" s="222"/>
    <row r="393" ht="24.75" customHeight="1" s="222"/>
    <row r="394" ht="24.75" customHeight="1" s="222"/>
    <row r="395" ht="24.75" customHeight="1" s="222"/>
    <row r="396" ht="24.75" customHeight="1" s="222"/>
    <row r="397" ht="24.75" customHeight="1" s="222"/>
    <row r="398" ht="24.75" customHeight="1" s="222"/>
    <row r="399" ht="24.75" customHeight="1" s="222"/>
    <row r="400" ht="24.75" customHeight="1" s="222"/>
    <row r="401" ht="24.75" customHeight="1" s="222"/>
    <row r="402" ht="24.75" customHeight="1" s="222"/>
    <row r="403" ht="24.75" customHeight="1" s="222"/>
    <row r="404" ht="24.75" customHeight="1" s="222"/>
    <row r="405" ht="24.75" customHeight="1" s="222"/>
    <row r="406" ht="24.75" customHeight="1" s="222"/>
    <row r="407" ht="24.75" customHeight="1" s="222"/>
    <row r="408" ht="24.75" customHeight="1" s="222"/>
    <row r="409" ht="24.75" customHeight="1" s="222"/>
    <row r="410" ht="24.75" customHeight="1" s="222"/>
    <row r="411" ht="24.75" customHeight="1" s="222"/>
    <row r="412" ht="24.75" customHeight="1" s="222"/>
    <row r="413" ht="24.75" customHeight="1" s="222"/>
    <row r="414" ht="24.75" customHeight="1" s="222"/>
    <row r="415" ht="24.75" customHeight="1" s="222"/>
    <row r="416" ht="24.75" customHeight="1" s="222"/>
    <row r="417" ht="24.75" customHeight="1" s="222"/>
    <row r="418" ht="24.75" customHeight="1" s="222"/>
    <row r="419" ht="24.75" customHeight="1" s="222"/>
    <row r="420" ht="24.75" customHeight="1" s="222"/>
    <row r="421" ht="24.75" customHeight="1" s="222"/>
    <row r="422" ht="24.75" customHeight="1" s="222"/>
    <row r="423" ht="24.75" customHeight="1" s="222"/>
    <row r="424" ht="24.75" customHeight="1" s="222"/>
    <row r="425" ht="24.75" customHeight="1" s="222"/>
    <row r="426" ht="24.75" customHeight="1" s="222"/>
    <row r="427" ht="24.75" customHeight="1" s="222"/>
    <row r="428" ht="24.75" customHeight="1" s="222"/>
    <row r="429" ht="24.75" customHeight="1" s="222"/>
    <row r="430" ht="24.75" customHeight="1" s="222"/>
    <row r="431" ht="24.75" customHeight="1" s="222"/>
    <row r="432" ht="24.75" customHeight="1" s="222"/>
    <row r="433" ht="24.75" customHeight="1" s="222"/>
    <row r="434" ht="24.75" customHeight="1" s="222"/>
    <row r="435" ht="24.75" customHeight="1" s="222"/>
    <row r="436" ht="24.75" customHeight="1" s="222"/>
    <row r="437" ht="24.75" customHeight="1" s="222"/>
    <row r="438" ht="24.75" customHeight="1" s="222"/>
    <row r="439" ht="24.75" customHeight="1" s="222"/>
    <row r="440" ht="24.75" customHeight="1" s="222"/>
    <row r="441" ht="24.75" customHeight="1" s="222"/>
    <row r="442" ht="24.75" customHeight="1" s="222"/>
    <row r="443" ht="24.75" customHeight="1" s="222"/>
    <row r="444" ht="24.75" customHeight="1" s="222"/>
    <row r="445" ht="24.75" customHeight="1" s="222"/>
    <row r="446" ht="24.75" customHeight="1" s="222"/>
    <row r="447" ht="24.75" customHeight="1" s="222"/>
    <row r="448" ht="24.75" customHeight="1" s="222"/>
    <row r="449" ht="24.75" customHeight="1" s="222"/>
    <row r="450" ht="24.75" customHeight="1" s="222"/>
    <row r="451" ht="24.75" customHeight="1" s="222"/>
    <row r="452" ht="24.75" customHeight="1" s="222"/>
    <row r="453" ht="24.75" customHeight="1" s="222"/>
    <row r="454" ht="24.75" customHeight="1" s="222"/>
    <row r="455" ht="24.75" customHeight="1" s="222"/>
    <row r="456" ht="24.75" customHeight="1" s="222"/>
    <row r="457" ht="24.75" customHeight="1" s="222"/>
    <row r="458" ht="24.75" customHeight="1" s="222"/>
    <row r="459" ht="24.75" customHeight="1" s="222"/>
    <row r="460" ht="24.75" customHeight="1" s="222"/>
    <row r="461" ht="24.75" customHeight="1" s="222"/>
    <row r="462" ht="24.75" customHeight="1" s="222"/>
    <row r="463" ht="24.75" customHeight="1" s="222"/>
    <row r="464" ht="24.75" customHeight="1" s="222"/>
    <row r="465" ht="24.75" customHeight="1" s="222"/>
    <row r="466" ht="24.75" customHeight="1" s="222"/>
    <row r="467" ht="24.75" customHeight="1" s="222"/>
    <row r="468" ht="24.75" customHeight="1" s="222"/>
    <row r="469" ht="24.75" customHeight="1" s="222"/>
    <row r="470" ht="24.75" customHeight="1" s="222"/>
    <row r="471" ht="24.75" customHeight="1" s="222"/>
    <row r="472" ht="24.75" customHeight="1" s="222"/>
    <row r="473" ht="24.75" customHeight="1" s="222"/>
    <row r="474" ht="24.75" customHeight="1" s="222"/>
    <row r="475" ht="24.75" customHeight="1" s="222"/>
    <row r="476" ht="24.75" customHeight="1" s="222"/>
    <row r="477" ht="24.75" customHeight="1" s="222"/>
    <row r="478" ht="24.75" customHeight="1" s="222"/>
    <row r="479" ht="24.75" customHeight="1" s="222"/>
    <row r="480" ht="24.75" customHeight="1" s="222"/>
    <row r="481" ht="24.75" customHeight="1" s="222"/>
    <row r="482" ht="24.75" customHeight="1" s="222"/>
    <row r="483" ht="24.75" customHeight="1" s="222"/>
    <row r="484" ht="24.75" customHeight="1" s="222"/>
    <row r="485" ht="24.75" customHeight="1" s="222"/>
    <row r="486" ht="24.75" customHeight="1" s="222"/>
    <row r="487" ht="24.75" customHeight="1" s="222"/>
    <row r="488" ht="24.75" customHeight="1" s="222"/>
    <row r="489" ht="24.75" customHeight="1" s="222"/>
    <row r="490" ht="24.75" customHeight="1" s="222"/>
    <row r="491" ht="24.75" customHeight="1" s="222"/>
    <row r="492" ht="24.75" customHeight="1" s="222"/>
    <row r="493" ht="24.75" customHeight="1" s="222"/>
    <row r="494" ht="24.75" customHeight="1" s="222"/>
    <row r="495" ht="24.75" customHeight="1" s="222"/>
    <row r="496" ht="24.75" customHeight="1" s="222"/>
    <row r="497" ht="24.75" customHeight="1" s="222"/>
    <row r="498" ht="24.75" customHeight="1" s="222"/>
    <row r="499" ht="24.75" customHeight="1" s="222"/>
    <row r="500" ht="24.75" customHeight="1" s="222"/>
    <row r="501" ht="24.75" customHeight="1" s="222"/>
    <row r="502" ht="24.75" customHeight="1" s="222"/>
    <row r="503" ht="24.75" customHeight="1" s="222"/>
    <row r="504" ht="24.75" customHeight="1" s="222"/>
    <row r="505" ht="24.75" customHeight="1" s="222"/>
    <row r="506" ht="24.75" customHeight="1" s="222"/>
    <row r="507" ht="24.75" customHeight="1" s="222"/>
    <row r="508" ht="24.75" customHeight="1" s="222"/>
    <row r="509" ht="24.75" customHeight="1" s="222"/>
    <row r="510" ht="24.75" customHeight="1" s="222"/>
    <row r="511" ht="24.75" customHeight="1" s="222"/>
    <row r="512" ht="24.75" customHeight="1" s="222"/>
    <row r="513" ht="24.75" customHeight="1" s="222"/>
    <row r="514" ht="24.75" customHeight="1" s="222"/>
    <row r="515" ht="24.75" customHeight="1" s="222"/>
    <row r="516" ht="24.75" customHeight="1" s="222"/>
    <row r="517" ht="24.75" customHeight="1" s="222"/>
    <row r="518" ht="24.75" customHeight="1" s="222"/>
    <row r="519" ht="24.75" customHeight="1" s="222"/>
    <row r="520" ht="24.75" customHeight="1" s="222"/>
    <row r="521" ht="24.75" customHeight="1" s="222"/>
    <row r="522" ht="24.75" customHeight="1" s="222"/>
    <row r="523" ht="24.75" customHeight="1" s="222"/>
    <row r="524" ht="24.75" customHeight="1" s="222"/>
    <row r="525" ht="24.75" customHeight="1" s="222"/>
    <row r="526" ht="24.75" customHeight="1" s="222"/>
    <row r="527" ht="24.75" customHeight="1" s="222"/>
    <row r="528" ht="24.75" customHeight="1" s="222"/>
    <row r="529" ht="24.75" customHeight="1" s="222"/>
    <row r="530" ht="24.75" customHeight="1" s="222"/>
    <row r="531" ht="24.75" customHeight="1" s="222"/>
    <row r="532" ht="24.75" customHeight="1" s="222"/>
    <row r="533" ht="24.75" customHeight="1" s="222"/>
    <row r="534" ht="24.75" customHeight="1" s="222"/>
    <row r="535" ht="24.75" customHeight="1" s="222"/>
    <row r="536" ht="24.75" customHeight="1" s="222"/>
    <row r="537" ht="24.75" customHeight="1" s="222"/>
    <row r="538" ht="24.75" customHeight="1" s="222"/>
    <row r="539" ht="24.75" customHeight="1" s="222"/>
    <row r="540" ht="24.75" customHeight="1" s="222"/>
    <row r="541" ht="24.75" customHeight="1" s="222"/>
    <row r="542" ht="24.75" customHeight="1" s="222"/>
    <row r="543" ht="24.75" customHeight="1" s="222"/>
    <row r="544" ht="24.75" customHeight="1" s="222"/>
    <row r="545" ht="24.75" customHeight="1" s="222"/>
    <row r="546" ht="24.75" customHeight="1" s="222"/>
    <row r="547" ht="24.75" customHeight="1" s="222"/>
    <row r="548" ht="24.75" customHeight="1" s="222"/>
    <row r="549" ht="24.75" customHeight="1" s="222"/>
    <row r="550" ht="24.75" customHeight="1" s="222"/>
    <row r="551" ht="24.75" customHeight="1" s="222"/>
    <row r="552" ht="24.75" customHeight="1" s="222"/>
    <row r="553" ht="24.75" customHeight="1" s="222"/>
    <row r="554" ht="24.75" customHeight="1" s="222"/>
    <row r="555" ht="24.75" customHeight="1" s="222"/>
    <row r="556" ht="24.75" customHeight="1" s="222"/>
    <row r="557" ht="24.75" customHeight="1" s="222"/>
    <row r="558" ht="24.75" customHeight="1" s="222"/>
    <row r="559" ht="24.75" customHeight="1" s="222"/>
    <row r="560" ht="24.75" customHeight="1" s="222"/>
    <row r="561" ht="24.75" customHeight="1" s="222"/>
    <row r="562" ht="24.75" customHeight="1" s="222"/>
    <row r="563" ht="24.75" customHeight="1" s="222"/>
    <row r="564" ht="24.75" customHeight="1" s="222"/>
    <row r="565" ht="24.75" customHeight="1" s="222"/>
    <row r="566" ht="24.75" customHeight="1" s="222"/>
    <row r="567" ht="24.75" customHeight="1" s="222"/>
    <row r="568" ht="24.75" customHeight="1" s="222"/>
    <row r="569" ht="24.75" customHeight="1" s="222"/>
    <row r="570" ht="24.75" customHeight="1" s="222"/>
    <row r="571" ht="24.75" customHeight="1" s="222"/>
    <row r="572" ht="24.75" customHeight="1" s="222"/>
    <row r="573" ht="24.75" customHeight="1" s="222"/>
    <row r="574" ht="24.75" customHeight="1" s="222"/>
    <row r="575" ht="24.75" customHeight="1" s="222"/>
    <row r="576" ht="24.75" customHeight="1" s="222"/>
    <row r="577" ht="24.75" customHeight="1" s="222"/>
    <row r="578" ht="24.75" customHeight="1" s="222"/>
    <row r="579" ht="24.75" customHeight="1" s="222"/>
    <row r="580" ht="24.75" customHeight="1" s="222"/>
    <row r="581" ht="24.75" customHeight="1" s="222"/>
    <row r="582" ht="24.75" customHeight="1" s="222"/>
    <row r="583" ht="24.75" customHeight="1" s="222"/>
    <row r="584" ht="24.75" customHeight="1" s="222"/>
    <row r="585" ht="24.75" customHeight="1" s="222"/>
    <row r="586" ht="24.75" customHeight="1" s="222"/>
    <row r="587" ht="24.75" customHeight="1" s="222"/>
    <row r="588" ht="24.75" customHeight="1" s="222"/>
    <row r="589" ht="24.75" customHeight="1" s="222"/>
    <row r="590" ht="24.75" customHeight="1" s="222"/>
    <row r="591" ht="24.75" customHeight="1" s="222"/>
    <row r="592" ht="24.75" customHeight="1" s="222"/>
    <row r="593" ht="24.75" customHeight="1" s="222"/>
    <row r="594" ht="24.75" customHeight="1" s="222"/>
    <row r="595" ht="24.75" customHeight="1" s="222"/>
    <row r="596" ht="24.75" customHeight="1" s="222"/>
    <row r="597" ht="24.75" customHeight="1" s="222"/>
    <row r="598" ht="24.75" customHeight="1" s="222"/>
    <row r="599" ht="24.75" customHeight="1" s="222"/>
    <row r="600" ht="24.75" customHeight="1" s="222"/>
    <row r="601" ht="24.75" customHeight="1" s="222"/>
    <row r="602" ht="24.75" customHeight="1" s="222"/>
    <row r="603" ht="24.75" customHeight="1" s="222"/>
    <row r="604" ht="24.75" customHeight="1" s="222"/>
    <row r="605" ht="24.75" customHeight="1" s="222"/>
    <row r="606" ht="24.75" customHeight="1" s="222"/>
    <row r="607" ht="24.75" customHeight="1" s="222"/>
    <row r="608" ht="24.75" customHeight="1" s="222"/>
    <row r="609" ht="24.75" customHeight="1" s="222"/>
    <row r="610" ht="24.75" customHeight="1" s="222"/>
    <row r="611" ht="24.75" customHeight="1" s="222"/>
    <row r="612" ht="24.75" customHeight="1" s="222"/>
    <row r="613" ht="24.75" customHeight="1" s="222"/>
    <row r="614" ht="24.75" customHeight="1" s="222"/>
    <row r="615" ht="24.75" customHeight="1" s="222"/>
    <row r="616" ht="24.75" customHeight="1" s="222"/>
    <row r="617" ht="24.75" customHeight="1" s="222"/>
    <row r="618" ht="24.75" customHeight="1" s="222"/>
    <row r="619" ht="24.75" customHeight="1" s="222"/>
    <row r="620" ht="24.75" customHeight="1" s="222"/>
    <row r="621" ht="24.75" customHeight="1" s="222"/>
    <row r="622" ht="24.75" customHeight="1" s="222"/>
    <row r="623" ht="24.75" customHeight="1" s="222"/>
    <row r="624" ht="24.75" customHeight="1" s="222"/>
    <row r="625" ht="24.75" customHeight="1" s="222"/>
    <row r="626" ht="24.75" customHeight="1" s="222"/>
    <row r="627" ht="24.75" customHeight="1" s="222"/>
    <row r="628" ht="24.75" customHeight="1" s="222"/>
    <row r="629" ht="24.75" customHeight="1" s="222"/>
    <row r="630" ht="24.75" customHeight="1" s="222"/>
    <row r="631" ht="24.75" customHeight="1" s="222"/>
    <row r="632" ht="24.75" customHeight="1" s="222"/>
    <row r="633" ht="24.75" customHeight="1" s="222"/>
    <row r="634" ht="24.75" customHeight="1" s="222"/>
    <row r="635" ht="24.75" customHeight="1" s="222"/>
    <row r="636" ht="24.75" customHeight="1" s="222"/>
    <row r="637" ht="24.75" customHeight="1" s="222"/>
    <row r="638" ht="24.75" customHeight="1" s="222"/>
    <row r="639" ht="24.75" customHeight="1" s="222"/>
    <row r="640" ht="24.75" customHeight="1" s="222"/>
    <row r="641" ht="24.75" customHeight="1" s="222"/>
    <row r="642" ht="24.75" customHeight="1" s="222"/>
    <row r="643" ht="24.75" customHeight="1" s="222"/>
    <row r="644" ht="24.75" customHeight="1" s="222"/>
    <row r="645" ht="24.75" customHeight="1" s="222"/>
    <row r="646" ht="24.75" customHeight="1" s="222"/>
    <row r="647" ht="24.75" customHeight="1" s="222"/>
    <row r="648" ht="24.75" customHeight="1" s="222"/>
    <row r="649" ht="24.75" customHeight="1" s="222"/>
    <row r="650" ht="24.75" customHeight="1" s="222"/>
    <row r="651" ht="24.75" customHeight="1" s="222"/>
    <row r="652" ht="24.75" customHeight="1" s="222"/>
    <row r="653" ht="24.75" customHeight="1" s="222"/>
    <row r="654" ht="24.75" customHeight="1" s="222"/>
    <row r="655" ht="24.75" customHeight="1" s="222"/>
    <row r="656" ht="24.75" customHeight="1" s="222"/>
    <row r="657" ht="24.75" customHeight="1" s="222"/>
    <row r="658" ht="24.75" customHeight="1" s="222"/>
    <row r="659" ht="24.75" customHeight="1" s="222"/>
    <row r="660" ht="24.75" customHeight="1" s="222"/>
    <row r="661" ht="24.75" customHeight="1" s="222"/>
    <row r="662" ht="24.75" customHeight="1" s="222"/>
    <row r="663" ht="24.75" customHeight="1" s="222"/>
    <row r="664" ht="24.75" customHeight="1" s="222"/>
    <row r="665" ht="24.75" customHeight="1" s="222"/>
    <row r="666" ht="24.75" customHeight="1" s="222"/>
    <row r="667" ht="24.75" customHeight="1" s="222"/>
    <row r="668" ht="24.75" customHeight="1" s="222"/>
    <row r="669" ht="24.75" customHeight="1" s="222"/>
    <row r="670" ht="24.75" customHeight="1" s="222"/>
    <row r="671" ht="24.75" customHeight="1" s="222"/>
    <row r="672" ht="24.75" customHeight="1" s="222"/>
    <row r="673" ht="24.75" customHeight="1" s="222"/>
    <row r="674" ht="24.75" customHeight="1" s="222"/>
    <row r="675" ht="24.75" customHeight="1" s="222"/>
    <row r="676" ht="24.75" customHeight="1" s="222"/>
    <row r="677" ht="24.75" customHeight="1" s="222"/>
    <row r="678" ht="24.75" customHeight="1" s="222"/>
    <row r="679" ht="24.75" customHeight="1" s="222"/>
    <row r="680" ht="24.75" customHeight="1" s="222"/>
    <row r="681" ht="24.75" customHeight="1" s="222"/>
    <row r="682" ht="24.75" customHeight="1" s="222"/>
    <row r="683" ht="24.75" customHeight="1" s="222"/>
    <row r="684" ht="24.75" customHeight="1" s="222"/>
    <row r="685" ht="24.75" customHeight="1" s="222"/>
    <row r="686" ht="24.75" customHeight="1" s="222"/>
    <row r="687" ht="24.75" customHeight="1" s="222"/>
    <row r="688" ht="24.75" customHeight="1" s="222"/>
    <row r="689" ht="24.75" customHeight="1" s="222"/>
    <row r="690" ht="24.75" customHeight="1" s="222"/>
    <row r="691" ht="24.75" customHeight="1" s="222"/>
    <row r="692" ht="24.75" customHeight="1" s="222"/>
    <row r="693" ht="24.75" customHeight="1" s="222"/>
    <row r="694" ht="24.75" customHeight="1" s="222"/>
    <row r="695" ht="24.75" customHeight="1" s="222"/>
    <row r="696" ht="24.75" customHeight="1" s="222"/>
    <row r="697" ht="24.75" customHeight="1" s="222"/>
    <row r="698" ht="24.75" customHeight="1" s="222"/>
    <row r="699" ht="24.75" customHeight="1" s="222"/>
    <row r="700" ht="24.75" customHeight="1" s="222"/>
    <row r="701" ht="24.75" customHeight="1" s="222"/>
    <row r="702" ht="24.75" customHeight="1" s="222"/>
    <row r="703" ht="24.75" customHeight="1" s="222"/>
    <row r="704" ht="24.75" customHeight="1" s="222"/>
    <row r="705" ht="24.75" customHeight="1" s="222"/>
    <row r="706" ht="24.75" customHeight="1" s="222"/>
    <row r="707" ht="24.75" customHeight="1" s="222"/>
    <row r="708" ht="24.75" customHeight="1" s="222"/>
    <row r="709" ht="24.75" customHeight="1" s="222"/>
    <row r="710" ht="24.75" customHeight="1" s="222"/>
    <row r="711" ht="24.75" customHeight="1" s="222"/>
    <row r="712" ht="24.75" customHeight="1" s="222"/>
    <row r="713" ht="24.75" customHeight="1" s="222"/>
    <row r="714" ht="24.75" customHeight="1" s="222"/>
    <row r="715" ht="24.75" customHeight="1" s="222"/>
    <row r="716" ht="24.75" customHeight="1" s="222"/>
    <row r="717" ht="24.75" customHeight="1" s="222"/>
    <row r="718" ht="24.75" customHeight="1" s="222"/>
    <row r="719" ht="24.75" customHeight="1" s="222"/>
    <row r="720" ht="24.75" customHeight="1" s="222"/>
    <row r="721" ht="24.75" customHeight="1" s="222"/>
    <row r="722" ht="24.75" customHeight="1" s="222"/>
    <row r="723" ht="24.75" customHeight="1" s="222"/>
    <row r="724" ht="24.75" customHeight="1" s="222"/>
    <row r="725" ht="24.75" customHeight="1" s="222"/>
    <row r="726" ht="24.75" customHeight="1" s="222"/>
    <row r="727" ht="24.75" customHeight="1" s="222"/>
    <row r="728" ht="24.75" customHeight="1" s="222"/>
    <row r="729" ht="24.75" customHeight="1" s="222"/>
    <row r="730" ht="24.75" customHeight="1" s="222"/>
    <row r="731" ht="24.75" customHeight="1" s="222"/>
    <row r="732" ht="24.75" customHeight="1" s="222"/>
    <row r="733" ht="24.75" customHeight="1" s="222"/>
    <row r="734" ht="24.75" customHeight="1" s="222"/>
    <row r="735" ht="24.75" customHeight="1" s="222"/>
    <row r="736" ht="24.75" customHeight="1" s="222"/>
    <row r="737" ht="24.75" customHeight="1" s="222"/>
    <row r="738" ht="24.75" customHeight="1" s="222"/>
    <row r="739" ht="24.75" customHeight="1" s="222"/>
    <row r="740" ht="24.75" customHeight="1" s="222"/>
    <row r="741" ht="24.75" customHeight="1" s="222"/>
    <row r="742" ht="24.75" customHeight="1" s="222"/>
    <row r="743" ht="24.75" customHeight="1" s="222"/>
    <row r="744" ht="24.75" customHeight="1" s="222"/>
    <row r="745" ht="24.75" customHeight="1" s="222"/>
    <row r="746" ht="24.75" customHeight="1" s="222"/>
    <row r="747" ht="24.75" customHeight="1" s="222"/>
    <row r="748" ht="24.75" customHeight="1" s="222"/>
    <row r="749" ht="24.75" customHeight="1" s="222"/>
    <row r="750" ht="24.75" customHeight="1" s="222"/>
    <row r="751" ht="24.75" customHeight="1" s="222"/>
    <row r="752" ht="24.75" customHeight="1" s="222"/>
    <row r="753" ht="24.75" customHeight="1" s="222"/>
    <row r="754" ht="24.75" customHeight="1" s="222"/>
    <row r="755" ht="24.75" customHeight="1" s="222"/>
    <row r="756" ht="24.75" customHeight="1" s="222"/>
    <row r="757" ht="24.75" customHeight="1" s="222"/>
    <row r="758" ht="24.75" customHeight="1" s="222"/>
    <row r="759" ht="24.75" customHeight="1" s="222"/>
    <row r="760" ht="24.75" customHeight="1" s="222"/>
    <row r="761" ht="24.75" customHeight="1" s="222"/>
    <row r="762" ht="24.75" customHeight="1" s="222"/>
    <row r="763" ht="24.75" customHeight="1" s="222"/>
    <row r="764" ht="24.75" customHeight="1" s="222"/>
    <row r="765" ht="24.75" customHeight="1" s="222"/>
    <row r="766" ht="24.75" customHeight="1" s="222"/>
    <row r="767" ht="24.75" customHeight="1" s="222"/>
    <row r="768" ht="24.75" customHeight="1" s="222"/>
    <row r="769" ht="24.75" customHeight="1" s="222"/>
    <row r="770" ht="24.75" customHeight="1" s="222"/>
    <row r="771" ht="24.75" customHeight="1" s="222"/>
    <row r="772" ht="24.75" customHeight="1" s="222"/>
    <row r="773" ht="24.75" customHeight="1" s="222"/>
    <row r="774" ht="24.75" customHeight="1" s="222"/>
    <row r="775" ht="24.75" customHeight="1" s="222"/>
    <row r="776" ht="24.75" customHeight="1" s="222"/>
    <row r="777" ht="24.75" customHeight="1" s="222"/>
    <row r="778" ht="24.75" customHeight="1" s="222"/>
    <row r="779" ht="24.75" customHeight="1" s="222"/>
    <row r="780" ht="24.75" customHeight="1" s="222"/>
    <row r="781" ht="24.75" customHeight="1" s="222"/>
    <row r="782" ht="24.75" customHeight="1" s="222"/>
    <row r="783" ht="24.75" customHeight="1" s="222"/>
    <row r="784" ht="24.75" customHeight="1" s="222"/>
    <row r="785" ht="24.75" customHeight="1" s="222"/>
    <row r="786" ht="24.75" customHeight="1" s="222"/>
    <row r="787" ht="24.75" customHeight="1" s="222"/>
    <row r="788" ht="24.75" customHeight="1" s="222"/>
    <row r="789" ht="24.75" customHeight="1" s="222"/>
    <row r="790" ht="24.75" customHeight="1" s="222"/>
    <row r="791" ht="24.75" customHeight="1" s="222"/>
    <row r="792" ht="24.75" customHeight="1" s="222"/>
    <row r="793" ht="24.75" customHeight="1" s="222"/>
    <row r="794" ht="24.75" customHeight="1" s="222"/>
    <row r="795" ht="24.75" customHeight="1" s="222"/>
    <row r="796" ht="24.75" customHeight="1" s="222"/>
    <row r="797" ht="24.75" customHeight="1" s="222"/>
    <row r="798" ht="24.75" customHeight="1" s="222"/>
    <row r="799" ht="24.75" customHeight="1" s="222"/>
    <row r="800" ht="24.75" customHeight="1" s="222"/>
    <row r="801" ht="24.75" customHeight="1" s="222"/>
    <row r="802" ht="24.75" customHeight="1" s="222"/>
    <row r="803" ht="24.75" customHeight="1" s="222"/>
    <row r="804" ht="24.75" customHeight="1" s="222"/>
    <row r="805" ht="24.75" customHeight="1" s="222"/>
    <row r="806" ht="24.75" customHeight="1" s="222"/>
    <row r="807" ht="24.75" customHeight="1" s="222"/>
    <row r="808" ht="24.75" customHeight="1" s="222"/>
    <row r="809" ht="24.75" customHeight="1" s="222"/>
    <row r="810" ht="24.75" customHeight="1" s="222"/>
    <row r="811" ht="24.75" customHeight="1" s="222"/>
    <row r="812" ht="24.75" customHeight="1" s="222"/>
    <row r="813" ht="24.75" customHeight="1" s="222"/>
    <row r="814" ht="24.75" customHeight="1" s="222"/>
    <row r="815" ht="24.75" customHeight="1" s="222"/>
    <row r="816" ht="24.75" customHeight="1" s="222"/>
    <row r="817" ht="24.75" customHeight="1" s="222"/>
    <row r="818" ht="24.75" customHeight="1" s="222"/>
    <row r="819" ht="24.75" customHeight="1" s="222"/>
    <row r="820" ht="24.75" customHeight="1" s="222"/>
    <row r="821" ht="24.75" customHeight="1" s="222"/>
    <row r="822" ht="24.75" customHeight="1" s="222"/>
    <row r="823" ht="24.75" customHeight="1" s="222"/>
    <row r="824" ht="24.75" customHeight="1" s="222"/>
    <row r="825" ht="24.75" customHeight="1" s="222"/>
    <row r="826" ht="24.75" customHeight="1" s="222"/>
    <row r="827" ht="24.75" customHeight="1" s="222"/>
    <row r="828" ht="24.75" customHeight="1" s="222"/>
    <row r="829" ht="24.75" customHeight="1" s="222"/>
    <row r="830" ht="24.75" customHeight="1" s="222"/>
    <row r="831" ht="24.75" customHeight="1" s="222"/>
    <row r="832" ht="24.75" customHeight="1" s="222"/>
    <row r="833" ht="24.75" customHeight="1" s="222"/>
    <row r="834" ht="24.75" customHeight="1" s="222"/>
    <row r="835" ht="24.75" customHeight="1" s="222"/>
    <row r="836" ht="24.75" customHeight="1" s="222"/>
    <row r="837" ht="24.75" customHeight="1" s="222"/>
    <row r="838" ht="24.75" customHeight="1" s="222"/>
    <row r="839" ht="24.75" customHeight="1" s="222"/>
    <row r="840" ht="24.75" customHeight="1" s="222"/>
    <row r="841" ht="24.75" customHeight="1" s="222"/>
    <row r="842" ht="24.75" customHeight="1" s="222"/>
    <row r="843" ht="24.75" customHeight="1" s="222"/>
    <row r="844" ht="24.75" customHeight="1" s="222"/>
    <row r="845" ht="24.75" customHeight="1" s="222"/>
    <row r="846" ht="24.75" customHeight="1" s="222"/>
    <row r="847" ht="24.75" customHeight="1" s="222"/>
    <row r="848" ht="24.75" customHeight="1" s="222"/>
    <row r="849" ht="24.75" customHeight="1" s="222"/>
    <row r="850" ht="24.75" customHeight="1" s="222"/>
    <row r="851" ht="24.75" customHeight="1" s="222"/>
    <row r="852" ht="24.75" customHeight="1" s="222"/>
    <row r="853" ht="24.75" customHeight="1" s="222"/>
    <row r="854" ht="24.75" customHeight="1" s="222"/>
    <row r="855" ht="24.75" customHeight="1" s="222"/>
    <row r="856" ht="24.75" customHeight="1" s="222"/>
    <row r="857" ht="24.75" customHeight="1" s="222"/>
    <row r="858" ht="24.75" customHeight="1" s="222"/>
    <row r="859" ht="24.75" customHeight="1" s="222"/>
    <row r="860" ht="24.75" customHeight="1" s="222"/>
    <row r="861" ht="24.75" customHeight="1" s="222"/>
    <row r="862" ht="24.75" customHeight="1" s="222"/>
    <row r="863" ht="24.75" customHeight="1" s="222"/>
    <row r="864" ht="24.75" customHeight="1" s="222"/>
    <row r="865" ht="24.75" customHeight="1" s="222"/>
    <row r="866" ht="24.75" customHeight="1" s="222"/>
    <row r="867" ht="24.75" customHeight="1" s="222"/>
    <row r="868" ht="24.75" customHeight="1" s="222"/>
    <row r="869" ht="24.75" customHeight="1" s="222"/>
    <row r="870" ht="24.75" customHeight="1" s="222"/>
    <row r="871" ht="24.75" customHeight="1" s="222"/>
    <row r="872" ht="24.75" customHeight="1" s="222"/>
    <row r="873" ht="24.75" customHeight="1" s="222"/>
    <row r="874" ht="24.75" customHeight="1" s="222"/>
    <row r="875" ht="24.75" customHeight="1" s="222"/>
    <row r="876" ht="24.75" customHeight="1" s="222"/>
    <row r="877" ht="24.75" customHeight="1" s="222"/>
    <row r="878" ht="24.75" customHeight="1" s="222"/>
    <row r="879" ht="24.75" customHeight="1" s="222"/>
    <row r="880" ht="24.75" customHeight="1" s="222"/>
    <row r="881" ht="24.75" customHeight="1" s="222"/>
    <row r="882" ht="24.75" customHeight="1" s="222"/>
    <row r="883" ht="24.75" customHeight="1" s="222"/>
    <row r="884" ht="24.75" customHeight="1" s="222"/>
    <row r="885" ht="24.75" customHeight="1" s="222"/>
    <row r="886" ht="24.75" customHeight="1" s="222"/>
    <row r="887" ht="24.75" customHeight="1" s="222"/>
    <row r="888" ht="24.75" customHeight="1" s="222"/>
    <row r="889" ht="24.75" customHeight="1" s="222"/>
    <row r="890" ht="24.75" customHeight="1" s="222"/>
    <row r="891" ht="24.75" customHeight="1" s="222"/>
    <row r="892" ht="24.75" customHeight="1" s="222"/>
    <row r="893" ht="24.75" customHeight="1" s="222"/>
    <row r="894" ht="24.75" customHeight="1" s="222"/>
    <row r="895" ht="24.75" customHeight="1" s="222"/>
    <row r="896" ht="24.75" customHeight="1" s="222"/>
    <row r="897" ht="24.75" customHeight="1" s="222"/>
    <row r="898" ht="24.75" customHeight="1" s="222"/>
    <row r="899" ht="24.75" customHeight="1" s="222"/>
    <row r="900" ht="24.75" customHeight="1" s="222"/>
    <row r="901" ht="24.75" customHeight="1" s="222"/>
    <row r="902" ht="24.75" customHeight="1" s="222"/>
    <row r="903" ht="24.75" customHeight="1" s="222"/>
    <row r="904" ht="24.75" customHeight="1" s="222"/>
    <row r="905" ht="24.75" customHeight="1" s="222"/>
    <row r="906" ht="24.75" customHeight="1" s="222"/>
    <row r="907" ht="24.75" customHeight="1" s="222"/>
    <row r="908" ht="24.75" customHeight="1" s="222"/>
    <row r="909" ht="24.75" customHeight="1" s="222"/>
    <row r="910" ht="24.75" customHeight="1" s="222"/>
    <row r="911" ht="24.75" customHeight="1" s="222"/>
    <row r="912" ht="24.75" customHeight="1" s="222"/>
    <row r="913" ht="24.75" customHeight="1" s="222"/>
    <row r="914" ht="24.75" customHeight="1" s="222"/>
    <row r="915" ht="24.75" customHeight="1" s="222"/>
    <row r="916" ht="24.75" customHeight="1" s="222"/>
    <row r="917" ht="24.75" customHeight="1" s="222"/>
    <row r="918" ht="24.75" customHeight="1" s="222"/>
    <row r="919" ht="24.75" customHeight="1" s="222"/>
    <row r="920" ht="24.75" customHeight="1" s="222"/>
    <row r="921" ht="24.75" customHeight="1" s="222"/>
    <row r="922" ht="24.75" customHeight="1" s="222"/>
    <row r="923" ht="24.75" customHeight="1" s="222"/>
    <row r="924" ht="24.75" customHeight="1" s="222"/>
    <row r="925" ht="24.75" customHeight="1" s="222"/>
    <row r="926" ht="24.75" customHeight="1" s="222"/>
    <row r="927" ht="24.75" customHeight="1" s="222"/>
    <row r="928" ht="24.75" customHeight="1" s="222"/>
    <row r="929" ht="24.75" customHeight="1" s="222"/>
    <row r="930" ht="24.75" customHeight="1" s="222"/>
    <row r="931" ht="24.75" customHeight="1" s="222"/>
    <row r="932" ht="24.75" customHeight="1" s="222"/>
    <row r="933" ht="24.75" customHeight="1" s="222"/>
    <row r="934" ht="24.75" customHeight="1" s="222"/>
    <row r="935" ht="24.75" customHeight="1" s="222"/>
    <row r="936" ht="24.75" customHeight="1" s="222"/>
    <row r="937" ht="24.75" customHeight="1" s="222"/>
    <row r="938" ht="24.75" customHeight="1" s="222"/>
    <row r="939" ht="24.75" customHeight="1" s="222"/>
    <row r="940" ht="24.75" customHeight="1" s="222"/>
    <row r="941" ht="24.75" customHeight="1" s="222"/>
    <row r="942" ht="24.75" customHeight="1" s="222"/>
    <row r="943" ht="24.75" customHeight="1" s="222"/>
    <row r="944" ht="24.75" customHeight="1" s="222"/>
    <row r="945" ht="24.75" customHeight="1" s="222"/>
    <row r="946" ht="24.75" customHeight="1" s="222"/>
    <row r="947" ht="24.75" customHeight="1" s="222"/>
    <row r="948" ht="24.75" customHeight="1" s="222"/>
    <row r="949" ht="24.75" customHeight="1" s="222"/>
    <row r="950" ht="24.75" customHeight="1" s="222"/>
    <row r="951" ht="24.75" customHeight="1" s="222"/>
    <row r="952" ht="24.75" customHeight="1" s="222"/>
    <row r="953" ht="24.75" customHeight="1" s="222"/>
    <row r="954" ht="24.75" customHeight="1" s="222"/>
    <row r="955" ht="24.75" customHeight="1" s="222"/>
    <row r="956" ht="24.75" customHeight="1" s="222"/>
    <row r="957" ht="24.75" customHeight="1" s="222"/>
    <row r="958" ht="24.75" customHeight="1" s="222"/>
    <row r="959" ht="24.75" customHeight="1" s="222"/>
    <row r="960" ht="24.75" customHeight="1" s="222"/>
    <row r="961" ht="24.75" customHeight="1" s="222"/>
    <row r="962" ht="24.75" customHeight="1" s="222"/>
    <row r="963" ht="24.75" customHeight="1" s="222"/>
    <row r="964" ht="24.75" customHeight="1" s="222"/>
    <row r="965" ht="24.75" customHeight="1" s="222"/>
    <row r="966" ht="24.75" customHeight="1" s="222"/>
    <row r="967" ht="24.75" customHeight="1" s="222"/>
    <row r="968" ht="24.75" customHeight="1" s="222"/>
    <row r="969" ht="24.75" customHeight="1" s="222"/>
    <row r="970" ht="24.75" customHeight="1" s="222"/>
    <row r="971" ht="24.75" customHeight="1" s="222"/>
    <row r="972" ht="24.75" customHeight="1" s="222"/>
    <row r="973" ht="24.75" customHeight="1" s="222"/>
    <row r="974" ht="24.75" customHeight="1" s="222"/>
    <row r="975" ht="24.75" customHeight="1" s="222"/>
    <row r="976" ht="24.75" customHeight="1" s="222"/>
    <row r="977" ht="24.75" customHeight="1" s="222"/>
    <row r="978" ht="24.75" customHeight="1" s="222"/>
    <row r="979" ht="24.75" customHeight="1" s="222"/>
    <row r="980" ht="24.75" customHeight="1" s="222"/>
    <row r="981" ht="24.75" customHeight="1" s="222"/>
    <row r="982" ht="24.75" customHeight="1" s="222"/>
    <row r="983" ht="24.75" customHeight="1" s="222"/>
    <row r="984" ht="24.75" customHeight="1" s="222"/>
    <row r="985" ht="24.75" customHeight="1" s="222"/>
    <row r="986" ht="24.75" customHeight="1" s="222"/>
    <row r="987" ht="24.75" customHeight="1" s="222"/>
    <row r="988" ht="24.75" customHeight="1" s="222"/>
    <row r="989" ht="24.75" customHeight="1" s="222"/>
    <row r="990" ht="24.75" customHeight="1" s="222"/>
    <row r="991" ht="24.75" customHeight="1" s="222"/>
    <row r="992" ht="24.75" customHeight="1" s="222"/>
    <row r="993" ht="24.75" customHeight="1" s="222"/>
    <row r="994" ht="24.75" customHeight="1" s="222"/>
    <row r="995" ht="24.75" customHeight="1" s="222"/>
    <row r="996" ht="24.75" customHeight="1" s="222"/>
    <row r="997" ht="24.75" customHeight="1" s="222"/>
    <row r="998" ht="24.75" customHeight="1" s="222"/>
    <row r="999" ht="24.75" customHeight="1" s="222"/>
    <row r="1000" ht="24.75" customHeight="1" s="222"/>
  </sheetData>
  <mergeCells count="1">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6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8" customWidth="1" style="222" min="1" max="1"/>
    <col width="12" customWidth="1" style="222" min="2" max="2"/>
    <col width="26" customWidth="1" style="222" min="3" max="3"/>
    <col width="10" customWidth="1" style="222" min="4" max="4"/>
    <col width="8" customWidth="1" style="222" min="5" max="5"/>
    <col width="9" customWidth="1" style="222" min="6" max="6"/>
    <col width="9" customWidth="1" style="222" min="7" max="7"/>
    <col width="11" customWidth="1" style="222" min="8" max="8"/>
    <col width="10" customWidth="1" style="222" min="9" max="9"/>
    <col width="8" customWidth="1" style="222" min="10" max="10"/>
    <col width="9" customWidth="1" style="222" min="11" max="11"/>
    <col width="12" customWidth="1" style="222" min="12" max="12"/>
    <col width="14" customWidth="1" style="222" min="13" max="13"/>
    <col width="28" customWidth="1" style="222" min="14" max="14"/>
    <col width="60" customWidth="1" style="222" min="15" max="15"/>
  </cols>
  <sheetData>
    <row r="1">
      <c r="A1" s="223" t="inlineStr">
        <is>
          <t>Account</t>
        </is>
      </c>
      <c r="B1" s="223" t="inlineStr">
        <is>
          <t>Account Type</t>
        </is>
      </c>
      <c r="C1" s="223" t="inlineStr">
        <is>
          <t>TAM Class</t>
        </is>
      </c>
      <c r="D1" s="223" t="inlineStr">
        <is>
          <t>Rooms/Beds</t>
        </is>
      </c>
      <c r="E1" s="223" t="inlineStr">
        <is>
          <t>Seats</t>
        </is>
      </c>
      <c r="F1" s="223" t="inlineStr">
        <is>
          <t>Occupancy %</t>
        </is>
      </c>
      <c r="G1" s="223" t="inlineStr">
        <is>
          <t>Turnover</t>
        </is>
      </c>
      <c r="H1" s="223" t="inlineStr">
        <is>
          <t>Valet Conv %</t>
        </is>
      </c>
      <c r="I1" s="223" t="inlineStr">
        <is>
          <t>Valet Rate</t>
        </is>
      </c>
      <c r="J1" s="223" t="inlineStr">
        <is>
          <t>Op Days</t>
        </is>
      </c>
      <c r="K1" s="223" t="inlineStr">
        <is>
          <t>Peak Mod</t>
        </is>
      </c>
      <c r="L1" s="223" t="inlineStr">
        <is>
          <t>Daily Rev</t>
        </is>
      </c>
      <c r="M1" s="223" t="inlineStr">
        <is>
          <t>TAM</t>
        </is>
      </c>
      <c r="N1" s="223" t="inlineStr">
        <is>
          <t>TAM Status</t>
        </is>
      </c>
      <c r="O1" s="223" t="inlineStr">
        <is>
          <t>Notes / Source</t>
        </is>
      </c>
    </row>
    <row r="2">
      <c r="A2" s="0" t="inlineStr">
        <is>
          <t>Kenect Phoenix</t>
        </is>
      </c>
      <c r="B2" s="0" t="inlineStr">
        <is>
          <t>Apartment</t>
        </is>
      </c>
      <c r="C2" s="224" t="inlineStr">
        <is>
          <t>Unknown type: Apartment</t>
        </is>
      </c>
      <c r="D2" s="0" t="inlineStr"/>
      <c r="E2" s="0" t="inlineStr"/>
      <c r="F2" s="0" t="inlineStr"/>
      <c r="G2" s="0" t="inlineStr"/>
      <c r="H2" s="0" t="inlineStr"/>
      <c r="I2" s="0" t="inlineStr"/>
      <c r="J2" s="0" t="inlineStr"/>
      <c r="K2" s="0" t="inlineStr"/>
      <c r="L2" s="0" t="inlineStr"/>
      <c r="M2" s="0" t="inlineStr"/>
      <c r="N2" s="0" t="inlineStr">
        <is>
          <t>REVIEW</t>
        </is>
      </c>
      <c r="O2" s="0" t="inlineStr"/>
    </row>
    <row r="3">
      <c r="A3" s="0" t="inlineStr">
        <is>
          <t>Sentral Sol Modern</t>
        </is>
      </c>
      <c r="B3" s="0" t="inlineStr">
        <is>
          <t>Apartment/Hotel</t>
        </is>
      </c>
      <c r="C3" s="225" t="inlineStr">
        <is>
          <t>Hotel — Downtown Select-Service</t>
        </is>
      </c>
      <c r="D3" s="0" t="inlineStr"/>
      <c r="E3" s="0" t="inlineStr"/>
      <c r="F3" s="226" t="n">
        <v>0.6</v>
      </c>
      <c r="G3" s="0" t="inlineStr"/>
      <c r="H3" s="226" t="n">
        <v>0.25</v>
      </c>
      <c r="I3" s="0" t="inlineStr"/>
      <c r="J3" s="0" t="n">
        <v>360</v>
      </c>
      <c r="K3" s="0" t="inlineStr"/>
      <c r="L3" s="0" t="inlineStr"/>
      <c r="M3" s="0" t="inlineStr"/>
      <c r="N3" s="0" t="inlineStr">
        <is>
          <t>No Valet / TAM = $0</t>
        </is>
      </c>
      <c r="O3" s="0" t="inlineStr">
        <is>
          <t>Hotel has no valet (rate field: 'No Valet'). Auto-class: downtown full-service &lt;300 rooms. Qualitative pipeline only.</t>
        </is>
      </c>
    </row>
    <row r="4">
      <c r="A4" s="0" t="inlineStr">
        <is>
          <t>Sentral Alloy Midtown</t>
        </is>
      </c>
      <c r="B4" s="0" t="inlineStr">
        <is>
          <t>Apartment/Hotel</t>
        </is>
      </c>
      <c r="C4" s="225" t="inlineStr">
        <is>
          <t>Hotel — Suburban/Airport</t>
        </is>
      </c>
      <c r="D4" s="0" t="inlineStr"/>
      <c r="E4" s="0" t="inlineStr"/>
      <c r="F4" s="226" t="n">
        <v>0.6</v>
      </c>
      <c r="G4" s="0" t="inlineStr"/>
      <c r="H4" s="226" t="n">
        <v>0.15</v>
      </c>
      <c r="I4" s="0" t="inlineStr"/>
      <c r="J4" s="0" t="n">
        <v>360</v>
      </c>
      <c r="K4" s="0" t="inlineStr"/>
      <c r="L4" s="0" t="inlineStr"/>
      <c r="M4" s="0" t="inlineStr"/>
      <c r="N4" s="0" t="inlineStr">
        <is>
          <t>No Valet / TAM = $0</t>
        </is>
      </c>
      <c r="O4" s="0" t="inlineStr">
        <is>
          <t>Hotel has no valet (rate field: 'No Valet'). Auto-class: not downtown (by flag or name). Qualitative pipeline only.</t>
        </is>
      </c>
    </row>
    <row r="5">
      <c r="A5" s="0" t="inlineStr">
        <is>
          <t>Chateau Luxe Event Venue</t>
        </is>
      </c>
      <c r="B5" s="0" t="inlineStr">
        <is>
          <t>Event</t>
        </is>
      </c>
      <c r="C5" s="224" t="inlineStr">
        <is>
          <t>Unknown type: Event</t>
        </is>
      </c>
      <c r="D5" s="0" t="inlineStr"/>
      <c r="E5" s="0" t="inlineStr"/>
      <c r="F5" s="0" t="inlineStr"/>
      <c r="G5" s="0" t="inlineStr"/>
      <c r="H5" s="0" t="inlineStr"/>
      <c r="I5" s="0" t="inlineStr"/>
      <c r="J5" s="0" t="inlineStr"/>
      <c r="K5" s="0" t="inlineStr"/>
      <c r="L5" s="0" t="inlineStr"/>
      <c r="M5" s="0" t="inlineStr"/>
      <c r="N5" s="0" t="inlineStr">
        <is>
          <t>REVIEW</t>
        </is>
      </c>
      <c r="O5" s="0" t="inlineStr"/>
    </row>
    <row r="6">
      <c r="A6" s="0" t="inlineStr">
        <is>
          <t>Warehouse215</t>
        </is>
      </c>
      <c r="B6" s="0" t="inlineStr">
        <is>
          <t>Event</t>
        </is>
      </c>
      <c r="C6" s="224" t="inlineStr">
        <is>
          <t>Unknown type: Event</t>
        </is>
      </c>
      <c r="D6" s="0" t="inlineStr"/>
      <c r="E6" s="0" t="inlineStr"/>
      <c r="F6" s="0" t="inlineStr"/>
      <c r="G6" s="0" t="inlineStr"/>
      <c r="H6" s="0" t="inlineStr"/>
      <c r="I6" s="0" t="inlineStr"/>
      <c r="J6" s="0" t="inlineStr"/>
      <c r="K6" s="0" t="inlineStr"/>
      <c r="L6" s="0" t="inlineStr"/>
      <c r="M6" s="0" t="inlineStr"/>
      <c r="N6" s="0" t="inlineStr">
        <is>
          <t>REVIEW</t>
        </is>
      </c>
      <c r="O6" s="0" t="inlineStr"/>
    </row>
    <row r="7">
      <c r="A7" s="0" t="inlineStr">
        <is>
          <t>435 Collective</t>
        </is>
      </c>
      <c r="B7" s="0" t="inlineStr">
        <is>
          <t>Event</t>
        </is>
      </c>
      <c r="C7" s="224" t="inlineStr">
        <is>
          <t>Unknown type: Event</t>
        </is>
      </c>
      <c r="D7" s="0" t="inlineStr"/>
      <c r="E7" s="0" t="inlineStr"/>
      <c r="F7" s="0" t="inlineStr"/>
      <c r="G7" s="0" t="inlineStr"/>
      <c r="H7" s="0" t="inlineStr"/>
      <c r="I7" s="0" t="inlineStr"/>
      <c r="J7" s="0" t="inlineStr"/>
      <c r="K7" s="0" t="inlineStr"/>
      <c r="L7" s="0" t="inlineStr"/>
      <c r="M7" s="0" t="inlineStr"/>
      <c r="N7" s="0" t="inlineStr">
        <is>
          <t>REVIEW</t>
        </is>
      </c>
      <c r="O7" s="0" t="inlineStr"/>
    </row>
    <row r="8">
      <c r="A8" s="0" t="inlineStr">
        <is>
          <t>The Boho Space</t>
        </is>
      </c>
      <c r="B8" s="0" t="inlineStr">
        <is>
          <t>Event</t>
        </is>
      </c>
      <c r="C8" s="224" t="inlineStr">
        <is>
          <t>Unknown type: Event</t>
        </is>
      </c>
      <c r="D8" s="0" t="inlineStr"/>
      <c r="E8" s="0" t="inlineStr"/>
      <c r="F8" s="0" t="inlineStr"/>
      <c r="G8" s="0" t="inlineStr"/>
      <c r="H8" s="0" t="inlineStr"/>
      <c r="I8" s="0" t="inlineStr"/>
      <c r="J8" s="0" t="inlineStr"/>
      <c r="K8" s="0" t="inlineStr"/>
      <c r="L8" s="0" t="inlineStr"/>
      <c r="M8" s="0" t="inlineStr"/>
      <c r="N8" s="0" t="inlineStr">
        <is>
          <t>REVIEW</t>
        </is>
      </c>
      <c r="O8" s="0" t="inlineStr"/>
    </row>
    <row r="9">
      <c r="A9" s="0" t="inlineStr">
        <is>
          <t>The Teapot</t>
        </is>
      </c>
      <c r="B9" s="0" t="inlineStr">
        <is>
          <t>Event</t>
        </is>
      </c>
      <c r="C9" s="224" t="inlineStr">
        <is>
          <t>Unknown type: Event</t>
        </is>
      </c>
      <c r="D9" s="0" t="inlineStr"/>
      <c r="E9" s="0" t="inlineStr"/>
      <c r="F9" s="0" t="inlineStr"/>
      <c r="G9" s="0" t="inlineStr"/>
      <c r="H9" s="0" t="inlineStr"/>
      <c r="I9" s="0" t="inlineStr"/>
      <c r="J9" s="0" t="inlineStr"/>
      <c r="K9" s="0" t="inlineStr"/>
      <c r="L9" s="0" t="inlineStr"/>
      <c r="M9" s="0" t="inlineStr"/>
      <c r="N9" s="0" t="inlineStr">
        <is>
          <t>REVIEW</t>
        </is>
      </c>
      <c r="O9" s="0" t="inlineStr"/>
    </row>
    <row r="10">
      <c r="A10" s="0" t="inlineStr">
        <is>
          <t>monOrchid</t>
        </is>
      </c>
      <c r="B10" s="0" t="inlineStr">
        <is>
          <t>Event</t>
        </is>
      </c>
      <c r="C10" s="224" t="inlineStr">
        <is>
          <t>Unknown type: Event</t>
        </is>
      </c>
      <c r="D10" s="0" t="inlineStr"/>
      <c r="E10" s="0" t="inlineStr"/>
      <c r="F10" s="0" t="inlineStr"/>
      <c r="G10" s="0" t="inlineStr"/>
      <c r="H10" s="0" t="inlineStr"/>
      <c r="I10" s="0" t="inlineStr"/>
      <c r="J10" s="0" t="inlineStr"/>
      <c r="K10" s="0" t="inlineStr"/>
      <c r="L10" s="0" t="inlineStr"/>
      <c r="M10" s="0" t="inlineStr"/>
      <c r="N10" s="0" t="inlineStr">
        <is>
          <t>REVIEW</t>
        </is>
      </c>
      <c r="O10" s="0" t="inlineStr"/>
    </row>
    <row r="11">
      <c r="A11" s="0" t="inlineStr">
        <is>
          <t>The Dauz Venue</t>
        </is>
      </c>
      <c r="B11" s="0" t="inlineStr">
        <is>
          <t>Event</t>
        </is>
      </c>
      <c r="C11" s="224" t="inlineStr">
        <is>
          <t>Unknown type: Event</t>
        </is>
      </c>
      <c r="D11" s="0" t="inlineStr"/>
      <c r="E11" s="0" t="inlineStr"/>
      <c r="F11" s="0" t="inlineStr"/>
      <c r="G11" s="0" t="inlineStr"/>
      <c r="H11" s="0" t="inlineStr"/>
      <c r="I11" s="0" t="inlineStr"/>
      <c r="J11" s="0" t="inlineStr"/>
      <c r="K11" s="0" t="inlineStr"/>
      <c r="L11" s="0" t="inlineStr"/>
      <c r="M11" s="0" t="inlineStr"/>
      <c r="N11" s="0" t="inlineStr">
        <is>
          <t>REVIEW</t>
        </is>
      </c>
      <c r="O11" s="0" t="inlineStr"/>
    </row>
    <row r="12">
      <c r="A12" s="0" t="inlineStr">
        <is>
          <t>Antigua Garden</t>
        </is>
      </c>
      <c r="B12" s="0" t="inlineStr">
        <is>
          <t>Event</t>
        </is>
      </c>
      <c r="C12" s="224" t="inlineStr">
        <is>
          <t>Unknown type: Event</t>
        </is>
      </c>
      <c r="D12" s="0" t="inlineStr"/>
      <c r="E12" s="0" t="inlineStr"/>
      <c r="F12" s="0" t="inlineStr"/>
      <c r="G12" s="0" t="inlineStr"/>
      <c r="H12" s="0" t="inlineStr"/>
      <c r="I12" s="0" t="inlineStr"/>
      <c r="J12" s="0" t="inlineStr"/>
      <c r="K12" s="0" t="inlineStr"/>
      <c r="L12" s="0" t="inlineStr"/>
      <c r="M12" s="0" t="inlineStr"/>
      <c r="N12" s="0" t="inlineStr">
        <is>
          <t>REVIEW</t>
        </is>
      </c>
      <c r="O12" s="0" t="inlineStr"/>
    </row>
    <row r="13">
      <c r="A13" s="0" t="inlineStr">
        <is>
          <t>The Icehouse</t>
        </is>
      </c>
      <c r="B13" s="0" t="inlineStr">
        <is>
          <t>Event</t>
        </is>
      </c>
      <c r="C13" s="224" t="inlineStr">
        <is>
          <t>Unknown type: Event</t>
        </is>
      </c>
      <c r="D13" s="0" t="inlineStr"/>
      <c r="E13" s="0" t="inlineStr"/>
      <c r="F13" s="0" t="inlineStr"/>
      <c r="G13" s="0" t="inlineStr"/>
      <c r="H13" s="0" t="inlineStr"/>
      <c r="I13" s="0" t="inlineStr"/>
      <c r="J13" s="0" t="inlineStr"/>
      <c r="K13" s="0" t="inlineStr"/>
      <c r="L13" s="0" t="inlineStr"/>
      <c r="M13" s="0" t="inlineStr"/>
      <c r="N13" s="0" t="inlineStr">
        <is>
          <t>REVIEW</t>
        </is>
      </c>
      <c r="O13" s="0" t="inlineStr"/>
    </row>
    <row r="14">
      <c r="A14" s="0" t="inlineStr">
        <is>
          <t>Encanto 18</t>
        </is>
      </c>
      <c r="B14" s="0" t="inlineStr">
        <is>
          <t>Event</t>
        </is>
      </c>
      <c r="C14" s="224" t="inlineStr">
        <is>
          <t>Unknown type: Event</t>
        </is>
      </c>
      <c r="D14" s="0" t="inlineStr"/>
      <c r="E14" s="0" t="inlineStr"/>
      <c r="F14" s="0" t="inlineStr"/>
      <c r="G14" s="0" t="inlineStr"/>
      <c r="H14" s="0" t="inlineStr"/>
      <c r="I14" s="0" t="inlineStr"/>
      <c r="J14" s="0" t="inlineStr"/>
      <c r="K14" s="0" t="inlineStr"/>
      <c r="L14" s="0" t="inlineStr"/>
      <c r="M14" s="0" t="inlineStr"/>
      <c r="N14" s="0" t="inlineStr">
        <is>
          <t>REVIEW</t>
        </is>
      </c>
      <c r="O14" s="0" t="inlineStr"/>
    </row>
    <row r="15">
      <c r="A15" s="0" t="inlineStr">
        <is>
          <t>The Duce</t>
        </is>
      </c>
      <c r="B15" s="0" t="inlineStr">
        <is>
          <t>Event</t>
        </is>
      </c>
      <c r="C15" s="224" t="inlineStr">
        <is>
          <t>Unknown type: Event</t>
        </is>
      </c>
      <c r="D15" s="0" t="inlineStr"/>
      <c r="E15" s="0" t="inlineStr"/>
      <c r="F15" s="0" t="inlineStr"/>
      <c r="G15" s="0" t="inlineStr"/>
      <c r="H15" s="0" t="inlineStr"/>
      <c r="I15" s="0" t="inlineStr"/>
      <c r="J15" s="0" t="inlineStr"/>
      <c r="K15" s="0" t="inlineStr"/>
      <c r="L15" s="0" t="inlineStr"/>
      <c r="M15" s="0" t="inlineStr"/>
      <c r="N15" s="0" t="inlineStr">
        <is>
          <t>REVIEW</t>
        </is>
      </c>
      <c r="O15" s="0" t="inlineStr"/>
    </row>
    <row r="16">
      <c r="A16" s="0" t="inlineStr">
        <is>
          <t>Wedgewood Weddings</t>
        </is>
      </c>
      <c r="B16" s="0" t="inlineStr">
        <is>
          <t>Event</t>
        </is>
      </c>
      <c r="C16" s="224" t="inlineStr">
        <is>
          <t>Unknown type: Event</t>
        </is>
      </c>
      <c r="D16" s="0" t="inlineStr"/>
      <c r="E16" s="0" t="inlineStr"/>
      <c r="F16" s="0" t="inlineStr"/>
      <c r="G16" s="0" t="inlineStr"/>
      <c r="H16" s="0" t="inlineStr"/>
      <c r="I16" s="0" t="inlineStr"/>
      <c r="J16" s="0" t="inlineStr"/>
      <c r="K16" s="0" t="inlineStr"/>
      <c r="L16" s="0" t="inlineStr"/>
      <c r="M16" s="0" t="inlineStr"/>
      <c r="N16" s="0" t="inlineStr">
        <is>
          <t>REVIEW</t>
        </is>
      </c>
      <c r="O16" s="0" t="inlineStr"/>
    </row>
    <row r="17">
      <c r="A17" s="0" t="inlineStr">
        <is>
          <t>The Legacy Ballroom</t>
        </is>
      </c>
      <c r="B17" s="0" t="inlineStr">
        <is>
          <t>Event</t>
        </is>
      </c>
      <c r="C17" s="224" t="inlineStr">
        <is>
          <t>Unknown type: Event</t>
        </is>
      </c>
      <c r="D17" s="0" t="inlineStr"/>
      <c r="E17" s="0" t="inlineStr"/>
      <c r="F17" s="0" t="inlineStr"/>
      <c r="G17" s="0" t="inlineStr"/>
      <c r="H17" s="0" t="inlineStr"/>
      <c r="I17" s="0" t="inlineStr"/>
      <c r="J17" s="0" t="inlineStr"/>
      <c r="K17" s="0" t="inlineStr"/>
      <c r="L17" s="0" t="inlineStr"/>
      <c r="M17" s="0" t="inlineStr"/>
      <c r="N17" s="0" t="inlineStr">
        <is>
          <t>REVIEW</t>
        </is>
      </c>
      <c r="O17" s="0" t="inlineStr"/>
    </row>
    <row r="18">
      <c r="A18" s="0" t="inlineStr">
        <is>
          <t>TPC Scottsdale</t>
        </is>
      </c>
      <c r="B18" s="0" t="inlineStr">
        <is>
          <t>Golf</t>
        </is>
      </c>
      <c r="C18" s="224" t="inlineStr">
        <is>
          <t>Unknown type: Golf</t>
        </is>
      </c>
      <c r="D18" s="0" t="inlineStr"/>
      <c r="E18" s="0" t="inlineStr"/>
      <c r="F18" s="0" t="inlineStr"/>
      <c r="G18" s="0" t="inlineStr"/>
      <c r="H18" s="0" t="inlineStr"/>
      <c r="I18" s="0" t="inlineStr"/>
      <c r="J18" s="0" t="inlineStr"/>
      <c r="K18" s="0" t="inlineStr"/>
      <c r="L18" s="0" t="inlineStr"/>
      <c r="M18" s="0" t="inlineStr"/>
      <c r="N18" s="0" t="inlineStr">
        <is>
          <t>REVIEW</t>
        </is>
      </c>
      <c r="O18" s="0" t="inlineStr"/>
    </row>
    <row r="19">
      <c r="A19" s="0" t="inlineStr">
        <is>
          <t>Raven Golf Club</t>
        </is>
      </c>
      <c r="B19" s="0" t="inlineStr">
        <is>
          <t>Golf</t>
        </is>
      </c>
      <c r="C19" s="224" t="inlineStr">
        <is>
          <t>Unknown type: Golf</t>
        </is>
      </c>
      <c r="D19" s="0" t="inlineStr"/>
      <c r="E19" s="0" t="inlineStr"/>
      <c r="F19" s="0" t="inlineStr"/>
      <c r="G19" s="0" t="inlineStr"/>
      <c r="H19" s="0" t="inlineStr"/>
      <c r="I19" s="0" t="inlineStr"/>
      <c r="J19" s="0" t="inlineStr"/>
      <c r="K19" s="0" t="inlineStr"/>
      <c r="L19" s="0" t="inlineStr"/>
      <c r="M19" s="0" t="inlineStr"/>
      <c r="N19" s="0" t="inlineStr">
        <is>
          <t>REVIEW</t>
        </is>
      </c>
      <c r="O19" s="0" t="inlineStr"/>
    </row>
    <row r="20">
      <c r="A20" s="0" t="inlineStr">
        <is>
          <t>Papago Golf Club</t>
        </is>
      </c>
      <c r="B20" s="0" t="inlineStr">
        <is>
          <t>Golf</t>
        </is>
      </c>
      <c r="C20" s="224" t="inlineStr">
        <is>
          <t>Unknown type: Golf</t>
        </is>
      </c>
      <c r="D20" s="0" t="inlineStr"/>
      <c r="E20" s="0" t="inlineStr"/>
      <c r="F20" s="0" t="inlineStr"/>
      <c r="G20" s="0" t="inlineStr"/>
      <c r="H20" s="0" t="inlineStr"/>
      <c r="I20" s="0" t="inlineStr"/>
      <c r="J20" s="0" t="inlineStr"/>
      <c r="K20" s="0" t="inlineStr"/>
      <c r="L20" s="0" t="inlineStr"/>
      <c r="M20" s="0" t="inlineStr"/>
      <c r="N20" s="0" t="inlineStr">
        <is>
          <t>REVIEW</t>
        </is>
      </c>
      <c r="O20" s="0" t="inlineStr"/>
    </row>
    <row r="21">
      <c r="A21" s="0" t="inlineStr">
        <is>
          <t>Reliance Hospitality</t>
        </is>
      </c>
      <c r="B21" s="0" t="inlineStr">
        <is>
          <t>Hospitality Group</t>
        </is>
      </c>
      <c r="C21" s="224" t="inlineStr">
        <is>
          <t>Hospital — Qualitative</t>
        </is>
      </c>
      <c r="D21" s="0" t="inlineStr"/>
      <c r="E21" s="0" t="inlineStr"/>
      <c r="F21" s="0" t="inlineStr"/>
      <c r="G21" s="0" t="inlineStr"/>
      <c r="H21" s="0" t="inlineStr"/>
      <c r="I21" s="0" t="inlineStr"/>
      <c r="J21" s="0" t="inlineStr"/>
      <c r="K21" s="0" t="inlineStr"/>
      <c r="L21" s="0" t="inlineStr"/>
      <c r="M21" s="0" t="inlineStr"/>
      <c r="N21" s="0" t="inlineStr">
        <is>
          <t>PIPELINE ONLY</t>
        </is>
      </c>
      <c r="O21" s="0" t="inlineStr">
        <is>
          <t>Hospital deals are RFP/profit-share; excluded from TAM until IU Health benchmark formalized</t>
        </is>
      </c>
    </row>
    <row r="22">
      <c r="A22" s="0" t="inlineStr">
        <is>
          <t>Integrity Lodging</t>
        </is>
      </c>
      <c r="B22" s="0" t="inlineStr">
        <is>
          <t>Hospitality Group</t>
        </is>
      </c>
      <c r="C22" s="224" t="inlineStr">
        <is>
          <t>Hospital — Qualitative</t>
        </is>
      </c>
      <c r="D22" s="0" t="inlineStr"/>
      <c r="E22" s="0" t="inlineStr"/>
      <c r="F22" s="0" t="inlineStr"/>
      <c r="G22" s="0" t="inlineStr"/>
      <c r="H22" s="0" t="inlineStr"/>
      <c r="I22" s="0" t="inlineStr"/>
      <c r="J22" s="0" t="inlineStr"/>
      <c r="K22" s="0" t="inlineStr"/>
      <c r="L22" s="0" t="inlineStr"/>
      <c r="M22" s="0" t="inlineStr"/>
      <c r="N22" s="0" t="inlineStr">
        <is>
          <t>PIPELINE ONLY</t>
        </is>
      </c>
      <c r="O22" s="0" t="inlineStr">
        <is>
          <t>Hospital deals are RFP/profit-share; excluded from TAM until IU Health benchmark formalized</t>
        </is>
      </c>
    </row>
    <row r="23">
      <c r="A23" s="0" t="inlineStr">
        <is>
          <t>Riot Hospitality Group</t>
        </is>
      </c>
      <c r="B23" s="0" t="inlineStr">
        <is>
          <t>Hospitality Group</t>
        </is>
      </c>
      <c r="C23" s="224" t="inlineStr">
        <is>
          <t>Hospital — Qualitative</t>
        </is>
      </c>
      <c r="D23" s="0" t="inlineStr"/>
      <c r="E23" s="0" t="inlineStr"/>
      <c r="F23" s="0" t="inlineStr"/>
      <c r="G23" s="0" t="inlineStr"/>
      <c r="H23" s="0" t="inlineStr"/>
      <c r="I23" s="0" t="inlineStr"/>
      <c r="J23" s="0" t="inlineStr"/>
      <c r="K23" s="0" t="inlineStr"/>
      <c r="L23" s="0" t="inlineStr"/>
      <c r="M23" s="0" t="inlineStr"/>
      <c r="N23" s="0" t="inlineStr">
        <is>
          <t>PIPELINE ONLY</t>
        </is>
      </c>
      <c r="O23" s="0" t="inlineStr">
        <is>
          <t>Hospital deals are RFP/profit-share; excluded from TAM until IU Health benchmark formalized</t>
        </is>
      </c>
    </row>
    <row r="24">
      <c r="A24" s="0" t="inlineStr">
        <is>
          <t>Heavlin Management Company (HMC)</t>
        </is>
      </c>
      <c r="B24" s="0" t="inlineStr">
        <is>
          <t>Hospitality Group</t>
        </is>
      </c>
      <c r="C24" s="224" t="inlineStr">
        <is>
          <t>Hospital — Qualitative</t>
        </is>
      </c>
      <c r="D24" s="0" t="inlineStr"/>
      <c r="E24" s="0" t="inlineStr"/>
      <c r="F24" s="0" t="inlineStr"/>
      <c r="G24" s="0" t="inlineStr"/>
      <c r="H24" s="0" t="inlineStr"/>
      <c r="I24" s="0" t="inlineStr"/>
      <c r="J24" s="0" t="inlineStr"/>
      <c r="K24" s="0" t="inlineStr"/>
      <c r="L24" s="0" t="inlineStr"/>
      <c r="M24" s="0" t="inlineStr"/>
      <c r="N24" s="0" t="inlineStr">
        <is>
          <t>PIPELINE ONLY</t>
        </is>
      </c>
      <c r="O24" s="0" t="inlineStr">
        <is>
          <t>Hospital deals are RFP/profit-share; excluded from TAM until IU Health benchmark formalized</t>
        </is>
      </c>
    </row>
    <row r="25">
      <c r="A25" s="0" t="inlineStr">
        <is>
          <t>Aligned Hospitality Management</t>
        </is>
      </c>
      <c r="B25" s="0" t="inlineStr">
        <is>
          <t>Hospitality Group</t>
        </is>
      </c>
      <c r="C25" s="224" t="inlineStr">
        <is>
          <t>Hospital — Qualitative</t>
        </is>
      </c>
      <c r="D25" s="0" t="inlineStr"/>
      <c r="E25" s="0" t="inlineStr"/>
      <c r="F25" s="0" t="inlineStr"/>
      <c r="G25" s="0" t="inlineStr"/>
      <c r="H25" s="0" t="inlineStr"/>
      <c r="I25" s="0" t="inlineStr"/>
      <c r="J25" s="0" t="inlineStr"/>
      <c r="K25" s="0" t="inlineStr"/>
      <c r="L25" s="0" t="inlineStr"/>
      <c r="M25" s="0" t="inlineStr"/>
      <c r="N25" s="0" t="inlineStr">
        <is>
          <t>PIPELINE ONLY</t>
        </is>
      </c>
      <c r="O25" s="0" t="inlineStr">
        <is>
          <t>Hospital deals are RFP/profit-share; excluded from TAM until IU Health benchmark formalized</t>
        </is>
      </c>
    </row>
    <row r="26">
      <c r="A26" s="0" t="inlineStr">
        <is>
          <t>Aimbridge Hospitality</t>
        </is>
      </c>
      <c r="B26" s="0" t="inlineStr">
        <is>
          <t>Hospitality Group</t>
        </is>
      </c>
      <c r="C26" s="224" t="inlineStr">
        <is>
          <t>Hospital — Qualitative</t>
        </is>
      </c>
      <c r="D26" s="0" t="inlineStr"/>
      <c r="E26" s="0" t="inlineStr"/>
      <c r="F26" s="0" t="inlineStr"/>
      <c r="G26" s="0" t="inlineStr"/>
      <c r="H26" s="0" t="inlineStr"/>
      <c r="I26" s="0" t="inlineStr"/>
      <c r="J26" s="0" t="inlineStr"/>
      <c r="K26" s="0" t="inlineStr"/>
      <c r="L26" s="0" t="inlineStr"/>
      <c r="M26" s="0" t="inlineStr"/>
      <c r="N26" s="0" t="inlineStr">
        <is>
          <t>PIPELINE ONLY</t>
        </is>
      </c>
      <c r="O26" s="0" t="inlineStr">
        <is>
          <t>Hospital deals are RFP/profit-share; excluded from TAM until IU Health benchmark formalized</t>
        </is>
      </c>
    </row>
    <row r="27">
      <c r="A27" s="0" t="inlineStr">
        <is>
          <t>Crescent Hotels &amp; Resorts</t>
        </is>
      </c>
      <c r="B27" s="0" t="inlineStr">
        <is>
          <t>Hospitality Group</t>
        </is>
      </c>
      <c r="C27" s="224" t="inlineStr">
        <is>
          <t>Hospital — Qualitative</t>
        </is>
      </c>
      <c r="D27" s="0" t="inlineStr"/>
      <c r="E27" s="0" t="inlineStr"/>
      <c r="F27" s="0" t="inlineStr"/>
      <c r="G27" s="0" t="inlineStr"/>
      <c r="H27" s="0" t="inlineStr"/>
      <c r="I27" s="0" t="inlineStr"/>
      <c r="J27" s="0" t="inlineStr"/>
      <c r="K27" s="0" t="inlineStr"/>
      <c r="L27" s="0" t="inlineStr"/>
      <c r="M27" s="0" t="inlineStr"/>
      <c r="N27" s="0" t="inlineStr">
        <is>
          <t>PIPELINE ONLY</t>
        </is>
      </c>
      <c r="O27" s="0" t="inlineStr">
        <is>
          <t>Hospital deals are RFP/profit-share; excluded from TAM until IU Health benchmark formalized</t>
        </is>
      </c>
    </row>
    <row r="28">
      <c r="A28" s="0" t="inlineStr">
        <is>
          <t>Southwest Hospitality Management</t>
        </is>
      </c>
      <c r="B28" s="0" t="inlineStr">
        <is>
          <t>Hospitality Group</t>
        </is>
      </c>
      <c r="C28" s="224" t="inlineStr">
        <is>
          <t>Hospital — Qualitative</t>
        </is>
      </c>
      <c r="D28" s="0" t="inlineStr"/>
      <c r="E28" s="0" t="inlineStr"/>
      <c r="F28" s="0" t="inlineStr"/>
      <c r="G28" s="0" t="inlineStr"/>
      <c r="H28" s="0" t="inlineStr"/>
      <c r="I28" s="0" t="inlineStr"/>
      <c r="J28" s="0" t="inlineStr"/>
      <c r="K28" s="0" t="inlineStr"/>
      <c r="L28" s="0" t="inlineStr"/>
      <c r="M28" s="0" t="inlineStr"/>
      <c r="N28" s="0" t="inlineStr">
        <is>
          <t>PIPELINE ONLY</t>
        </is>
      </c>
      <c r="O28" s="0" t="inlineStr">
        <is>
          <t>Hospital deals are RFP/profit-share; excluded from TAM until IU Health benchmark formalized</t>
        </is>
      </c>
    </row>
    <row r="29">
      <c r="A29" s="0" t="inlineStr">
        <is>
          <t>Desert Hospitality Management</t>
        </is>
      </c>
      <c r="B29" s="0" t="inlineStr">
        <is>
          <t>Hospitality Group</t>
        </is>
      </c>
      <c r="C29" s="224" t="inlineStr">
        <is>
          <t>Hospital — Qualitative</t>
        </is>
      </c>
      <c r="D29" s="0" t="inlineStr"/>
      <c r="E29" s="0" t="inlineStr"/>
      <c r="F29" s="0" t="inlineStr"/>
      <c r="G29" s="0" t="inlineStr"/>
      <c r="H29" s="0" t="inlineStr"/>
      <c r="I29" s="0" t="inlineStr"/>
      <c r="J29" s="0" t="inlineStr"/>
      <c r="K29" s="0" t="inlineStr"/>
      <c r="L29" s="0" t="inlineStr"/>
      <c r="M29" s="0" t="inlineStr"/>
      <c r="N29" s="0" t="inlineStr">
        <is>
          <t>PIPELINE ONLY</t>
        </is>
      </c>
      <c r="O29" s="0" t="inlineStr">
        <is>
          <t>Hospital deals are RFP/profit-share; excluded from TAM until IU Health benchmark formalized</t>
        </is>
      </c>
    </row>
    <row r="30">
      <c r="A30" s="0" t="inlineStr">
        <is>
          <t>NCG Hospitality</t>
        </is>
      </c>
      <c r="B30" s="0" t="inlineStr">
        <is>
          <t>Hospitality Group</t>
        </is>
      </c>
      <c r="C30" s="224" t="inlineStr">
        <is>
          <t>Hospital — Qualitative</t>
        </is>
      </c>
      <c r="D30" s="0" t="inlineStr"/>
      <c r="E30" s="0" t="inlineStr"/>
      <c r="F30" s="0" t="inlineStr"/>
      <c r="G30" s="0" t="inlineStr"/>
      <c r="H30" s="0" t="inlineStr"/>
      <c r="I30" s="0" t="inlineStr"/>
      <c r="J30" s="0" t="inlineStr"/>
      <c r="K30" s="0" t="inlineStr"/>
      <c r="L30" s="0" t="inlineStr"/>
      <c r="M30" s="0" t="inlineStr"/>
      <c r="N30" s="0" t="inlineStr">
        <is>
          <t>PIPELINE ONLY</t>
        </is>
      </c>
      <c r="O30" s="0" t="inlineStr">
        <is>
          <t>Hospital deals are RFP/profit-share; excluded from TAM until IU Health benchmark formalized</t>
        </is>
      </c>
    </row>
    <row r="31">
      <c r="A31" s="0" t="inlineStr">
        <is>
          <t>Classic Hotels &amp; Resorts</t>
        </is>
      </c>
      <c r="B31" s="0" t="inlineStr">
        <is>
          <t>Hospitality Group</t>
        </is>
      </c>
      <c r="C31" s="224" t="inlineStr">
        <is>
          <t>Hospital — Qualitative</t>
        </is>
      </c>
      <c r="D31" s="0" t="inlineStr"/>
      <c r="E31" s="0" t="inlineStr"/>
      <c r="F31" s="0" t="inlineStr"/>
      <c r="G31" s="0" t="inlineStr"/>
      <c r="H31" s="0" t="inlineStr"/>
      <c r="I31" s="0" t="inlineStr"/>
      <c r="J31" s="0" t="inlineStr"/>
      <c r="K31" s="0" t="inlineStr"/>
      <c r="L31" s="0" t="inlineStr"/>
      <c r="M31" s="0" t="inlineStr"/>
      <c r="N31" s="0" t="inlineStr">
        <is>
          <t>PIPELINE ONLY</t>
        </is>
      </c>
      <c r="O31" s="0" t="inlineStr">
        <is>
          <t>Hospital deals are RFP/profit-share; excluded from TAM until IU Health benchmark formalized</t>
        </is>
      </c>
    </row>
    <row r="32">
      <c r="A32" s="0" t="inlineStr">
        <is>
          <t>Carter Concepts Restaurant Group</t>
        </is>
      </c>
      <c r="B32" s="0" t="inlineStr">
        <is>
          <t>Hospitality Group</t>
        </is>
      </c>
      <c r="C32" s="224" t="inlineStr">
        <is>
          <t>Hospital — Qualitative</t>
        </is>
      </c>
      <c r="D32" s="0" t="inlineStr"/>
      <c r="E32" s="0" t="inlineStr"/>
      <c r="F32" s="0" t="inlineStr"/>
      <c r="G32" s="0" t="inlineStr"/>
      <c r="H32" s="0" t="inlineStr"/>
      <c r="I32" s="0" t="inlineStr"/>
      <c r="J32" s="0" t="inlineStr"/>
      <c r="K32" s="0" t="inlineStr"/>
      <c r="L32" s="0" t="inlineStr"/>
      <c r="M32" s="0" t="inlineStr"/>
      <c r="N32" s="0" t="inlineStr">
        <is>
          <t>PIPELINE ONLY</t>
        </is>
      </c>
      <c r="O32" s="0" t="inlineStr">
        <is>
          <t>Hospital deals are RFP/profit-share; excluded from TAM until IU Health benchmark formalized</t>
        </is>
      </c>
    </row>
    <row r="33">
      <c r="A33" s="0" t="inlineStr">
        <is>
          <t>Courtyard Phoenix Airport</t>
        </is>
      </c>
      <c r="B33" s="0" t="inlineStr">
        <is>
          <t>Hotel</t>
        </is>
      </c>
      <c r="C33" s="225" t="inlineStr">
        <is>
          <t>Hotel — Suburban/Airport</t>
        </is>
      </c>
      <c r="D33" s="0" t="n">
        <v>145</v>
      </c>
      <c r="E33" s="0" t="inlineStr"/>
      <c r="F33" s="226" t="n">
        <v>0.6</v>
      </c>
      <c r="G33" s="0" t="inlineStr"/>
      <c r="H33" s="226" t="n">
        <v>0.15</v>
      </c>
      <c r="I33" s="0" t="inlineStr"/>
      <c r="J33" s="0" t="n">
        <v>360</v>
      </c>
      <c r="K33" s="0" t="inlineStr"/>
      <c r="L33" s="0" t="inlineStr"/>
      <c r="M33" s="0" t="inlineStr"/>
      <c r="N33" s="0" t="inlineStr">
        <is>
          <t>No Valet / TAM = $0</t>
        </is>
      </c>
      <c r="O33" s="0" t="inlineStr">
        <is>
          <t>Hotel has no valet (rate field: 'No Valet'). Auto-class: not downtown (by flag or name). Qualitative pipeline only.</t>
        </is>
      </c>
    </row>
    <row r="34">
      <c r="A34" s="0" t="inlineStr">
        <is>
          <t>Hilton Phoenix Airport</t>
        </is>
      </c>
      <c r="B34" s="0" t="inlineStr">
        <is>
          <t>Hotel</t>
        </is>
      </c>
      <c r="C34" s="225" t="inlineStr">
        <is>
          <t>Hotel — Suburban/Airport</t>
        </is>
      </c>
      <c r="D34" s="0" t="n">
        <v>259</v>
      </c>
      <c r="E34" s="0" t="inlineStr"/>
      <c r="F34" s="226" t="n">
        <v>0.6</v>
      </c>
      <c r="G34" s="0" t="inlineStr"/>
      <c r="H34" s="226" t="n">
        <v>0.15</v>
      </c>
      <c r="I34" s="0" t="inlineStr"/>
      <c r="J34" s="0" t="n">
        <v>360</v>
      </c>
      <c r="K34" s="0" t="inlineStr"/>
      <c r="L34" s="0" t="inlineStr"/>
      <c r="M34" s="0" t="inlineStr"/>
      <c r="N34" s="0" t="inlineStr">
        <is>
          <t>No Valet / TAM = $0</t>
        </is>
      </c>
      <c r="O34" s="0" t="inlineStr">
        <is>
          <t>Hotel has no valet (rate field: 'No Valet'). Auto-class: not downtown (by flag or name). Qualitative pipeline only.</t>
        </is>
      </c>
    </row>
    <row r="35">
      <c r="A35" s="0" t="inlineStr">
        <is>
          <t>Marriott Phoenix Airport</t>
        </is>
      </c>
      <c r="B35" s="0" t="inlineStr">
        <is>
          <t>Hotel</t>
        </is>
      </c>
      <c r="C35" s="225" t="inlineStr">
        <is>
          <t>Hotel — Suburban/Airport</t>
        </is>
      </c>
      <c r="D35" s="0" t="n">
        <v>347</v>
      </c>
      <c r="E35" s="0" t="inlineStr"/>
      <c r="F35" s="226" t="n">
        <v>0.6</v>
      </c>
      <c r="G35" s="0" t="inlineStr"/>
      <c r="H35" s="226" t="n">
        <v>0.15</v>
      </c>
      <c r="I35" s="0" t="inlineStr"/>
      <c r="J35" s="0" t="n">
        <v>360</v>
      </c>
      <c r="K35" s="0" t="inlineStr"/>
      <c r="L35" s="0" t="inlineStr"/>
      <c r="M35" s="0" t="inlineStr"/>
      <c r="N35" s="0" t="inlineStr">
        <is>
          <t>No Valet / TAM = $0</t>
        </is>
      </c>
      <c r="O35" s="0" t="inlineStr">
        <is>
          <t>Hotel has no valet (rate field: 'No Valet'). Auto-class: not downtown (by flag or name). Qualitative pipeline only.</t>
        </is>
      </c>
    </row>
    <row r="36">
      <c r="A36" s="0" t="inlineStr">
        <is>
          <t>Arizona Biltmore, LXR Hotels &amp; Resorts</t>
        </is>
      </c>
      <c r="B36" s="0" t="inlineStr">
        <is>
          <t>Hotel</t>
        </is>
      </c>
      <c r="C36" s="225" t="inlineStr">
        <is>
          <t>Hotel — Resort</t>
        </is>
      </c>
      <c r="D36" s="0" t="n">
        <v>750</v>
      </c>
      <c r="E36" s="0" t="inlineStr"/>
      <c r="F36" s="226" t="n">
        <v>0.6</v>
      </c>
      <c r="G36" s="0" t="inlineStr"/>
      <c r="H36" s="226" t="n">
        <v>0.5</v>
      </c>
      <c r="I36" s="227" t="n">
        <v>30</v>
      </c>
      <c r="J36" s="0" t="n">
        <v>360</v>
      </c>
      <c r="K36" s="0" t="inlineStr"/>
      <c r="L36" s="227" t="n">
        <v>6750</v>
      </c>
      <c r="M36" s="227" t="n">
        <v>2430000</v>
      </c>
      <c r="N36" s="0" t="inlineStr">
        <is>
          <t>Active TAM</t>
        </is>
      </c>
      <c r="O36" s="0" t="inlineStr">
        <is>
          <t>Auto-class: resort keyword: 'resort'. Occ 60% flat (refine w/STR).</t>
        </is>
      </c>
    </row>
    <row r="37">
      <c r="A37" s="0" t="inlineStr">
        <is>
          <t>Embassy Suites by Hilton Phoenix Biltmore</t>
        </is>
      </c>
      <c r="B37" s="0" t="inlineStr">
        <is>
          <t>Hotel</t>
        </is>
      </c>
      <c r="C37" s="225" t="inlineStr">
        <is>
          <t>Hotel — Suburban/Airport</t>
        </is>
      </c>
      <c r="D37" s="0" t="n">
        <v>232</v>
      </c>
      <c r="E37" s="0" t="inlineStr"/>
      <c r="F37" s="226" t="n">
        <v>0.6</v>
      </c>
      <c r="G37" s="0" t="inlineStr"/>
      <c r="H37" s="226" t="n">
        <v>0.15</v>
      </c>
      <c r="I37" s="0" t="inlineStr"/>
      <c r="J37" s="0" t="n">
        <v>360</v>
      </c>
      <c r="K37" s="0" t="inlineStr"/>
      <c r="L37" s="0" t="inlineStr"/>
      <c r="M37" s="0" t="inlineStr"/>
      <c r="N37" s="0" t="inlineStr">
        <is>
          <t>No Valet / TAM = $0</t>
        </is>
      </c>
      <c r="O37" s="0" t="inlineStr">
        <is>
          <t>Hotel has no valet (rate field: 'No Valet'). Auto-class: not downtown (by flag or name). Qualitative pipeline only.</t>
        </is>
      </c>
    </row>
    <row r="38">
      <c r="A38" s="0" t="inlineStr">
        <is>
          <t>Hampton Inn Phoenix-Biltmore</t>
        </is>
      </c>
      <c r="B38" s="0" t="inlineStr">
        <is>
          <t>Hotel</t>
        </is>
      </c>
      <c r="C38" s="225" t="inlineStr">
        <is>
          <t>Hotel — Suburban/Airport</t>
        </is>
      </c>
      <c r="D38" s="0" t="n">
        <v>121</v>
      </c>
      <c r="E38" s="0" t="inlineStr"/>
      <c r="F38" s="226" t="n">
        <v>0.6</v>
      </c>
      <c r="G38" s="0" t="inlineStr"/>
      <c r="H38" s="226" t="n">
        <v>0.15</v>
      </c>
      <c r="I38" s="0" t="inlineStr"/>
      <c r="J38" s="0" t="n">
        <v>360</v>
      </c>
      <c r="K38" s="0" t="inlineStr"/>
      <c r="L38" s="0" t="inlineStr"/>
      <c r="M38" s="0" t="inlineStr"/>
      <c r="N38" s="0" t="inlineStr">
        <is>
          <t>No Valet / TAM = $0</t>
        </is>
      </c>
      <c r="O38" s="0" t="inlineStr">
        <is>
          <t>Hotel has no valet (rate field: None). Auto-class: not downtown (by flag or name). Qualitative pipeline only.</t>
        </is>
      </c>
    </row>
    <row r="39">
      <c r="A39" s="0" t="inlineStr">
        <is>
          <t>The Camby, Autograph Collection</t>
        </is>
      </c>
      <c r="B39" s="0" t="inlineStr">
        <is>
          <t>Hotel</t>
        </is>
      </c>
      <c r="C39" s="225" t="inlineStr">
        <is>
          <t>Hotel — Suburban/Airport</t>
        </is>
      </c>
      <c r="D39" s="0" t="n">
        <v>279</v>
      </c>
      <c r="E39" s="0" t="inlineStr"/>
      <c r="F39" s="226" t="n">
        <v>0.6</v>
      </c>
      <c r="G39" s="0" t="inlineStr"/>
      <c r="H39" s="226" t="n">
        <v>0.15</v>
      </c>
      <c r="I39" s="227" t="n">
        <v>40</v>
      </c>
      <c r="J39" s="0" t="n">
        <v>360</v>
      </c>
      <c r="K39" s="0" t="inlineStr"/>
      <c r="L39" s="227" t="n">
        <v>1004.4</v>
      </c>
      <c r="M39" s="227" t="n">
        <v>361584</v>
      </c>
      <c r="N39" s="0" t="inlineStr">
        <is>
          <t>Active TAM</t>
        </is>
      </c>
      <c r="O39" s="0" t="inlineStr">
        <is>
          <t>Auto-class: not downtown (by flag or name). Occ 60% flat (refine w/STR).</t>
        </is>
      </c>
    </row>
    <row r="40">
      <c r="A40" s="0" t="inlineStr">
        <is>
          <t>AC Hotel Phoenix Biltmore</t>
        </is>
      </c>
      <c r="B40" s="0" t="inlineStr">
        <is>
          <t>Hotel</t>
        </is>
      </c>
      <c r="C40" s="225" t="inlineStr">
        <is>
          <t>Hotel — Suburban/Airport</t>
        </is>
      </c>
      <c r="D40" s="0" t="n">
        <v>160</v>
      </c>
      <c r="E40" s="0" t="inlineStr"/>
      <c r="F40" s="226" t="n">
        <v>0.6</v>
      </c>
      <c r="G40" s="0" t="inlineStr"/>
      <c r="H40" s="226" t="n">
        <v>0.15</v>
      </c>
      <c r="I40" s="0" t="inlineStr"/>
      <c r="J40" s="0" t="n">
        <v>360</v>
      </c>
      <c r="K40" s="0" t="inlineStr"/>
      <c r="L40" s="0" t="inlineStr"/>
      <c r="M40" s="0" t="inlineStr"/>
      <c r="N40" s="0" t="inlineStr">
        <is>
          <t>No Valet / TAM = $0</t>
        </is>
      </c>
      <c r="O40" s="0" t="inlineStr">
        <is>
          <t>Hotel has no valet (rate field: 'No Valet'). Auto-class: not downtown (by flag or name). Qualitative pipeline only.</t>
        </is>
      </c>
    </row>
    <row r="41">
      <c r="A41" s="0" t="inlineStr">
        <is>
          <t>Sonesta Select Phoenix Camelback</t>
        </is>
      </c>
      <c r="B41" s="0" t="inlineStr">
        <is>
          <t>Hotel</t>
        </is>
      </c>
      <c r="C41" s="225" t="inlineStr">
        <is>
          <t>Hotel — Suburban/Airport</t>
        </is>
      </c>
      <c r="D41" s="0" t="n">
        <v>155</v>
      </c>
      <c r="E41" s="0" t="inlineStr"/>
      <c r="F41" s="226" t="n">
        <v>0.6</v>
      </c>
      <c r="G41" s="0" t="inlineStr"/>
      <c r="H41" s="226" t="n">
        <v>0.15</v>
      </c>
      <c r="I41" s="0" t="inlineStr"/>
      <c r="J41" s="0" t="n">
        <v>360</v>
      </c>
      <c r="K41" s="0" t="inlineStr"/>
      <c r="L41" s="0" t="inlineStr"/>
      <c r="M41" s="0" t="inlineStr"/>
      <c r="N41" s="0" t="inlineStr">
        <is>
          <t>No Valet / TAM = $0</t>
        </is>
      </c>
      <c r="O41" s="0" t="inlineStr">
        <is>
          <t>Hotel has no valet (rate field: None). Auto-class: not downtown (by flag or name). Qualitative pipeline only.</t>
        </is>
      </c>
    </row>
    <row r="42">
      <c r="A42" s="0" t="inlineStr">
        <is>
          <t>Hilton Garden Inn Chandler Downtown</t>
        </is>
      </c>
      <c r="B42" s="0" t="inlineStr">
        <is>
          <t>Hotel</t>
        </is>
      </c>
      <c r="C42" s="225" t="inlineStr">
        <is>
          <t>Hotel — Downtown Select-Service</t>
        </is>
      </c>
      <c r="D42" s="0" t="n">
        <v>110</v>
      </c>
      <c r="E42" s="0" t="inlineStr"/>
      <c r="F42" s="226" t="n">
        <v>0.6</v>
      </c>
      <c r="G42" s="0" t="inlineStr"/>
      <c r="H42" s="226" t="n">
        <v>0.25</v>
      </c>
      <c r="I42" s="0" t="inlineStr"/>
      <c r="J42" s="0" t="n">
        <v>360</v>
      </c>
      <c r="K42" s="0" t="inlineStr"/>
      <c r="L42" s="0" t="inlineStr"/>
      <c r="M42" s="0" t="inlineStr"/>
      <c r="N42" s="0" t="inlineStr">
        <is>
          <t>No Valet / TAM = $0</t>
        </is>
      </c>
      <c r="O42" s="0" t="inlineStr">
        <is>
          <t>Hotel has no valet (rate field: 'No Valet'). Auto-class: downtown full-service &lt;300 rooms [name-inferred downtown]. Qualitative pipeline only.</t>
        </is>
      </c>
    </row>
    <row r="43">
      <c r="A43" s="0" t="inlineStr">
        <is>
          <t>Element Chandler Fashion Center</t>
        </is>
      </c>
      <c r="B43" s="0" t="inlineStr">
        <is>
          <t>Hotel</t>
        </is>
      </c>
      <c r="C43" s="225" t="inlineStr">
        <is>
          <t>Hotel — Suburban/Airport</t>
        </is>
      </c>
      <c r="D43" s="0" t="n">
        <v>107</v>
      </c>
      <c r="E43" s="0" t="inlineStr"/>
      <c r="F43" s="226" t="n">
        <v>0.6</v>
      </c>
      <c r="G43" s="0" t="inlineStr"/>
      <c r="H43" s="226" t="n">
        <v>0.15</v>
      </c>
      <c r="I43" s="0" t="inlineStr"/>
      <c r="J43" s="0" t="n">
        <v>360</v>
      </c>
      <c r="K43" s="0" t="inlineStr"/>
      <c r="L43" s="0" t="inlineStr"/>
      <c r="M43" s="0" t="inlineStr"/>
      <c r="N43" s="0" t="inlineStr">
        <is>
          <t>No Valet / TAM = $0</t>
        </is>
      </c>
      <c r="O43" s="0" t="inlineStr">
        <is>
          <t>Hotel has no valet (rate field: 'No Valet'). Auto-class: not downtown (by flag or name). Qualitative pipeline only.</t>
        </is>
      </c>
    </row>
    <row r="44">
      <c r="A44" s="0" t="inlineStr">
        <is>
          <t>AC Hotel Phoenix Downtown</t>
        </is>
      </c>
      <c r="B44" s="0" t="inlineStr">
        <is>
          <t>Hotel</t>
        </is>
      </c>
      <c r="C44" s="225" t="inlineStr">
        <is>
          <t>Hotel — Downtown Select-Service</t>
        </is>
      </c>
      <c r="D44" s="0" t="n">
        <v>199</v>
      </c>
      <c r="E44" s="0" t="inlineStr"/>
      <c r="F44" s="226" t="n">
        <v>0.6</v>
      </c>
      <c r="G44" s="0" t="inlineStr"/>
      <c r="H44" s="226" t="n">
        <v>0.25</v>
      </c>
      <c r="I44" s="0" t="inlineStr"/>
      <c r="J44" s="0" t="n">
        <v>360</v>
      </c>
      <c r="K44" s="0" t="inlineStr"/>
      <c r="L44" s="0" t="inlineStr"/>
      <c r="M44" s="0" t="inlineStr"/>
      <c r="N44" s="0" t="inlineStr">
        <is>
          <t>No Valet / TAM = $0</t>
        </is>
      </c>
      <c r="O44" s="0" t="inlineStr">
        <is>
          <t>Hotel has no valet (rate field: 'No Valet'). Auto-class: downtown + select-service flag. Qualitative pipeline only.</t>
        </is>
      </c>
    </row>
    <row r="45">
      <c r="A45" s="0" t="inlineStr">
        <is>
          <t>Embassy Suites by Hilton Phoenix Downtown North</t>
        </is>
      </c>
      <c r="B45" s="0" t="inlineStr">
        <is>
          <t>Hotel</t>
        </is>
      </c>
      <c r="C45" s="225" t="inlineStr">
        <is>
          <t>Hotel — Downtown Select-Service</t>
        </is>
      </c>
      <c r="D45" s="0" t="n">
        <v>242</v>
      </c>
      <c r="E45" s="0" t="inlineStr"/>
      <c r="F45" s="226" t="n">
        <v>0.6</v>
      </c>
      <c r="G45" s="0" t="inlineStr"/>
      <c r="H45" s="226" t="n">
        <v>0.25</v>
      </c>
      <c r="I45" s="0" t="inlineStr"/>
      <c r="J45" s="0" t="n">
        <v>360</v>
      </c>
      <c r="K45" s="0" t="inlineStr"/>
      <c r="L45" s="0" t="inlineStr"/>
      <c r="M45" s="0" t="inlineStr"/>
      <c r="N45" s="0" t="inlineStr">
        <is>
          <t>No Valet / TAM = $0</t>
        </is>
      </c>
      <c r="O45" s="0" t="inlineStr">
        <is>
          <t>Hotel has no valet (rate field: 'No Valet'). Auto-class: downtown full-service &lt;300 rooms. Qualitative pipeline only.</t>
        </is>
      </c>
    </row>
    <row r="46">
      <c r="A46" s="0" t="inlineStr">
        <is>
          <t>Cambria Hotel Downtown Phoenix Convention Center</t>
        </is>
      </c>
      <c r="B46" s="0" t="inlineStr">
        <is>
          <t>Hotel</t>
        </is>
      </c>
      <c r="C46" s="225" t="inlineStr">
        <is>
          <t>Hotel — Downtown+Convention</t>
        </is>
      </c>
      <c r="D46" s="0" t="n">
        <v>127</v>
      </c>
      <c r="E46" s="0" t="inlineStr"/>
      <c r="F46" s="226" t="n">
        <v>0.6</v>
      </c>
      <c r="G46" s="0" t="inlineStr"/>
      <c r="H46" s="226" t="n">
        <v>0.4</v>
      </c>
      <c r="I46" s="227" t="n">
        <v>41</v>
      </c>
      <c r="J46" s="0" t="n">
        <v>360</v>
      </c>
      <c r="K46" s="0" t="inlineStr"/>
      <c r="L46" s="227" t="n">
        <v>1249.68</v>
      </c>
      <c r="M46" s="227" t="n">
        <v>449884.8</v>
      </c>
      <c r="N46" s="0" t="inlineStr">
        <is>
          <t>Active TAM</t>
        </is>
      </c>
      <c r="O46" s="0" t="inlineStr">
        <is>
          <t>Auto-class: convention keyword in name. Occ 60% flat (refine w/STR).</t>
        </is>
      </c>
    </row>
    <row r="47">
      <c r="A47" s="0" t="inlineStr">
        <is>
          <t>Courtyard Phoenix Downtown</t>
        </is>
      </c>
      <c r="B47" s="0" t="inlineStr">
        <is>
          <t>Hotel</t>
        </is>
      </c>
      <c r="C47" s="225" t="inlineStr">
        <is>
          <t>Hotel — Downtown Select-Service</t>
        </is>
      </c>
      <c r="D47" s="0" t="n">
        <v>120</v>
      </c>
      <c r="E47" s="0" t="inlineStr"/>
      <c r="F47" s="226" t="n">
        <v>0.6</v>
      </c>
      <c r="G47" s="0" t="inlineStr"/>
      <c r="H47" s="226" t="n">
        <v>0.25</v>
      </c>
      <c r="I47" s="227" t="n">
        <v>45</v>
      </c>
      <c r="J47" s="0" t="n">
        <v>360</v>
      </c>
      <c r="K47" s="0" t="inlineStr"/>
      <c r="L47" s="227" t="n">
        <v>810</v>
      </c>
      <c r="M47" s="227" t="n">
        <v>291600</v>
      </c>
      <c r="N47" s="0" t="inlineStr">
        <is>
          <t>Active TAM</t>
        </is>
      </c>
      <c r="O47" s="0" t="inlineStr">
        <is>
          <t>Auto-class: downtown + select-service flag. Occ 60% flat (refine w/STR).</t>
        </is>
      </c>
    </row>
    <row r="48">
      <c r="A48" s="0" t="inlineStr">
        <is>
          <t>Hilton Garden Inn Phoenix Downtown</t>
        </is>
      </c>
      <c r="B48" s="0" t="inlineStr">
        <is>
          <t>Hotel</t>
        </is>
      </c>
      <c r="C48" s="225" t="inlineStr">
        <is>
          <t>Hotel — Downtown Select-Service</t>
        </is>
      </c>
      <c r="D48" s="0" t="n">
        <v>170</v>
      </c>
      <c r="E48" s="0" t="inlineStr"/>
      <c r="F48" s="226" t="n">
        <v>0.6</v>
      </c>
      <c r="G48" s="0" t="inlineStr"/>
      <c r="H48" s="226" t="n">
        <v>0.25</v>
      </c>
      <c r="I48" s="227" t="n">
        <v>43</v>
      </c>
      <c r="J48" s="0" t="n">
        <v>360</v>
      </c>
      <c r="K48" s="0" t="inlineStr"/>
      <c r="L48" s="227" t="n">
        <v>1096.5</v>
      </c>
      <c r="M48" s="227" t="n">
        <v>394740</v>
      </c>
      <c r="N48" s="0" t="inlineStr">
        <is>
          <t>Active TAM</t>
        </is>
      </c>
      <c r="O48" s="0" t="inlineStr">
        <is>
          <t>Auto-class: downtown full-service &lt;300 rooms. Occ 60% flat (refine w/STR).</t>
        </is>
      </c>
    </row>
    <row r="49">
      <c r="A49" s="0" t="inlineStr">
        <is>
          <t>Residence Inn by Marriott Phoenix Downtown</t>
        </is>
      </c>
      <c r="B49" s="0" t="inlineStr">
        <is>
          <t>Hotel</t>
        </is>
      </c>
      <c r="C49" s="225" t="inlineStr">
        <is>
          <t>Hotel — Downtown Select-Service</t>
        </is>
      </c>
      <c r="D49" s="0" t="inlineStr"/>
      <c r="E49" s="0" t="inlineStr"/>
      <c r="F49" s="226" t="n">
        <v>0.6</v>
      </c>
      <c r="G49" s="0" t="inlineStr"/>
      <c r="H49" s="226" t="n">
        <v>0.25</v>
      </c>
      <c r="I49" s="227" t="n">
        <v>45</v>
      </c>
      <c r="J49" s="0" t="n">
        <v>360</v>
      </c>
      <c r="K49" s="0" t="inlineStr"/>
      <c r="L49" s="0" t="inlineStr"/>
      <c r="M49" s="0" t="inlineStr"/>
      <c r="N49" s="0" t="inlineStr">
        <is>
          <t>Active TAM</t>
        </is>
      </c>
      <c r="O49" s="0" t="inlineStr">
        <is>
          <t>Auto-class: downtown + select-service flag. Occ 60% flat (refine w/STR).</t>
        </is>
      </c>
    </row>
    <row r="50">
      <c r="A50" s="0" t="inlineStr">
        <is>
          <t>Moxy Phoenix Downtown</t>
        </is>
      </c>
      <c r="B50" s="0" t="inlineStr">
        <is>
          <t>Hotel</t>
        </is>
      </c>
      <c r="C50" s="225" t="inlineStr">
        <is>
          <t>Hotel — Downtown Select-Service</t>
        </is>
      </c>
      <c r="D50" s="0" t="n">
        <v>164</v>
      </c>
      <c r="E50" s="0" t="inlineStr"/>
      <c r="F50" s="226" t="n">
        <v>0.6</v>
      </c>
      <c r="G50" s="0" t="inlineStr"/>
      <c r="H50" s="226" t="n">
        <v>0.25</v>
      </c>
      <c r="I50" s="227" t="n">
        <v>45</v>
      </c>
      <c r="J50" s="0" t="n">
        <v>360</v>
      </c>
      <c r="K50" s="0" t="inlineStr"/>
      <c r="L50" s="227" t="n">
        <v>1107</v>
      </c>
      <c r="M50" s="227" t="n">
        <v>398520</v>
      </c>
      <c r="N50" s="0" t="inlineStr">
        <is>
          <t>Active TAM</t>
        </is>
      </c>
      <c r="O50" s="0" t="inlineStr">
        <is>
          <t>Auto-class: downtown + select-service flag. Occ 60% flat (refine w/STR).</t>
        </is>
      </c>
    </row>
    <row r="51">
      <c r="A51" s="0" t="inlineStr">
        <is>
          <t>Kimpton Hotel Palomar Phoenix</t>
        </is>
      </c>
      <c r="B51" s="0" t="inlineStr">
        <is>
          <t>Hotel</t>
        </is>
      </c>
      <c r="C51" s="225" t="inlineStr">
        <is>
          <t>Hotel — Downtown Select-Service</t>
        </is>
      </c>
      <c r="D51" s="0" t="n">
        <v>242</v>
      </c>
      <c r="E51" s="0" t="inlineStr"/>
      <c r="F51" s="226" t="n">
        <v>0.6</v>
      </c>
      <c r="G51" s="0" t="inlineStr"/>
      <c r="H51" s="226" t="n">
        <v>0.25</v>
      </c>
      <c r="I51" s="227" t="n">
        <v>44</v>
      </c>
      <c r="J51" s="0" t="n">
        <v>360</v>
      </c>
      <c r="K51" s="0" t="inlineStr"/>
      <c r="L51" s="227" t="n">
        <v>1597.2</v>
      </c>
      <c r="M51" s="227" t="n">
        <v>574991.9999999999</v>
      </c>
      <c r="N51" s="0" t="inlineStr">
        <is>
          <t>Active TAM</t>
        </is>
      </c>
      <c r="O51" s="0" t="inlineStr">
        <is>
          <t>Auto-class: downtown full-service &lt;300 rooms. Occ 60% flat (refine w/STR).</t>
        </is>
      </c>
    </row>
    <row r="52">
      <c r="A52" s="0" t="inlineStr">
        <is>
          <t>Home2 Suites by Hilton Phoenix Downtown</t>
        </is>
      </c>
      <c r="B52" s="0" t="inlineStr">
        <is>
          <t>Hotel</t>
        </is>
      </c>
      <c r="C52" s="225" t="inlineStr">
        <is>
          <t>Hotel — Downtown Select-Service</t>
        </is>
      </c>
      <c r="D52" s="0" t="n">
        <v>148</v>
      </c>
      <c r="E52" s="0" t="inlineStr"/>
      <c r="F52" s="226" t="n">
        <v>0.6</v>
      </c>
      <c r="G52" s="0" t="inlineStr"/>
      <c r="H52" s="226" t="n">
        <v>0.25</v>
      </c>
      <c r="I52" s="227" t="n">
        <v>45</v>
      </c>
      <c r="J52" s="0" t="n">
        <v>360</v>
      </c>
      <c r="K52" s="0" t="inlineStr"/>
      <c r="L52" s="227" t="n">
        <v>999</v>
      </c>
      <c r="M52" s="227" t="n">
        <v>359640</v>
      </c>
      <c r="N52" s="0" t="inlineStr">
        <is>
          <t>Active TAM</t>
        </is>
      </c>
      <c r="O52" s="0" t="inlineStr">
        <is>
          <t>Auto-class: downtown + select-service flag. Occ 60% flat (refine w/STR).</t>
        </is>
      </c>
    </row>
    <row r="53">
      <c r="A53" s="0" t="inlineStr">
        <is>
          <t>Renaissance Phoenix Downtown Hotel</t>
        </is>
      </c>
      <c r="B53" s="0" t="inlineStr">
        <is>
          <t>Hotel</t>
        </is>
      </c>
      <c r="C53" s="225" t="inlineStr">
        <is>
          <t>Hotel — Downtown+Convention</t>
        </is>
      </c>
      <c r="D53" s="0" t="n">
        <v>518</v>
      </c>
      <c r="E53" s="0" t="inlineStr"/>
      <c r="F53" s="226" t="n">
        <v>0.6</v>
      </c>
      <c r="G53" s="0" t="inlineStr"/>
      <c r="H53" s="226" t="n">
        <v>0.4</v>
      </c>
      <c r="I53" s="227" t="n">
        <v>42</v>
      </c>
      <c r="J53" s="0" t="n">
        <v>360</v>
      </c>
      <c r="K53" s="0" t="inlineStr"/>
      <c r="L53" s="227" t="n">
        <v>5221.440000000001</v>
      </c>
      <c r="M53" s="227" t="n">
        <v>1879718.4</v>
      </c>
      <c r="N53" s="0" t="inlineStr">
        <is>
          <t>Active TAM</t>
        </is>
      </c>
      <c r="O53" s="0" t="inlineStr">
        <is>
          <t>Auto-class: downtown + 518 rooms (&gt;=400). Occ 60% flat (refine w/STR).</t>
        </is>
      </c>
    </row>
    <row r="54">
      <c r="A54" s="0" t="inlineStr">
        <is>
          <t>Sheraton Phoenix Downtown</t>
        </is>
      </c>
      <c r="B54" s="0" t="inlineStr">
        <is>
          <t>Hotel</t>
        </is>
      </c>
      <c r="C54" s="225" t="inlineStr">
        <is>
          <t>Hotel — Downtown+Convention</t>
        </is>
      </c>
      <c r="D54" s="0" t="n">
        <v>1000</v>
      </c>
      <c r="E54" s="0" t="inlineStr"/>
      <c r="F54" s="226" t="n">
        <v>0.6</v>
      </c>
      <c r="G54" s="0" t="inlineStr"/>
      <c r="H54" s="226" t="n">
        <v>0.4</v>
      </c>
      <c r="I54" s="227" t="n">
        <v>46</v>
      </c>
      <c r="J54" s="0" t="n">
        <v>360</v>
      </c>
      <c r="K54" s="0" t="inlineStr"/>
      <c r="L54" s="227" t="n">
        <v>11040</v>
      </c>
      <c r="M54" s="227" t="n">
        <v>3974400</v>
      </c>
      <c r="N54" s="0" t="inlineStr">
        <is>
          <t>Active TAM</t>
        </is>
      </c>
      <c r="O54" s="0" t="inlineStr">
        <is>
          <t>Auto-class: downtown + 1000 rooms (&gt;=400). Occ 60% flat (refine w/STR).</t>
        </is>
      </c>
    </row>
    <row r="55">
      <c r="A55" s="0" t="inlineStr">
        <is>
          <t>The Westin Phoenix Downtown</t>
        </is>
      </c>
      <c r="B55" s="0" t="inlineStr">
        <is>
          <t>Hotel</t>
        </is>
      </c>
      <c r="C55" s="225" t="inlineStr">
        <is>
          <t>Hotel — Downtown Select-Service</t>
        </is>
      </c>
      <c r="D55" s="0" t="n">
        <v>242</v>
      </c>
      <c r="E55" s="0" t="inlineStr"/>
      <c r="F55" s="226" t="n">
        <v>0.6</v>
      </c>
      <c r="G55" s="0" t="inlineStr"/>
      <c r="H55" s="226" t="n">
        <v>0.25</v>
      </c>
      <c r="I55" s="227" t="n">
        <v>45</v>
      </c>
      <c r="J55" s="0" t="n">
        <v>360</v>
      </c>
      <c r="K55" s="0" t="inlineStr"/>
      <c r="L55" s="227" t="n">
        <v>1633.5</v>
      </c>
      <c r="M55" s="227" t="n">
        <v>588059.9999999999</v>
      </c>
      <c r="N55" s="0" t="inlineStr">
        <is>
          <t>Active TAM</t>
        </is>
      </c>
      <c r="O55" s="0" t="inlineStr">
        <is>
          <t>Auto-class: downtown full-service &lt;300 rooms. Occ 60% flat (refine w/STR).</t>
        </is>
      </c>
    </row>
    <row r="56">
      <c r="A56" s="0" t="inlineStr">
        <is>
          <t>Hotel San Carlos</t>
        </is>
      </c>
      <c r="B56" s="0" t="inlineStr">
        <is>
          <t>Hotel</t>
        </is>
      </c>
      <c r="C56" s="225" t="inlineStr">
        <is>
          <t>Hotel — Downtown Select-Service</t>
        </is>
      </c>
      <c r="D56" s="0" t="n">
        <v>128</v>
      </c>
      <c r="E56" s="0" t="inlineStr"/>
      <c r="F56" s="226" t="n">
        <v>0.6</v>
      </c>
      <c r="G56" s="0" t="inlineStr"/>
      <c r="H56" s="226" t="n">
        <v>0.25</v>
      </c>
      <c r="I56" s="0" t="inlineStr"/>
      <c r="J56" s="0" t="n">
        <v>360</v>
      </c>
      <c r="K56" s="0" t="inlineStr"/>
      <c r="L56" s="0" t="inlineStr"/>
      <c r="M56" s="0" t="inlineStr"/>
      <c r="N56" s="0" t="inlineStr">
        <is>
          <t>No Valet / TAM = $0</t>
        </is>
      </c>
      <c r="O56" s="0" t="inlineStr">
        <is>
          <t>Hotel has no valet (rate field: 'No Valet'). Auto-class: downtown full-service &lt;300 rooms. Qualitative pipeline only.</t>
        </is>
      </c>
    </row>
    <row r="57">
      <c r="A57" s="0" t="inlineStr">
        <is>
          <t>Hampton Inn &amp; Suites Phoenix Downtown</t>
        </is>
      </c>
      <c r="B57" s="0" t="inlineStr">
        <is>
          <t>Hotel</t>
        </is>
      </c>
      <c r="C57" s="225" t="inlineStr">
        <is>
          <t>Hotel — Downtown Select-Service</t>
        </is>
      </c>
      <c r="D57" s="0" t="n">
        <v>210</v>
      </c>
      <c r="E57" s="0" t="inlineStr"/>
      <c r="F57" s="226" t="n">
        <v>0.6</v>
      </c>
      <c r="G57" s="0" t="inlineStr"/>
      <c r="H57" s="226" t="n">
        <v>0.25</v>
      </c>
      <c r="I57" s="227" t="n">
        <v>42</v>
      </c>
      <c r="J57" s="0" t="n">
        <v>360</v>
      </c>
      <c r="K57" s="0" t="inlineStr"/>
      <c r="L57" s="227" t="n">
        <v>1323</v>
      </c>
      <c r="M57" s="227" t="n">
        <v>476280</v>
      </c>
      <c r="N57" s="0" t="inlineStr">
        <is>
          <t>Active TAM</t>
        </is>
      </c>
      <c r="O57" s="0" t="inlineStr">
        <is>
          <t>Auto-class: downtown + select-service flag. Occ 60% flat (refine w/STR).</t>
        </is>
      </c>
    </row>
    <row r="58">
      <c r="A58" s="0" t="inlineStr">
        <is>
          <t>Hyatt Place Phoenix / Downtown</t>
        </is>
      </c>
      <c r="B58" s="0" t="inlineStr">
        <is>
          <t>Hotel</t>
        </is>
      </c>
      <c r="C58" s="225" t="inlineStr">
        <is>
          <t>Hotel — Downtown Select-Service</t>
        </is>
      </c>
      <c r="D58" s="0" t="n">
        <v>238</v>
      </c>
      <c r="E58" s="0" t="inlineStr"/>
      <c r="F58" s="226" t="n">
        <v>0.6</v>
      </c>
      <c r="G58" s="0" t="inlineStr"/>
      <c r="H58" s="226" t="n">
        <v>0.25</v>
      </c>
      <c r="I58" s="227" t="n">
        <v>44</v>
      </c>
      <c r="J58" s="0" t="n">
        <v>360</v>
      </c>
      <c r="K58" s="0" t="inlineStr"/>
      <c r="L58" s="227" t="n">
        <v>1570.8</v>
      </c>
      <c r="M58" s="227" t="n">
        <v>565487.9999999999</v>
      </c>
      <c r="N58" s="0" t="inlineStr">
        <is>
          <t>Active TAM</t>
        </is>
      </c>
      <c r="O58" s="0" t="inlineStr">
        <is>
          <t>Auto-class: downtown + select-service flag. Occ 60% flat (refine w/STR).</t>
        </is>
      </c>
    </row>
    <row r="59">
      <c r="A59" s="0" t="inlineStr">
        <is>
          <t>FOUND:RE Phoenix Hotel</t>
        </is>
      </c>
      <c r="B59" s="0" t="inlineStr">
        <is>
          <t>Hotel</t>
        </is>
      </c>
      <c r="C59" s="225" t="inlineStr">
        <is>
          <t>Hotel — Downtown Select-Service</t>
        </is>
      </c>
      <c r="D59" s="0" t="n">
        <v>104</v>
      </c>
      <c r="E59" s="0" t="inlineStr"/>
      <c r="F59" s="226" t="n">
        <v>0.6</v>
      </c>
      <c r="G59" s="0" t="inlineStr"/>
      <c r="H59" s="226" t="n">
        <v>0.25</v>
      </c>
      <c r="I59" s="227" t="n">
        <v>45</v>
      </c>
      <c r="J59" s="0" t="n">
        <v>360</v>
      </c>
      <c r="K59" s="0" t="inlineStr"/>
      <c r="L59" s="227" t="n">
        <v>702</v>
      </c>
      <c r="M59" s="227" t="n">
        <v>252720</v>
      </c>
      <c r="N59" s="0" t="inlineStr">
        <is>
          <t>Active TAM</t>
        </is>
      </c>
      <c r="O59" s="0" t="inlineStr">
        <is>
          <t>Auto-class: downtown full-service &lt;300 rooms. Occ 60% flat (refine w/STR).</t>
        </is>
      </c>
    </row>
    <row r="60">
      <c r="A60" s="0" t="inlineStr">
        <is>
          <t>Hyatt Regency Phoenix</t>
        </is>
      </c>
      <c r="B60" s="0" t="inlineStr">
        <is>
          <t>Hotel</t>
        </is>
      </c>
      <c r="C60" s="225" t="inlineStr">
        <is>
          <t>Hotel — Downtown+Convention</t>
        </is>
      </c>
      <c r="D60" s="0" t="n">
        <v>693</v>
      </c>
      <c r="E60" s="0" t="inlineStr"/>
      <c r="F60" s="226" t="n">
        <v>0.6</v>
      </c>
      <c r="G60" s="0" t="inlineStr"/>
      <c r="H60" s="226" t="n">
        <v>0.4</v>
      </c>
      <c r="I60" s="227" t="n">
        <v>44</v>
      </c>
      <c r="J60" s="0" t="n">
        <v>360</v>
      </c>
      <c r="K60" s="0" t="inlineStr"/>
      <c r="L60" s="227" t="n">
        <v>7318.080000000001</v>
      </c>
      <c r="M60" s="227" t="n">
        <v>2634508.8</v>
      </c>
      <c r="N60" s="0" t="inlineStr">
        <is>
          <t>Active TAM</t>
        </is>
      </c>
      <c r="O60" s="0" t="inlineStr">
        <is>
          <t>Auto-class: downtown + 693 rooms (&gt;=400). Occ 60% flat (refine w/STR).</t>
        </is>
      </c>
    </row>
    <row r="61">
      <c r="A61" s="0" t="inlineStr">
        <is>
          <t>Egyptian Motor Hotel BW Signature Collection</t>
        </is>
      </c>
      <c r="B61" s="0" t="inlineStr">
        <is>
          <t>Hotel</t>
        </is>
      </c>
      <c r="C61" s="225" t="inlineStr">
        <is>
          <t>Hotel — Downtown Select-Service</t>
        </is>
      </c>
      <c r="D61" s="0" t="n">
        <v>49</v>
      </c>
      <c r="E61" s="0" t="inlineStr"/>
      <c r="F61" s="226" t="n">
        <v>0.6</v>
      </c>
      <c r="G61" s="0" t="inlineStr"/>
      <c r="H61" s="226" t="n">
        <v>0.25</v>
      </c>
      <c r="I61" s="0" t="inlineStr"/>
      <c r="J61" s="0" t="n">
        <v>360</v>
      </c>
      <c r="K61" s="0" t="inlineStr"/>
      <c r="L61" s="0" t="inlineStr"/>
      <c r="M61" s="0" t="inlineStr"/>
      <c r="N61" s="0" t="inlineStr">
        <is>
          <t>No Valet / TAM = $0</t>
        </is>
      </c>
      <c r="O61" s="0" t="inlineStr">
        <is>
          <t>Hotel has no valet (rate field: 'No Valet'). Auto-class: downtown full-service &lt;300 rooms. Qualitative pipeline only.</t>
        </is>
      </c>
    </row>
    <row r="62">
      <c r="A62" s="0" t="inlineStr">
        <is>
          <t>DoubleTree by Hilton Hotel Phoenix - Gilbert</t>
        </is>
      </c>
      <c r="B62" s="0" t="inlineStr">
        <is>
          <t>Hotel</t>
        </is>
      </c>
      <c r="C62" s="225" t="inlineStr">
        <is>
          <t>Hotel — Suburban/Airport</t>
        </is>
      </c>
      <c r="D62" s="0" t="n">
        <v>121</v>
      </c>
      <c r="E62" s="0" t="inlineStr"/>
      <c r="F62" s="226" t="n">
        <v>0.6</v>
      </c>
      <c r="G62" s="0" t="inlineStr"/>
      <c r="H62" s="226" t="n">
        <v>0.15</v>
      </c>
      <c r="I62" s="0" t="inlineStr"/>
      <c r="J62" s="0" t="n">
        <v>360</v>
      </c>
      <c r="K62" s="0" t="inlineStr"/>
      <c r="L62" s="0" t="inlineStr"/>
      <c r="M62" s="0" t="inlineStr"/>
      <c r="N62" s="0" t="inlineStr">
        <is>
          <t>No Valet / TAM = $0</t>
        </is>
      </c>
      <c r="O62" s="0" t="inlineStr">
        <is>
          <t>Hotel has no valet (rate field: 'No Valet'). Auto-class: not downtown (by flag or name). Qualitative pipeline only.</t>
        </is>
      </c>
    </row>
    <row r="63">
      <c r="A63" s="0" t="inlineStr">
        <is>
          <t>TownePlace Suites by Marriott Phoenix Glendale Sports &amp; Entertainment District</t>
        </is>
      </c>
      <c r="B63" s="0" t="inlineStr">
        <is>
          <t>Hotel</t>
        </is>
      </c>
      <c r="C63" s="225" t="inlineStr">
        <is>
          <t>Hotel — Suburban/Airport</t>
        </is>
      </c>
      <c r="D63" s="0" t="inlineStr"/>
      <c r="E63" s="0" t="inlineStr"/>
      <c r="F63" s="226" t="n">
        <v>0.6</v>
      </c>
      <c r="G63" s="0" t="inlineStr"/>
      <c r="H63" s="226" t="n">
        <v>0.15</v>
      </c>
      <c r="I63" s="0" t="inlineStr"/>
      <c r="J63" s="0" t="n">
        <v>360</v>
      </c>
      <c r="K63" s="0" t="inlineStr"/>
      <c r="L63" s="0" t="inlineStr"/>
      <c r="M63" s="0" t="inlineStr"/>
      <c r="N63" s="0" t="inlineStr">
        <is>
          <t>No Valet / TAM = $0</t>
        </is>
      </c>
      <c r="O63" s="0" t="inlineStr">
        <is>
          <t>Hotel has no valet (rate field: 'No Valet'). Auto-class: not downtown (by flag or name). Qualitative pipeline only.</t>
        </is>
      </c>
    </row>
    <row r="64">
      <c r="A64" s="0" t="inlineStr">
        <is>
          <t>SpringHill Suites by Marriott Phoenix Glendale Sports &amp; Entertainment District</t>
        </is>
      </c>
      <c r="B64" s="0" t="inlineStr">
        <is>
          <t>Hotel</t>
        </is>
      </c>
      <c r="C64" s="225" t="inlineStr">
        <is>
          <t>Hotel — Suburban/Airport</t>
        </is>
      </c>
      <c r="D64" s="0" t="n">
        <v>120</v>
      </c>
      <c r="E64" s="0" t="inlineStr"/>
      <c r="F64" s="226" t="n">
        <v>0.6</v>
      </c>
      <c r="G64" s="0" t="inlineStr"/>
      <c r="H64" s="226" t="n">
        <v>0.15</v>
      </c>
      <c r="I64" s="0" t="inlineStr"/>
      <c r="J64" s="0" t="n">
        <v>360</v>
      </c>
      <c r="K64" s="0" t="inlineStr"/>
      <c r="L64" s="0" t="inlineStr"/>
      <c r="M64" s="0" t="inlineStr"/>
      <c r="N64" s="0" t="inlineStr">
        <is>
          <t>No Valet / TAM = $0</t>
        </is>
      </c>
      <c r="O64" s="0" t="inlineStr">
        <is>
          <t>Hotel has no valet (rate field: 'No Valet'). Auto-class: not downtown (by flag or name). Qualitative pipeline only.</t>
        </is>
      </c>
    </row>
    <row r="65">
      <c r="A65" s="0" t="inlineStr">
        <is>
          <t>Tru by Hilton Phoenix Glendale Westgate</t>
        </is>
      </c>
      <c r="B65" s="0" t="inlineStr">
        <is>
          <t>Hotel</t>
        </is>
      </c>
      <c r="C65" s="225" t="inlineStr">
        <is>
          <t>Hotel — Suburban/Airport</t>
        </is>
      </c>
      <c r="D65" s="0" t="inlineStr"/>
      <c r="E65" s="0" t="inlineStr"/>
      <c r="F65" s="226" t="n">
        <v>0.6</v>
      </c>
      <c r="G65" s="0" t="inlineStr"/>
      <c r="H65" s="226" t="n">
        <v>0.15</v>
      </c>
      <c r="I65" s="0" t="inlineStr"/>
      <c r="J65" s="0" t="n">
        <v>360</v>
      </c>
      <c r="K65" s="0" t="inlineStr"/>
      <c r="L65" s="0" t="inlineStr"/>
      <c r="M65" s="0" t="inlineStr"/>
      <c r="N65" s="0" t="inlineStr">
        <is>
          <t>No Valet / TAM = $0</t>
        </is>
      </c>
      <c r="O65" s="0" t="inlineStr">
        <is>
          <t>Hotel has no valet (rate field: 'No Valet'). Auto-class: not downtown (by flag or name). Qualitative pipeline only.</t>
        </is>
      </c>
    </row>
    <row r="66">
      <c r="A66" s="0" t="inlineStr">
        <is>
          <t>Residence Inn by Marriott Phoenix Glendale Sports &amp; Entertainment District</t>
        </is>
      </c>
      <c r="B66" s="0" t="inlineStr">
        <is>
          <t>Hotel</t>
        </is>
      </c>
      <c r="C66" s="225" t="inlineStr">
        <is>
          <t>Hotel — Suburban/Airport</t>
        </is>
      </c>
      <c r="D66" s="0" t="inlineStr"/>
      <c r="E66" s="0" t="inlineStr"/>
      <c r="F66" s="226" t="n">
        <v>0.6</v>
      </c>
      <c r="G66" s="0" t="inlineStr"/>
      <c r="H66" s="226" t="n">
        <v>0.15</v>
      </c>
      <c r="I66" s="0" t="inlineStr"/>
      <c r="J66" s="0" t="n">
        <v>360</v>
      </c>
      <c r="K66" s="0" t="inlineStr"/>
      <c r="L66" s="0" t="inlineStr"/>
      <c r="M66" s="0" t="inlineStr"/>
      <c r="N66" s="0" t="inlineStr">
        <is>
          <t>No Valet / TAM = $0</t>
        </is>
      </c>
      <c r="O66" s="0" t="inlineStr">
        <is>
          <t>Hotel has no valet (rate field: 'No Valet'). Auto-class: not downtown (by flag or name). Qualitative pipeline only.</t>
        </is>
      </c>
    </row>
    <row r="67">
      <c r="A67" s="0" t="inlineStr">
        <is>
          <t>Hampton Inn &amp; Suites Phoenix Glendale-Westgate</t>
        </is>
      </c>
      <c r="B67" s="0" t="inlineStr">
        <is>
          <t>Hotel</t>
        </is>
      </c>
      <c r="C67" s="225" t="inlineStr">
        <is>
          <t>Hotel — Suburban/Airport</t>
        </is>
      </c>
      <c r="D67" s="0" t="n">
        <v>149</v>
      </c>
      <c r="E67" s="0" t="inlineStr"/>
      <c r="F67" s="226" t="n">
        <v>0.6</v>
      </c>
      <c r="G67" s="0" t="inlineStr"/>
      <c r="H67" s="226" t="n">
        <v>0.15</v>
      </c>
      <c r="I67" s="0" t="inlineStr"/>
      <c r="J67" s="0" t="n">
        <v>360</v>
      </c>
      <c r="K67" s="0" t="inlineStr"/>
      <c r="L67" s="0" t="inlineStr"/>
      <c r="M67" s="0" t="inlineStr"/>
      <c r="N67" s="0" t="inlineStr">
        <is>
          <t>No Valet / TAM = $0</t>
        </is>
      </c>
      <c r="O67" s="0" t="inlineStr">
        <is>
          <t>Hotel has no valet (rate field: 'No Valet'). Auto-class: not downtown (by flag or name). Qualitative pipeline only.</t>
        </is>
      </c>
    </row>
    <row r="68">
      <c r="A68" s="0" t="inlineStr">
        <is>
          <t>Staybridge Suites Phoenix - Glendale Sports Dist by IHG</t>
        </is>
      </c>
      <c r="B68" s="0" t="inlineStr">
        <is>
          <t>Hotel</t>
        </is>
      </c>
      <c r="C68" s="225" t="inlineStr">
        <is>
          <t>Hotel — Suburban/Airport</t>
        </is>
      </c>
      <c r="D68" s="0" t="n">
        <v>116</v>
      </c>
      <c r="E68" s="0" t="inlineStr"/>
      <c r="F68" s="226" t="n">
        <v>0.6</v>
      </c>
      <c r="G68" s="0" t="inlineStr"/>
      <c r="H68" s="226" t="n">
        <v>0.15</v>
      </c>
      <c r="I68" s="0" t="inlineStr"/>
      <c r="J68" s="0" t="n">
        <v>360</v>
      </c>
      <c r="K68" s="0" t="inlineStr"/>
      <c r="L68" s="0" t="inlineStr"/>
      <c r="M68" s="0" t="inlineStr"/>
      <c r="N68" s="0" t="inlineStr">
        <is>
          <t>No Valet / TAM = $0</t>
        </is>
      </c>
      <c r="O68" s="0" t="inlineStr">
        <is>
          <t>Hotel has no valet (rate field: 'No Valet'). Auto-class: not downtown (by flag or name). Qualitative pipeline only.</t>
        </is>
      </c>
    </row>
    <row r="69">
      <c r="A69" s="0" t="inlineStr">
        <is>
          <t>Renaissance Phoenix Glendale Hotel &amp; Conference Center</t>
        </is>
      </c>
      <c r="B69" s="0" t="inlineStr">
        <is>
          <t>Hotel</t>
        </is>
      </c>
      <c r="C69" s="225" t="inlineStr">
        <is>
          <t>Hotel — Suburban/Airport</t>
        </is>
      </c>
      <c r="D69" s="0" t="n">
        <v>324</v>
      </c>
      <c r="E69" s="0" t="inlineStr"/>
      <c r="F69" s="226" t="n">
        <v>0.6</v>
      </c>
      <c r="G69" s="0" t="inlineStr"/>
      <c r="H69" s="226" t="n">
        <v>0.15</v>
      </c>
      <c r="I69" s="227" t="n">
        <v>26</v>
      </c>
      <c r="J69" s="0" t="n">
        <v>360</v>
      </c>
      <c r="K69" s="0" t="inlineStr"/>
      <c r="L69" s="227" t="n">
        <v>758.16</v>
      </c>
      <c r="M69" s="227" t="n">
        <v>272937.6</v>
      </c>
      <c r="N69" s="0" t="inlineStr">
        <is>
          <t>Active TAM</t>
        </is>
      </c>
      <c r="O69" s="0" t="inlineStr">
        <is>
          <t>Auto-class: not downtown (by flag or name). Occ 60% flat (refine w/STR).</t>
        </is>
      </c>
    </row>
    <row r="70">
      <c r="A70" s="0" t="inlineStr">
        <is>
          <t>Holiday Inn Express &amp; Suites Phoenix - Glendale Sports Dist</t>
        </is>
      </c>
      <c r="B70" s="0" t="inlineStr">
        <is>
          <t>Hotel</t>
        </is>
      </c>
      <c r="C70" s="225" t="inlineStr">
        <is>
          <t>Hotel — Suburban/Airport</t>
        </is>
      </c>
      <c r="D70" s="0" t="n">
        <v>96</v>
      </c>
      <c r="E70" s="0" t="inlineStr"/>
      <c r="F70" s="226" t="n">
        <v>0.6</v>
      </c>
      <c r="G70" s="0" t="inlineStr"/>
      <c r="H70" s="226" t="n">
        <v>0.15</v>
      </c>
      <c r="I70" s="0" t="inlineStr"/>
      <c r="J70" s="0" t="n">
        <v>360</v>
      </c>
      <c r="K70" s="0" t="inlineStr"/>
      <c r="L70" s="0" t="inlineStr"/>
      <c r="M70" s="0" t="inlineStr"/>
      <c r="N70" s="0" t="inlineStr">
        <is>
          <t>No Valet / TAM = $0</t>
        </is>
      </c>
      <c r="O70" s="0" t="inlineStr">
        <is>
          <t>Hotel has no valet (rate field: 'No Valet'). Auto-class: not downtown (by flag or name). Qualitative pipeline only.</t>
        </is>
      </c>
    </row>
    <row r="71">
      <c r="A71" s="0" t="inlineStr">
        <is>
          <t>Arizona Grand Resort &amp; Spa</t>
        </is>
      </c>
      <c r="B71" s="0" t="inlineStr">
        <is>
          <t>Hotel</t>
        </is>
      </c>
      <c r="C71" s="225" t="inlineStr">
        <is>
          <t>Hotel — Resort</t>
        </is>
      </c>
      <c r="D71" s="0" t="n">
        <v>744</v>
      </c>
      <c r="E71" s="0" t="inlineStr"/>
      <c r="F71" s="226" t="n">
        <v>0.6</v>
      </c>
      <c r="G71" s="0" t="inlineStr"/>
      <c r="H71" s="226" t="n">
        <v>0.5</v>
      </c>
      <c r="I71" s="0" t="inlineStr"/>
      <c r="J71" s="0" t="n">
        <v>360</v>
      </c>
      <c r="K71" s="0" t="inlineStr"/>
      <c r="L71" s="0" t="inlineStr"/>
      <c r="M71" s="0" t="inlineStr"/>
      <c r="N71" s="0" t="inlineStr">
        <is>
          <t>No Valet / TAM = $0</t>
        </is>
      </c>
      <c r="O71" s="0" t="inlineStr">
        <is>
          <t>Hotel has no valet (rate field: 'No Valet'). Auto-class: resort keyword: 'resort'. Qualitative pipeline only.</t>
        </is>
      </c>
    </row>
    <row r="72">
      <c r="A72" s="0" t="inlineStr">
        <is>
          <t>Legacy Golf Resort</t>
        </is>
      </c>
      <c r="B72" s="0" t="inlineStr">
        <is>
          <t>Hotel</t>
        </is>
      </c>
      <c r="C72" s="225" t="inlineStr">
        <is>
          <t>Hotel — Resort</t>
        </is>
      </c>
      <c r="D72" s="0" t="inlineStr"/>
      <c r="E72" s="0" t="inlineStr"/>
      <c r="F72" s="226" t="n">
        <v>0.6</v>
      </c>
      <c r="G72" s="0" t="inlineStr"/>
      <c r="H72" s="226" t="n">
        <v>0.5</v>
      </c>
      <c r="I72" s="0" t="inlineStr"/>
      <c r="J72" s="0" t="n">
        <v>360</v>
      </c>
      <c r="K72" s="0" t="inlineStr"/>
      <c r="L72" s="0" t="inlineStr"/>
      <c r="M72" s="0" t="inlineStr"/>
      <c r="N72" s="0" t="inlineStr">
        <is>
          <t>No Valet / TAM = $0</t>
        </is>
      </c>
      <c r="O72" s="0" t="inlineStr">
        <is>
          <t>Hotel has no valet (rate field: 'No Valet'). Auto-class: resort keyword: 'resort'. Qualitative pipeline only.</t>
        </is>
      </c>
    </row>
    <row r="73">
      <c r="A73" s="0" t="inlineStr">
        <is>
          <t>WorldMark Phoenix - South Mountain Preserve</t>
        </is>
      </c>
      <c r="B73" s="0" t="inlineStr">
        <is>
          <t>Hotel</t>
        </is>
      </c>
      <c r="C73" s="225" t="inlineStr">
        <is>
          <t>Hotel — Suburban/Airport</t>
        </is>
      </c>
      <c r="D73" s="0" t="inlineStr"/>
      <c r="E73" s="0" t="inlineStr"/>
      <c r="F73" s="226" t="n">
        <v>0.6</v>
      </c>
      <c r="G73" s="0" t="inlineStr"/>
      <c r="H73" s="226" t="n">
        <v>0.15</v>
      </c>
      <c r="I73" s="0" t="inlineStr"/>
      <c r="J73" s="0" t="n">
        <v>360</v>
      </c>
      <c r="K73" s="0" t="inlineStr"/>
      <c r="L73" s="0" t="inlineStr"/>
      <c r="M73" s="0" t="inlineStr"/>
      <c r="N73" s="0" t="inlineStr">
        <is>
          <t>No Valet / TAM = $0</t>
        </is>
      </c>
      <c r="O73" s="0" t="inlineStr">
        <is>
          <t>Hotel has no valet (rate field: 'No Valet'). Auto-class: not downtown (by flag or name). Qualitative pipeline only.</t>
        </is>
      </c>
    </row>
    <row r="74">
      <c r="A74" s="0" t="inlineStr">
        <is>
          <t>The Wigwam</t>
        </is>
      </c>
      <c r="B74" s="0" t="inlineStr">
        <is>
          <t>Hotel</t>
        </is>
      </c>
      <c r="C74" s="225" t="inlineStr">
        <is>
          <t>Hotel — Suburban/Airport</t>
        </is>
      </c>
      <c r="D74" s="0" t="n">
        <v>331</v>
      </c>
      <c r="E74" s="0" t="inlineStr"/>
      <c r="F74" s="226" t="n">
        <v>0.6</v>
      </c>
      <c r="G74" s="0" t="inlineStr"/>
      <c r="H74" s="226" t="n">
        <v>0.15</v>
      </c>
      <c r="I74" s="227" t="n">
        <v>42</v>
      </c>
      <c r="J74" s="0" t="n">
        <v>360</v>
      </c>
      <c r="K74" s="0" t="inlineStr"/>
      <c r="L74" s="227" t="n">
        <v>1251.18</v>
      </c>
      <c r="M74" s="227" t="n">
        <v>450424.8</v>
      </c>
      <c r="N74" s="0" t="inlineStr">
        <is>
          <t>Active TAM</t>
        </is>
      </c>
      <c r="O74" s="0" t="inlineStr">
        <is>
          <t>Auto-class: not downtown (by flag or name). Occ 60% flat (refine w/STR).</t>
        </is>
      </c>
    </row>
    <row r="75">
      <c r="A75" s="0" t="inlineStr">
        <is>
          <t>Sheraton Mesa Hotel at Wrigleyville West</t>
        </is>
      </c>
      <c r="B75" s="0" t="inlineStr">
        <is>
          <t>Hotel</t>
        </is>
      </c>
      <c r="C75" s="225" t="inlineStr">
        <is>
          <t>Hotel — Suburban/Airport</t>
        </is>
      </c>
      <c r="D75" s="0" t="n">
        <v>180</v>
      </c>
      <c r="E75" s="0" t="inlineStr"/>
      <c r="F75" s="226" t="n">
        <v>0.6</v>
      </c>
      <c r="G75" s="0" t="inlineStr"/>
      <c r="H75" s="226" t="n">
        <v>0.15</v>
      </c>
      <c r="I75" s="0" t="inlineStr"/>
      <c r="J75" s="0" t="n">
        <v>360</v>
      </c>
      <c r="K75" s="0" t="inlineStr"/>
      <c r="L75" s="0" t="inlineStr"/>
      <c r="M75" s="0" t="inlineStr"/>
      <c r="N75" s="0" t="inlineStr">
        <is>
          <t>No Valet / TAM = $0</t>
        </is>
      </c>
      <c r="O75" s="0" t="inlineStr">
        <is>
          <t>Hotel has no valet (rate field: 'No Valet'). Auto-class: not downtown (by flag or name). Qualitative pipeline only.</t>
        </is>
      </c>
    </row>
    <row r="76">
      <c r="A76" s="0" t="inlineStr">
        <is>
          <t>Delta Hotels Phoenix Mesa</t>
        </is>
      </c>
      <c r="B76" s="0" t="inlineStr">
        <is>
          <t>Hotel</t>
        </is>
      </c>
      <c r="C76" s="225" t="inlineStr">
        <is>
          <t>Hotel — Suburban/Airport</t>
        </is>
      </c>
      <c r="D76" s="0" t="n">
        <v>274</v>
      </c>
      <c r="E76" s="0" t="inlineStr"/>
      <c r="F76" s="226" t="n">
        <v>0.6</v>
      </c>
      <c r="G76" s="0" t="inlineStr"/>
      <c r="H76" s="226" t="n">
        <v>0.15</v>
      </c>
      <c r="I76" s="0" t="inlineStr"/>
      <c r="J76" s="0" t="n">
        <v>360</v>
      </c>
      <c r="K76" s="0" t="inlineStr"/>
      <c r="L76" s="0" t="inlineStr"/>
      <c r="M76" s="0" t="inlineStr"/>
      <c r="N76" s="0" t="inlineStr">
        <is>
          <t>No Valet / TAM = $0</t>
        </is>
      </c>
      <c r="O76" s="0" t="inlineStr">
        <is>
          <t>Hotel has no valet (rate field: 'No Valet'). Auto-class: not downtown (by flag or name). Qualitative pipeline only.</t>
        </is>
      </c>
    </row>
    <row r="77">
      <c r="A77" s="0" t="inlineStr">
        <is>
          <t>Courtyard by Marriott Phoenix Mesa</t>
        </is>
      </c>
      <c r="B77" s="0" t="inlineStr">
        <is>
          <t>Hotel</t>
        </is>
      </c>
      <c r="C77" s="225" t="inlineStr">
        <is>
          <t>Hotel — Suburban/Airport</t>
        </is>
      </c>
      <c r="D77" s="0" t="n">
        <v>149</v>
      </c>
      <c r="E77" s="0" t="inlineStr"/>
      <c r="F77" s="226" t="n">
        <v>0.6</v>
      </c>
      <c r="G77" s="0" t="inlineStr"/>
      <c r="H77" s="226" t="n">
        <v>0.15</v>
      </c>
      <c r="I77" s="0" t="inlineStr"/>
      <c r="J77" s="0" t="n">
        <v>360</v>
      </c>
      <c r="K77" s="0" t="inlineStr"/>
      <c r="L77" s="0" t="inlineStr"/>
      <c r="M77" s="0" t="inlineStr"/>
      <c r="N77" s="0" t="inlineStr">
        <is>
          <t>No Valet / TAM = $0</t>
        </is>
      </c>
      <c r="O77" s="0" t="inlineStr">
        <is>
          <t>Hotel has no valet (rate field: 'No Valet'). Auto-class: not downtown (by flag or name). Qualitative pipeline only.</t>
        </is>
      </c>
    </row>
    <row r="78">
      <c r="A78" s="0" t="inlineStr">
        <is>
          <t>Four Points by Sheraton at Phoenix Mesa Gateway Airport</t>
        </is>
      </c>
      <c r="B78" s="0" t="inlineStr">
        <is>
          <t>Hotel</t>
        </is>
      </c>
      <c r="C78" s="225" t="inlineStr">
        <is>
          <t>Hotel — Suburban/Airport</t>
        </is>
      </c>
      <c r="D78" s="0" t="n">
        <v>134</v>
      </c>
      <c r="E78" s="0" t="inlineStr"/>
      <c r="F78" s="226" t="n">
        <v>0.6</v>
      </c>
      <c r="G78" s="0" t="inlineStr"/>
      <c r="H78" s="226" t="n">
        <v>0.15</v>
      </c>
      <c r="I78" s="0" t="inlineStr"/>
      <c r="J78" s="0" t="n">
        <v>360</v>
      </c>
      <c r="K78" s="0" t="inlineStr"/>
      <c r="L78" s="0" t="inlineStr"/>
      <c r="M78" s="0" t="inlineStr"/>
      <c r="N78" s="0" t="inlineStr">
        <is>
          <t>No Valet / TAM = $0</t>
        </is>
      </c>
      <c r="O78" s="0" t="inlineStr">
        <is>
          <t>Hotel has no valet (rate field: 'No Valet'). Auto-class: not downtown (by flag or name). Qualitative pipeline only.</t>
        </is>
      </c>
    </row>
    <row r="79">
      <c r="A79" s="0" t="inlineStr">
        <is>
          <t>DoubleTree by Hilton Phoenix Mesa</t>
        </is>
      </c>
      <c r="B79" s="0" t="inlineStr">
        <is>
          <t>Hotel</t>
        </is>
      </c>
      <c r="C79" s="225" t="inlineStr">
        <is>
          <t>Hotel — Suburban/Airport</t>
        </is>
      </c>
      <c r="D79" s="0" t="n">
        <v>262</v>
      </c>
      <c r="E79" s="0" t="inlineStr"/>
      <c r="F79" s="226" t="n">
        <v>0.6</v>
      </c>
      <c r="G79" s="0" t="inlineStr"/>
      <c r="H79" s="226" t="n">
        <v>0.15</v>
      </c>
      <c r="I79" s="0" t="inlineStr"/>
      <c r="J79" s="0" t="n">
        <v>360</v>
      </c>
      <c r="K79" s="0" t="inlineStr"/>
      <c r="L79" s="0" t="inlineStr"/>
      <c r="M79" s="0" t="inlineStr"/>
      <c r="N79" s="0" t="inlineStr">
        <is>
          <t>No Valet / TAM = $0</t>
        </is>
      </c>
      <c r="O79" s="0" t="inlineStr">
        <is>
          <t>Hotel has no valet (rate field: 'No Valet'). Auto-class: not downtown (by flag or name). Qualitative pipeline only.</t>
        </is>
      </c>
    </row>
    <row r="80">
      <c r="A80" s="0" t="inlineStr">
        <is>
          <t>Courtyard by Marriott Mesa at Wrigleyville West</t>
        </is>
      </c>
      <c r="B80" s="0" t="inlineStr">
        <is>
          <t>Hotel</t>
        </is>
      </c>
      <c r="C80" s="225" t="inlineStr">
        <is>
          <t>Hotel — Suburban/Airport</t>
        </is>
      </c>
      <c r="D80" s="0" t="n">
        <v>129</v>
      </c>
      <c r="E80" s="0" t="inlineStr"/>
      <c r="F80" s="226" t="n">
        <v>0.6</v>
      </c>
      <c r="G80" s="0" t="inlineStr"/>
      <c r="H80" s="226" t="n">
        <v>0.15</v>
      </c>
      <c r="I80" s="0" t="inlineStr"/>
      <c r="J80" s="0" t="n">
        <v>360</v>
      </c>
      <c r="K80" s="0" t="inlineStr"/>
      <c r="L80" s="0" t="inlineStr"/>
      <c r="M80" s="0" t="inlineStr"/>
      <c r="N80" s="0" t="inlineStr">
        <is>
          <t>No Valet / TAM = $0</t>
        </is>
      </c>
      <c r="O80" s="0" t="inlineStr">
        <is>
          <t>Hotel has no valet (rate field: 'No Valet'). Auto-class: not downtown (by flag or name). Qualitative pipeline only.</t>
        </is>
      </c>
    </row>
    <row r="81">
      <c r="A81" s="0" t="inlineStr">
        <is>
          <t>DoubleTree by Hilton Phoenix Midtown</t>
        </is>
      </c>
      <c r="B81" s="0" t="inlineStr">
        <is>
          <t>Hotel</t>
        </is>
      </c>
      <c r="C81" s="225" t="inlineStr">
        <is>
          <t>Hotel — Suburban/Airport</t>
        </is>
      </c>
      <c r="D81" s="0" t="n">
        <v>156</v>
      </c>
      <c r="E81" s="0" t="inlineStr"/>
      <c r="F81" s="226" t="n">
        <v>0.6</v>
      </c>
      <c r="G81" s="0" t="inlineStr"/>
      <c r="H81" s="226" t="n">
        <v>0.15</v>
      </c>
      <c r="I81" s="0" t="inlineStr"/>
      <c r="J81" s="0" t="n">
        <v>360</v>
      </c>
      <c r="K81" s="0" t="inlineStr"/>
      <c r="L81" s="0" t="inlineStr"/>
      <c r="M81" s="0" t="inlineStr"/>
      <c r="N81" s="0" t="inlineStr">
        <is>
          <t>No Valet / TAM = $0</t>
        </is>
      </c>
      <c r="O81" s="0" t="inlineStr">
        <is>
          <t>Hotel has no valet (rate field: None). Auto-class: not downtown (by flag or name). Qualitative pipeline only.</t>
        </is>
      </c>
    </row>
    <row r="82">
      <c r="A82" s="0" t="inlineStr">
        <is>
          <t>Rise Uptown Hotel</t>
        </is>
      </c>
      <c r="B82" s="0" t="inlineStr">
        <is>
          <t>Hotel</t>
        </is>
      </c>
      <c r="C82" s="225" t="inlineStr">
        <is>
          <t>Hotel — Suburban/Airport</t>
        </is>
      </c>
      <c r="D82" s="0" t="inlineStr"/>
      <c r="E82" s="0" t="inlineStr"/>
      <c r="F82" s="226" t="n">
        <v>0.6</v>
      </c>
      <c r="G82" s="0" t="inlineStr"/>
      <c r="H82" s="226" t="n">
        <v>0.15</v>
      </c>
      <c r="I82" s="0" t="inlineStr"/>
      <c r="J82" s="0" t="n">
        <v>360</v>
      </c>
      <c r="K82" s="0" t="inlineStr"/>
      <c r="L82" s="0" t="inlineStr"/>
      <c r="M82" s="0" t="inlineStr"/>
      <c r="N82" s="0" t="inlineStr">
        <is>
          <t>No Valet / TAM = $0</t>
        </is>
      </c>
      <c r="O82" s="0" t="inlineStr">
        <is>
          <t>Hotel has no valet (rate field: None). Auto-class: not downtown (by flag or name). Qualitative pipeline only.</t>
        </is>
      </c>
    </row>
    <row r="83">
      <c r="A83" s="0" t="inlineStr">
        <is>
          <t>Home2 Suites by Hilton Phoenix Midtown</t>
        </is>
      </c>
      <c r="B83" s="0" t="inlineStr">
        <is>
          <t>Hotel</t>
        </is>
      </c>
      <c r="C83" s="225" t="inlineStr">
        <is>
          <t>Hotel — Suburban/Airport</t>
        </is>
      </c>
      <c r="D83" s="0" t="n">
        <v>103</v>
      </c>
      <c r="E83" s="0" t="inlineStr"/>
      <c r="F83" s="226" t="n">
        <v>0.6</v>
      </c>
      <c r="G83" s="0" t="inlineStr"/>
      <c r="H83" s="226" t="n">
        <v>0.15</v>
      </c>
      <c r="I83" s="0" t="inlineStr"/>
      <c r="J83" s="0" t="n">
        <v>360</v>
      </c>
      <c r="K83" s="0" t="inlineStr"/>
      <c r="L83" s="0" t="inlineStr"/>
      <c r="M83" s="0" t="inlineStr"/>
      <c r="N83" s="0" t="inlineStr">
        <is>
          <t>No Valet / TAM = $0</t>
        </is>
      </c>
      <c r="O83" s="0" t="inlineStr">
        <is>
          <t>Hotel has no valet (rate field: None). Auto-class: not downtown (by flag or name). Qualitative pipeline only.</t>
        </is>
      </c>
    </row>
    <row r="84">
      <c r="A84" s="0" t="inlineStr">
        <is>
          <t>The Clarendon Hotel and Spa</t>
        </is>
      </c>
      <c r="B84" s="0" t="inlineStr">
        <is>
          <t>Hotel</t>
        </is>
      </c>
      <c r="C84" s="225" t="inlineStr">
        <is>
          <t>Hotel — Resort</t>
        </is>
      </c>
      <c r="D84" s="0" t="n">
        <v>105</v>
      </c>
      <c r="E84" s="0" t="inlineStr"/>
      <c r="F84" s="226" t="n">
        <v>0.6</v>
      </c>
      <c r="G84" s="0" t="inlineStr"/>
      <c r="H84" s="226" t="n">
        <v>0.5</v>
      </c>
      <c r="I84" s="0" t="inlineStr"/>
      <c r="J84" s="0" t="n">
        <v>360</v>
      </c>
      <c r="K84" s="0" t="inlineStr"/>
      <c r="L84" s="0" t="inlineStr"/>
      <c r="M84" s="0" t="inlineStr"/>
      <c r="N84" s="0" t="inlineStr">
        <is>
          <t>No Valet / TAM = $0</t>
        </is>
      </c>
      <c r="O84" s="0" t="inlineStr">
        <is>
          <t>Hotel has no valet (rate field: 'No Valet'). Auto-class: resort keyword: 'spa'. Qualitative pipeline only.</t>
        </is>
      </c>
    </row>
    <row r="85">
      <c r="A85" s="0" t="inlineStr">
        <is>
          <t>Fairfield Inn &amp; Suites Phoenix Midtown</t>
        </is>
      </c>
      <c r="B85" s="0" t="inlineStr">
        <is>
          <t>Hotel</t>
        </is>
      </c>
      <c r="C85" s="225" t="inlineStr">
        <is>
          <t>Hotel — Suburban/Airport</t>
        </is>
      </c>
      <c r="D85" s="0" t="n">
        <v>107</v>
      </c>
      <c r="E85" s="0" t="inlineStr"/>
      <c r="F85" s="226" t="n">
        <v>0.6</v>
      </c>
      <c r="G85" s="0" t="inlineStr"/>
      <c r="H85" s="226" t="n">
        <v>0.15</v>
      </c>
      <c r="I85" s="0" t="inlineStr"/>
      <c r="J85" s="0" t="n">
        <v>360</v>
      </c>
      <c r="K85" s="0" t="inlineStr"/>
      <c r="L85" s="0" t="inlineStr"/>
      <c r="M85" s="0" t="inlineStr"/>
      <c r="N85" s="0" t="inlineStr">
        <is>
          <t>No Valet / TAM = $0</t>
        </is>
      </c>
      <c r="O85" s="0" t="inlineStr">
        <is>
          <t>Hotel has no valet (rate field: 'No Valet'). Auto-class: not downtown (by flag or name). Qualitative pipeline only.</t>
        </is>
      </c>
    </row>
    <row r="86">
      <c r="A86" s="0" t="inlineStr">
        <is>
          <t>Hilton Garden Inn Phoenix Midtown</t>
        </is>
      </c>
      <c r="B86" s="0" t="inlineStr">
        <is>
          <t>Hotel</t>
        </is>
      </c>
      <c r="C86" s="225" t="inlineStr">
        <is>
          <t>Hotel — Suburban/Airport</t>
        </is>
      </c>
      <c r="D86" s="0" t="n">
        <v>156</v>
      </c>
      <c r="E86" s="0" t="inlineStr"/>
      <c r="F86" s="226" t="n">
        <v>0.6</v>
      </c>
      <c r="G86" s="0" t="inlineStr"/>
      <c r="H86" s="226" t="n">
        <v>0.15</v>
      </c>
      <c r="I86" s="0" t="inlineStr"/>
      <c r="J86" s="0" t="n">
        <v>360</v>
      </c>
      <c r="K86" s="0" t="inlineStr"/>
      <c r="L86" s="0" t="inlineStr"/>
      <c r="M86" s="0" t="inlineStr"/>
      <c r="N86" s="0" t="inlineStr">
        <is>
          <t>No Valet / TAM = $0</t>
        </is>
      </c>
      <c r="O86" s="0" t="inlineStr">
        <is>
          <t>Hotel has no valet (rate field: None). Auto-class: not downtown (by flag or name). Qualitative pipeline only.</t>
        </is>
      </c>
    </row>
    <row r="87">
      <c r="A87" s="0" t="inlineStr">
        <is>
          <t>JW Marriott Phoenix Desert Ridge Resort &amp; Spa</t>
        </is>
      </c>
      <c r="B87" s="0" t="inlineStr">
        <is>
          <t>Hotel</t>
        </is>
      </c>
      <c r="C87" s="225" t="inlineStr">
        <is>
          <t>Hotel — Resort</t>
        </is>
      </c>
      <c r="D87" s="0" t="n">
        <v>950</v>
      </c>
      <c r="E87" s="0" t="inlineStr"/>
      <c r="F87" s="226" t="n">
        <v>0.6</v>
      </c>
      <c r="G87" s="0" t="inlineStr"/>
      <c r="H87" s="226" t="n">
        <v>0.5</v>
      </c>
      <c r="I87" s="227" t="n">
        <v>46</v>
      </c>
      <c r="J87" s="0" t="n">
        <v>360</v>
      </c>
      <c r="K87" s="0" t="inlineStr"/>
      <c r="L87" s="227" t="n">
        <v>13110</v>
      </c>
      <c r="M87" s="227" t="n">
        <v>4719600</v>
      </c>
      <c r="N87" s="0" t="inlineStr">
        <is>
          <t>Active TAM</t>
        </is>
      </c>
      <c r="O87" s="0" t="inlineStr">
        <is>
          <t>Auto-class: resort keyword: 'resort'. Occ 60% flat (refine w/STR).</t>
        </is>
      </c>
    </row>
    <row r="88">
      <c r="A88" s="0" t="inlineStr">
        <is>
          <t>Marriott's Canyon Villas</t>
        </is>
      </c>
      <c r="B88" s="0" t="inlineStr">
        <is>
          <t>Hotel</t>
        </is>
      </c>
      <c r="C88" s="225" t="inlineStr">
        <is>
          <t>Hotel — Suburban/Airport</t>
        </is>
      </c>
      <c r="D88" s="0" t="n">
        <v>252</v>
      </c>
      <c r="E88" s="0" t="inlineStr"/>
      <c r="F88" s="226" t="n">
        <v>0.6</v>
      </c>
      <c r="G88" s="0" t="inlineStr"/>
      <c r="H88" s="226" t="n">
        <v>0.15</v>
      </c>
      <c r="I88" s="0" t="inlineStr"/>
      <c r="J88" s="0" t="n">
        <v>360</v>
      </c>
      <c r="K88" s="0" t="inlineStr"/>
      <c r="L88" s="0" t="inlineStr"/>
      <c r="M88" s="0" t="inlineStr"/>
      <c r="N88" s="0" t="inlineStr">
        <is>
          <t>No Valet / TAM = $0</t>
        </is>
      </c>
      <c r="O88" s="0" t="inlineStr">
        <is>
          <t>Hotel has no valet (rate field: 'No Valet'). Auto-class: not downtown (by flag or name). Qualitative pipeline only.</t>
        </is>
      </c>
    </row>
    <row r="89">
      <c r="A89" s="0" t="inlineStr">
        <is>
          <t>Fairmont Gold Lounge</t>
        </is>
      </c>
      <c r="B89" s="0" t="inlineStr">
        <is>
          <t>Hotel</t>
        </is>
      </c>
      <c r="C89" s="225" t="inlineStr">
        <is>
          <t>Hotel — Suburban/Airport</t>
        </is>
      </c>
      <c r="D89" s="0" t="inlineStr"/>
      <c r="E89" s="0" t="inlineStr"/>
      <c r="F89" s="226" t="n">
        <v>0.6</v>
      </c>
      <c r="G89" s="0" t="inlineStr"/>
      <c r="H89" s="226" t="n">
        <v>0.15</v>
      </c>
      <c r="I89" s="0" t="inlineStr"/>
      <c r="J89" s="0" t="n">
        <v>360</v>
      </c>
      <c r="K89" s="0" t="inlineStr"/>
      <c r="L89" s="0" t="inlineStr"/>
      <c r="M89" s="0" t="inlineStr"/>
      <c r="N89" s="0" t="inlineStr">
        <is>
          <t>No Valet / TAM = $0</t>
        </is>
      </c>
      <c r="O89" s="0" t="inlineStr">
        <is>
          <t>Hotel has no valet (rate field: None). Auto-class: not downtown (by flag or name). Qualitative pipeline only.</t>
        </is>
      </c>
    </row>
    <row r="90">
      <c r="A90" s="0" t="inlineStr">
        <is>
          <t>AC Hotel Scottsdale North</t>
        </is>
      </c>
      <c r="B90" s="0" t="inlineStr">
        <is>
          <t>Hotel</t>
        </is>
      </c>
      <c r="C90" s="225" t="inlineStr">
        <is>
          <t>Hotel — Suburban/Airport</t>
        </is>
      </c>
      <c r="D90" s="0" t="n">
        <v>165</v>
      </c>
      <c r="E90" s="0" t="inlineStr"/>
      <c r="F90" s="226" t="n">
        <v>0.6</v>
      </c>
      <c r="G90" s="0" t="inlineStr"/>
      <c r="H90" s="226" t="n">
        <v>0.15</v>
      </c>
      <c r="I90" s="0" t="inlineStr"/>
      <c r="J90" s="0" t="n">
        <v>360</v>
      </c>
      <c r="K90" s="0" t="inlineStr"/>
      <c r="L90" s="0" t="inlineStr"/>
      <c r="M90" s="0" t="inlineStr"/>
      <c r="N90" s="0" t="inlineStr">
        <is>
          <t>No Valet / TAM = $0</t>
        </is>
      </c>
      <c r="O90" s="0" t="inlineStr">
        <is>
          <t>Hotel has no valet (rate field: 'No Valet'). Auto-class: not downtown (by flag or name). Qualitative pipeline only.</t>
        </is>
      </c>
    </row>
    <row r="91">
      <c r="A91" s="0" t="inlineStr">
        <is>
          <t>Courtyard Scottsdale Old Town</t>
        </is>
      </c>
      <c r="B91" s="0" t="inlineStr">
        <is>
          <t>Hotel</t>
        </is>
      </c>
      <c r="C91" s="225" t="inlineStr">
        <is>
          <t>Hotel — Suburban/Airport</t>
        </is>
      </c>
      <c r="D91" s="0" t="n">
        <v>180</v>
      </c>
      <c r="E91" s="0" t="inlineStr"/>
      <c r="F91" s="226" t="n">
        <v>0.6</v>
      </c>
      <c r="G91" s="0" t="inlineStr"/>
      <c r="H91" s="226" t="n">
        <v>0.15</v>
      </c>
      <c r="I91" s="0" t="inlineStr"/>
      <c r="J91" s="0" t="n">
        <v>360</v>
      </c>
      <c r="K91" s="0" t="inlineStr"/>
      <c r="L91" s="0" t="inlineStr"/>
      <c r="M91" s="0" t="inlineStr"/>
      <c r="N91" s="0" t="inlineStr">
        <is>
          <t>No Valet / TAM = $0</t>
        </is>
      </c>
      <c r="O91" s="0" t="inlineStr">
        <is>
          <t>Hotel has no valet (rate field: 'No Valet'). Auto-class: not downtown (by flag or name). Qualitative pipeline only.</t>
        </is>
      </c>
    </row>
    <row r="92">
      <c r="A92" s="0" t="inlineStr">
        <is>
          <t>Scottsdale Marriott Old Town</t>
        </is>
      </c>
      <c r="B92" s="0" t="inlineStr">
        <is>
          <t>Hotel</t>
        </is>
      </c>
      <c r="C92" s="225" t="inlineStr">
        <is>
          <t>Hotel — Suburban/Airport</t>
        </is>
      </c>
      <c r="D92" s="0" t="n">
        <v>243</v>
      </c>
      <c r="E92" s="0" t="inlineStr"/>
      <c r="F92" s="226" t="n">
        <v>0.6</v>
      </c>
      <c r="G92" s="0" t="inlineStr"/>
      <c r="H92" s="226" t="n">
        <v>0.15</v>
      </c>
      <c r="I92" s="0" t="inlineStr"/>
      <c r="J92" s="0" t="n">
        <v>360</v>
      </c>
      <c r="K92" s="0" t="inlineStr"/>
      <c r="L92" s="0" t="inlineStr"/>
      <c r="M92" s="0" t="inlineStr"/>
      <c r="N92" s="0" t="inlineStr">
        <is>
          <t>No Valet / TAM = $0</t>
        </is>
      </c>
      <c r="O92" s="0" t="inlineStr">
        <is>
          <t>Hotel has no valet (rate field: 'No Valet'). Auto-class: not downtown (by flag or name). Qualitative pipeline only.</t>
        </is>
      </c>
    </row>
    <row r="93">
      <c r="A93" s="0" t="inlineStr">
        <is>
          <t>The Monarch</t>
        </is>
      </c>
      <c r="B93" s="0" t="inlineStr">
        <is>
          <t>Hotel</t>
        </is>
      </c>
      <c r="C93" s="225" t="inlineStr">
        <is>
          <t>Hotel — Suburban/Airport</t>
        </is>
      </c>
      <c r="D93" s="0" t="n">
        <v>194</v>
      </c>
      <c r="E93" s="0" t="inlineStr"/>
      <c r="F93" s="226" t="n">
        <v>0.6</v>
      </c>
      <c r="G93" s="0" t="inlineStr"/>
      <c r="H93" s="226" t="n">
        <v>0.15</v>
      </c>
      <c r="I93" s="0" t="inlineStr"/>
      <c r="J93" s="0" t="n">
        <v>360</v>
      </c>
      <c r="K93" s="0" t="inlineStr"/>
      <c r="L93" s="0" t="inlineStr"/>
      <c r="M93" s="0" t="inlineStr"/>
      <c r="N93" s="0" t="inlineStr">
        <is>
          <t>No Valet / TAM = $0</t>
        </is>
      </c>
      <c r="O93" s="0" t="inlineStr">
        <is>
          <t>Hotel has no valet (rate field: 'No Valet'). Auto-class: not downtown (by flag or name). Qualitative pipeline only.</t>
        </is>
      </c>
    </row>
    <row r="94">
      <c r="A94" s="0" t="inlineStr">
        <is>
          <t>Hotel Adeline, Scottsdale, a Tribute Portfolio Hotel</t>
        </is>
      </c>
      <c r="B94" s="0" t="inlineStr">
        <is>
          <t>Hotel</t>
        </is>
      </c>
      <c r="C94" s="225" t="inlineStr">
        <is>
          <t>Hotel — Suburban/Airport</t>
        </is>
      </c>
      <c r="D94" s="0" t="n">
        <v>213</v>
      </c>
      <c r="E94" s="0" t="inlineStr"/>
      <c r="F94" s="226" t="n">
        <v>0.6</v>
      </c>
      <c r="G94" s="0" t="inlineStr"/>
      <c r="H94" s="226" t="n">
        <v>0.15</v>
      </c>
      <c r="I94" s="0" t="inlineStr"/>
      <c r="J94" s="0" t="n">
        <v>360</v>
      </c>
      <c r="K94" s="0" t="inlineStr"/>
      <c r="L94" s="0" t="inlineStr"/>
      <c r="M94" s="0" t="inlineStr"/>
      <c r="N94" s="0" t="inlineStr">
        <is>
          <t>No Valet / TAM = $0</t>
        </is>
      </c>
      <c r="O94" s="0" t="inlineStr">
        <is>
          <t>Hotel has no valet (rate field: 'No Valet'). Auto-class: not downtown (by flag or name). Qualitative pipeline only.</t>
        </is>
      </c>
    </row>
    <row r="95">
      <c r="A95" s="0" t="inlineStr">
        <is>
          <t>Embassy Suites by Hilton Scottsdale Resort</t>
        </is>
      </c>
      <c r="B95" s="0" t="inlineStr">
        <is>
          <t>Hotel</t>
        </is>
      </c>
      <c r="C95" s="225" t="inlineStr">
        <is>
          <t>Hotel — Resort</t>
        </is>
      </c>
      <c r="D95" s="0" t="n">
        <v>312</v>
      </c>
      <c r="E95" s="0" t="inlineStr"/>
      <c r="F95" s="226" t="n">
        <v>0.6</v>
      </c>
      <c r="G95" s="0" t="inlineStr"/>
      <c r="H95" s="226" t="n">
        <v>0.5</v>
      </c>
      <c r="I95" s="0" t="inlineStr"/>
      <c r="J95" s="0" t="n">
        <v>360</v>
      </c>
      <c r="K95" s="0" t="inlineStr"/>
      <c r="L95" s="0" t="inlineStr"/>
      <c r="M95" s="0" t="inlineStr"/>
      <c r="N95" s="0" t="inlineStr">
        <is>
          <t>No Valet / TAM = $0</t>
        </is>
      </c>
      <c r="O95" s="0" t="inlineStr">
        <is>
          <t>Hotel has no valet (rate field: 'No Valet'). Auto-class: resort keyword: 'resort'. Qualitative pipeline only.</t>
        </is>
      </c>
    </row>
    <row r="96">
      <c r="A96" s="0" t="inlineStr">
        <is>
          <t>Senna House Hotel Scottsdale, Curio Collection by Hilton</t>
        </is>
      </c>
      <c r="B96" s="0" t="inlineStr">
        <is>
          <t>Hotel</t>
        </is>
      </c>
      <c r="C96" s="225" t="inlineStr">
        <is>
          <t>Hotel — Suburban/Airport</t>
        </is>
      </c>
      <c r="D96" s="0" t="n">
        <v>169</v>
      </c>
      <c r="E96" s="0" t="inlineStr"/>
      <c r="F96" s="226" t="n">
        <v>0.6</v>
      </c>
      <c r="G96" s="0" t="inlineStr"/>
      <c r="H96" s="226" t="n">
        <v>0.15</v>
      </c>
      <c r="I96" s="227" t="n">
        <v>40</v>
      </c>
      <c r="J96" s="0" t="n">
        <v>360</v>
      </c>
      <c r="K96" s="0" t="inlineStr"/>
      <c r="L96" s="227" t="n">
        <v>608.3999999999999</v>
      </c>
      <c r="M96" s="227" t="n">
        <v>219023.9999999999</v>
      </c>
      <c r="N96" s="0" t="inlineStr">
        <is>
          <t>Active TAM</t>
        </is>
      </c>
      <c r="O96" s="0" t="inlineStr">
        <is>
          <t>Auto-class: not downtown (by flag or name). Occ 60% flat (refine w/STR).</t>
        </is>
      </c>
    </row>
    <row r="97">
      <c r="A97" s="0" t="inlineStr">
        <is>
          <t>The REMI Scottsdale, Autograph Collection</t>
        </is>
      </c>
      <c r="B97" s="0" t="inlineStr">
        <is>
          <t>Hotel</t>
        </is>
      </c>
      <c r="C97" s="225" t="inlineStr">
        <is>
          <t>Hotel — Suburban/Airport</t>
        </is>
      </c>
      <c r="D97" s="0" t="inlineStr"/>
      <c r="E97" s="0" t="inlineStr"/>
      <c r="F97" s="226" t="n">
        <v>0.6</v>
      </c>
      <c r="G97" s="0" t="inlineStr"/>
      <c r="H97" s="226" t="n">
        <v>0.15</v>
      </c>
      <c r="I97" s="227" t="n">
        <v>30</v>
      </c>
      <c r="J97" s="0" t="n">
        <v>360</v>
      </c>
      <c r="K97" s="0" t="inlineStr"/>
      <c r="L97" s="0" t="inlineStr"/>
      <c r="M97" s="0" t="inlineStr"/>
      <c r="N97" s="0" t="inlineStr">
        <is>
          <t>Active TAM</t>
        </is>
      </c>
      <c r="O97" s="0" t="inlineStr">
        <is>
          <t>Auto-class: not downtown (by flag or name). Occ 60% flat (refine w/STR).</t>
        </is>
      </c>
    </row>
    <row r="98">
      <c r="A98" s="0" t="inlineStr">
        <is>
          <t>Caesars Republic Scottsdale, a Hilton Hotel</t>
        </is>
      </c>
      <c r="B98" s="0" t="inlineStr">
        <is>
          <t>Hotel</t>
        </is>
      </c>
      <c r="C98" s="225" t="inlineStr">
        <is>
          <t>Hotel — Suburban/Airport</t>
        </is>
      </c>
      <c r="D98" s="0" t="n">
        <v>265</v>
      </c>
      <c r="E98" s="0" t="inlineStr"/>
      <c r="F98" s="226" t="n">
        <v>0.6</v>
      </c>
      <c r="G98" s="0" t="inlineStr"/>
      <c r="H98" s="226" t="n">
        <v>0.15</v>
      </c>
      <c r="I98" s="227" t="n">
        <v>40</v>
      </c>
      <c r="J98" s="0" t="n">
        <v>360</v>
      </c>
      <c r="K98" s="0" t="inlineStr"/>
      <c r="L98" s="227" t="n">
        <v>953.9999999999999</v>
      </c>
      <c r="M98" s="227" t="n">
        <v>343439.9999999999</v>
      </c>
      <c r="N98" s="0" t="inlineStr">
        <is>
          <t>Active TAM</t>
        </is>
      </c>
      <c r="O98" s="0" t="inlineStr">
        <is>
          <t>Auto-class: not downtown (by flag or name). Occ 60% flat (refine w/STR).</t>
        </is>
      </c>
    </row>
    <row r="99">
      <c r="A99" s="0" t="inlineStr">
        <is>
          <t>DoubleTree Resort by Hilton Paradise Valley-Scottsdale</t>
        </is>
      </c>
      <c r="B99" s="0" t="inlineStr">
        <is>
          <t>Hotel</t>
        </is>
      </c>
      <c r="C99" s="225" t="inlineStr">
        <is>
          <t>Hotel — Resort</t>
        </is>
      </c>
      <c r="D99" s="0" t="n">
        <v>378</v>
      </c>
      <c r="E99" s="0" t="inlineStr"/>
      <c r="F99" s="226" t="n">
        <v>0.6</v>
      </c>
      <c r="G99" s="0" t="inlineStr"/>
      <c r="H99" s="226" t="n">
        <v>0.5</v>
      </c>
      <c r="I99" s="227" t="n">
        <v>20</v>
      </c>
      <c r="J99" s="0" t="n">
        <v>360</v>
      </c>
      <c r="K99" s="0" t="inlineStr"/>
      <c r="L99" s="227" t="n">
        <v>2268</v>
      </c>
      <c r="M99" s="227" t="n">
        <v>816480</v>
      </c>
      <c r="N99" s="0" t="inlineStr">
        <is>
          <t>Active TAM</t>
        </is>
      </c>
      <c r="O99" s="0" t="inlineStr">
        <is>
          <t>Auto-class: resort keyword: 'resort'. Occ 60% flat (refine w/STR).</t>
        </is>
      </c>
    </row>
    <row r="100">
      <c r="A100" s="0" t="inlineStr">
        <is>
          <t>Home2 Suites by Hilton Scottsdale North</t>
        </is>
      </c>
      <c r="B100" s="0" t="inlineStr">
        <is>
          <t>Hotel</t>
        </is>
      </c>
      <c r="C100" s="225" t="inlineStr">
        <is>
          <t>Hotel — Suburban/Airport</t>
        </is>
      </c>
      <c r="D100" s="0" t="n">
        <v>130</v>
      </c>
      <c r="E100" s="0" t="inlineStr"/>
      <c r="F100" s="226" t="n">
        <v>0.6</v>
      </c>
      <c r="G100" s="0" t="inlineStr"/>
      <c r="H100" s="226" t="n">
        <v>0.15</v>
      </c>
      <c r="I100" s="0" t="inlineStr"/>
      <c r="J100" s="0" t="n">
        <v>360</v>
      </c>
      <c r="K100" s="0" t="inlineStr"/>
      <c r="L100" s="0" t="inlineStr"/>
      <c r="M100" s="0" t="inlineStr"/>
      <c r="N100" s="0" t="inlineStr">
        <is>
          <t>No Valet / TAM = $0</t>
        </is>
      </c>
      <c r="O100" s="0" t="inlineStr">
        <is>
          <t>Hotel has no valet (rate field: None). Auto-class: not downtown (by flag or name). Qualitative pipeline only.</t>
        </is>
      </c>
    </row>
    <row r="101">
      <c r="A101" s="0" t="inlineStr">
        <is>
          <t>Courtyard Scottsdale North</t>
        </is>
      </c>
      <c r="B101" s="0" t="inlineStr">
        <is>
          <t>Hotel</t>
        </is>
      </c>
      <c r="C101" s="225" t="inlineStr">
        <is>
          <t>Hotel — Suburban/Airport</t>
        </is>
      </c>
      <c r="D101" s="0" t="n">
        <v>153</v>
      </c>
      <c r="E101" s="0" t="inlineStr"/>
      <c r="F101" s="226" t="n">
        <v>0.6</v>
      </c>
      <c r="G101" s="0" t="inlineStr"/>
      <c r="H101" s="226" t="n">
        <v>0.15</v>
      </c>
      <c r="I101" s="0" t="inlineStr"/>
      <c r="J101" s="0" t="n">
        <v>360</v>
      </c>
      <c r="K101" s="0" t="inlineStr"/>
      <c r="L101" s="0" t="inlineStr"/>
      <c r="M101" s="0" t="inlineStr"/>
      <c r="N101" s="0" t="inlineStr">
        <is>
          <t>No Valet / TAM = $0</t>
        </is>
      </c>
      <c r="O101" s="0" t="inlineStr">
        <is>
          <t>Hotel has no valet (rate field: 'No Valet'). Auto-class: not downtown (by flag or name). Qualitative pipeline only.</t>
        </is>
      </c>
    </row>
    <row r="102">
      <c r="A102" s="0" t="inlineStr">
        <is>
          <t>Cambria Hotel Phoenix - North Scottsdale</t>
        </is>
      </c>
      <c r="B102" s="0" t="inlineStr">
        <is>
          <t>Hotel</t>
        </is>
      </c>
      <c r="C102" s="225" t="inlineStr">
        <is>
          <t>Hotel — Suburban/Airport</t>
        </is>
      </c>
      <c r="D102" s="0" t="n">
        <v>130</v>
      </c>
      <c r="E102" s="0" t="inlineStr"/>
      <c r="F102" s="226" t="n">
        <v>0.6</v>
      </c>
      <c r="G102" s="0" t="inlineStr"/>
      <c r="H102" s="226" t="n">
        <v>0.15</v>
      </c>
      <c r="I102" s="0" t="inlineStr"/>
      <c r="J102" s="0" t="n">
        <v>360</v>
      </c>
      <c r="K102" s="0" t="inlineStr"/>
      <c r="L102" s="0" t="inlineStr"/>
      <c r="M102" s="0" t="inlineStr"/>
      <c r="N102" s="0" t="inlineStr">
        <is>
          <t>No Valet / TAM = $0</t>
        </is>
      </c>
      <c r="O102" s="0" t="inlineStr">
        <is>
          <t>Hotel has no valet (rate field: 'No Valet'). Auto-class: not downtown (by flag or name). Qualitative pipeline only.</t>
        </is>
      </c>
    </row>
    <row r="103">
      <c r="A103" s="0" t="inlineStr">
        <is>
          <t>Great Wolf Lodge Water Park | Arizona</t>
        </is>
      </c>
      <c r="B103" s="0" t="inlineStr">
        <is>
          <t>Hotel</t>
        </is>
      </c>
      <c r="C103" s="225" t="inlineStr">
        <is>
          <t>Hotel — Suburban/Airport</t>
        </is>
      </c>
      <c r="D103" s="0" t="inlineStr"/>
      <c r="E103" s="0" t="inlineStr"/>
      <c r="F103" s="226" t="n">
        <v>0.6</v>
      </c>
      <c r="G103" s="0" t="inlineStr"/>
      <c r="H103" s="226" t="n">
        <v>0.15</v>
      </c>
      <c r="I103" s="0" t="inlineStr"/>
      <c r="J103" s="0" t="n">
        <v>360</v>
      </c>
      <c r="K103" s="0" t="inlineStr"/>
      <c r="L103" s="0" t="inlineStr"/>
      <c r="M103" s="0" t="inlineStr"/>
      <c r="N103" s="0" t="inlineStr">
        <is>
          <t>No Valet / TAM = $0</t>
        </is>
      </c>
      <c r="O103" s="0" t="inlineStr">
        <is>
          <t>Hotel has no valet (rate field: 'No Valet'). Auto-class: not downtown (by flag or name). Qualitative pipeline only.</t>
        </is>
      </c>
    </row>
    <row r="104">
      <c r="A104" s="0" t="inlineStr">
        <is>
          <t>Residence Inn Scottsdale North</t>
        </is>
      </c>
      <c r="B104" s="0" t="inlineStr">
        <is>
          <t>Hotel</t>
        </is>
      </c>
      <c r="C104" s="225" t="inlineStr">
        <is>
          <t>Hotel — Suburban/Airport</t>
        </is>
      </c>
      <c r="D104" s="0" t="n">
        <v>120</v>
      </c>
      <c r="E104" s="0" t="inlineStr"/>
      <c r="F104" s="226" t="n">
        <v>0.6</v>
      </c>
      <c r="G104" s="0" t="inlineStr"/>
      <c r="H104" s="226" t="n">
        <v>0.15</v>
      </c>
      <c r="I104" s="0" t="inlineStr"/>
      <c r="J104" s="0" t="n">
        <v>360</v>
      </c>
      <c r="K104" s="0" t="inlineStr"/>
      <c r="L104" s="0" t="inlineStr"/>
      <c r="M104" s="0" t="inlineStr"/>
      <c r="N104" s="0" t="inlineStr">
        <is>
          <t>No Valet / TAM = $0</t>
        </is>
      </c>
      <c r="O104" s="0" t="inlineStr">
        <is>
          <t>Hotel has no valet (rate field: 'No Valet'). Auto-class: not downtown (by flag or name). Qualitative pipeline only.</t>
        </is>
      </c>
    </row>
    <row r="105">
      <c r="A105" s="0" t="inlineStr">
        <is>
          <t>Orange Tree Resort</t>
        </is>
      </c>
      <c r="B105" s="0" t="inlineStr">
        <is>
          <t>Hotel</t>
        </is>
      </c>
      <c r="C105" s="225" t="inlineStr">
        <is>
          <t>Hotel — Resort</t>
        </is>
      </c>
      <c r="D105" s="0" t="inlineStr"/>
      <c r="E105" s="0" t="inlineStr"/>
      <c r="F105" s="226" t="n">
        <v>0.6</v>
      </c>
      <c r="G105" s="0" t="inlineStr"/>
      <c r="H105" s="226" t="n">
        <v>0.5</v>
      </c>
      <c r="I105" s="0" t="inlineStr"/>
      <c r="J105" s="0" t="n">
        <v>360</v>
      </c>
      <c r="K105" s="0" t="inlineStr"/>
      <c r="L105" s="0" t="inlineStr"/>
      <c r="M105" s="0" t="inlineStr"/>
      <c r="N105" s="0" t="inlineStr">
        <is>
          <t>No Valet / TAM = $0</t>
        </is>
      </c>
      <c r="O105" s="0" t="inlineStr">
        <is>
          <t>Hotel has no valet (rate field: 'No Valet'). Auto-class: resort keyword: 'resort'. Qualitative pipeline only.</t>
        </is>
      </c>
    </row>
    <row r="106">
      <c r="A106" s="0" t="inlineStr">
        <is>
          <t>The Westin Kierland Resort &amp; Spa</t>
        </is>
      </c>
      <c r="B106" s="0" t="inlineStr">
        <is>
          <t>Hotel</t>
        </is>
      </c>
      <c r="C106" s="225" t="inlineStr">
        <is>
          <t>Hotel — Resort</t>
        </is>
      </c>
      <c r="D106" s="0" t="n">
        <v>735</v>
      </c>
      <c r="E106" s="0" t="inlineStr"/>
      <c r="F106" s="226" t="n">
        <v>0.6</v>
      </c>
      <c r="G106" s="0" t="inlineStr"/>
      <c r="H106" s="226" t="n">
        <v>0.5</v>
      </c>
      <c r="I106" s="227" t="n">
        <v>40</v>
      </c>
      <c r="J106" s="0" t="n">
        <v>360</v>
      </c>
      <c r="K106" s="0" t="inlineStr"/>
      <c r="L106" s="227" t="n">
        <v>8820</v>
      </c>
      <c r="M106" s="227" t="n">
        <v>3175200</v>
      </c>
      <c r="N106" s="0" t="inlineStr">
        <is>
          <t>Active TAM</t>
        </is>
      </c>
      <c r="O106" s="0" t="inlineStr">
        <is>
          <t>Auto-class: resort keyword: 'resort'. Occ 60% flat (refine w/STR).</t>
        </is>
      </c>
    </row>
    <row r="107">
      <c r="A107" s="0" t="inlineStr">
        <is>
          <t>Fairmont Scottsdale Princess</t>
        </is>
      </c>
      <c r="B107" s="0" t="inlineStr">
        <is>
          <t>Hotel</t>
        </is>
      </c>
      <c r="C107" s="225" t="inlineStr">
        <is>
          <t>Hotel — Suburban/Airport</t>
        </is>
      </c>
      <c r="D107" s="0" t="n">
        <v>750</v>
      </c>
      <c r="E107" s="0" t="inlineStr"/>
      <c r="F107" s="226" t="n">
        <v>0.6</v>
      </c>
      <c r="G107" s="0" t="inlineStr"/>
      <c r="H107" s="226" t="n">
        <v>0.15</v>
      </c>
      <c r="I107" s="227" t="n">
        <v>40</v>
      </c>
      <c r="J107" s="0" t="n">
        <v>360</v>
      </c>
      <c r="K107" s="0" t="inlineStr"/>
      <c r="L107" s="227" t="n">
        <v>2700</v>
      </c>
      <c r="M107" s="227" t="n">
        <v>972000</v>
      </c>
      <c r="N107" s="0" t="inlineStr">
        <is>
          <t>Active TAM</t>
        </is>
      </c>
      <c r="O107" s="0" t="inlineStr">
        <is>
          <t>Auto-class: not downtown (by flag or name). Occ 60% flat (refine w/STR).</t>
        </is>
      </c>
    </row>
    <row r="108">
      <c r="A108" s="0" t="inlineStr">
        <is>
          <t>Grand Hyatt Scottsdale Resort</t>
        </is>
      </c>
      <c r="B108" s="0" t="inlineStr">
        <is>
          <t>Hotel</t>
        </is>
      </c>
      <c r="C108" s="225" t="inlineStr">
        <is>
          <t>Hotel — Resort</t>
        </is>
      </c>
      <c r="D108" s="0" t="n">
        <v>496</v>
      </c>
      <c r="E108" s="0" t="inlineStr"/>
      <c r="F108" s="226" t="n">
        <v>0.6</v>
      </c>
      <c r="G108" s="0" t="inlineStr"/>
      <c r="H108" s="226" t="n">
        <v>0.5</v>
      </c>
      <c r="I108" s="227" t="n">
        <v>30</v>
      </c>
      <c r="J108" s="0" t="n">
        <v>360</v>
      </c>
      <c r="K108" s="0" t="inlineStr"/>
      <c r="L108" s="227" t="n">
        <v>4463.999999999999</v>
      </c>
      <c r="M108" s="227" t="n">
        <v>1607040</v>
      </c>
      <c r="N108" s="0" t="inlineStr">
        <is>
          <t>Active TAM</t>
        </is>
      </c>
      <c r="O108" s="0" t="inlineStr">
        <is>
          <t>Auto-class: resort keyword: 'resort'. Occ 60% flat (refine w/STR).</t>
        </is>
      </c>
    </row>
    <row r="109">
      <c r="A109" s="0" t="inlineStr">
        <is>
          <t>The Global Ambassador</t>
        </is>
      </c>
      <c r="B109" s="0" t="inlineStr">
        <is>
          <t>Hotel</t>
        </is>
      </c>
      <c r="C109" s="225" t="inlineStr">
        <is>
          <t>Hotel — Suburban/Airport</t>
        </is>
      </c>
      <c r="D109" s="0" t="n">
        <v>141</v>
      </c>
      <c r="E109" s="0" t="inlineStr"/>
      <c r="F109" s="226" t="n">
        <v>0.6</v>
      </c>
      <c r="G109" s="0" t="inlineStr"/>
      <c r="H109" s="226" t="n">
        <v>0.15</v>
      </c>
      <c r="I109" s="227" t="n">
        <v>35</v>
      </c>
      <c r="J109" s="0" t="n">
        <v>360</v>
      </c>
      <c r="K109" s="0" t="inlineStr"/>
      <c r="L109" s="227" t="n">
        <v>444.15</v>
      </c>
      <c r="M109" s="227" t="n">
        <v>159894</v>
      </c>
      <c r="N109" s="0" t="inlineStr">
        <is>
          <t>Active TAM</t>
        </is>
      </c>
      <c r="O109" s="0" t="inlineStr">
        <is>
          <t>Auto-class: not downtown (by flag or name). Occ 60% flat (refine w/STR).</t>
        </is>
      </c>
    </row>
    <row r="110">
      <c r="A110" s="0" t="inlineStr">
        <is>
          <t>SpringHill Suites Scottsdale North</t>
        </is>
      </c>
      <c r="B110" s="0" t="inlineStr">
        <is>
          <t>Hotel</t>
        </is>
      </c>
      <c r="C110" s="225" t="inlineStr">
        <is>
          <t>Hotel — Suburban/Airport</t>
        </is>
      </c>
      <c r="D110" s="0" t="n">
        <v>121</v>
      </c>
      <c r="E110" s="0" t="inlineStr"/>
      <c r="F110" s="226" t="n">
        <v>0.6</v>
      </c>
      <c r="G110" s="0" t="inlineStr"/>
      <c r="H110" s="226" t="n">
        <v>0.15</v>
      </c>
      <c r="I110" s="0" t="inlineStr"/>
      <c r="J110" s="0" t="n">
        <v>360</v>
      </c>
      <c r="K110" s="0" t="inlineStr"/>
      <c r="L110" s="0" t="inlineStr"/>
      <c r="M110" s="0" t="inlineStr"/>
      <c r="N110" s="0" t="inlineStr">
        <is>
          <t>No Valet / TAM = $0</t>
        </is>
      </c>
      <c r="O110" s="0" t="inlineStr">
        <is>
          <t>Hotel has no valet (rate field: 'No Valet'). Auto-class: not downtown (by flag or name). Qualitative pipeline only.</t>
        </is>
      </c>
    </row>
    <row r="111">
      <c r="A111" s="0" t="inlineStr">
        <is>
          <t>SpringHill Suites Phoenix Scottsdale</t>
        </is>
      </c>
      <c r="B111" s="0" t="inlineStr">
        <is>
          <t>Hotel</t>
        </is>
      </c>
      <c r="C111" s="225" t="inlineStr">
        <is>
          <t>Hotel — Suburban/Airport</t>
        </is>
      </c>
      <c r="D111" s="0" t="inlineStr"/>
      <c r="E111" s="0" t="inlineStr"/>
      <c r="F111" s="226" t="n">
        <v>0.6</v>
      </c>
      <c r="G111" s="0" t="inlineStr"/>
      <c r="H111" s="226" t="n">
        <v>0.15</v>
      </c>
      <c r="I111" s="0" t="inlineStr"/>
      <c r="J111" s="0" t="n">
        <v>360</v>
      </c>
      <c r="K111" s="0" t="inlineStr"/>
      <c r="L111" s="0" t="inlineStr"/>
      <c r="M111" s="0" t="inlineStr"/>
      <c r="N111" s="0" t="inlineStr">
        <is>
          <t>No Valet / TAM = $0</t>
        </is>
      </c>
      <c r="O111" s="0" t="inlineStr">
        <is>
          <t>Hotel has no valet (rate field: None). Auto-class: not downtown (by flag or name). Qualitative pipeline only.</t>
        </is>
      </c>
    </row>
    <row r="112">
      <c r="A112" s="0" t="inlineStr">
        <is>
          <t>Hilton Garden Inn Scottsdale Old Town</t>
        </is>
      </c>
      <c r="B112" s="0" t="inlineStr">
        <is>
          <t>Hotel</t>
        </is>
      </c>
      <c r="C112" s="225" t="inlineStr">
        <is>
          <t>Hotel — Suburban/Airport</t>
        </is>
      </c>
      <c r="D112" s="0" t="n">
        <v>199</v>
      </c>
      <c r="E112" s="0" t="inlineStr"/>
      <c r="F112" s="226" t="n">
        <v>0.6</v>
      </c>
      <c r="G112" s="0" t="inlineStr"/>
      <c r="H112" s="226" t="n">
        <v>0.15</v>
      </c>
      <c r="I112" s="0" t="inlineStr"/>
      <c r="J112" s="0" t="n">
        <v>360</v>
      </c>
      <c r="K112" s="0" t="inlineStr"/>
      <c r="L112" s="0" t="inlineStr"/>
      <c r="M112" s="0" t="inlineStr"/>
      <c r="N112" s="0" t="inlineStr">
        <is>
          <t>No Valet / TAM = $0</t>
        </is>
      </c>
      <c r="O112" s="0" t="inlineStr">
        <is>
          <t>Hotel has no valet (rate field: None). Auto-class: not downtown (by flag or name). Qualitative pipeline only.</t>
        </is>
      </c>
    </row>
    <row r="113">
      <c r="A113" s="0" t="inlineStr">
        <is>
          <t>The Scott Resort &amp; Spa</t>
        </is>
      </c>
      <c r="B113" s="0" t="inlineStr">
        <is>
          <t>Hotel</t>
        </is>
      </c>
      <c r="C113" s="225" t="inlineStr">
        <is>
          <t>Hotel — Resort</t>
        </is>
      </c>
      <c r="D113" s="0" t="n">
        <v>204</v>
      </c>
      <c r="E113" s="0" t="inlineStr"/>
      <c r="F113" s="226" t="n">
        <v>0.6</v>
      </c>
      <c r="G113" s="0" t="inlineStr"/>
      <c r="H113" s="226" t="n">
        <v>0.5</v>
      </c>
      <c r="I113" s="0" t="inlineStr"/>
      <c r="J113" s="0" t="n">
        <v>360</v>
      </c>
      <c r="K113" s="0" t="inlineStr"/>
      <c r="L113" s="0" t="inlineStr"/>
      <c r="M113" s="0" t="inlineStr"/>
      <c r="N113" s="0" t="inlineStr">
        <is>
          <t>No Valet / TAM = $0</t>
        </is>
      </c>
      <c r="O113" s="0" t="inlineStr">
        <is>
          <t>Hotel has no valet (rate field: 'No Valet'). Auto-class: resort keyword: 'resort'. Qualitative pipeline only.</t>
        </is>
      </c>
    </row>
    <row r="114">
      <c r="A114" s="0" t="inlineStr">
        <is>
          <t>Hyatt Place Scottsdale - North</t>
        </is>
      </c>
      <c r="B114" s="0" t="inlineStr">
        <is>
          <t>Hotel</t>
        </is>
      </c>
      <c r="C114" s="225" t="inlineStr">
        <is>
          <t>Hotel — Suburban/Airport</t>
        </is>
      </c>
      <c r="D114" s="0" t="n">
        <v>136</v>
      </c>
      <c r="E114" s="0" t="inlineStr"/>
      <c r="F114" s="226" t="n">
        <v>0.6</v>
      </c>
      <c r="G114" s="0" t="inlineStr"/>
      <c r="H114" s="226" t="n">
        <v>0.15</v>
      </c>
      <c r="I114" s="0" t="inlineStr"/>
      <c r="J114" s="0" t="n">
        <v>360</v>
      </c>
      <c r="K114" s="0" t="inlineStr"/>
      <c r="L114" s="0" t="inlineStr"/>
      <c r="M114" s="0" t="inlineStr"/>
      <c r="N114" s="0" t="inlineStr">
        <is>
          <t>No Valet / TAM = $0</t>
        </is>
      </c>
      <c r="O114" s="0" t="inlineStr">
        <is>
          <t>Hotel has no valet (rate field: 'No Valet'). Auto-class: not downtown (by flag or name). Qualitative pipeline only.</t>
        </is>
      </c>
    </row>
    <row r="115">
      <c r="A115" s="0" t="inlineStr">
        <is>
          <t>The McCormick Scottsdale</t>
        </is>
      </c>
      <c r="B115" s="0" t="inlineStr">
        <is>
          <t>Hotel</t>
        </is>
      </c>
      <c r="C115" s="225" t="inlineStr">
        <is>
          <t>Hotel — Suburban/Airport</t>
        </is>
      </c>
      <c r="D115" s="0" t="n">
        <v>125</v>
      </c>
      <c r="E115" s="0" t="inlineStr"/>
      <c r="F115" s="226" t="n">
        <v>0.6</v>
      </c>
      <c r="G115" s="0" t="inlineStr"/>
      <c r="H115" s="226" t="n">
        <v>0.15</v>
      </c>
      <c r="I115" s="0" t="inlineStr"/>
      <c r="J115" s="0" t="n">
        <v>360</v>
      </c>
      <c r="K115" s="0" t="inlineStr"/>
      <c r="L115" s="0" t="inlineStr"/>
      <c r="M115" s="0" t="inlineStr"/>
      <c r="N115" s="0" t="inlineStr">
        <is>
          <t>No Valet / TAM = $0</t>
        </is>
      </c>
      <c r="O115" s="0" t="inlineStr">
        <is>
          <t>Hotel has no valet (rate field: 'No Valet'). Auto-class: not downtown (by flag or name). Qualitative pipeline only.</t>
        </is>
      </c>
    </row>
    <row r="116">
      <c r="A116" s="0" t="inlineStr">
        <is>
          <t>Element Scottsdale at SkySong</t>
        </is>
      </c>
      <c r="B116" s="0" t="inlineStr">
        <is>
          <t>Hotel</t>
        </is>
      </c>
      <c r="C116" s="225" t="inlineStr">
        <is>
          <t>Hotel — Suburban/Airport</t>
        </is>
      </c>
      <c r="D116" s="0" t="n">
        <v>157</v>
      </c>
      <c r="E116" s="0" t="inlineStr"/>
      <c r="F116" s="226" t="n">
        <v>0.6</v>
      </c>
      <c r="G116" s="0" t="inlineStr"/>
      <c r="H116" s="226" t="n">
        <v>0.15</v>
      </c>
      <c r="I116" s="0" t="inlineStr"/>
      <c r="J116" s="0" t="n">
        <v>360</v>
      </c>
      <c r="K116" s="0" t="inlineStr"/>
      <c r="L116" s="0" t="inlineStr"/>
      <c r="M116" s="0" t="inlineStr"/>
      <c r="N116" s="0" t="inlineStr">
        <is>
          <t>No Valet / TAM = $0</t>
        </is>
      </c>
      <c r="O116" s="0" t="inlineStr">
        <is>
          <t>Hotel has no valet (rate field: 'No Valet'). Auto-class: not downtown (by flag or name). Qualitative pipeline only.</t>
        </is>
      </c>
    </row>
    <row r="117">
      <c r="A117" s="0" t="inlineStr">
        <is>
          <t>ADERO Scottsdale Resort, Autograph Collection</t>
        </is>
      </c>
      <c r="B117" s="0" t="inlineStr">
        <is>
          <t>Hotel</t>
        </is>
      </c>
      <c r="C117" s="225" t="inlineStr">
        <is>
          <t>Hotel — Resort</t>
        </is>
      </c>
      <c r="D117" s="0" t="n">
        <v>177</v>
      </c>
      <c r="E117" s="0" t="inlineStr"/>
      <c r="F117" s="226" t="n">
        <v>0.6</v>
      </c>
      <c r="G117" s="0" t="inlineStr"/>
      <c r="H117" s="226" t="n">
        <v>0.5</v>
      </c>
      <c r="I117" s="227" t="n">
        <v>25</v>
      </c>
      <c r="J117" s="0" t="n">
        <v>360</v>
      </c>
      <c r="K117" s="0" t="inlineStr"/>
      <c r="L117" s="227" t="n">
        <v>1327.5</v>
      </c>
      <c r="M117" s="227" t="n">
        <v>477900</v>
      </c>
      <c r="N117" s="0" t="inlineStr">
        <is>
          <t>Active TAM</t>
        </is>
      </c>
      <c r="O117" s="0" t="inlineStr">
        <is>
          <t>Auto-class: resort keyword: 'resort'. Occ 60% flat (refine w/STR).</t>
        </is>
      </c>
    </row>
    <row r="118">
      <c r="A118" s="0" t="inlineStr">
        <is>
          <t>Best Western Plus Sundial</t>
        </is>
      </c>
      <c r="B118" s="0" t="inlineStr">
        <is>
          <t>Hotel</t>
        </is>
      </c>
      <c r="C118" s="225" t="inlineStr">
        <is>
          <t>Hotel — Suburban/Airport</t>
        </is>
      </c>
      <c r="D118" s="0" t="n">
        <v>54</v>
      </c>
      <c r="E118" s="0" t="inlineStr"/>
      <c r="F118" s="226" t="n">
        <v>0.6</v>
      </c>
      <c r="G118" s="0" t="inlineStr"/>
      <c r="H118" s="226" t="n">
        <v>0.15</v>
      </c>
      <c r="I118" s="0" t="inlineStr"/>
      <c r="J118" s="0" t="n">
        <v>360</v>
      </c>
      <c r="K118" s="0" t="inlineStr"/>
      <c r="L118" s="0" t="inlineStr"/>
      <c r="M118" s="0" t="inlineStr"/>
      <c r="N118" s="0" t="inlineStr">
        <is>
          <t>No Valet / TAM = $0</t>
        </is>
      </c>
      <c r="O118" s="0" t="inlineStr">
        <is>
          <t>Hotel has no valet (rate field: 'No Valet'). Auto-class: not downtown (by flag or name). Qualitative pipeline only.</t>
        </is>
      </c>
    </row>
    <row r="119">
      <c r="A119" s="0" t="inlineStr">
        <is>
          <t>JW Marriott Scottsdale Camelback Inn Resort &amp; Spa</t>
        </is>
      </c>
      <c r="B119" s="0" t="inlineStr">
        <is>
          <t>Hotel</t>
        </is>
      </c>
      <c r="C119" s="225" t="inlineStr">
        <is>
          <t>Hotel — Resort</t>
        </is>
      </c>
      <c r="D119" s="0" t="n">
        <v>453</v>
      </c>
      <c r="E119" s="0" t="inlineStr"/>
      <c r="F119" s="226" t="n">
        <v>0.6</v>
      </c>
      <c r="G119" s="0" t="inlineStr"/>
      <c r="H119" s="226" t="n">
        <v>0.5</v>
      </c>
      <c r="I119" s="227" t="n">
        <v>30</v>
      </c>
      <c r="J119" s="0" t="n">
        <v>360</v>
      </c>
      <c r="K119" s="0" t="inlineStr"/>
      <c r="L119" s="227" t="n">
        <v>4077</v>
      </c>
      <c r="M119" s="227" t="n">
        <v>1467720</v>
      </c>
      <c r="N119" s="0" t="inlineStr">
        <is>
          <t>Active TAM</t>
        </is>
      </c>
      <c r="O119" s="0" t="inlineStr">
        <is>
          <t>Auto-class: resort keyword: 'resort'. Occ 60% flat (refine w/STR).</t>
        </is>
      </c>
    </row>
    <row r="120">
      <c r="A120" s="0" t="inlineStr">
        <is>
          <t>The Hermosa Inn</t>
        </is>
      </c>
      <c r="B120" s="0" t="inlineStr">
        <is>
          <t>Hotel</t>
        </is>
      </c>
      <c r="C120" s="225" t="inlineStr">
        <is>
          <t>Hotel — Suburban/Airport</t>
        </is>
      </c>
      <c r="D120" s="0" t="n">
        <v>43</v>
      </c>
      <c r="E120" s="0" t="inlineStr"/>
      <c r="F120" s="226" t="n">
        <v>0.6</v>
      </c>
      <c r="G120" s="0" t="inlineStr"/>
      <c r="H120" s="226" t="n">
        <v>0.15</v>
      </c>
      <c r="I120" s="0" t="inlineStr"/>
      <c r="J120" s="0" t="n">
        <v>360</v>
      </c>
      <c r="K120" s="0" t="inlineStr"/>
      <c r="L120" s="0" t="inlineStr"/>
      <c r="M120" s="0" t="inlineStr"/>
      <c r="N120" s="0" t="inlineStr">
        <is>
          <t>No Valet / TAM = $0</t>
        </is>
      </c>
      <c r="O120" s="0" t="inlineStr">
        <is>
          <t>Hotel has no valet (rate field: None). Auto-class: not downtown (by flag or name). Qualitative pipeline only.</t>
        </is>
      </c>
    </row>
    <row r="121">
      <c r="A121" s="0" t="inlineStr">
        <is>
          <t>Holiday Inn Club Vacations Scottsdale Resort</t>
        </is>
      </c>
      <c r="B121" s="0" t="inlineStr">
        <is>
          <t>Hotel</t>
        </is>
      </c>
      <c r="C121" s="225" t="inlineStr">
        <is>
          <t>Hotel — Resort</t>
        </is>
      </c>
      <c r="D121" s="0" t="n">
        <v>213</v>
      </c>
      <c r="E121" s="0" t="inlineStr"/>
      <c r="F121" s="226" t="n">
        <v>0.6</v>
      </c>
      <c r="G121" s="0" t="inlineStr"/>
      <c r="H121" s="226" t="n">
        <v>0.5</v>
      </c>
      <c r="I121" s="0" t="inlineStr"/>
      <c r="J121" s="0" t="n">
        <v>360</v>
      </c>
      <c r="K121" s="0" t="inlineStr"/>
      <c r="L121" s="0" t="inlineStr"/>
      <c r="M121" s="0" t="inlineStr"/>
      <c r="N121" s="0" t="inlineStr">
        <is>
          <t>No Valet / TAM = $0</t>
        </is>
      </c>
      <c r="O121" s="0" t="inlineStr">
        <is>
          <t>Hotel has no valet (rate field: 'No Valet'). Auto-class: resort keyword: 'resort'. Qualitative pipeline only.</t>
        </is>
      </c>
    </row>
    <row r="122">
      <c r="A122" s="0" t="inlineStr">
        <is>
          <t>The Phoenician, a Luxury Collection Resort, Scottsdale</t>
        </is>
      </c>
      <c r="B122" s="0" t="inlineStr">
        <is>
          <t>Hotel</t>
        </is>
      </c>
      <c r="C122" s="225" t="inlineStr">
        <is>
          <t>Hotel — Resort</t>
        </is>
      </c>
      <c r="D122" s="0" t="n">
        <v>119</v>
      </c>
      <c r="E122" s="0" t="inlineStr"/>
      <c r="F122" s="226" t="n">
        <v>0.6</v>
      </c>
      <c r="G122" s="0" t="inlineStr"/>
      <c r="H122" s="226" t="n">
        <v>0.5</v>
      </c>
      <c r="I122" s="227" t="n">
        <v>46</v>
      </c>
      <c r="J122" s="0" t="n">
        <v>360</v>
      </c>
      <c r="K122" s="0" t="inlineStr"/>
      <c r="L122" s="227" t="n">
        <v>1642.2</v>
      </c>
      <c r="M122" s="227" t="n">
        <v>591191.9999999999</v>
      </c>
      <c r="N122" s="0" t="inlineStr">
        <is>
          <t>Active TAM</t>
        </is>
      </c>
      <c r="O122" s="0" t="inlineStr">
        <is>
          <t>Auto-class: resort keyword: 'resort'. Occ 60% flat (refine w/STR).</t>
        </is>
      </c>
    </row>
    <row r="123">
      <c r="A123" s="0" t="inlineStr">
        <is>
          <t>Omni Scottsdale Resort &amp; Spa at Montelucia</t>
        </is>
      </c>
      <c r="B123" s="0" t="inlineStr">
        <is>
          <t>Hotel</t>
        </is>
      </c>
      <c r="C123" s="225" t="inlineStr">
        <is>
          <t>Hotel — Resort</t>
        </is>
      </c>
      <c r="D123" s="0" t="n">
        <v>293</v>
      </c>
      <c r="E123" s="0" t="inlineStr"/>
      <c r="F123" s="226" t="n">
        <v>0.6</v>
      </c>
      <c r="G123" s="0" t="inlineStr"/>
      <c r="H123" s="226" t="n">
        <v>0.5</v>
      </c>
      <c r="I123" s="227" t="n">
        <v>35</v>
      </c>
      <c r="J123" s="0" t="n">
        <v>360</v>
      </c>
      <c r="K123" s="0" t="inlineStr"/>
      <c r="L123" s="227" t="n">
        <v>3076.5</v>
      </c>
      <c r="M123" s="227" t="n">
        <v>1107540</v>
      </c>
      <c r="N123" s="0" t="inlineStr">
        <is>
          <t>Active TAM</t>
        </is>
      </c>
      <c r="O123" s="0" t="inlineStr">
        <is>
          <t>Auto-class: resort keyword: 'resort'. Occ 60% flat (refine w/STR).</t>
        </is>
      </c>
    </row>
    <row r="124">
      <c r="A124" s="0" t="inlineStr">
        <is>
          <t>Hilton Vacation Club Scottsdale Villa Mirage</t>
        </is>
      </c>
      <c r="B124" s="0" t="inlineStr">
        <is>
          <t>Hotel</t>
        </is>
      </c>
      <c r="C124" s="225" t="inlineStr">
        <is>
          <t>Hotel — Suburban/Airport</t>
        </is>
      </c>
      <c r="D124" s="0" t="n">
        <v>224</v>
      </c>
      <c r="E124" s="0" t="inlineStr"/>
      <c r="F124" s="226" t="n">
        <v>0.6</v>
      </c>
      <c r="G124" s="0" t="inlineStr"/>
      <c r="H124" s="226" t="n">
        <v>0.15</v>
      </c>
      <c r="I124" s="0" t="inlineStr"/>
      <c r="J124" s="0" t="n">
        <v>360</v>
      </c>
      <c r="K124" s="0" t="inlineStr"/>
      <c r="L124" s="0" t="inlineStr"/>
      <c r="M124" s="0" t="inlineStr"/>
      <c r="N124" s="0" t="inlineStr">
        <is>
          <t>No Valet / TAM = $0</t>
        </is>
      </c>
      <c r="O124" s="0" t="inlineStr">
        <is>
          <t>Hotel has no valet (rate field: 'No Valet'). Auto-class: not downtown (by flag or name). Qualitative pipeline only.</t>
        </is>
      </c>
    </row>
    <row r="125">
      <c r="A125" s="0" t="inlineStr">
        <is>
          <t>Hotel Valley Ho</t>
        </is>
      </c>
      <c r="B125" s="0" t="inlineStr">
        <is>
          <t>Hotel</t>
        </is>
      </c>
      <c r="C125" s="225" t="inlineStr">
        <is>
          <t>Hotel — Suburban/Airport</t>
        </is>
      </c>
      <c r="D125" s="0" t="n">
        <v>241</v>
      </c>
      <c r="E125" s="0" t="inlineStr"/>
      <c r="F125" s="226" t="n">
        <v>0.6</v>
      </c>
      <c r="G125" s="0" t="inlineStr"/>
      <c r="H125" s="226" t="n">
        <v>0.15</v>
      </c>
      <c r="I125" s="227" t="n">
        <v>28</v>
      </c>
      <c r="J125" s="0" t="n">
        <v>360</v>
      </c>
      <c r="K125" s="0" t="inlineStr"/>
      <c r="L125" s="227" t="n">
        <v>607.3199999999999</v>
      </c>
      <c r="M125" s="227" t="n">
        <v>218635.2</v>
      </c>
      <c r="N125" s="0" t="inlineStr">
        <is>
          <t>Active TAM</t>
        </is>
      </c>
      <c r="O125" s="0" t="inlineStr">
        <is>
          <t>Auto-class: not downtown (by flag or name). Occ 60% flat (refine w/STR).</t>
        </is>
      </c>
    </row>
    <row r="126">
      <c r="A126" s="0" t="inlineStr">
        <is>
          <t>Scottsdale Marriott at McDowell Mountains</t>
        </is>
      </c>
      <c r="B126" s="0" t="inlineStr">
        <is>
          <t>Hotel</t>
        </is>
      </c>
      <c r="C126" s="225" t="inlineStr">
        <is>
          <t>Hotel — Suburban/Airport</t>
        </is>
      </c>
      <c r="D126" s="0" t="n">
        <v>266</v>
      </c>
      <c r="E126" s="0" t="inlineStr"/>
      <c r="F126" s="226" t="n">
        <v>0.6</v>
      </c>
      <c r="G126" s="0" t="inlineStr"/>
      <c r="H126" s="226" t="n">
        <v>0.15</v>
      </c>
      <c r="I126" s="227" t="n">
        <v>30</v>
      </c>
      <c r="J126" s="0" t="n">
        <v>360</v>
      </c>
      <c r="K126" s="0" t="inlineStr"/>
      <c r="L126" s="227" t="n">
        <v>718.1999999999999</v>
      </c>
      <c r="M126" s="227" t="n">
        <v>258552</v>
      </c>
      <c r="N126" s="0" t="inlineStr">
        <is>
          <t>Active TAM</t>
        </is>
      </c>
      <c r="O126" s="0" t="inlineStr">
        <is>
          <t>Auto-class: not downtown (by flag or name). Occ 60% flat (refine w/STR).</t>
        </is>
      </c>
    </row>
    <row r="127">
      <c r="A127" s="0" t="inlineStr">
        <is>
          <t>Hilton Scottsdale Resort &amp; Villas</t>
        </is>
      </c>
      <c r="B127" s="0" t="inlineStr">
        <is>
          <t>Hotel</t>
        </is>
      </c>
      <c r="C127" s="225" t="inlineStr">
        <is>
          <t>Hotel — Resort</t>
        </is>
      </c>
      <c r="D127" s="0" t="n">
        <v>235</v>
      </c>
      <c r="E127" s="0" t="inlineStr"/>
      <c r="F127" s="226" t="n">
        <v>0.6</v>
      </c>
      <c r="G127" s="0" t="inlineStr"/>
      <c r="H127" s="226" t="n">
        <v>0.5</v>
      </c>
      <c r="I127" s="0" t="inlineStr"/>
      <c r="J127" s="0" t="n">
        <v>360</v>
      </c>
      <c r="K127" s="0" t="inlineStr"/>
      <c r="L127" s="0" t="inlineStr"/>
      <c r="M127" s="0" t="inlineStr"/>
      <c r="N127" s="0" t="inlineStr">
        <is>
          <t>No Valet / TAM = $0</t>
        </is>
      </c>
      <c r="O127" s="0" t="inlineStr">
        <is>
          <t>Hotel has no valet (rate field: 'No Valet'). Auto-class: resort keyword: 'resort'. Qualitative pipeline only.</t>
        </is>
      </c>
    </row>
    <row r="128">
      <c r="A128" s="0" t="inlineStr">
        <is>
          <t>Hyatt House Scottsdale/Old Town</t>
        </is>
      </c>
      <c r="B128" s="0" t="inlineStr">
        <is>
          <t>Hotel</t>
        </is>
      </c>
      <c r="C128" s="225" t="inlineStr">
        <is>
          <t>Hotel — Suburban/Airport</t>
        </is>
      </c>
      <c r="D128" s="0" t="n">
        <v>164</v>
      </c>
      <c r="E128" s="0" t="inlineStr"/>
      <c r="F128" s="226" t="n">
        <v>0.6</v>
      </c>
      <c r="G128" s="0" t="inlineStr"/>
      <c r="H128" s="226" t="n">
        <v>0.15</v>
      </c>
      <c r="I128" s="0" t="inlineStr"/>
      <c r="J128" s="0" t="n">
        <v>360</v>
      </c>
      <c r="K128" s="0" t="inlineStr"/>
      <c r="L128" s="0" t="inlineStr"/>
      <c r="M128" s="0" t="inlineStr"/>
      <c r="N128" s="0" t="inlineStr">
        <is>
          <t>No Valet / TAM = $0</t>
        </is>
      </c>
      <c r="O128" s="0" t="inlineStr">
        <is>
          <t>Hotel has no valet (rate field: None). Auto-class: not downtown (by flag or name). Qualitative pipeline only.</t>
        </is>
      </c>
    </row>
    <row r="129">
      <c r="A129" s="0" t="inlineStr">
        <is>
          <t>Hilton Vacation Club Scottsdale Links Resort</t>
        </is>
      </c>
      <c r="B129" s="0" t="inlineStr">
        <is>
          <t>Hotel</t>
        </is>
      </c>
      <c r="C129" s="225" t="inlineStr">
        <is>
          <t>Hotel — Resort</t>
        </is>
      </c>
      <c r="D129" s="0" t="n">
        <v>228</v>
      </c>
      <c r="E129" s="0" t="inlineStr"/>
      <c r="F129" s="226" t="n">
        <v>0.6</v>
      </c>
      <c r="G129" s="0" t="inlineStr"/>
      <c r="H129" s="226" t="n">
        <v>0.5</v>
      </c>
      <c r="I129" s="0" t="inlineStr"/>
      <c r="J129" s="0" t="n">
        <v>360</v>
      </c>
      <c r="K129" s="0" t="inlineStr"/>
      <c r="L129" s="0" t="inlineStr"/>
      <c r="M129" s="0" t="inlineStr"/>
      <c r="N129" s="0" t="inlineStr">
        <is>
          <t>No Valet / TAM = $0</t>
        </is>
      </c>
      <c r="O129" s="0" t="inlineStr">
        <is>
          <t>Hotel has no valet (rate field: None). Auto-class: resort keyword: 'resort'. Qualitative pipeline only.</t>
        </is>
      </c>
    </row>
    <row r="130">
      <c r="A130" s="0" t="inlineStr">
        <is>
          <t>W Scottsdale</t>
        </is>
      </c>
      <c r="B130" s="0" t="inlineStr">
        <is>
          <t>Hotel</t>
        </is>
      </c>
      <c r="C130" s="225" t="inlineStr">
        <is>
          <t>Hotel — Suburban/Airport</t>
        </is>
      </c>
      <c r="D130" s="0" t="n">
        <v>241</v>
      </c>
      <c r="E130" s="0" t="inlineStr"/>
      <c r="F130" s="226" t="n">
        <v>0.6</v>
      </c>
      <c r="G130" s="0" t="inlineStr"/>
      <c r="H130" s="226" t="n">
        <v>0.15</v>
      </c>
      <c r="I130" s="227" t="n">
        <v>57</v>
      </c>
      <c r="J130" s="0" t="n">
        <v>360</v>
      </c>
      <c r="K130" s="0" t="inlineStr"/>
      <c r="L130" s="227" t="n">
        <v>1236.33</v>
      </c>
      <c r="M130" s="227" t="n">
        <v>445078.8</v>
      </c>
      <c r="N130" s="0" t="inlineStr">
        <is>
          <t>Active TAM</t>
        </is>
      </c>
      <c r="O130" s="0" t="inlineStr">
        <is>
          <t>Auto-class: not downtown (by flag or name). Occ 60% flat (refine w/STR).</t>
        </is>
      </c>
    </row>
    <row r="131">
      <c r="A131" s="0" t="inlineStr">
        <is>
          <t>Royal Palms Resort and Spa -The Unbound Collection by Hyatt</t>
        </is>
      </c>
      <c r="B131" s="0" t="inlineStr">
        <is>
          <t>Hotel</t>
        </is>
      </c>
      <c r="C131" s="225" t="inlineStr">
        <is>
          <t>Hotel — Resort</t>
        </is>
      </c>
      <c r="D131" s="0" t="n">
        <v>119</v>
      </c>
      <c r="E131" s="0" t="inlineStr"/>
      <c r="F131" s="226" t="n">
        <v>0.6</v>
      </c>
      <c r="G131" s="0" t="inlineStr"/>
      <c r="H131" s="226" t="n">
        <v>0.5</v>
      </c>
      <c r="I131" s="227" t="n">
        <v>30</v>
      </c>
      <c r="J131" s="0" t="n">
        <v>360</v>
      </c>
      <c r="K131" s="0" t="inlineStr"/>
      <c r="L131" s="227" t="n">
        <v>1071</v>
      </c>
      <c r="M131" s="227" t="n">
        <v>385559.9999999999</v>
      </c>
      <c r="N131" s="0" t="inlineStr">
        <is>
          <t>Active TAM</t>
        </is>
      </c>
      <c r="O131" s="0" t="inlineStr">
        <is>
          <t>Auto-class: resort keyword: 'resort'. Occ 60% flat (refine w/STR).</t>
        </is>
      </c>
    </row>
    <row r="132">
      <c r="A132" s="0" t="inlineStr">
        <is>
          <t>Talking Stick Resort Hotel</t>
        </is>
      </c>
      <c r="B132" s="0" t="inlineStr">
        <is>
          <t>Hotel</t>
        </is>
      </c>
      <c r="C132" s="225" t="inlineStr">
        <is>
          <t>Hotel — Resort</t>
        </is>
      </c>
      <c r="D132" s="0" t="n">
        <v>496</v>
      </c>
      <c r="E132" s="0" t="inlineStr"/>
      <c r="F132" s="226" t="n">
        <v>0.6</v>
      </c>
      <c r="G132" s="0" t="inlineStr"/>
      <c r="H132" s="226" t="n">
        <v>0.5</v>
      </c>
      <c r="I132" s="0" t="inlineStr"/>
      <c r="J132" s="0" t="n">
        <v>360</v>
      </c>
      <c r="K132" s="0" t="inlineStr"/>
      <c r="L132" s="0" t="inlineStr"/>
      <c r="M132" s="0" t="inlineStr"/>
      <c r="N132" s="0" t="inlineStr">
        <is>
          <t>No Valet / TAM = $0</t>
        </is>
      </c>
      <c r="O132" s="0" t="inlineStr">
        <is>
          <t>Hotel has no valet (rate field: None). Auto-class: resort keyword: 'resort'. Qualitative pipeline only.</t>
        </is>
      </c>
    </row>
    <row r="133">
      <c r="A133" s="0" t="inlineStr">
        <is>
          <t>Sanctuary Camelback Mountain Resort &amp; Spa</t>
        </is>
      </c>
      <c r="B133" s="0" t="inlineStr">
        <is>
          <t>Hotel</t>
        </is>
      </c>
      <c r="C133" s="225" t="inlineStr">
        <is>
          <t>Hotel — Resort</t>
        </is>
      </c>
      <c r="D133" s="0" t="n">
        <v>110</v>
      </c>
      <c r="E133" s="0" t="inlineStr"/>
      <c r="F133" s="226" t="n">
        <v>0.6</v>
      </c>
      <c r="G133" s="0" t="inlineStr"/>
      <c r="H133" s="226" t="n">
        <v>0.5</v>
      </c>
      <c r="I133" s="0" t="inlineStr"/>
      <c r="J133" s="0" t="n">
        <v>360</v>
      </c>
      <c r="K133" s="0" t="inlineStr"/>
      <c r="L133" s="0" t="inlineStr"/>
      <c r="M133" s="0" t="inlineStr"/>
      <c r="N133" s="0" t="inlineStr">
        <is>
          <t>No Valet / TAM = $0</t>
        </is>
      </c>
      <c r="O133" s="0" t="inlineStr">
        <is>
          <t>Hotel has no valet (rate field: None). Auto-class: resort keyword: 'resort'. Qualitative pipeline only.</t>
        </is>
      </c>
    </row>
    <row r="134">
      <c r="A134" s="0" t="inlineStr">
        <is>
          <t>Canopy by Hilton Scottsdale Old Town</t>
        </is>
      </c>
      <c r="B134" s="0" t="inlineStr">
        <is>
          <t>Hotel</t>
        </is>
      </c>
      <c r="C134" s="225" t="inlineStr">
        <is>
          <t>Hotel — Suburban/Airport</t>
        </is>
      </c>
      <c r="D134" s="0" t="n">
        <v>177</v>
      </c>
      <c r="E134" s="0" t="inlineStr"/>
      <c r="F134" s="226" t="n">
        <v>0.6</v>
      </c>
      <c r="G134" s="0" t="inlineStr"/>
      <c r="H134" s="226" t="n">
        <v>0.15</v>
      </c>
      <c r="I134" s="0" t="inlineStr"/>
      <c r="J134" s="0" t="n">
        <v>360</v>
      </c>
      <c r="K134" s="0" t="inlineStr"/>
      <c r="L134" s="0" t="inlineStr"/>
      <c r="M134" s="0" t="inlineStr"/>
      <c r="N134" s="0" t="inlineStr">
        <is>
          <t>No Valet / TAM = $0</t>
        </is>
      </c>
      <c r="O134" s="0" t="inlineStr">
        <is>
          <t>Hotel has no valet (rate field: 'No Valet'). Auto-class: not downtown (by flag or name). Qualitative pipeline only.</t>
        </is>
      </c>
    </row>
    <row r="135">
      <c r="A135" s="0" t="inlineStr">
        <is>
          <t>The Scottsdale Resort and Spa, Curio Collection by Hilton</t>
        </is>
      </c>
      <c r="B135" s="0" t="inlineStr">
        <is>
          <t>Hotel</t>
        </is>
      </c>
      <c r="C135" s="225" t="inlineStr">
        <is>
          <t>Hotel — Resort</t>
        </is>
      </c>
      <c r="D135" s="0" t="n">
        <v>278</v>
      </c>
      <c r="E135" s="0" t="inlineStr"/>
      <c r="F135" s="226" t="n">
        <v>0.6</v>
      </c>
      <c r="G135" s="0" t="inlineStr"/>
      <c r="H135" s="226" t="n">
        <v>0.5</v>
      </c>
      <c r="I135" s="227" t="n">
        <v>35</v>
      </c>
      <c r="J135" s="0" t="n">
        <v>360</v>
      </c>
      <c r="K135" s="0" t="inlineStr"/>
      <c r="L135" s="227" t="n">
        <v>2919</v>
      </c>
      <c r="M135" s="227" t="n">
        <v>1050840</v>
      </c>
      <c r="N135" s="0" t="inlineStr">
        <is>
          <t>Active TAM</t>
        </is>
      </c>
      <c r="O135" s="0" t="inlineStr">
        <is>
          <t>Auto-class: resort keyword: 'resort'. Occ 60% flat (refine w/STR).</t>
        </is>
      </c>
    </row>
    <row r="136">
      <c r="A136" s="0" t="inlineStr">
        <is>
          <t>Tru by Hilton Scottsdale Salt River</t>
        </is>
      </c>
      <c r="B136" s="0" t="inlineStr">
        <is>
          <t>Hotel</t>
        </is>
      </c>
      <c r="C136" s="225" t="inlineStr">
        <is>
          <t>Hotel — Suburban/Airport</t>
        </is>
      </c>
      <c r="D136" s="0" t="n">
        <v>81</v>
      </c>
      <c r="E136" s="0" t="inlineStr"/>
      <c r="F136" s="226" t="n">
        <v>0.6</v>
      </c>
      <c r="G136" s="0" t="inlineStr"/>
      <c r="H136" s="226" t="n">
        <v>0.15</v>
      </c>
      <c r="I136" s="0" t="inlineStr"/>
      <c r="J136" s="0" t="n">
        <v>360</v>
      </c>
      <c r="K136" s="0" t="inlineStr"/>
      <c r="L136" s="0" t="inlineStr"/>
      <c r="M136" s="0" t="inlineStr"/>
      <c r="N136" s="0" t="inlineStr">
        <is>
          <t>No Valet / TAM = $0</t>
        </is>
      </c>
      <c r="O136" s="0" t="inlineStr">
        <is>
          <t>Hotel has no valet (rate field: 'No Valet'). Auto-class: not downtown (by flag or name). Qualitative pipeline only.</t>
        </is>
      </c>
    </row>
    <row r="137">
      <c r="A137" s="0" t="inlineStr">
        <is>
          <t>Home2 Suites by Hilton Scottsdale Salt River</t>
        </is>
      </c>
      <c r="B137" s="0" t="inlineStr">
        <is>
          <t>Hotel</t>
        </is>
      </c>
      <c r="C137" s="225" t="inlineStr">
        <is>
          <t>Hotel — Suburban/Airport</t>
        </is>
      </c>
      <c r="D137" s="0" t="inlineStr"/>
      <c r="E137" s="0" t="inlineStr"/>
      <c r="F137" s="226" t="n">
        <v>0.6</v>
      </c>
      <c r="G137" s="0" t="inlineStr"/>
      <c r="H137" s="226" t="n">
        <v>0.15</v>
      </c>
      <c r="I137" s="0" t="inlineStr"/>
      <c r="J137" s="0" t="n">
        <v>360</v>
      </c>
      <c r="K137" s="0" t="inlineStr"/>
      <c r="L137" s="0" t="inlineStr"/>
      <c r="M137" s="0" t="inlineStr"/>
      <c r="N137" s="0" t="inlineStr">
        <is>
          <t>No Valet / TAM = $0</t>
        </is>
      </c>
      <c r="O137" s="0" t="inlineStr">
        <is>
          <t>Hotel has no valet (rate field: None). Auto-class: not downtown (by flag or name). Qualitative pipeline only.</t>
        </is>
      </c>
    </row>
    <row r="138">
      <c r="A138" s="0" t="inlineStr">
        <is>
          <t>Mountain Shadows Resort Scottsdale</t>
        </is>
      </c>
      <c r="B138" s="0" t="inlineStr">
        <is>
          <t>Hotel</t>
        </is>
      </c>
      <c r="C138" s="225" t="inlineStr">
        <is>
          <t>Hotel — Resort</t>
        </is>
      </c>
      <c r="D138" s="0" t="n">
        <v>217</v>
      </c>
      <c r="E138" s="0" t="inlineStr"/>
      <c r="F138" s="226" t="n">
        <v>0.6</v>
      </c>
      <c r="G138" s="0" t="inlineStr"/>
      <c r="H138" s="226" t="n">
        <v>0.5</v>
      </c>
      <c r="I138" s="0" t="inlineStr"/>
      <c r="J138" s="0" t="n">
        <v>360</v>
      </c>
      <c r="K138" s="0" t="inlineStr"/>
      <c r="L138" s="0" t="inlineStr"/>
      <c r="M138" s="0" t="inlineStr"/>
      <c r="N138" s="0" t="inlineStr">
        <is>
          <t>No Valet / TAM = $0</t>
        </is>
      </c>
      <c r="O138" s="0" t="inlineStr">
        <is>
          <t>Hotel has no valet (rate field: 'No Valet'). Auto-class: resort keyword: 'resort'. Qualitative pipeline only.</t>
        </is>
      </c>
    </row>
    <row r="139">
      <c r="A139" s="0" t="inlineStr">
        <is>
          <t>Hilton Garden Inn Scottsdale North/Perimeter Center</t>
        </is>
      </c>
      <c r="B139" s="0" t="inlineStr">
        <is>
          <t>Hotel</t>
        </is>
      </c>
      <c r="C139" s="225" t="inlineStr">
        <is>
          <t>Hotel — Suburban/Airport</t>
        </is>
      </c>
      <c r="D139" s="0" t="n">
        <v>122</v>
      </c>
      <c r="E139" s="0" t="inlineStr"/>
      <c r="F139" s="226" t="n">
        <v>0.6</v>
      </c>
      <c r="G139" s="0" t="inlineStr"/>
      <c r="H139" s="226" t="n">
        <v>0.15</v>
      </c>
      <c r="I139" s="0" t="inlineStr"/>
      <c r="J139" s="0" t="n">
        <v>360</v>
      </c>
      <c r="K139" s="0" t="inlineStr"/>
      <c r="L139" s="0" t="inlineStr"/>
      <c r="M139" s="0" t="inlineStr"/>
      <c r="N139" s="0" t="inlineStr">
        <is>
          <t>No Valet / TAM = $0</t>
        </is>
      </c>
      <c r="O139" s="0" t="inlineStr">
        <is>
          <t>Hotel has no valet (rate field: None). Auto-class: not downtown (by flag or name). Qualitative pipeline only.</t>
        </is>
      </c>
    </row>
    <row r="140">
      <c r="A140" s="0" t="inlineStr">
        <is>
          <t>Aloft Scottsdale</t>
        </is>
      </c>
      <c r="B140" s="0" t="inlineStr">
        <is>
          <t>Hotel</t>
        </is>
      </c>
      <c r="C140" s="225" t="inlineStr">
        <is>
          <t>Hotel — Suburban/Airport</t>
        </is>
      </c>
      <c r="D140" s="0" t="n">
        <v>126</v>
      </c>
      <c r="E140" s="0" t="inlineStr"/>
      <c r="F140" s="226" t="n">
        <v>0.6</v>
      </c>
      <c r="G140" s="0" t="inlineStr"/>
      <c r="H140" s="226" t="n">
        <v>0.15</v>
      </c>
      <c r="I140" s="0" t="inlineStr"/>
      <c r="J140" s="0" t="n">
        <v>360</v>
      </c>
      <c r="K140" s="0" t="inlineStr"/>
      <c r="L140" s="0" t="inlineStr"/>
      <c r="M140" s="0" t="inlineStr"/>
      <c r="N140" s="0" t="inlineStr">
        <is>
          <t>No Valet / TAM = $0</t>
        </is>
      </c>
      <c r="O140" s="0" t="inlineStr">
        <is>
          <t>Hotel has no valet (rate field: 'No Valet'). Auto-class: not downtown (by flag or name). Qualitative pipeline only.</t>
        </is>
      </c>
    </row>
    <row r="141">
      <c r="A141" s="0" t="inlineStr">
        <is>
          <t>Andaz Scottsdale Resort &amp; Bungalows</t>
        </is>
      </c>
      <c r="B141" s="0" t="inlineStr">
        <is>
          <t>Hotel</t>
        </is>
      </c>
      <c r="C141" s="225" t="inlineStr">
        <is>
          <t>Hotel — Resort</t>
        </is>
      </c>
      <c r="D141" s="0" t="n">
        <v>185</v>
      </c>
      <c r="E141" s="0" t="inlineStr"/>
      <c r="F141" s="226" t="n">
        <v>0.6</v>
      </c>
      <c r="G141" s="0" t="inlineStr"/>
      <c r="H141" s="226" t="n">
        <v>0.5</v>
      </c>
      <c r="I141" s="227" t="n">
        <v>35</v>
      </c>
      <c r="J141" s="0" t="n">
        <v>360</v>
      </c>
      <c r="K141" s="0" t="inlineStr"/>
      <c r="L141" s="227" t="n">
        <v>1942.5</v>
      </c>
      <c r="M141" s="227" t="n">
        <v>699300</v>
      </c>
      <c r="N141" s="0" t="inlineStr">
        <is>
          <t>Active TAM</t>
        </is>
      </c>
      <c r="O141" s="0" t="inlineStr">
        <is>
          <t>Auto-class: resort keyword: 'resort'. Occ 60% flat (refine w/STR).</t>
        </is>
      </c>
    </row>
    <row r="142">
      <c r="A142" s="0" t="inlineStr">
        <is>
          <t>Sonesta Suites Scottsdale Gainey Ranch</t>
        </is>
      </c>
      <c r="B142" s="0" t="inlineStr">
        <is>
          <t>Hotel</t>
        </is>
      </c>
      <c r="C142" s="225" t="inlineStr">
        <is>
          <t>Hotel — Resort</t>
        </is>
      </c>
      <c r="D142" s="0" t="n">
        <v>164</v>
      </c>
      <c r="E142" s="0" t="inlineStr"/>
      <c r="F142" s="226" t="n">
        <v>0.6</v>
      </c>
      <c r="G142" s="0" t="inlineStr"/>
      <c r="H142" s="226" t="n">
        <v>0.5</v>
      </c>
      <c r="I142" s="0" t="inlineStr"/>
      <c r="J142" s="0" t="n">
        <v>360</v>
      </c>
      <c r="K142" s="0" t="inlineStr"/>
      <c r="L142" s="0" t="inlineStr"/>
      <c r="M142" s="0" t="inlineStr"/>
      <c r="N142" s="0" t="inlineStr">
        <is>
          <t>No Valet / TAM = $0</t>
        </is>
      </c>
      <c r="O142" s="0" t="inlineStr">
        <is>
          <t>Hotel has no valet (rate field: None). Auto-class: resort keyword: 'ranch'. Qualitative pipeline only.</t>
        </is>
      </c>
    </row>
    <row r="143">
      <c r="A143" s="0" t="inlineStr">
        <is>
          <t>The Scottsdale Plaza Resort &amp; Villas</t>
        </is>
      </c>
      <c r="B143" s="0" t="inlineStr">
        <is>
          <t>Hotel</t>
        </is>
      </c>
      <c r="C143" s="225" t="inlineStr">
        <is>
          <t>Hotel — Resort</t>
        </is>
      </c>
      <c r="D143" s="0" t="n">
        <v>404</v>
      </c>
      <c r="E143" s="0" t="inlineStr"/>
      <c r="F143" s="226" t="n">
        <v>0.6</v>
      </c>
      <c r="G143" s="0" t="inlineStr"/>
      <c r="H143" s="226" t="n">
        <v>0.5</v>
      </c>
      <c r="I143" s="0" t="inlineStr"/>
      <c r="J143" s="0" t="n">
        <v>360</v>
      </c>
      <c r="K143" s="0" t="inlineStr"/>
      <c r="L143" s="0" t="inlineStr"/>
      <c r="M143" s="0" t="inlineStr"/>
      <c r="N143" s="0" t="inlineStr">
        <is>
          <t>No Valet / TAM = $0</t>
        </is>
      </c>
      <c r="O143" s="0" t="inlineStr">
        <is>
          <t>Hotel has no valet (rate field: 'No Valet'). Auto-class: resort keyword: 'resort'. Qualitative pipeline only.</t>
        </is>
      </c>
    </row>
    <row r="144">
      <c r="A144" s="0" t="inlineStr">
        <is>
          <t>Holiday Inn &amp; Suites Scottsdale North - Airpark by IHG</t>
        </is>
      </c>
      <c r="B144" s="0" t="inlineStr">
        <is>
          <t>Hotel</t>
        </is>
      </c>
      <c r="C144" s="225" t="inlineStr">
        <is>
          <t>Hotel — Suburban/Airport</t>
        </is>
      </c>
      <c r="D144" s="0" t="n">
        <v>117</v>
      </c>
      <c r="E144" s="0" t="inlineStr"/>
      <c r="F144" s="226" t="n">
        <v>0.6</v>
      </c>
      <c r="G144" s="0" t="inlineStr"/>
      <c r="H144" s="226" t="n">
        <v>0.15</v>
      </c>
      <c r="I144" s="0" t="inlineStr"/>
      <c r="J144" s="0" t="n">
        <v>360</v>
      </c>
      <c r="K144" s="0" t="inlineStr"/>
      <c r="L144" s="0" t="inlineStr"/>
      <c r="M144" s="0" t="inlineStr"/>
      <c r="N144" s="0" t="inlineStr">
        <is>
          <t>No Valet / TAM = $0</t>
        </is>
      </c>
      <c r="O144" s="0" t="inlineStr">
        <is>
          <t>Hotel has no valet (rate field: 'No Valet'). Auto-class: not downtown (by flag or name). Qualitative pipeline only.</t>
        </is>
      </c>
    </row>
    <row r="145">
      <c r="A145" s="0" t="inlineStr">
        <is>
          <t>Residence Inn Scottsdale Salt River</t>
        </is>
      </c>
      <c r="B145" s="0" t="inlineStr">
        <is>
          <t>Hotel</t>
        </is>
      </c>
      <c r="C145" s="225" t="inlineStr">
        <is>
          <t>Hotel — Suburban/Airport</t>
        </is>
      </c>
      <c r="D145" s="0" t="n">
        <v>111</v>
      </c>
      <c r="E145" s="0" t="inlineStr"/>
      <c r="F145" s="226" t="n">
        <v>0.6</v>
      </c>
      <c r="G145" s="0" t="inlineStr"/>
      <c r="H145" s="226" t="n">
        <v>0.15</v>
      </c>
      <c r="I145" s="0" t="inlineStr"/>
      <c r="J145" s="0" t="n">
        <v>360</v>
      </c>
      <c r="K145" s="0" t="inlineStr"/>
      <c r="L145" s="0" t="inlineStr"/>
      <c r="M145" s="0" t="inlineStr"/>
      <c r="N145" s="0" t="inlineStr">
        <is>
          <t>No Valet / TAM = $0</t>
        </is>
      </c>
      <c r="O145" s="0" t="inlineStr">
        <is>
          <t>Hotel has no valet (rate field: 'No Valet'). Auto-class: not downtown (by flag or name). Qualitative pipeline only.</t>
        </is>
      </c>
    </row>
    <row r="146">
      <c r="A146" s="0" t="inlineStr">
        <is>
          <t>Hilton North Scottsdale at Cavasson</t>
        </is>
      </c>
      <c r="B146" s="0" t="inlineStr">
        <is>
          <t>Hotel</t>
        </is>
      </c>
      <c r="C146" s="225" t="inlineStr">
        <is>
          <t>Hotel — Suburban/Airport</t>
        </is>
      </c>
      <c r="D146" s="0" t="n">
        <v>237</v>
      </c>
      <c r="E146" s="0" t="inlineStr"/>
      <c r="F146" s="226" t="n">
        <v>0.6</v>
      </c>
      <c r="G146" s="0" t="inlineStr"/>
      <c r="H146" s="226" t="n">
        <v>0.15</v>
      </c>
      <c r="I146" s="0" t="inlineStr"/>
      <c r="J146" s="0" t="n">
        <v>360</v>
      </c>
      <c r="K146" s="0" t="inlineStr"/>
      <c r="L146" s="0" t="inlineStr"/>
      <c r="M146" s="0" t="inlineStr"/>
      <c r="N146" s="0" t="inlineStr">
        <is>
          <t>No Valet / TAM = $0</t>
        </is>
      </c>
      <c r="O146" s="0" t="inlineStr">
        <is>
          <t>Hotel has no valet (rate field: 'No Valet'). Auto-class: not downtown (by flag or name). Qualitative pipeline only.</t>
        </is>
      </c>
    </row>
    <row r="147">
      <c r="A147" s="0" t="inlineStr">
        <is>
          <t>Sonesta ES Suites Scottsdale Paradise Valley</t>
        </is>
      </c>
      <c r="B147" s="0" t="inlineStr">
        <is>
          <t>Hotel</t>
        </is>
      </c>
      <c r="C147" s="225" t="inlineStr">
        <is>
          <t>Hotel — Suburban/Airport</t>
        </is>
      </c>
      <c r="D147" s="0" t="n">
        <v>122</v>
      </c>
      <c r="E147" s="0" t="inlineStr"/>
      <c r="F147" s="226" t="n">
        <v>0.6</v>
      </c>
      <c r="G147" s="0" t="inlineStr"/>
      <c r="H147" s="226" t="n">
        <v>0.15</v>
      </c>
      <c r="I147" s="0" t="inlineStr"/>
      <c r="J147" s="0" t="n">
        <v>360</v>
      </c>
      <c r="K147" s="0" t="inlineStr"/>
      <c r="L147" s="0" t="inlineStr"/>
      <c r="M147" s="0" t="inlineStr"/>
      <c r="N147" s="0" t="inlineStr">
        <is>
          <t>No Valet / TAM = $0</t>
        </is>
      </c>
      <c r="O147" s="0" t="inlineStr">
        <is>
          <t>Hotel has no valet (rate field: 'No Valet'). Auto-class: not downtown (by flag or name). Qualitative pipeline only.</t>
        </is>
      </c>
    </row>
    <row r="148">
      <c r="A148" s="0" t="inlineStr">
        <is>
          <t>Home2 Suites by Hilton Scottsdale Old Town</t>
        </is>
      </c>
      <c r="B148" s="0" t="inlineStr">
        <is>
          <t>Hotel</t>
        </is>
      </c>
      <c r="C148" s="225" t="inlineStr">
        <is>
          <t>Hotel — Suburban/Airport</t>
        </is>
      </c>
      <c r="D148" s="0" t="n">
        <v>169</v>
      </c>
      <c r="E148" s="0" t="inlineStr"/>
      <c r="F148" s="226" t="n">
        <v>0.6</v>
      </c>
      <c r="G148" s="0" t="inlineStr"/>
      <c r="H148" s="226" t="n">
        <v>0.15</v>
      </c>
      <c r="I148" s="0" t="inlineStr"/>
      <c r="J148" s="0" t="n">
        <v>360</v>
      </c>
      <c r="K148" s="0" t="inlineStr"/>
      <c r="L148" s="0" t="inlineStr"/>
      <c r="M148" s="0" t="inlineStr"/>
      <c r="N148" s="0" t="inlineStr">
        <is>
          <t>No Valet / TAM = $0</t>
        </is>
      </c>
      <c r="O148" s="0" t="inlineStr">
        <is>
          <t>Hotel has no valet (rate field: 'No Valet'). Auto-class: not downtown (by flag or name). Qualitative pipeline only.</t>
        </is>
      </c>
    </row>
    <row r="149">
      <c r="A149" s="0" t="inlineStr">
        <is>
          <t>AC Hotel Phoenix Tempe/Downtown</t>
        </is>
      </c>
      <c r="B149" s="0" t="inlineStr">
        <is>
          <t>Hotel</t>
        </is>
      </c>
      <c r="C149" s="225" t="inlineStr">
        <is>
          <t>Hotel — Downtown Select-Service</t>
        </is>
      </c>
      <c r="D149" s="0" t="n">
        <v>159</v>
      </c>
      <c r="E149" s="0" t="inlineStr"/>
      <c r="F149" s="226" t="n">
        <v>0.6</v>
      </c>
      <c r="G149" s="0" t="inlineStr"/>
      <c r="H149" s="226" t="n">
        <v>0.25</v>
      </c>
      <c r="I149" s="0" t="inlineStr"/>
      <c r="J149" s="0" t="n">
        <v>360</v>
      </c>
      <c r="K149" s="0" t="inlineStr"/>
      <c r="L149" s="0" t="inlineStr"/>
      <c r="M149" s="0" t="inlineStr"/>
      <c r="N149" s="0" t="inlineStr">
        <is>
          <t>No Valet / TAM = $0</t>
        </is>
      </c>
      <c r="O149" s="0" t="inlineStr">
        <is>
          <t>Hotel has no valet (rate field: 'No Valet'). Auto-class: downtown + select-service flag [name-inferred downtown; workbook flag=No]. Qualitative pipeline only.</t>
        </is>
      </c>
    </row>
    <row r="150">
      <c r="A150" s="0" t="inlineStr">
        <is>
          <t>Marriott Phoenix Resort Tempe at The Buttes</t>
        </is>
      </c>
      <c r="B150" s="0" t="inlineStr">
        <is>
          <t>Hotel</t>
        </is>
      </c>
      <c r="C150" s="225" t="inlineStr">
        <is>
          <t>Hotel — Resort</t>
        </is>
      </c>
      <c r="D150" s="0" t="n">
        <v>353</v>
      </c>
      <c r="E150" s="0" t="inlineStr"/>
      <c r="F150" s="226" t="n">
        <v>0.6</v>
      </c>
      <c r="G150" s="0" t="inlineStr"/>
      <c r="H150" s="226" t="n">
        <v>0.5</v>
      </c>
      <c r="I150" s="227" t="n">
        <v>15</v>
      </c>
      <c r="J150" s="0" t="n">
        <v>360</v>
      </c>
      <c r="K150" s="0" t="inlineStr"/>
      <c r="L150" s="227" t="n">
        <v>1588.5</v>
      </c>
      <c r="M150" s="227" t="n">
        <v>571859.9999999999</v>
      </c>
      <c r="N150" s="0" t="inlineStr">
        <is>
          <t>Active TAM</t>
        </is>
      </c>
      <c r="O150" s="0" t="inlineStr">
        <is>
          <t>Auto-class: resort keyword: 'resort'. Occ 60% flat (refine w/STR).</t>
        </is>
      </c>
    </row>
    <row r="151">
      <c r="A151" s="0" t="inlineStr">
        <is>
          <t>Tempe Mission Palms, a Destination by Hyatt Hotel</t>
        </is>
      </c>
      <c r="B151" s="0" t="inlineStr">
        <is>
          <t>Hotel</t>
        </is>
      </c>
      <c r="C151" s="225" t="inlineStr">
        <is>
          <t>Hotel — Suburban/Airport</t>
        </is>
      </c>
      <c r="D151" s="0" t="n">
        <v>303</v>
      </c>
      <c r="E151" s="0" t="inlineStr"/>
      <c r="F151" s="226" t="n">
        <v>0.6</v>
      </c>
      <c r="G151" s="0" t="inlineStr"/>
      <c r="H151" s="226" t="n">
        <v>0.15</v>
      </c>
      <c r="I151" s="227" t="n">
        <v>25</v>
      </c>
      <c r="J151" s="0" t="n">
        <v>360</v>
      </c>
      <c r="K151" s="0" t="inlineStr"/>
      <c r="L151" s="227" t="n">
        <v>681.7499999999999</v>
      </c>
      <c r="M151" s="227" t="n">
        <v>245430</v>
      </c>
      <c r="N151" s="0" t="inlineStr">
        <is>
          <t>Active TAM</t>
        </is>
      </c>
      <c r="O151" s="0" t="inlineStr">
        <is>
          <t>Auto-class: not downtown (by flag or name). Occ 60% flat (refine w/STR).</t>
        </is>
      </c>
    </row>
    <row r="152">
      <c r="A152" s="0" t="inlineStr">
        <is>
          <t>Moxy Phoenix Tempe/ASU Area</t>
        </is>
      </c>
      <c r="B152" s="0" t="inlineStr">
        <is>
          <t>Hotel</t>
        </is>
      </c>
      <c r="C152" s="225" t="inlineStr">
        <is>
          <t>Hotel — Suburban/Airport</t>
        </is>
      </c>
      <c r="D152" s="0" t="n">
        <v>186</v>
      </c>
      <c r="E152" s="0" t="inlineStr"/>
      <c r="F152" s="226" t="n">
        <v>0.6</v>
      </c>
      <c r="G152" s="0" t="inlineStr"/>
      <c r="H152" s="226" t="n">
        <v>0.15</v>
      </c>
      <c r="I152" s="0" t="inlineStr"/>
      <c r="J152" s="0" t="n">
        <v>360</v>
      </c>
      <c r="K152" s="0" t="inlineStr"/>
      <c r="L152" s="0" t="inlineStr"/>
      <c r="M152" s="0" t="inlineStr"/>
      <c r="N152" s="0" t="inlineStr">
        <is>
          <t>No Valet / TAM = $0</t>
        </is>
      </c>
      <c r="O152" s="0" t="inlineStr">
        <is>
          <t>Hotel has no valet (rate field: 'No Valet'). Auto-class: not downtown (by flag or name). Qualitative pipeline only.</t>
        </is>
      </c>
    </row>
    <row r="153">
      <c r="A153" s="0" t="inlineStr">
        <is>
          <t>Hyatt Place Tempe / Phoenix / University</t>
        </is>
      </c>
      <c r="B153" s="0" t="inlineStr">
        <is>
          <t>Hotel</t>
        </is>
      </c>
      <c r="C153" s="225" t="inlineStr">
        <is>
          <t>Hotel — Suburban/Airport</t>
        </is>
      </c>
      <c r="D153" s="0" t="n">
        <v>154</v>
      </c>
      <c r="E153" s="0" t="inlineStr"/>
      <c r="F153" s="226" t="n">
        <v>0.6</v>
      </c>
      <c r="G153" s="0" t="inlineStr"/>
      <c r="H153" s="226" t="n">
        <v>0.15</v>
      </c>
      <c r="I153" s="0" t="inlineStr"/>
      <c r="J153" s="0" t="n">
        <v>360</v>
      </c>
      <c r="K153" s="0" t="inlineStr"/>
      <c r="L153" s="0" t="inlineStr"/>
      <c r="M153" s="0" t="inlineStr"/>
      <c r="N153" s="0" t="inlineStr">
        <is>
          <t>No Valet / TAM = $0</t>
        </is>
      </c>
      <c r="O153" s="0" t="inlineStr">
        <is>
          <t>Hotel has no valet (rate field: 'No Valet'). Auto-class: not downtown (by flag or name). Qualitative pipeline only.</t>
        </is>
      </c>
    </row>
    <row r="154">
      <c r="A154" s="0" t="inlineStr">
        <is>
          <t>Graduate by Hilton Tempe</t>
        </is>
      </c>
      <c r="B154" s="0" t="inlineStr">
        <is>
          <t>Hotel</t>
        </is>
      </c>
      <c r="C154" s="225" t="inlineStr">
        <is>
          <t>Hotel — Suburban/Airport</t>
        </is>
      </c>
      <c r="D154" s="0" t="n">
        <v>140</v>
      </c>
      <c r="E154" s="0" t="inlineStr"/>
      <c r="F154" s="226" t="n">
        <v>0.6</v>
      </c>
      <c r="G154" s="0" t="inlineStr"/>
      <c r="H154" s="226" t="n">
        <v>0.15</v>
      </c>
      <c r="I154" s="0" t="inlineStr"/>
      <c r="J154" s="0" t="n">
        <v>360</v>
      </c>
      <c r="K154" s="0" t="inlineStr"/>
      <c r="L154" s="0" t="inlineStr"/>
      <c r="M154" s="0" t="inlineStr"/>
      <c r="N154" s="0" t="inlineStr">
        <is>
          <t>No Valet / TAM = $0</t>
        </is>
      </c>
      <c r="O154" s="0" t="inlineStr">
        <is>
          <t>Hotel has no valet (rate field: 'No Valet'). Auto-class: not downtown (by flag or name). Qualitative pipeline only.</t>
        </is>
      </c>
    </row>
    <row r="155">
      <c r="A155" s="0" t="inlineStr">
        <is>
          <t>OMNI Tempe Hotel At ASU</t>
        </is>
      </c>
      <c r="B155" s="0" t="inlineStr">
        <is>
          <t>Hotel</t>
        </is>
      </c>
      <c r="C155" s="225" t="inlineStr">
        <is>
          <t>Hotel — Suburban/Airport</t>
        </is>
      </c>
      <c r="D155" s="0" t="n">
        <v>330</v>
      </c>
      <c r="E155" s="0" t="inlineStr"/>
      <c r="F155" s="226" t="n">
        <v>0.6</v>
      </c>
      <c r="G155" s="0" t="inlineStr"/>
      <c r="H155" s="226" t="n">
        <v>0.15</v>
      </c>
      <c r="I155" s="227" t="n">
        <v>39</v>
      </c>
      <c r="J155" s="0" t="n">
        <v>360</v>
      </c>
      <c r="K155" s="0" t="inlineStr"/>
      <c r="L155" s="227" t="n">
        <v>1158.3</v>
      </c>
      <c r="M155" s="227" t="n">
        <v>416988</v>
      </c>
      <c r="N155" s="0" t="inlineStr">
        <is>
          <t>Active TAM</t>
        </is>
      </c>
      <c r="O155" s="0" t="inlineStr">
        <is>
          <t>Auto-class: not downtown (by flag or name). Occ 60% flat (refine w/STR).</t>
        </is>
      </c>
    </row>
    <row r="156">
      <c r="A156" s="0" t="inlineStr">
        <is>
          <t>DoubleTree by Hilton Hotel Phoenix Tempe</t>
        </is>
      </c>
      <c r="B156" s="0" t="inlineStr">
        <is>
          <t>Hotel</t>
        </is>
      </c>
      <c r="C156" s="225" t="inlineStr">
        <is>
          <t>Hotel — Suburban/Airport</t>
        </is>
      </c>
      <c r="D156" s="0" t="n">
        <v>270</v>
      </c>
      <c r="E156" s="0" t="inlineStr"/>
      <c r="F156" s="226" t="n">
        <v>0.6</v>
      </c>
      <c r="G156" s="0" t="inlineStr"/>
      <c r="H156" s="226" t="n">
        <v>0.15</v>
      </c>
      <c r="I156" s="0" t="inlineStr"/>
      <c r="J156" s="0" t="n">
        <v>360</v>
      </c>
      <c r="K156" s="0" t="inlineStr"/>
      <c r="L156" s="0" t="inlineStr"/>
      <c r="M156" s="0" t="inlineStr"/>
      <c r="N156" s="0" t="inlineStr">
        <is>
          <t>No Valet / TAM = $0</t>
        </is>
      </c>
      <c r="O156" s="0" t="inlineStr">
        <is>
          <t>Hotel has no valet (rate field: 'No Valet'). Auto-class: not downtown (by flag or name). Qualitative pipeline only.</t>
        </is>
      </c>
    </row>
    <row r="157">
      <c r="A157" s="0" t="inlineStr">
        <is>
          <t>Canopy by Hilton Tempe Downtown</t>
        </is>
      </c>
      <c r="B157" s="0" t="inlineStr">
        <is>
          <t>Hotel</t>
        </is>
      </c>
      <c r="C157" s="225" t="inlineStr">
        <is>
          <t>Hotel — Downtown Select-Service</t>
        </is>
      </c>
      <c r="D157" s="0" t="n">
        <v>198</v>
      </c>
      <c r="E157" s="0" t="inlineStr"/>
      <c r="F157" s="226" t="n">
        <v>0.6</v>
      </c>
      <c r="G157" s="0" t="inlineStr"/>
      <c r="H157" s="226" t="n">
        <v>0.25</v>
      </c>
      <c r="I157" s="227" t="n">
        <v>39</v>
      </c>
      <c r="J157" s="0" t="n">
        <v>360</v>
      </c>
      <c r="K157" s="0" t="inlineStr"/>
      <c r="L157" s="227" t="n">
        <v>1158.3</v>
      </c>
      <c r="M157" s="227" t="n">
        <v>416988</v>
      </c>
      <c r="N157" s="0" t="inlineStr">
        <is>
          <t>Active TAM</t>
        </is>
      </c>
      <c r="O157" s="0" t="inlineStr">
        <is>
          <t>Auto-class: downtown full-service &lt;300 rooms [name-inferred downtown]. Occ 60% flat (refine w/STR).</t>
        </is>
      </c>
    </row>
    <row r="158">
      <c r="A158" s="0" t="inlineStr">
        <is>
          <t>Aloft Tempe</t>
        </is>
      </c>
      <c r="B158" s="0" t="inlineStr">
        <is>
          <t>Hotel</t>
        </is>
      </c>
      <c r="C158" s="225" t="inlineStr">
        <is>
          <t>Hotel — Suburban/Airport</t>
        </is>
      </c>
      <c r="D158" s="0" t="n">
        <v>136</v>
      </c>
      <c r="E158" s="0" t="inlineStr"/>
      <c r="F158" s="226" t="n">
        <v>0.6</v>
      </c>
      <c r="G158" s="0" t="inlineStr"/>
      <c r="H158" s="226" t="n">
        <v>0.15</v>
      </c>
      <c r="I158" s="0" t="inlineStr"/>
      <c r="J158" s="0" t="n">
        <v>360</v>
      </c>
      <c r="K158" s="0" t="inlineStr"/>
      <c r="L158" s="0" t="inlineStr"/>
      <c r="M158" s="0" t="inlineStr"/>
      <c r="N158" s="0" t="inlineStr">
        <is>
          <t>No Valet / TAM = $0</t>
        </is>
      </c>
      <c r="O158" s="0" t="inlineStr">
        <is>
          <t>Hotel has no valet (rate field: 'No Valet'). Auto-class: not downtown (by flag or name). Qualitative pipeline only.</t>
        </is>
      </c>
    </row>
    <row r="159">
      <c r="A159" s="0" t="inlineStr">
        <is>
          <t>Hyatt Place Tempe/Phoenix Airport</t>
        </is>
      </c>
      <c r="B159" s="0" t="inlineStr">
        <is>
          <t>Hotel</t>
        </is>
      </c>
      <c r="C159" s="225" t="inlineStr">
        <is>
          <t>Hotel — Suburban/Airport</t>
        </is>
      </c>
      <c r="D159" s="0" t="n">
        <v>123</v>
      </c>
      <c r="E159" s="0" t="inlineStr"/>
      <c r="F159" s="226" t="n">
        <v>0.6</v>
      </c>
      <c r="G159" s="0" t="inlineStr"/>
      <c r="H159" s="226" t="n">
        <v>0.15</v>
      </c>
      <c r="I159" s="0" t="inlineStr"/>
      <c r="J159" s="0" t="n">
        <v>360</v>
      </c>
      <c r="K159" s="0" t="inlineStr"/>
      <c r="L159" s="0" t="inlineStr"/>
      <c r="M159" s="0" t="inlineStr"/>
      <c r="N159" s="0" t="inlineStr">
        <is>
          <t>No Valet / TAM = $0</t>
        </is>
      </c>
      <c r="O159" s="0" t="inlineStr">
        <is>
          <t>Hotel has no valet (rate field: None). Auto-class: not downtown (by flag or name). Qualitative pipeline only.</t>
        </is>
      </c>
    </row>
    <row r="160">
      <c r="A160" s="0" t="inlineStr">
        <is>
          <t>The Westin Tempe</t>
        </is>
      </c>
      <c r="B160" s="0" t="inlineStr">
        <is>
          <t>Hotel</t>
        </is>
      </c>
      <c r="C160" s="225" t="inlineStr">
        <is>
          <t>Hotel — Suburban/Airport</t>
        </is>
      </c>
      <c r="D160" s="0" t="n">
        <v>290</v>
      </c>
      <c r="E160" s="0" t="inlineStr"/>
      <c r="F160" s="226" t="n">
        <v>0.6</v>
      </c>
      <c r="G160" s="0" t="inlineStr"/>
      <c r="H160" s="226" t="n">
        <v>0.15</v>
      </c>
      <c r="I160" s="227" t="n">
        <v>42</v>
      </c>
      <c r="J160" s="0" t="n">
        <v>360</v>
      </c>
      <c r="K160" s="0" t="inlineStr"/>
      <c r="L160" s="227" t="n">
        <v>1096.2</v>
      </c>
      <c r="M160" s="227" t="n">
        <v>394631.9999999999</v>
      </c>
      <c r="N160" s="0" t="inlineStr">
        <is>
          <t>Active TAM</t>
        </is>
      </c>
      <c r="O160" s="0" t="inlineStr">
        <is>
          <t>Auto-class: not downtown (by flag or name). Occ 60% flat (refine w/STR).</t>
        </is>
      </c>
    </row>
    <row r="161">
      <c r="A161" s="0" t="inlineStr">
        <is>
          <t>Residence Inn Tempe Downtown/University</t>
        </is>
      </c>
      <c r="B161" s="0" t="inlineStr">
        <is>
          <t>Hotel</t>
        </is>
      </c>
      <c r="C161" s="225" t="inlineStr">
        <is>
          <t>Hotel — Downtown Select-Service</t>
        </is>
      </c>
      <c r="D161" s="0" t="n">
        <v>173</v>
      </c>
      <c r="E161" s="0" t="inlineStr"/>
      <c r="F161" s="226" t="n">
        <v>0.6</v>
      </c>
      <c r="G161" s="0" t="inlineStr"/>
      <c r="H161" s="226" t="n">
        <v>0.25</v>
      </c>
      <c r="I161" s="0" t="inlineStr"/>
      <c r="J161" s="0" t="n">
        <v>360</v>
      </c>
      <c r="K161" s="0" t="inlineStr"/>
      <c r="L161" s="0" t="inlineStr"/>
      <c r="M161" s="0" t="inlineStr"/>
      <c r="N161" s="0" t="inlineStr">
        <is>
          <t>No Valet / TAM = $0</t>
        </is>
      </c>
      <c r="O161" s="0" t="inlineStr">
        <is>
          <t>Hotel has no valet (rate field: 'No Valet'). Auto-class: downtown + select-service flag [name-inferred downtown; workbook flag=No]. Qualitative pipeline only.</t>
        </is>
      </c>
    </row>
    <row r="162">
      <c r="A162" s="0" t="inlineStr">
        <is>
          <t>Homewood Suites By Hilton Phoenix Tempe ASU Area</t>
        </is>
      </c>
      <c r="B162" s="0" t="inlineStr">
        <is>
          <t>Hotel</t>
        </is>
      </c>
      <c r="C162" s="225" t="inlineStr">
        <is>
          <t>Hotel — Suburban/Airport</t>
        </is>
      </c>
      <c r="D162" s="0" t="n">
        <v>121</v>
      </c>
      <c r="E162" s="0" t="inlineStr"/>
      <c r="F162" s="226" t="n">
        <v>0.6</v>
      </c>
      <c r="G162" s="0" t="inlineStr"/>
      <c r="H162" s="226" t="n">
        <v>0.15</v>
      </c>
      <c r="I162" s="0" t="inlineStr"/>
      <c r="J162" s="0" t="n">
        <v>360</v>
      </c>
      <c r="K162" s="0" t="inlineStr"/>
      <c r="L162" s="0" t="inlineStr"/>
      <c r="M162" s="0" t="inlineStr"/>
      <c r="N162" s="0" t="inlineStr">
        <is>
          <t>No Valet / TAM = $0</t>
        </is>
      </c>
      <c r="O162" s="0" t="inlineStr">
        <is>
          <t>Hotel has no valet (rate field: 'No Valet'). Auto-class: not downtown (by flag or name). Qualitative pipeline only.</t>
        </is>
      </c>
    </row>
    <row r="163">
      <c r="A163" s="0" t="inlineStr">
        <is>
          <t>Hilton Garden Inn Phoenix/Tempe ASU Area</t>
        </is>
      </c>
      <c r="B163" s="0" t="inlineStr">
        <is>
          <t>Hotel</t>
        </is>
      </c>
      <c r="C163" s="225" t="inlineStr">
        <is>
          <t>Hotel — Suburban/Airport</t>
        </is>
      </c>
      <c r="D163" s="0" t="n">
        <v>120</v>
      </c>
      <c r="E163" s="0" t="inlineStr"/>
      <c r="F163" s="226" t="n">
        <v>0.6</v>
      </c>
      <c r="G163" s="0" t="inlineStr"/>
      <c r="H163" s="226" t="n">
        <v>0.15</v>
      </c>
      <c r="I163" s="0" t="inlineStr"/>
      <c r="J163" s="0" t="n">
        <v>360</v>
      </c>
      <c r="K163" s="0" t="inlineStr"/>
      <c r="L163" s="0" t="inlineStr"/>
      <c r="M163" s="0" t="inlineStr"/>
      <c r="N163" s="0" t="inlineStr">
        <is>
          <t>No Valet / TAM = $0</t>
        </is>
      </c>
      <c r="O163" s="0" t="inlineStr">
        <is>
          <t>Hotel has no valet (rate field: 'No Valet'). Auto-class: not downtown (by flag or name). Qualitative pipeline only.</t>
        </is>
      </c>
    </row>
    <row r="164">
      <c r="A164" s="0" t="inlineStr">
        <is>
          <t>Fairfield by Marriott Inn &amp; Suites Tempe</t>
        </is>
      </c>
      <c r="B164" s="0" t="inlineStr">
        <is>
          <t>Hotel</t>
        </is>
      </c>
      <c r="C164" s="225" t="inlineStr">
        <is>
          <t>Hotel — Suburban/Airport</t>
        </is>
      </c>
      <c r="D164" s="0" t="n">
        <v>83</v>
      </c>
      <c r="E164" s="0" t="inlineStr"/>
      <c r="F164" s="226" t="n">
        <v>0.6</v>
      </c>
      <c r="G164" s="0" t="inlineStr"/>
      <c r="H164" s="226" t="n">
        <v>0.15</v>
      </c>
      <c r="I164" s="0" t="inlineStr"/>
      <c r="J164" s="0" t="n">
        <v>360</v>
      </c>
      <c r="K164" s="0" t="inlineStr"/>
      <c r="L164" s="0" t="inlineStr"/>
      <c r="M164" s="0" t="inlineStr"/>
      <c r="N164" s="0" t="inlineStr">
        <is>
          <t>No Valet / TAM = $0</t>
        </is>
      </c>
      <c r="O164" s="0" t="inlineStr">
        <is>
          <t>Hotel has no valet (rate field: 'No Valet'). Auto-class: not downtown (by flag or name). Qualitative pipeline only.</t>
        </is>
      </c>
    </row>
    <row r="165">
      <c r="A165" s="0" t="inlineStr">
        <is>
          <t>Sheraton Desert Oasis Villas, Scottsdale</t>
        </is>
      </c>
      <c r="B165" s="0" t="inlineStr">
        <is>
          <t>Hotel</t>
        </is>
      </c>
      <c r="C165" s="225" t="inlineStr">
        <is>
          <t>Hotel — Suburban/Airport</t>
        </is>
      </c>
      <c r="D165" s="0" t="inlineStr"/>
      <c r="E165" s="0" t="inlineStr"/>
      <c r="F165" s="226" t="n">
        <v>0.6</v>
      </c>
      <c r="G165" s="0" t="inlineStr"/>
      <c r="H165" s="226" t="n">
        <v>0.15</v>
      </c>
      <c r="I165" s="0" t="inlineStr"/>
      <c r="J165" s="0" t="n">
        <v>360</v>
      </c>
      <c r="K165" s="0" t="inlineStr"/>
      <c r="L165" s="0" t="inlineStr"/>
      <c r="M165" s="0" t="inlineStr"/>
      <c r="N165" s="0" t="inlineStr">
        <is>
          <t>No Valet / TAM = $0</t>
        </is>
      </c>
      <c r="O165" s="0" t="inlineStr">
        <is>
          <t>Hotel has no valet (rate field: 'No Valet'). Auto-class: not downtown (by flag or name). Qualitative pipeline only.</t>
        </is>
      </c>
    </row>
    <row r="166">
      <c r="A166" s="0" t="inlineStr">
        <is>
          <t>Holiday Inn Express &amp; Suites Phoenix – Midtown</t>
        </is>
      </c>
      <c r="B166" s="0" t="inlineStr">
        <is>
          <t>Hotel</t>
        </is>
      </c>
      <c r="C166" s="225" t="inlineStr">
        <is>
          <t>Hotel — Suburban/Airport</t>
        </is>
      </c>
      <c r="D166" s="0" t="inlineStr"/>
      <c r="E166" s="0" t="inlineStr"/>
      <c r="F166" s="226" t="n">
        <v>0.6</v>
      </c>
      <c r="G166" s="0" t="inlineStr"/>
      <c r="H166" s="226" t="n">
        <v>0.15</v>
      </c>
      <c r="I166" s="0" t="inlineStr"/>
      <c r="J166" s="0" t="n">
        <v>360</v>
      </c>
      <c r="K166" s="0" t="inlineStr"/>
      <c r="L166" s="0" t="inlineStr"/>
      <c r="M166" s="0" t="inlineStr"/>
      <c r="N166" s="0" t="inlineStr">
        <is>
          <t>No Valet / TAM = $0</t>
        </is>
      </c>
      <c r="O166" s="0" t="inlineStr">
        <is>
          <t>Hotel has no valet (rate field: 'No Valet'). Auto-class: not downtown (by flag or name). Qualitative pipeline only.</t>
        </is>
      </c>
    </row>
    <row r="167">
      <c r="A167" s="0" t="inlineStr">
        <is>
          <t>Hyatt Place Phoenix-North</t>
        </is>
      </c>
      <c r="B167" s="0" t="inlineStr">
        <is>
          <t>Hotel</t>
        </is>
      </c>
      <c r="C167" s="225" t="inlineStr">
        <is>
          <t>Hotel — Suburban/Airport</t>
        </is>
      </c>
      <c r="D167" s="0" t="n">
        <v>127</v>
      </c>
      <c r="E167" s="0" t="inlineStr"/>
      <c r="F167" s="226" t="n">
        <v>0.6</v>
      </c>
      <c r="G167" s="0" t="inlineStr"/>
      <c r="H167" s="226" t="n">
        <v>0.15</v>
      </c>
      <c r="I167" s="0" t="inlineStr"/>
      <c r="J167" s="0" t="n">
        <v>360</v>
      </c>
      <c r="K167" s="0" t="inlineStr"/>
      <c r="L167" s="0" t="inlineStr"/>
      <c r="M167" s="0" t="inlineStr"/>
      <c r="N167" s="0" t="inlineStr">
        <is>
          <t>No Valet / TAM = $0</t>
        </is>
      </c>
      <c r="O167" s="0" t="inlineStr">
        <is>
          <t>Hotel has no valet (rate field: 'No Valet'). Auto-class: not downtown (by flag or name). Qualitative pipeline only.</t>
        </is>
      </c>
    </row>
    <row r="168">
      <c r="A168" s="0" t="inlineStr">
        <is>
          <t>TownePlace Suites Phoenix North</t>
        </is>
      </c>
      <c r="B168" s="0" t="inlineStr">
        <is>
          <t>Hotel</t>
        </is>
      </c>
      <c r="C168" s="225" t="inlineStr">
        <is>
          <t>Hotel — Suburban/Airport</t>
        </is>
      </c>
      <c r="D168" s="0" t="inlineStr"/>
      <c r="E168" s="0" t="inlineStr"/>
      <c r="F168" s="226" t="n">
        <v>0.6</v>
      </c>
      <c r="G168" s="0" t="inlineStr"/>
      <c r="H168" s="226" t="n">
        <v>0.15</v>
      </c>
      <c r="I168" s="0" t="inlineStr"/>
      <c r="J168" s="0" t="n">
        <v>360</v>
      </c>
      <c r="K168" s="0" t="inlineStr"/>
      <c r="L168" s="0" t="inlineStr"/>
      <c r="M168" s="0" t="inlineStr"/>
      <c r="N168" s="0" t="inlineStr">
        <is>
          <t>No Valet / TAM = $0</t>
        </is>
      </c>
      <c r="O168" s="0" t="inlineStr">
        <is>
          <t>Hotel has no valet (rate field: 'No Valet'). Auto-class: not downtown (by flag or name). Qualitative pipeline only.</t>
        </is>
      </c>
    </row>
    <row r="169">
      <c r="A169" s="0" t="inlineStr">
        <is>
          <t>SpringHill Suites by Marriott Phoenix North</t>
        </is>
      </c>
      <c r="B169" s="0" t="inlineStr">
        <is>
          <t>Hotel</t>
        </is>
      </c>
      <c r="C169" s="225" t="inlineStr">
        <is>
          <t>Hotel — Suburban/Airport</t>
        </is>
      </c>
      <c r="D169" s="0" t="inlineStr"/>
      <c r="E169" s="0" t="inlineStr"/>
      <c r="F169" s="226" t="n">
        <v>0.6</v>
      </c>
      <c r="G169" s="0" t="inlineStr"/>
      <c r="H169" s="226" t="n">
        <v>0.15</v>
      </c>
      <c r="I169" s="0" t="inlineStr"/>
      <c r="J169" s="0" t="n">
        <v>360</v>
      </c>
      <c r="K169" s="0" t="inlineStr"/>
      <c r="L169" s="0" t="inlineStr"/>
      <c r="M169" s="0" t="inlineStr"/>
      <c r="N169" s="0" t="inlineStr">
        <is>
          <t>No Valet / TAM = $0</t>
        </is>
      </c>
      <c r="O169" s="0" t="inlineStr">
        <is>
          <t>Hotel has no valet (rate field: 'No Valet'). Auto-class: not downtown (by flag or name). Qualitative pipeline only.</t>
        </is>
      </c>
    </row>
    <row r="170">
      <c r="A170" s="0" t="inlineStr">
        <is>
          <t>DoubleTree by Hilton Hotel Phoenix North</t>
        </is>
      </c>
      <c r="B170" s="0" t="inlineStr">
        <is>
          <t>Hotel</t>
        </is>
      </c>
      <c r="C170" s="225" t="inlineStr">
        <is>
          <t>Hotel — Suburban/Airport</t>
        </is>
      </c>
      <c r="D170" s="0" t="inlineStr"/>
      <c r="E170" s="0" t="inlineStr"/>
      <c r="F170" s="226" t="n">
        <v>0.6</v>
      </c>
      <c r="G170" s="0" t="inlineStr"/>
      <c r="H170" s="226" t="n">
        <v>0.15</v>
      </c>
      <c r="I170" s="0" t="inlineStr"/>
      <c r="J170" s="0" t="n">
        <v>360</v>
      </c>
      <c r="K170" s="0" t="inlineStr"/>
      <c r="L170" s="0" t="inlineStr"/>
      <c r="M170" s="0" t="inlineStr"/>
      <c r="N170" s="0" t="inlineStr">
        <is>
          <t>No Valet / TAM = $0</t>
        </is>
      </c>
      <c r="O170" s="0" t="inlineStr">
        <is>
          <t>Hotel has no valet (rate field: 'No Valet'). Auto-class: not downtown (by flag or name). Qualitative pipeline only.</t>
        </is>
      </c>
    </row>
    <row r="171">
      <c r="A171" s="0" t="inlineStr">
        <is>
          <t>Courtyard Phoenix North</t>
        </is>
      </c>
      <c r="B171" s="0" t="inlineStr">
        <is>
          <t>Hotel</t>
        </is>
      </c>
      <c r="C171" s="225" t="inlineStr">
        <is>
          <t>Hotel — Suburban/Airport</t>
        </is>
      </c>
      <c r="D171" s="0" t="inlineStr"/>
      <c r="E171" s="0" t="inlineStr"/>
      <c r="F171" s="226" t="n">
        <v>0.6</v>
      </c>
      <c r="G171" s="0" t="inlineStr"/>
      <c r="H171" s="226" t="n">
        <v>0.15</v>
      </c>
      <c r="I171" s="0" t="inlineStr"/>
      <c r="J171" s="0" t="n">
        <v>360</v>
      </c>
      <c r="K171" s="0" t="inlineStr"/>
      <c r="L171" s="0" t="inlineStr"/>
      <c r="M171" s="0" t="inlineStr"/>
      <c r="N171" s="0" t="inlineStr">
        <is>
          <t>No Valet / TAM = $0</t>
        </is>
      </c>
      <c r="O171" s="0" t="inlineStr">
        <is>
          <t>Hotel has no valet (rate field: 'No Valet'). Auto-class: not downtown (by flag or name). Qualitative pipeline only.</t>
        </is>
      </c>
    </row>
    <row r="172">
      <c r="A172" s="0" t="inlineStr">
        <is>
          <t>Hampton Inn and Suites by Hilton Phoenix North</t>
        </is>
      </c>
      <c r="B172" s="0" t="inlineStr">
        <is>
          <t>Hotel</t>
        </is>
      </c>
      <c r="C172" s="225" t="inlineStr">
        <is>
          <t>Hotel — Suburban/Airport</t>
        </is>
      </c>
      <c r="D172" s="0" t="inlineStr"/>
      <c r="E172" s="0" t="inlineStr"/>
      <c r="F172" s="226" t="n">
        <v>0.6</v>
      </c>
      <c r="G172" s="0" t="inlineStr"/>
      <c r="H172" s="226" t="n">
        <v>0.15</v>
      </c>
      <c r="I172" s="0" t="inlineStr"/>
      <c r="J172" s="0" t="n">
        <v>360</v>
      </c>
      <c r="K172" s="0" t="inlineStr"/>
      <c r="L172" s="0" t="inlineStr"/>
      <c r="M172" s="0" t="inlineStr"/>
      <c r="N172" s="0" t="inlineStr">
        <is>
          <t>No Valet / TAM = $0</t>
        </is>
      </c>
      <c r="O172" s="0" t="inlineStr">
        <is>
          <t>Hotel has no valet (rate field: None). Auto-class: not downtown (by flag or name). Qualitative pipeline only.</t>
        </is>
      </c>
    </row>
    <row r="173">
      <c r="A173" s="0" t="inlineStr">
        <is>
          <t>Four Points by Sheraton Phoenix North</t>
        </is>
      </c>
      <c r="B173" s="0" t="inlineStr">
        <is>
          <t>Hotel</t>
        </is>
      </c>
      <c r="C173" s="225" t="inlineStr">
        <is>
          <t>Hotel — Suburban/Airport</t>
        </is>
      </c>
      <c r="D173" s="0" t="inlineStr"/>
      <c r="E173" s="0" t="inlineStr"/>
      <c r="F173" s="226" t="n">
        <v>0.6</v>
      </c>
      <c r="G173" s="0" t="inlineStr"/>
      <c r="H173" s="226" t="n">
        <v>0.15</v>
      </c>
      <c r="I173" s="0" t="inlineStr"/>
      <c r="J173" s="0" t="n">
        <v>360</v>
      </c>
      <c r="K173" s="0" t="inlineStr"/>
      <c r="L173" s="0" t="inlineStr"/>
      <c r="M173" s="0" t="inlineStr"/>
      <c r="N173" s="0" t="inlineStr">
        <is>
          <t>No Valet / TAM = $0</t>
        </is>
      </c>
      <c r="O173" s="0" t="inlineStr">
        <is>
          <t>Hotel has no valet (rate field: None). Auto-class: not downtown (by flag or name). Qualitative pipeline only.</t>
        </is>
      </c>
    </row>
    <row r="174">
      <c r="A174" s="0" t="inlineStr">
        <is>
          <t>Staybridge Suites Phoenix – Biltmore Area</t>
        </is>
      </c>
      <c r="B174" s="0" t="inlineStr">
        <is>
          <t>Hotel</t>
        </is>
      </c>
      <c r="C174" s="225" t="inlineStr">
        <is>
          <t>Hotel — Suburban/Airport</t>
        </is>
      </c>
      <c r="D174" s="0" t="inlineStr"/>
      <c r="E174" s="0" t="inlineStr"/>
      <c r="F174" s="226" t="n">
        <v>0.6</v>
      </c>
      <c r="G174" s="0" t="inlineStr"/>
      <c r="H174" s="226" t="n">
        <v>0.15</v>
      </c>
      <c r="I174" s="0" t="inlineStr"/>
      <c r="J174" s="0" t="n">
        <v>360</v>
      </c>
      <c r="K174" s="0" t="inlineStr"/>
      <c r="L174" s="0" t="inlineStr"/>
      <c r="M174" s="0" t="inlineStr"/>
      <c r="N174" s="0" t="inlineStr">
        <is>
          <t>No Valet / TAM = $0</t>
        </is>
      </c>
      <c r="O174" s="0" t="inlineStr">
        <is>
          <t>Hotel has no valet (rate field: 'No Valet'). Auto-class: not downtown (by flag or name). Qualitative pipeline only.</t>
        </is>
      </c>
    </row>
    <row r="175">
      <c r="A175" s="0" t="inlineStr">
        <is>
          <t>Element Phoenix Biltmore</t>
        </is>
      </c>
      <c r="B175" s="0" t="inlineStr">
        <is>
          <t>Hotel</t>
        </is>
      </c>
      <c r="C175" s="225" t="inlineStr">
        <is>
          <t>Hotel — Suburban/Airport</t>
        </is>
      </c>
      <c r="D175" s="0" t="inlineStr"/>
      <c r="E175" s="0" t="inlineStr"/>
      <c r="F175" s="226" t="n">
        <v>0.6</v>
      </c>
      <c r="G175" s="0" t="inlineStr"/>
      <c r="H175" s="226" t="n">
        <v>0.15</v>
      </c>
      <c r="I175" s="0" t="inlineStr"/>
      <c r="J175" s="0" t="n">
        <v>360</v>
      </c>
      <c r="K175" s="0" t="inlineStr"/>
      <c r="L175" s="0" t="inlineStr"/>
      <c r="M175" s="0" t="inlineStr"/>
      <c r="N175" s="0" t="inlineStr">
        <is>
          <t>No Valet / TAM = $0</t>
        </is>
      </c>
      <c r="O175" s="0" t="inlineStr">
        <is>
          <t>Hotel has no valet (rate field: None). Auto-class: not downtown (by flag or name). Qualitative pipeline only.</t>
        </is>
      </c>
    </row>
    <row r="176">
      <c r="A176" s="0" t="inlineStr">
        <is>
          <t>Aloft Phoenix-Airport</t>
        </is>
      </c>
      <c r="B176" s="0" t="inlineStr">
        <is>
          <t>Hotel</t>
        </is>
      </c>
      <c r="C176" s="225" t="inlineStr">
        <is>
          <t>Hotel — Suburban/Airport</t>
        </is>
      </c>
      <c r="D176" s="0" t="inlineStr"/>
      <c r="E176" s="0" t="inlineStr"/>
      <c r="F176" s="226" t="n">
        <v>0.6</v>
      </c>
      <c r="G176" s="0" t="inlineStr"/>
      <c r="H176" s="226" t="n">
        <v>0.15</v>
      </c>
      <c r="I176" s="0" t="inlineStr"/>
      <c r="J176" s="0" t="n">
        <v>360</v>
      </c>
      <c r="K176" s="0" t="inlineStr"/>
      <c r="L176" s="0" t="inlineStr"/>
      <c r="M176" s="0" t="inlineStr"/>
      <c r="N176" s="0" t="inlineStr">
        <is>
          <t>No Valet / TAM = $0</t>
        </is>
      </c>
      <c r="O176" s="0" t="inlineStr">
        <is>
          <t>Hotel has no valet (rate field: 'No Valet'). Auto-class: not downtown (by flag or name). Qualitative pipeline only.</t>
        </is>
      </c>
    </row>
    <row r="177">
      <c r="A177" s="0" t="inlineStr">
        <is>
          <t>Crowne Plaza Phoenix Airport PHX</t>
        </is>
      </c>
      <c r="B177" s="0" t="inlineStr">
        <is>
          <t>Hotel</t>
        </is>
      </c>
      <c r="C177" s="225" t="inlineStr">
        <is>
          <t>Hotel — Suburban/Airport</t>
        </is>
      </c>
      <c r="D177" s="0" t="inlineStr"/>
      <c r="E177" s="0" t="inlineStr"/>
      <c r="F177" s="226" t="n">
        <v>0.6</v>
      </c>
      <c r="G177" s="0" t="inlineStr"/>
      <c r="H177" s="226" t="n">
        <v>0.15</v>
      </c>
      <c r="I177" s="0" t="inlineStr"/>
      <c r="J177" s="0" t="n">
        <v>360</v>
      </c>
      <c r="K177" s="0" t="inlineStr"/>
      <c r="L177" s="0" t="inlineStr"/>
      <c r="M177" s="0" t="inlineStr"/>
      <c r="N177" s="0" t="inlineStr">
        <is>
          <t>No Valet / TAM = $0</t>
        </is>
      </c>
      <c r="O177" s="0" t="inlineStr">
        <is>
          <t>Hotel has no valet (rate field: 'No Valet'). Auto-class: not downtown (by flag or name). Qualitative pipeline only.</t>
        </is>
      </c>
    </row>
    <row r="178">
      <c r="A178" s="0" t="inlineStr">
        <is>
          <t>Holiday Inn &amp; Suites Phoenix Airport North</t>
        </is>
      </c>
      <c r="B178" s="0" t="inlineStr">
        <is>
          <t>Hotel</t>
        </is>
      </c>
      <c r="C178" s="225" t="inlineStr">
        <is>
          <t>Hotel — Suburban/Airport</t>
        </is>
      </c>
      <c r="D178" s="0" t="inlineStr"/>
      <c r="E178" s="0" t="inlineStr"/>
      <c r="F178" s="226" t="n">
        <v>0.6</v>
      </c>
      <c r="G178" s="0" t="inlineStr"/>
      <c r="H178" s="226" t="n">
        <v>0.15</v>
      </c>
      <c r="I178" s="0" t="inlineStr"/>
      <c r="J178" s="0" t="n">
        <v>360</v>
      </c>
      <c r="K178" s="0" t="inlineStr"/>
      <c r="L178" s="0" t="inlineStr"/>
      <c r="M178" s="0" t="inlineStr"/>
      <c r="N178" s="0" t="inlineStr">
        <is>
          <t>No Valet / TAM = $0</t>
        </is>
      </c>
      <c r="O178" s="0" t="inlineStr">
        <is>
          <t>Hotel has no valet (rate field: 'No Valet'). Auto-class: not downtown (by flag or name). Qualitative pipeline only.</t>
        </is>
      </c>
    </row>
    <row r="179">
      <c r="A179" s="0" t="inlineStr">
        <is>
          <t>Hampton Inn Phoenix-Airport North</t>
        </is>
      </c>
      <c r="B179" s="0" t="inlineStr">
        <is>
          <t>Hotel</t>
        </is>
      </c>
      <c r="C179" s="225" t="inlineStr">
        <is>
          <t>Hotel — Suburban/Airport</t>
        </is>
      </c>
      <c r="D179" s="0" t="inlineStr"/>
      <c r="E179" s="0" t="inlineStr"/>
      <c r="F179" s="226" t="n">
        <v>0.6</v>
      </c>
      <c r="G179" s="0" t="inlineStr"/>
      <c r="H179" s="226" t="n">
        <v>0.15</v>
      </c>
      <c r="I179" s="0" t="inlineStr"/>
      <c r="J179" s="0" t="n">
        <v>360</v>
      </c>
      <c r="K179" s="0" t="inlineStr"/>
      <c r="L179" s="0" t="inlineStr"/>
      <c r="M179" s="0" t="inlineStr"/>
      <c r="N179" s="0" t="inlineStr">
        <is>
          <t>No Valet / TAM = $0</t>
        </is>
      </c>
      <c r="O179" s="0" t="inlineStr">
        <is>
          <t>Hotel has no valet (rate field: 'No Valet'). Auto-class: not downtown (by flag or name). Qualitative pipeline only.</t>
        </is>
      </c>
    </row>
    <row r="180">
      <c r="A180" s="0" t="inlineStr">
        <is>
          <t>Country Inn &amp; Suites By Radisson, Phoenix Airport</t>
        </is>
      </c>
      <c r="B180" s="0" t="inlineStr">
        <is>
          <t>Hotel</t>
        </is>
      </c>
      <c r="C180" s="225" t="inlineStr">
        <is>
          <t>Hotel — Suburban/Airport</t>
        </is>
      </c>
      <c r="D180" s="0" t="inlineStr"/>
      <c r="E180" s="0" t="inlineStr"/>
      <c r="F180" s="226" t="n">
        <v>0.6</v>
      </c>
      <c r="G180" s="0" t="inlineStr"/>
      <c r="H180" s="226" t="n">
        <v>0.15</v>
      </c>
      <c r="I180" s="0" t="inlineStr"/>
      <c r="J180" s="0" t="n">
        <v>360</v>
      </c>
      <c r="K180" s="0" t="inlineStr"/>
      <c r="L180" s="0" t="inlineStr"/>
      <c r="M180" s="0" t="inlineStr"/>
      <c r="N180" s="0" t="inlineStr">
        <is>
          <t>No Valet / TAM = $0</t>
        </is>
      </c>
      <c r="O180" s="0" t="inlineStr">
        <is>
          <t>Hotel has no valet (rate field: None). Auto-class: not downtown (by flag or name). Qualitative pipeline only.</t>
        </is>
      </c>
    </row>
    <row r="181">
      <c r="A181" s="0" t="inlineStr">
        <is>
          <t>Radisson Hotel Phoenix Airport</t>
        </is>
      </c>
      <c r="B181" s="0" t="inlineStr">
        <is>
          <t>Hotel</t>
        </is>
      </c>
      <c r="C181" s="225" t="inlineStr">
        <is>
          <t>Hotel — Suburban/Airport</t>
        </is>
      </c>
      <c r="D181" s="0" t="inlineStr"/>
      <c r="E181" s="0" t="inlineStr"/>
      <c r="F181" s="226" t="n">
        <v>0.6</v>
      </c>
      <c r="G181" s="0" t="inlineStr"/>
      <c r="H181" s="226" t="n">
        <v>0.15</v>
      </c>
      <c r="I181" s="0" t="inlineStr"/>
      <c r="J181" s="0" t="n">
        <v>360</v>
      </c>
      <c r="K181" s="0" t="inlineStr"/>
      <c r="L181" s="0" t="inlineStr"/>
      <c r="M181" s="0" t="inlineStr"/>
      <c r="N181" s="0" t="inlineStr">
        <is>
          <t>No Valet / TAM = $0</t>
        </is>
      </c>
      <c r="O181" s="0" t="inlineStr">
        <is>
          <t>Hotel has no valet (rate field: None). Auto-class: not downtown (by flag or name). Qualitative pipeline only.</t>
        </is>
      </c>
    </row>
    <row r="182">
      <c r="A182" s="0" t="inlineStr">
        <is>
          <t>Residence Inn Phoenix Airport</t>
        </is>
      </c>
      <c r="B182" s="0" t="inlineStr">
        <is>
          <t>Hotel</t>
        </is>
      </c>
      <c r="C182" s="225" t="inlineStr">
        <is>
          <t>Hotel — Suburban/Airport</t>
        </is>
      </c>
      <c r="D182" s="0" t="inlineStr"/>
      <c r="E182" s="0" t="inlineStr"/>
      <c r="F182" s="226" t="n">
        <v>0.6</v>
      </c>
      <c r="G182" s="0" t="inlineStr"/>
      <c r="H182" s="226" t="n">
        <v>0.15</v>
      </c>
      <c r="I182" s="0" t="inlineStr"/>
      <c r="J182" s="0" t="n">
        <v>360</v>
      </c>
      <c r="K182" s="0" t="inlineStr"/>
      <c r="L182" s="0" t="inlineStr"/>
      <c r="M182" s="0" t="inlineStr"/>
      <c r="N182" s="0" t="inlineStr">
        <is>
          <t>No Valet / TAM = $0</t>
        </is>
      </c>
      <c r="O182" s="0" t="inlineStr">
        <is>
          <t>Hotel has no valet (rate field: None). Auto-class: not downtown (by flag or name). Qualitative pipeline only.</t>
        </is>
      </c>
    </row>
    <row r="183">
      <c r="A183" s="0" t="inlineStr">
        <is>
          <t>Home2 Suites by Hilton Phoenix Airport North</t>
        </is>
      </c>
      <c r="B183" s="0" t="inlineStr">
        <is>
          <t>Hotel</t>
        </is>
      </c>
      <c r="C183" s="225" t="inlineStr">
        <is>
          <t>Hotel — Suburban/Airport</t>
        </is>
      </c>
      <c r="D183" s="0" t="inlineStr"/>
      <c r="E183" s="0" t="inlineStr"/>
      <c r="F183" s="226" t="n">
        <v>0.6</v>
      </c>
      <c r="G183" s="0" t="inlineStr"/>
      <c r="H183" s="226" t="n">
        <v>0.15</v>
      </c>
      <c r="I183" s="0" t="inlineStr"/>
      <c r="J183" s="0" t="n">
        <v>360</v>
      </c>
      <c r="K183" s="0" t="inlineStr"/>
      <c r="L183" s="0" t="inlineStr"/>
      <c r="M183" s="0" t="inlineStr"/>
      <c r="N183" s="0" t="inlineStr">
        <is>
          <t>No Valet / TAM = $0</t>
        </is>
      </c>
      <c r="O183" s="0" t="inlineStr">
        <is>
          <t>Hotel has no valet (rate field: None). Auto-class: not downtown (by flag or name). Qualitative pipeline only.</t>
        </is>
      </c>
    </row>
    <row r="184">
      <c r="A184" s="0" t="inlineStr">
        <is>
          <t>Homewood Suites by Hilton Phoenix Airport South</t>
        </is>
      </c>
      <c r="B184" s="0" t="inlineStr">
        <is>
          <t>Hotel</t>
        </is>
      </c>
      <c r="C184" s="225" t="inlineStr">
        <is>
          <t>Hotel — Suburban/Airport</t>
        </is>
      </c>
      <c r="D184" s="0" t="inlineStr"/>
      <c r="E184" s="0" t="inlineStr"/>
      <c r="F184" s="226" t="n">
        <v>0.6</v>
      </c>
      <c r="G184" s="0" t="inlineStr"/>
      <c r="H184" s="226" t="n">
        <v>0.15</v>
      </c>
      <c r="I184" s="0" t="inlineStr"/>
      <c r="J184" s="0" t="n">
        <v>360</v>
      </c>
      <c r="K184" s="0" t="inlineStr"/>
      <c r="L184" s="0" t="inlineStr"/>
      <c r="M184" s="0" t="inlineStr"/>
      <c r="N184" s="0" t="inlineStr">
        <is>
          <t>No Valet / TAM = $0</t>
        </is>
      </c>
      <c r="O184" s="0" t="inlineStr">
        <is>
          <t>Hotel has no valet (rate field: None). Auto-class: not downtown (by flag or name). Qualitative pipeline only.</t>
        </is>
      </c>
    </row>
    <row r="185">
      <c r="A185" s="0" t="inlineStr">
        <is>
          <t>Holiday Inn Express &amp; Suites Phoenix Airport</t>
        </is>
      </c>
      <c r="B185" s="0" t="inlineStr">
        <is>
          <t>Hotel</t>
        </is>
      </c>
      <c r="C185" s="225" t="inlineStr">
        <is>
          <t>Hotel — Suburban/Airport</t>
        </is>
      </c>
      <c r="D185" s="0" t="inlineStr"/>
      <c r="E185" s="0" t="inlineStr"/>
      <c r="F185" s="226" t="n">
        <v>0.6</v>
      </c>
      <c r="G185" s="0" t="inlineStr"/>
      <c r="H185" s="226" t="n">
        <v>0.15</v>
      </c>
      <c r="I185" s="0" t="inlineStr"/>
      <c r="J185" s="0" t="n">
        <v>360</v>
      </c>
      <c r="K185" s="0" t="inlineStr"/>
      <c r="L185" s="0" t="inlineStr"/>
      <c r="M185" s="0" t="inlineStr"/>
      <c r="N185" s="0" t="inlineStr">
        <is>
          <t>No Valet / TAM = $0</t>
        </is>
      </c>
      <c r="O185" s="0" t="inlineStr">
        <is>
          <t>Hotel has no valet (rate field: None). Auto-class: not downtown (by flag or name). Qualitative pipeline only.</t>
        </is>
      </c>
    </row>
    <row r="186">
      <c r="A186" s="0" t="inlineStr">
        <is>
          <t>Holiday Inn Hotel &amp; Suites Phoenix Airport</t>
        </is>
      </c>
      <c r="B186" s="0" t="inlineStr">
        <is>
          <t>Hotel</t>
        </is>
      </c>
      <c r="C186" s="225" t="inlineStr">
        <is>
          <t>Hotel — Suburban/Airport</t>
        </is>
      </c>
      <c r="D186" s="0" t="inlineStr"/>
      <c r="E186" s="0" t="inlineStr"/>
      <c r="F186" s="226" t="n">
        <v>0.6</v>
      </c>
      <c r="G186" s="0" t="inlineStr"/>
      <c r="H186" s="226" t="n">
        <v>0.15</v>
      </c>
      <c r="I186" s="0" t="inlineStr"/>
      <c r="J186" s="0" t="n">
        <v>360</v>
      </c>
      <c r="K186" s="0" t="inlineStr"/>
      <c r="L186" s="0" t="inlineStr"/>
      <c r="M186" s="0" t="inlineStr"/>
      <c r="N186" s="0" t="inlineStr">
        <is>
          <t>No Valet / TAM = $0</t>
        </is>
      </c>
      <c r="O186" s="0" t="inlineStr">
        <is>
          <t>Hotel has no valet (rate field: None). Auto-class: not downtown (by flag or name). Qualitative pipeline only.</t>
        </is>
      </c>
    </row>
    <row r="187">
      <c r="A187" s="0" t="inlineStr">
        <is>
          <t>TownePlace Suites by Marriott Phoenix Airport</t>
        </is>
      </c>
      <c r="B187" s="0" t="inlineStr">
        <is>
          <t>Hotel</t>
        </is>
      </c>
      <c r="C187" s="225" t="inlineStr">
        <is>
          <t>Hotel — Suburban/Airport</t>
        </is>
      </c>
      <c r="D187" s="0" t="inlineStr"/>
      <c r="E187" s="0" t="inlineStr"/>
      <c r="F187" s="226" t="n">
        <v>0.6</v>
      </c>
      <c r="G187" s="0" t="inlineStr"/>
      <c r="H187" s="226" t="n">
        <v>0.15</v>
      </c>
      <c r="I187" s="0" t="inlineStr"/>
      <c r="J187" s="0" t="n">
        <v>360</v>
      </c>
      <c r="K187" s="0" t="inlineStr"/>
      <c r="L187" s="0" t="inlineStr"/>
      <c r="M187" s="0" t="inlineStr"/>
      <c r="N187" s="0" t="inlineStr">
        <is>
          <t>No Valet / TAM = $0</t>
        </is>
      </c>
      <c r="O187" s="0" t="inlineStr">
        <is>
          <t>Hotel has no valet (rate field: None). Auto-class: not downtown (by flag or name). Qualitative pipeline only.</t>
        </is>
      </c>
    </row>
    <row r="188">
      <c r="A188" s="0" t="inlineStr">
        <is>
          <t>Aloft Glendale at Westgate</t>
        </is>
      </c>
      <c r="B188" s="0" t="inlineStr">
        <is>
          <t>Hotel</t>
        </is>
      </c>
      <c r="C188" s="225" t="inlineStr">
        <is>
          <t>Hotel — Suburban/Airport</t>
        </is>
      </c>
      <c r="D188" s="0" t="inlineStr"/>
      <c r="E188" s="0" t="inlineStr"/>
      <c r="F188" s="226" t="n">
        <v>0.6</v>
      </c>
      <c r="G188" s="0" t="inlineStr"/>
      <c r="H188" s="226" t="n">
        <v>0.15</v>
      </c>
      <c r="I188" s="0" t="inlineStr"/>
      <c r="J188" s="0" t="n">
        <v>360</v>
      </c>
      <c r="K188" s="0" t="inlineStr"/>
      <c r="L188" s="0" t="inlineStr"/>
      <c r="M188" s="0" t="inlineStr"/>
      <c r="N188" s="0" t="inlineStr">
        <is>
          <t>No Valet / TAM = $0</t>
        </is>
      </c>
      <c r="O188" s="0" t="inlineStr">
        <is>
          <t>Hotel has no valet (rate field: None). Auto-class: not downtown (by flag or name). Qualitative pipeline only.</t>
        </is>
      </c>
    </row>
    <row r="189">
      <c r="A189" s="0" t="inlineStr">
        <is>
          <t>MOXY Glendale</t>
        </is>
      </c>
      <c r="B189" s="0" t="inlineStr">
        <is>
          <t>Hotel</t>
        </is>
      </c>
      <c r="C189" s="225" t="inlineStr">
        <is>
          <t>Hotel — Suburban/Airport</t>
        </is>
      </c>
      <c r="D189" s="0" t="inlineStr"/>
      <c r="E189" s="0" t="inlineStr"/>
      <c r="F189" s="226" t="n">
        <v>0.6</v>
      </c>
      <c r="G189" s="0" t="inlineStr"/>
      <c r="H189" s="226" t="n">
        <v>0.15</v>
      </c>
      <c r="I189" s="0" t="inlineStr"/>
      <c r="J189" s="0" t="n">
        <v>360</v>
      </c>
      <c r="K189" s="0" t="inlineStr"/>
      <c r="L189" s="0" t="inlineStr"/>
      <c r="M189" s="0" t="inlineStr"/>
      <c r="N189" s="0" t="inlineStr">
        <is>
          <t>No Valet / TAM = $0</t>
        </is>
      </c>
      <c r="O189" s="0" t="inlineStr">
        <is>
          <t>Hotel has no valet (rate field: None). Auto-class: not downtown (by flag or name). Qualitative pipeline only.</t>
        </is>
      </c>
    </row>
    <row r="190">
      <c r="A190" s="0" t="inlineStr">
        <is>
          <t>Holiday Inn Express Phoenix West – Tolleson</t>
        </is>
      </c>
      <c r="B190" s="0" t="inlineStr">
        <is>
          <t>Hotel</t>
        </is>
      </c>
      <c r="C190" s="225" t="inlineStr">
        <is>
          <t>Hotel — Suburban/Airport</t>
        </is>
      </c>
      <c r="D190" s="0" t="inlineStr"/>
      <c r="E190" s="0" t="inlineStr"/>
      <c r="F190" s="226" t="n">
        <v>0.6</v>
      </c>
      <c r="G190" s="0" t="inlineStr"/>
      <c r="H190" s="226" t="n">
        <v>0.15</v>
      </c>
      <c r="I190" s="0" t="inlineStr"/>
      <c r="J190" s="0" t="n">
        <v>360</v>
      </c>
      <c r="K190" s="0" t="inlineStr"/>
      <c r="L190" s="0" t="inlineStr"/>
      <c r="M190" s="0" t="inlineStr"/>
      <c r="N190" s="0" t="inlineStr">
        <is>
          <t>No Valet / TAM = $0</t>
        </is>
      </c>
      <c r="O190" s="0" t="inlineStr">
        <is>
          <t>Hotel has no valet (rate field: None). Auto-class: not downtown (by flag or name). Qualitative pipeline only.</t>
        </is>
      </c>
    </row>
    <row r="191">
      <c r="A191" s="0" t="inlineStr">
        <is>
          <t>Fairfield Inn &amp; Suites Phoenix West/Tolleson</t>
        </is>
      </c>
      <c r="B191" s="0" t="inlineStr">
        <is>
          <t>Hotel</t>
        </is>
      </c>
      <c r="C191" s="225" t="inlineStr">
        <is>
          <t>Hotel — Suburban/Airport</t>
        </is>
      </c>
      <c r="D191" s="0" t="inlineStr"/>
      <c r="E191" s="0" t="inlineStr"/>
      <c r="F191" s="226" t="n">
        <v>0.6</v>
      </c>
      <c r="G191" s="0" t="inlineStr"/>
      <c r="H191" s="226" t="n">
        <v>0.15</v>
      </c>
      <c r="I191" s="0" t="inlineStr"/>
      <c r="J191" s="0" t="n">
        <v>360</v>
      </c>
      <c r="K191" s="0" t="inlineStr"/>
      <c r="L191" s="0" t="inlineStr"/>
      <c r="M191" s="0" t="inlineStr"/>
      <c r="N191" s="0" t="inlineStr">
        <is>
          <t>No Valet / TAM = $0</t>
        </is>
      </c>
      <c r="O191" s="0" t="inlineStr">
        <is>
          <t>Hotel has no valet (rate field: None). Auto-class: not downtown (by flag or name). Qualitative pipeline only.</t>
        </is>
      </c>
    </row>
    <row r="192">
      <c r="A192" s="0" t="inlineStr">
        <is>
          <t>Four Points by Sheraton Phoenix West/Avondale</t>
        </is>
      </c>
      <c r="B192" s="0" t="inlineStr">
        <is>
          <t>Hotel</t>
        </is>
      </c>
      <c r="C192" s="225" t="inlineStr">
        <is>
          <t>Hotel — Suburban/Airport</t>
        </is>
      </c>
      <c r="D192" s="0" t="inlineStr"/>
      <c r="E192" s="0" t="inlineStr"/>
      <c r="F192" s="226" t="n">
        <v>0.6</v>
      </c>
      <c r="G192" s="0" t="inlineStr"/>
      <c r="H192" s="226" t="n">
        <v>0.15</v>
      </c>
      <c r="I192" s="0" t="inlineStr"/>
      <c r="J192" s="0" t="n">
        <v>360</v>
      </c>
      <c r="K192" s="0" t="inlineStr"/>
      <c r="L192" s="0" t="inlineStr"/>
      <c r="M192" s="0" t="inlineStr"/>
      <c r="N192" s="0" t="inlineStr">
        <is>
          <t>No Valet / TAM = $0</t>
        </is>
      </c>
      <c r="O192" s="0" t="inlineStr">
        <is>
          <t>Hotel has no valet (rate field: None). Auto-class: not downtown (by flag or name). Qualitative pipeline only.</t>
        </is>
      </c>
    </row>
    <row r="193">
      <c r="A193" s="0" t="inlineStr">
        <is>
          <t>Residence Inn Phoenix West/Avondale</t>
        </is>
      </c>
      <c r="B193" s="0" t="inlineStr">
        <is>
          <t>Hotel</t>
        </is>
      </c>
      <c r="C193" s="225" t="inlineStr">
        <is>
          <t>Hotel — Suburban/Airport</t>
        </is>
      </c>
      <c r="D193" s="0" t="inlineStr"/>
      <c r="E193" s="0" t="inlineStr"/>
      <c r="F193" s="226" t="n">
        <v>0.6</v>
      </c>
      <c r="G193" s="0" t="inlineStr"/>
      <c r="H193" s="226" t="n">
        <v>0.15</v>
      </c>
      <c r="I193" s="0" t="inlineStr"/>
      <c r="J193" s="0" t="n">
        <v>360</v>
      </c>
      <c r="K193" s="0" t="inlineStr"/>
      <c r="L193" s="0" t="inlineStr"/>
      <c r="M193" s="0" t="inlineStr"/>
      <c r="N193" s="0" t="inlineStr">
        <is>
          <t>No Valet / TAM = $0</t>
        </is>
      </c>
      <c r="O193" s="0" t="inlineStr">
        <is>
          <t>Hotel has no valet (rate field: None). Auto-class: not downtown (by flag or name). Qualitative pipeline only.</t>
        </is>
      </c>
    </row>
    <row r="194">
      <c r="A194" s="0" t="inlineStr">
        <is>
          <t>Courtyard Phoenix West Avondale</t>
        </is>
      </c>
      <c r="B194" s="0" t="inlineStr">
        <is>
          <t>Hotel</t>
        </is>
      </c>
      <c r="C194" s="225" t="inlineStr">
        <is>
          <t>Hotel — Suburban/Airport</t>
        </is>
      </c>
      <c r="D194" s="0" t="inlineStr"/>
      <c r="E194" s="0" t="inlineStr"/>
      <c r="F194" s="226" t="n">
        <v>0.6</v>
      </c>
      <c r="G194" s="0" t="inlineStr"/>
      <c r="H194" s="226" t="n">
        <v>0.15</v>
      </c>
      <c r="I194" s="0" t="inlineStr"/>
      <c r="J194" s="0" t="n">
        <v>360</v>
      </c>
      <c r="K194" s="0" t="inlineStr"/>
      <c r="L194" s="0" t="inlineStr"/>
      <c r="M194" s="0" t="inlineStr"/>
      <c r="N194" s="0" t="inlineStr">
        <is>
          <t>No Valet / TAM = $0</t>
        </is>
      </c>
      <c r="O194" s="0" t="inlineStr">
        <is>
          <t>Hotel has no valet (rate field: None). Auto-class: not downtown (by flag or name). Qualitative pipeline only.</t>
        </is>
      </c>
    </row>
    <row r="195">
      <c r="A195" s="0" t="inlineStr">
        <is>
          <t>Home2 Suites by Hilton Phoenix Avondale</t>
        </is>
      </c>
      <c r="B195" s="0" t="inlineStr">
        <is>
          <t>Hotel</t>
        </is>
      </c>
      <c r="C195" s="225" t="inlineStr">
        <is>
          <t>Hotel — Suburban/Airport</t>
        </is>
      </c>
      <c r="D195" s="0" t="inlineStr"/>
      <c r="E195" s="0" t="inlineStr"/>
      <c r="F195" s="226" t="n">
        <v>0.6</v>
      </c>
      <c r="G195" s="0" t="inlineStr"/>
      <c r="H195" s="226" t="n">
        <v>0.15</v>
      </c>
      <c r="I195" s="0" t="inlineStr"/>
      <c r="J195" s="0" t="n">
        <v>360</v>
      </c>
      <c r="K195" s="0" t="inlineStr"/>
      <c r="L195" s="0" t="inlineStr"/>
      <c r="M195" s="0" t="inlineStr"/>
      <c r="N195" s="0" t="inlineStr">
        <is>
          <t>No Valet / TAM = $0</t>
        </is>
      </c>
      <c r="O195" s="0" t="inlineStr">
        <is>
          <t>Hotel has no valet (rate field: None). Auto-class: not downtown (by flag or name). Qualitative pipeline only.</t>
        </is>
      </c>
    </row>
    <row r="196">
      <c r="A196" s="0" t="inlineStr">
        <is>
          <t>Hilton Garden Inn Phoenix/Avondale</t>
        </is>
      </c>
      <c r="B196" s="0" t="inlineStr">
        <is>
          <t>Hotel</t>
        </is>
      </c>
      <c r="C196" s="225" t="inlineStr">
        <is>
          <t>Hotel — Suburban/Airport</t>
        </is>
      </c>
      <c r="D196" s="0" t="inlineStr"/>
      <c r="E196" s="0" t="inlineStr"/>
      <c r="F196" s="226" t="n">
        <v>0.6</v>
      </c>
      <c r="G196" s="0" t="inlineStr"/>
      <c r="H196" s="226" t="n">
        <v>0.15</v>
      </c>
      <c r="I196" s="0" t="inlineStr"/>
      <c r="J196" s="0" t="n">
        <v>360</v>
      </c>
      <c r="K196" s="0" t="inlineStr"/>
      <c r="L196" s="0" t="inlineStr"/>
      <c r="M196" s="0" t="inlineStr"/>
      <c r="N196" s="0" t="inlineStr">
        <is>
          <t>No Valet / TAM = $0</t>
        </is>
      </c>
      <c r="O196" s="0" t="inlineStr">
        <is>
          <t>Hotel has no valet (rate field: None). Auto-class: not downtown (by flag or name). Qualitative pipeline only.</t>
        </is>
      </c>
    </row>
    <row r="197">
      <c r="A197" s="0" t="inlineStr">
        <is>
          <t>SpringHill Suites Phoenix West/Avondale</t>
        </is>
      </c>
      <c r="B197" s="0" t="inlineStr">
        <is>
          <t>Hotel</t>
        </is>
      </c>
      <c r="C197" s="225" t="inlineStr">
        <is>
          <t>Hotel — Suburban/Airport</t>
        </is>
      </c>
      <c r="D197" s="0" t="inlineStr"/>
      <c r="E197" s="0" t="inlineStr"/>
      <c r="F197" s="226" t="n">
        <v>0.6</v>
      </c>
      <c r="G197" s="0" t="inlineStr"/>
      <c r="H197" s="226" t="n">
        <v>0.15</v>
      </c>
      <c r="I197" s="0" t="inlineStr"/>
      <c r="J197" s="0" t="n">
        <v>360</v>
      </c>
      <c r="K197" s="0" t="inlineStr"/>
      <c r="L197" s="0" t="inlineStr"/>
      <c r="M197" s="0" t="inlineStr"/>
      <c r="N197" s="0" t="inlineStr">
        <is>
          <t>No Valet / TAM = $0</t>
        </is>
      </c>
      <c r="O197" s="0" t="inlineStr">
        <is>
          <t>Hotel has no valet (rate field: None). Auto-class: not downtown (by flag or name). Qualitative pipeline only.</t>
        </is>
      </c>
    </row>
    <row r="198">
      <c r="A198" s="0" t="inlineStr">
        <is>
          <t>Holiday Inn Glendale – Stadium &amp; Ent Dist</t>
        </is>
      </c>
      <c r="B198" s="0" t="inlineStr">
        <is>
          <t>Hotel</t>
        </is>
      </c>
      <c r="C198" s="225" t="inlineStr">
        <is>
          <t>Hotel — Suburban/Airport</t>
        </is>
      </c>
      <c r="D198" s="0" t="inlineStr"/>
      <c r="E198" s="0" t="inlineStr"/>
      <c r="F198" s="226" t="n">
        <v>0.6</v>
      </c>
      <c r="G198" s="0" t="inlineStr"/>
      <c r="H198" s="226" t="n">
        <v>0.15</v>
      </c>
      <c r="I198" s="0" t="inlineStr"/>
      <c r="J198" s="0" t="n">
        <v>360</v>
      </c>
      <c r="K198" s="0" t="inlineStr"/>
      <c r="L198" s="0" t="inlineStr"/>
      <c r="M198" s="0" t="inlineStr"/>
      <c r="N198" s="0" t="inlineStr">
        <is>
          <t>No Valet / TAM = $0</t>
        </is>
      </c>
      <c r="O198" s="0" t="inlineStr">
        <is>
          <t>Hotel has no valet (rate field: None). Auto-class: not downtown (by flag or name). Qualitative pipeline only.</t>
        </is>
      </c>
    </row>
    <row r="199">
      <c r="A199" s="0" t="inlineStr">
        <is>
          <t>Comfort Suites Glendale – State Farm Stadium Area</t>
        </is>
      </c>
      <c r="B199" s="0" t="inlineStr">
        <is>
          <t>Hotel</t>
        </is>
      </c>
      <c r="C199" s="225" t="inlineStr">
        <is>
          <t>Hotel — Suburban/Airport</t>
        </is>
      </c>
      <c r="D199" s="0" t="inlineStr"/>
      <c r="E199" s="0" t="inlineStr"/>
      <c r="F199" s="226" t="n">
        <v>0.6</v>
      </c>
      <c r="G199" s="0" t="inlineStr"/>
      <c r="H199" s="226" t="n">
        <v>0.15</v>
      </c>
      <c r="I199" s="0" t="inlineStr"/>
      <c r="J199" s="0" t="n">
        <v>360</v>
      </c>
      <c r="K199" s="0" t="inlineStr"/>
      <c r="L199" s="0" t="inlineStr"/>
      <c r="M199" s="0" t="inlineStr"/>
      <c r="N199" s="0" t="inlineStr">
        <is>
          <t>No Valet / TAM = $0</t>
        </is>
      </c>
      <c r="O199" s="0" t="inlineStr">
        <is>
          <t>Hotel has no valet (rate field: None). Auto-class: not downtown (by flag or name). Qualitative pipeline only.</t>
        </is>
      </c>
    </row>
    <row r="200">
      <c r="A200" s="0" t="inlineStr">
        <is>
          <t>Hyatt Place Phoenix Mesa</t>
        </is>
      </c>
      <c r="B200" s="0" t="inlineStr">
        <is>
          <t>Hotel</t>
        </is>
      </c>
      <c r="C200" s="225" t="inlineStr">
        <is>
          <t>Hotel — Suburban/Airport</t>
        </is>
      </c>
      <c r="D200" s="0" t="inlineStr"/>
      <c r="E200" s="0" t="inlineStr"/>
      <c r="F200" s="226" t="n">
        <v>0.6</v>
      </c>
      <c r="G200" s="0" t="inlineStr"/>
      <c r="H200" s="226" t="n">
        <v>0.15</v>
      </c>
      <c r="I200" s="0" t="inlineStr"/>
      <c r="J200" s="0" t="n">
        <v>360</v>
      </c>
      <c r="K200" s="0" t="inlineStr"/>
      <c r="L200" s="0" t="inlineStr"/>
      <c r="M200" s="0" t="inlineStr"/>
      <c r="N200" s="0" t="inlineStr">
        <is>
          <t>No Valet / TAM = $0</t>
        </is>
      </c>
      <c r="O200" s="0" t="inlineStr">
        <is>
          <t>Hotel has no valet (rate field: None). Auto-class: not downtown (by flag or name). Qualitative pipeline only.</t>
        </is>
      </c>
    </row>
    <row r="201">
      <c r="A201" s="0" t="inlineStr">
        <is>
          <t>Holiday Inn Phoenix-Mesa/Chandler</t>
        </is>
      </c>
      <c r="B201" s="0" t="inlineStr">
        <is>
          <t>Hotel</t>
        </is>
      </c>
      <c r="C201" s="225" t="inlineStr">
        <is>
          <t>Hotel — Suburban/Airport</t>
        </is>
      </c>
      <c r="D201" s="0" t="inlineStr"/>
      <c r="E201" s="0" t="inlineStr"/>
      <c r="F201" s="226" t="n">
        <v>0.6</v>
      </c>
      <c r="G201" s="0" t="inlineStr"/>
      <c r="H201" s="226" t="n">
        <v>0.15</v>
      </c>
      <c r="I201" s="0" t="inlineStr"/>
      <c r="J201" s="0" t="n">
        <v>360</v>
      </c>
      <c r="K201" s="0" t="inlineStr"/>
      <c r="L201" s="0" t="inlineStr"/>
      <c r="M201" s="0" t="inlineStr"/>
      <c r="N201" s="0" t="inlineStr">
        <is>
          <t>No Valet / TAM = $0</t>
        </is>
      </c>
      <c r="O201" s="0" t="inlineStr">
        <is>
          <t>Hotel has no valet (rate field: None). Auto-class: not downtown (by flag or name). Qualitative pipeline only.</t>
        </is>
      </c>
    </row>
    <row r="202">
      <c r="A202" s="0" t="inlineStr">
        <is>
          <t>La Quinta Inn &amp; Suites by Wyndham Phoenix Mesa West</t>
        </is>
      </c>
      <c r="B202" s="0" t="inlineStr">
        <is>
          <t>Hotel</t>
        </is>
      </c>
      <c r="C202" s="225" t="inlineStr">
        <is>
          <t>Hotel — Suburban/Airport</t>
        </is>
      </c>
      <c r="D202" s="0" t="inlineStr"/>
      <c r="E202" s="0" t="inlineStr"/>
      <c r="F202" s="226" t="n">
        <v>0.6</v>
      </c>
      <c r="G202" s="0" t="inlineStr"/>
      <c r="H202" s="226" t="n">
        <v>0.15</v>
      </c>
      <c r="I202" s="0" t="inlineStr"/>
      <c r="J202" s="0" t="n">
        <v>360</v>
      </c>
      <c r="K202" s="0" t="inlineStr"/>
      <c r="L202" s="0" t="inlineStr"/>
      <c r="M202" s="0" t="inlineStr"/>
      <c r="N202" s="0" t="inlineStr">
        <is>
          <t>No Valet / TAM = $0</t>
        </is>
      </c>
      <c r="O202" s="0" t="inlineStr">
        <is>
          <t>Hotel has no valet (rate field: None). Auto-class: not downtown (by flag or name). Qualitative pipeline only.</t>
        </is>
      </c>
    </row>
    <row r="203">
      <c r="A203" s="0" t="inlineStr">
        <is>
          <t>Holiday Inn Express &amp; Suites Phoenix – Mesa West</t>
        </is>
      </c>
      <c r="B203" s="0" t="inlineStr">
        <is>
          <t>Hotel</t>
        </is>
      </c>
      <c r="C203" s="225" t="inlineStr">
        <is>
          <t>Hotel — Suburban/Airport</t>
        </is>
      </c>
      <c r="D203" s="0" t="inlineStr"/>
      <c r="E203" s="0" t="inlineStr"/>
      <c r="F203" s="226" t="n">
        <v>0.6</v>
      </c>
      <c r="G203" s="0" t="inlineStr"/>
      <c r="H203" s="226" t="n">
        <v>0.15</v>
      </c>
      <c r="I203" s="0" t="inlineStr"/>
      <c r="J203" s="0" t="n">
        <v>360</v>
      </c>
      <c r="K203" s="0" t="inlineStr"/>
      <c r="L203" s="0" t="inlineStr"/>
      <c r="M203" s="0" t="inlineStr"/>
      <c r="N203" s="0" t="inlineStr">
        <is>
          <t>No Valet / TAM = $0</t>
        </is>
      </c>
      <c r="O203" s="0" t="inlineStr">
        <is>
          <t>Hotel has no valet (rate field: None). Auto-class: not downtown (by flag or name). Qualitative pipeline only.</t>
        </is>
      </c>
    </row>
    <row r="204">
      <c r="A204" s="0" t="inlineStr">
        <is>
          <t>Best Western Plus Chandler Hotel &amp; Suites</t>
        </is>
      </c>
      <c r="B204" s="0" t="inlineStr">
        <is>
          <t>Hotel</t>
        </is>
      </c>
      <c r="C204" s="225" t="inlineStr">
        <is>
          <t>Hotel — Suburban/Airport</t>
        </is>
      </c>
      <c r="D204" s="0" t="inlineStr"/>
      <c r="E204" s="0" t="inlineStr"/>
      <c r="F204" s="226" t="n">
        <v>0.6</v>
      </c>
      <c r="G204" s="0" t="inlineStr"/>
      <c r="H204" s="226" t="n">
        <v>0.15</v>
      </c>
      <c r="I204" s="0" t="inlineStr"/>
      <c r="J204" s="0" t="n">
        <v>360</v>
      </c>
      <c r="K204" s="0" t="inlineStr"/>
      <c r="L204" s="0" t="inlineStr"/>
      <c r="M204" s="0" t="inlineStr"/>
      <c r="N204" s="0" t="inlineStr">
        <is>
          <t>No Valet / TAM = $0</t>
        </is>
      </c>
      <c r="O204" s="0" t="inlineStr">
        <is>
          <t>Hotel has no valet (rate field: None). Auto-class: not downtown (by flag or name). Qualitative pipeline only.</t>
        </is>
      </c>
    </row>
    <row r="205">
      <c r="A205" s="0" t="inlineStr">
        <is>
          <t>La Quinta Inns &amp; Suites Chandler</t>
        </is>
      </c>
      <c r="B205" s="0" t="inlineStr">
        <is>
          <t>Hotel</t>
        </is>
      </c>
      <c r="C205" s="225" t="inlineStr">
        <is>
          <t>Hotel — Suburban/Airport</t>
        </is>
      </c>
      <c r="D205" s="0" t="inlineStr"/>
      <c r="E205" s="0" t="inlineStr"/>
      <c r="F205" s="226" t="n">
        <v>0.6</v>
      </c>
      <c r="G205" s="0" t="inlineStr"/>
      <c r="H205" s="226" t="n">
        <v>0.15</v>
      </c>
      <c r="I205" s="0" t="inlineStr"/>
      <c r="J205" s="0" t="n">
        <v>360</v>
      </c>
      <c r="K205" s="0" t="inlineStr"/>
      <c r="L205" s="0" t="inlineStr"/>
      <c r="M205" s="0" t="inlineStr"/>
      <c r="N205" s="0" t="inlineStr">
        <is>
          <t>No Valet / TAM = $0</t>
        </is>
      </c>
      <c r="O205" s="0" t="inlineStr">
        <is>
          <t>Hotel has no valet (rate field: None). Auto-class: not downtown (by flag or name). Qualitative pipeline only.</t>
        </is>
      </c>
    </row>
    <row r="206">
      <c r="A206" s="0" t="inlineStr">
        <is>
          <t>Holiday Inn Express Phoenix – Chandler West</t>
        </is>
      </c>
      <c r="B206" s="0" t="inlineStr">
        <is>
          <t>Hotel</t>
        </is>
      </c>
      <c r="C206" s="225" t="inlineStr">
        <is>
          <t>Hotel — Suburban/Airport</t>
        </is>
      </c>
      <c r="D206" s="0" t="inlineStr"/>
      <c r="E206" s="0" t="inlineStr"/>
      <c r="F206" s="226" t="n">
        <v>0.6</v>
      </c>
      <c r="G206" s="0" t="inlineStr"/>
      <c r="H206" s="226" t="n">
        <v>0.15</v>
      </c>
      <c r="I206" s="0" t="inlineStr"/>
      <c r="J206" s="0" t="n">
        <v>360</v>
      </c>
      <c r="K206" s="0" t="inlineStr"/>
      <c r="L206" s="0" t="inlineStr"/>
      <c r="M206" s="0" t="inlineStr"/>
      <c r="N206" s="0" t="inlineStr">
        <is>
          <t>No Valet / TAM = $0</t>
        </is>
      </c>
      <c r="O206" s="0" t="inlineStr">
        <is>
          <t>Hotel has no valet (rate field: None). Auto-class: not downtown (by flag or name). Qualitative pipeline only.</t>
        </is>
      </c>
    </row>
    <row r="207">
      <c r="A207" s="0" t="inlineStr">
        <is>
          <t>Drury Plaza Hotel Phoenix Tempe</t>
        </is>
      </c>
      <c r="B207" s="0" t="inlineStr">
        <is>
          <t>Hotel</t>
        </is>
      </c>
      <c r="C207" s="225" t="inlineStr">
        <is>
          <t>Hotel — Suburban/Airport</t>
        </is>
      </c>
      <c r="D207" s="0" t="inlineStr"/>
      <c r="E207" s="0" t="inlineStr"/>
      <c r="F207" s="226" t="n">
        <v>0.6</v>
      </c>
      <c r="G207" s="0" t="inlineStr"/>
      <c r="H207" s="226" t="n">
        <v>0.15</v>
      </c>
      <c r="I207" s="0" t="inlineStr"/>
      <c r="J207" s="0" t="n">
        <v>360</v>
      </c>
      <c r="K207" s="0" t="inlineStr"/>
      <c r="L207" s="0" t="inlineStr"/>
      <c r="M207" s="0" t="inlineStr"/>
      <c r="N207" s="0" t="inlineStr">
        <is>
          <t>No Valet / TAM = $0</t>
        </is>
      </c>
      <c r="O207" s="0" t="inlineStr">
        <is>
          <t>Hotel has no valet (rate field: None). Auto-class: not downtown (by flag or name). Qualitative pipeline only.</t>
        </is>
      </c>
    </row>
    <row r="208">
      <c r="A208" s="0" t="inlineStr">
        <is>
          <t>Drury Inn &amp; Suites Phoenix Airport</t>
        </is>
      </c>
      <c r="B208" s="0" t="inlineStr">
        <is>
          <t>Hotel</t>
        </is>
      </c>
      <c r="C208" s="225" t="inlineStr">
        <is>
          <t>Hotel — Suburban/Airport</t>
        </is>
      </c>
      <c r="D208" s="0" t="inlineStr"/>
      <c r="E208" s="0" t="inlineStr"/>
      <c r="F208" s="226" t="n">
        <v>0.6</v>
      </c>
      <c r="G208" s="0" t="inlineStr"/>
      <c r="H208" s="226" t="n">
        <v>0.15</v>
      </c>
      <c r="I208" s="0" t="inlineStr"/>
      <c r="J208" s="0" t="n">
        <v>360</v>
      </c>
      <c r="K208" s="0" t="inlineStr"/>
      <c r="L208" s="0" t="inlineStr"/>
      <c r="M208" s="0" t="inlineStr"/>
      <c r="N208" s="0" t="inlineStr">
        <is>
          <t>No Valet / TAM = $0</t>
        </is>
      </c>
      <c r="O208" s="0" t="inlineStr">
        <is>
          <t>Hotel has no valet (rate field: None). Auto-class: not downtown (by flag or name). Qualitative pipeline only.</t>
        </is>
      </c>
    </row>
    <row r="209">
      <c r="A209" s="0" t="inlineStr">
        <is>
          <t>Drury Inn &amp; Suites Phoenix Chandler</t>
        </is>
      </c>
      <c r="B209" s="0" t="inlineStr">
        <is>
          <t>Hotel</t>
        </is>
      </c>
      <c r="C209" s="225" t="inlineStr">
        <is>
          <t>Hotel — Suburban/Airport</t>
        </is>
      </c>
      <c r="D209" s="0" t="inlineStr"/>
      <c r="E209" s="0" t="inlineStr"/>
      <c r="F209" s="226" t="n">
        <v>0.6</v>
      </c>
      <c r="G209" s="0" t="inlineStr"/>
      <c r="H209" s="226" t="n">
        <v>0.15</v>
      </c>
      <c r="I209" s="0" t="inlineStr"/>
      <c r="J209" s="0" t="n">
        <v>360</v>
      </c>
      <c r="K209" s="0" t="inlineStr"/>
      <c r="L209" s="0" t="inlineStr"/>
      <c r="M209" s="0" t="inlineStr"/>
      <c r="N209" s="0" t="inlineStr">
        <is>
          <t>No Valet / TAM = $0</t>
        </is>
      </c>
      <c r="O209" s="0" t="inlineStr">
        <is>
          <t>Hotel has no valet (rate field: None). Auto-class: not downtown (by flag or name). Qualitative pipeline only.</t>
        </is>
      </c>
    </row>
    <row r="210">
      <c r="A210" s="0" t="inlineStr">
        <is>
          <t>Wyndham Phoenix Airport/Tempe</t>
        </is>
      </c>
      <c r="B210" s="0" t="inlineStr">
        <is>
          <t>Hotel</t>
        </is>
      </c>
      <c r="C210" s="225" t="inlineStr">
        <is>
          <t>Hotel — Suburban/Airport</t>
        </is>
      </c>
      <c r="D210" s="0" t="inlineStr"/>
      <c r="E210" s="0" t="inlineStr"/>
      <c r="F210" s="226" t="n">
        <v>0.6</v>
      </c>
      <c r="G210" s="0" t="inlineStr"/>
      <c r="H210" s="226" t="n">
        <v>0.15</v>
      </c>
      <c r="I210" s="0" t="inlineStr"/>
      <c r="J210" s="0" t="n">
        <v>360</v>
      </c>
      <c r="K210" s="0" t="inlineStr"/>
      <c r="L210" s="0" t="inlineStr"/>
      <c r="M210" s="0" t="inlineStr"/>
      <c r="N210" s="0" t="inlineStr">
        <is>
          <t>No Valet / TAM = $0</t>
        </is>
      </c>
      <c r="O210" s="0" t="inlineStr">
        <is>
          <t>Hotel has no valet (rate field: None). Auto-class: not downtown (by flag or name). Qualitative pipeline only.</t>
        </is>
      </c>
    </row>
    <row r="211">
      <c r="A211" s="0" t="inlineStr">
        <is>
          <t>Vīb Hotel by Best Western Phoenix-Tempe</t>
        </is>
      </c>
      <c r="B211" s="0" t="inlineStr">
        <is>
          <t>Hotel</t>
        </is>
      </c>
      <c r="C211" s="225" t="inlineStr">
        <is>
          <t>Hotel — Suburban/Airport</t>
        </is>
      </c>
      <c r="D211" s="0" t="inlineStr"/>
      <c r="E211" s="0" t="inlineStr"/>
      <c r="F211" s="226" t="n">
        <v>0.6</v>
      </c>
      <c r="G211" s="0" t="inlineStr"/>
      <c r="H211" s="226" t="n">
        <v>0.15</v>
      </c>
      <c r="I211" s="0" t="inlineStr"/>
      <c r="J211" s="0" t="n">
        <v>360</v>
      </c>
      <c r="K211" s="0" t="inlineStr"/>
      <c r="L211" s="0" t="inlineStr"/>
      <c r="M211" s="0" t="inlineStr"/>
      <c r="N211" s="0" t="inlineStr">
        <is>
          <t>No Valet / TAM = $0</t>
        </is>
      </c>
      <c r="O211" s="0" t="inlineStr">
        <is>
          <t>Hotel has no valet (rate field: None). Auto-class: not downtown (by flag or name). Qualitative pipeline only.</t>
        </is>
      </c>
    </row>
    <row r="212">
      <c r="A212" s="0" t="inlineStr">
        <is>
          <t>Hotel Tempe at Arizona Mills Mall</t>
        </is>
      </c>
      <c r="B212" s="0" t="inlineStr">
        <is>
          <t>Hotel</t>
        </is>
      </c>
      <c r="C212" s="225" t="inlineStr">
        <is>
          <t>Hotel — Suburban/Airport</t>
        </is>
      </c>
      <c r="D212" s="0" t="inlineStr"/>
      <c r="E212" s="0" t="inlineStr"/>
      <c r="F212" s="226" t="n">
        <v>0.6</v>
      </c>
      <c r="G212" s="0" t="inlineStr"/>
      <c r="H212" s="226" t="n">
        <v>0.15</v>
      </c>
      <c r="I212" s="0" t="inlineStr"/>
      <c r="J212" s="0" t="n">
        <v>360</v>
      </c>
      <c r="K212" s="0" t="inlineStr"/>
      <c r="L212" s="0" t="inlineStr"/>
      <c r="M212" s="0" t="inlineStr"/>
      <c r="N212" s="0" t="inlineStr">
        <is>
          <t>No Valet / TAM = $0</t>
        </is>
      </c>
      <c r="O212" s="0" t="inlineStr">
        <is>
          <t>Hotel has no valet (rate field: None). Auto-class: not downtown (by flag or name). Qualitative pipeline only.</t>
        </is>
      </c>
    </row>
    <row r="213">
      <c r="A213" s="0" t="inlineStr">
        <is>
          <t>Staybridge Suites Tempe – Rio Salado Parkway</t>
        </is>
      </c>
      <c r="B213" s="0" t="inlineStr">
        <is>
          <t>Hotel</t>
        </is>
      </c>
      <c r="C213" s="225" t="inlineStr">
        <is>
          <t>Hotel — Suburban/Airport</t>
        </is>
      </c>
      <c r="D213" s="0" t="inlineStr"/>
      <c r="E213" s="0" t="inlineStr"/>
      <c r="F213" s="226" t="n">
        <v>0.6</v>
      </c>
      <c r="G213" s="0" t="inlineStr"/>
      <c r="H213" s="226" t="n">
        <v>0.15</v>
      </c>
      <c r="I213" s="0" t="inlineStr"/>
      <c r="J213" s="0" t="n">
        <v>360</v>
      </c>
      <c r="K213" s="0" t="inlineStr"/>
      <c r="L213" s="0" t="inlineStr"/>
      <c r="M213" s="0" t="inlineStr"/>
      <c r="N213" s="0" t="inlineStr">
        <is>
          <t>No Valet / TAM = $0</t>
        </is>
      </c>
      <c r="O213" s="0" t="inlineStr">
        <is>
          <t>Hotel has no valet (rate field: None). Auto-class: not downtown (by flag or name). Qualitative pipeline only.</t>
        </is>
      </c>
    </row>
    <row r="214">
      <c r="A214" s="0" t="inlineStr">
        <is>
          <t>Home2 Suites by Hilton Phoenix Tempe, University Research Park</t>
        </is>
      </c>
      <c r="B214" s="0" t="inlineStr">
        <is>
          <t>Hotel</t>
        </is>
      </c>
      <c r="C214" s="225" t="inlineStr">
        <is>
          <t>Hotel — Suburban/Airport</t>
        </is>
      </c>
      <c r="D214" s="0" t="inlineStr"/>
      <c r="E214" s="0" t="inlineStr"/>
      <c r="F214" s="226" t="n">
        <v>0.6</v>
      </c>
      <c r="G214" s="0" t="inlineStr"/>
      <c r="H214" s="226" t="n">
        <v>0.15</v>
      </c>
      <c r="I214" s="0" t="inlineStr"/>
      <c r="J214" s="0" t="n">
        <v>360</v>
      </c>
      <c r="K214" s="0" t="inlineStr"/>
      <c r="L214" s="0" t="inlineStr"/>
      <c r="M214" s="0" t="inlineStr"/>
      <c r="N214" s="0" t="inlineStr">
        <is>
          <t>No Valet / TAM = $0</t>
        </is>
      </c>
      <c r="O214" s="0" t="inlineStr">
        <is>
          <t>Hotel has no valet (rate field: None). Auto-class: not downtown (by flag or name). Qualitative pipeline only.</t>
        </is>
      </c>
    </row>
    <row r="215">
      <c r="A215" s="0" t="inlineStr">
        <is>
          <t>Hilton Garden Inn Phoenix Tempe University Research Park</t>
        </is>
      </c>
      <c r="B215" s="0" t="inlineStr">
        <is>
          <t>Hotel</t>
        </is>
      </c>
      <c r="C215" s="225" t="inlineStr">
        <is>
          <t>Hotel — Suburban/Airport</t>
        </is>
      </c>
      <c r="D215" s="0" t="inlineStr"/>
      <c r="E215" s="0" t="inlineStr"/>
      <c r="F215" s="226" t="n">
        <v>0.6</v>
      </c>
      <c r="G215" s="0" t="inlineStr"/>
      <c r="H215" s="226" t="n">
        <v>0.15</v>
      </c>
      <c r="I215" s="0" t="inlineStr"/>
      <c r="J215" s="0" t="n">
        <v>360</v>
      </c>
      <c r="K215" s="0" t="inlineStr"/>
      <c r="L215" s="0" t="inlineStr"/>
      <c r="M215" s="0" t="inlineStr"/>
      <c r="N215" s="0" t="inlineStr">
        <is>
          <t>No Valet / TAM = $0</t>
        </is>
      </c>
      <c r="O215" s="0" t="inlineStr">
        <is>
          <t>Hotel has no valet (rate field: None). Auto-class: not downtown (by flag or name). Qualitative pipeline only.</t>
        </is>
      </c>
    </row>
    <row r="216">
      <c r="A216" s="0" t="inlineStr">
        <is>
          <t>Thunderbird Executive Inn &amp; Conference Center</t>
        </is>
      </c>
      <c r="B216" s="0" t="inlineStr">
        <is>
          <t>Hotel</t>
        </is>
      </c>
      <c r="C216" s="225" t="inlineStr">
        <is>
          <t>Hotel — Suburban/Airport</t>
        </is>
      </c>
      <c r="D216" s="0" t="inlineStr"/>
      <c r="E216" s="0" t="inlineStr"/>
      <c r="F216" s="226" t="n">
        <v>0.6</v>
      </c>
      <c r="G216" s="0" t="inlineStr"/>
      <c r="H216" s="226" t="n">
        <v>0.15</v>
      </c>
      <c r="I216" s="0" t="inlineStr"/>
      <c r="J216" s="0" t="n">
        <v>360</v>
      </c>
      <c r="K216" s="0" t="inlineStr"/>
      <c r="L216" s="0" t="inlineStr"/>
      <c r="M216" s="0" t="inlineStr"/>
      <c r="N216" s="0" t="inlineStr">
        <is>
          <t>No Valet / TAM = $0</t>
        </is>
      </c>
      <c r="O216" s="0" t="inlineStr">
        <is>
          <t>Hotel has no valet (rate field: None). Auto-class: not downtown (by flag or name). Qualitative pipeline only.</t>
        </is>
      </c>
    </row>
    <row r="217">
      <c r="A217" s="0" t="inlineStr">
        <is>
          <t>Best Western Plus Tempe By The Mall</t>
        </is>
      </c>
      <c r="B217" s="0" t="inlineStr">
        <is>
          <t>Hotel</t>
        </is>
      </c>
      <c r="C217" s="225" t="inlineStr">
        <is>
          <t>Hotel — Suburban/Airport</t>
        </is>
      </c>
      <c r="D217" s="0" t="inlineStr"/>
      <c r="E217" s="0" t="inlineStr"/>
      <c r="F217" s="226" t="n">
        <v>0.6</v>
      </c>
      <c r="G217" s="0" t="inlineStr"/>
      <c r="H217" s="226" t="n">
        <v>0.15</v>
      </c>
      <c r="I217" s="0" t="inlineStr"/>
      <c r="J217" s="0" t="n">
        <v>360</v>
      </c>
      <c r="K217" s="0" t="inlineStr"/>
      <c r="L217" s="0" t="inlineStr"/>
      <c r="M217" s="0" t="inlineStr"/>
      <c r="N217" s="0" t="inlineStr">
        <is>
          <t>No Valet / TAM = $0</t>
        </is>
      </c>
      <c r="O217" s="0" t="inlineStr">
        <is>
          <t>Hotel has no valet (rate field: None). Auto-class: not downtown (by flag or name). Qualitative pipeline only.</t>
        </is>
      </c>
    </row>
    <row r="218">
      <c r="A218" s="0" t="inlineStr">
        <is>
          <t>DoubleTree Hotel Phoenix Tempe</t>
        </is>
      </c>
      <c r="B218" s="0" t="inlineStr">
        <is>
          <t>Hotel</t>
        </is>
      </c>
      <c r="C218" s="225" t="inlineStr">
        <is>
          <t>Hotel — Suburban/Airport</t>
        </is>
      </c>
      <c r="D218" s="0" t="inlineStr"/>
      <c r="E218" s="0" t="inlineStr"/>
      <c r="F218" s="226" t="n">
        <v>0.6</v>
      </c>
      <c r="G218" s="0" t="inlineStr"/>
      <c r="H218" s="226" t="n">
        <v>0.15</v>
      </c>
      <c r="I218" s="0" t="inlineStr"/>
      <c r="J218" s="0" t="n">
        <v>360</v>
      </c>
      <c r="K218" s="0" t="inlineStr"/>
      <c r="L218" s="0" t="inlineStr"/>
      <c r="M218" s="0" t="inlineStr"/>
      <c r="N218" s="0" t="inlineStr">
        <is>
          <t>No Valet / TAM = $0</t>
        </is>
      </c>
      <c r="O218" s="0" t="inlineStr">
        <is>
          <t>Hotel has no valet (rate field: None). Auto-class: not downtown (by flag or name). Qualitative pipeline only.</t>
        </is>
      </c>
    </row>
    <row r="219">
      <c r="A219" s="0" t="inlineStr">
        <is>
          <t>Kasa Tempe Near ASU</t>
        </is>
      </c>
      <c r="B219" s="0" t="inlineStr">
        <is>
          <t>Hotel</t>
        </is>
      </c>
      <c r="C219" s="225" t="inlineStr">
        <is>
          <t>Hotel — Suburban/Airport</t>
        </is>
      </c>
      <c r="D219" s="0" t="inlineStr"/>
      <c r="E219" s="0" t="inlineStr"/>
      <c r="F219" s="226" t="n">
        <v>0.6</v>
      </c>
      <c r="G219" s="0" t="inlineStr"/>
      <c r="H219" s="226" t="n">
        <v>0.15</v>
      </c>
      <c r="I219" s="0" t="inlineStr"/>
      <c r="J219" s="0" t="n">
        <v>360</v>
      </c>
      <c r="K219" s="0" t="inlineStr"/>
      <c r="L219" s="0" t="inlineStr"/>
      <c r="M219" s="0" t="inlineStr"/>
      <c r="N219" s="0" t="inlineStr">
        <is>
          <t>No Valet / TAM = $0</t>
        </is>
      </c>
      <c r="O219" s="0" t="inlineStr">
        <is>
          <t>Hotel has no valet (rate field: None). Auto-class: not downtown (by flag or name). Qualitative pipeline only.</t>
        </is>
      </c>
    </row>
    <row r="220">
      <c r="A220" s="0" t="inlineStr">
        <is>
          <t>Residence Inn Tempe</t>
        </is>
      </c>
      <c r="B220" s="0" t="inlineStr">
        <is>
          <t>Hotel</t>
        </is>
      </c>
      <c r="C220" s="225" t="inlineStr">
        <is>
          <t>Hotel — Suburban/Airport</t>
        </is>
      </c>
      <c r="D220" s="0" t="inlineStr"/>
      <c r="E220" s="0" t="inlineStr"/>
      <c r="F220" s="226" t="n">
        <v>0.6</v>
      </c>
      <c r="G220" s="0" t="inlineStr"/>
      <c r="H220" s="226" t="n">
        <v>0.15</v>
      </c>
      <c r="I220" s="0" t="inlineStr"/>
      <c r="J220" s="0" t="n">
        <v>360</v>
      </c>
      <c r="K220" s="0" t="inlineStr"/>
      <c r="L220" s="0" t="inlineStr"/>
      <c r="M220" s="0" t="inlineStr"/>
      <c r="N220" s="0" t="inlineStr">
        <is>
          <t>No Valet / TAM = $0</t>
        </is>
      </c>
      <c r="O220" s="0" t="inlineStr">
        <is>
          <t>Hotel has no valet (rate field: None). Auto-class: not downtown (by flag or name). Qualitative pipeline only.</t>
        </is>
      </c>
    </row>
    <row r="221">
      <c r="A221" s="0" t="inlineStr">
        <is>
          <t>Aiden by Best Western @ Scottsdale North</t>
        </is>
      </c>
      <c r="B221" s="0" t="inlineStr">
        <is>
          <t>Hotel</t>
        </is>
      </c>
      <c r="C221" s="225" t="inlineStr">
        <is>
          <t>Hotel — Suburban/Airport</t>
        </is>
      </c>
      <c r="D221" s="0" t="inlineStr"/>
      <c r="E221" s="0" t="inlineStr"/>
      <c r="F221" s="226" t="n">
        <v>0.6</v>
      </c>
      <c r="G221" s="0" t="inlineStr"/>
      <c r="H221" s="226" t="n">
        <v>0.15</v>
      </c>
      <c r="I221" s="0" t="inlineStr"/>
      <c r="J221" s="0" t="n">
        <v>360</v>
      </c>
      <c r="K221" s="0" t="inlineStr"/>
      <c r="L221" s="0" t="inlineStr"/>
      <c r="M221" s="0" t="inlineStr"/>
      <c r="N221" s="0" t="inlineStr">
        <is>
          <t>No Valet / TAM = $0</t>
        </is>
      </c>
      <c r="O221" s="0" t="inlineStr">
        <is>
          <t>Hotel has no valet (rate field: None). Auto-class: not downtown (by flag or name). Qualitative pipeline only.</t>
        </is>
      </c>
    </row>
    <row r="222">
      <c r="A222" s="0" t="inlineStr">
        <is>
          <t>Holiday Inn Express Scottsdale North</t>
        </is>
      </c>
      <c r="B222" s="0" t="inlineStr">
        <is>
          <t>Hotel</t>
        </is>
      </c>
      <c r="C222" s="225" t="inlineStr">
        <is>
          <t>Hotel — Suburban/Airport</t>
        </is>
      </c>
      <c r="D222" s="0" t="inlineStr"/>
      <c r="E222" s="0" t="inlineStr"/>
      <c r="F222" s="226" t="n">
        <v>0.6</v>
      </c>
      <c r="G222" s="0" t="inlineStr"/>
      <c r="H222" s="226" t="n">
        <v>0.15</v>
      </c>
      <c r="I222" s="0" t="inlineStr"/>
      <c r="J222" s="0" t="n">
        <v>360</v>
      </c>
      <c r="K222" s="0" t="inlineStr"/>
      <c r="L222" s="0" t="inlineStr"/>
      <c r="M222" s="0" t="inlineStr"/>
      <c r="N222" s="0" t="inlineStr">
        <is>
          <t>No Valet / TAM = $0</t>
        </is>
      </c>
      <c r="O222" s="0" t="inlineStr">
        <is>
          <t>Hotel has no valet (rate field: None). Auto-class: not downtown (by flag or name). Qualitative pipeline only.</t>
        </is>
      </c>
    </row>
    <row r="223">
      <c r="A223" s="0" t="inlineStr">
        <is>
          <t>Staybridge Suites Scottsdale – Talking Stick</t>
        </is>
      </c>
      <c r="B223" s="0" t="inlineStr">
        <is>
          <t>Hotel</t>
        </is>
      </c>
      <c r="C223" s="225" t="inlineStr">
        <is>
          <t>Hotel — Suburban/Airport</t>
        </is>
      </c>
      <c r="D223" s="0" t="inlineStr"/>
      <c r="E223" s="0" t="inlineStr"/>
      <c r="F223" s="226" t="n">
        <v>0.6</v>
      </c>
      <c r="G223" s="0" t="inlineStr"/>
      <c r="H223" s="226" t="n">
        <v>0.15</v>
      </c>
      <c r="I223" s="0" t="inlineStr"/>
      <c r="J223" s="0" t="n">
        <v>360</v>
      </c>
      <c r="K223" s="0" t="inlineStr"/>
      <c r="L223" s="0" t="inlineStr"/>
      <c r="M223" s="0" t="inlineStr"/>
      <c r="N223" s="0" t="inlineStr">
        <is>
          <t>No Valet / TAM = $0</t>
        </is>
      </c>
      <c r="O223" s="0" t="inlineStr">
        <is>
          <t>Hotel has no valet (rate field: None). Auto-class: not downtown (by flag or name). Qualitative pipeline only.</t>
        </is>
      </c>
    </row>
    <row r="224">
      <c r="A224" s="0" t="inlineStr">
        <is>
          <t>Kasa Scottsdale North Phoenix</t>
        </is>
      </c>
      <c r="B224" s="0" t="inlineStr">
        <is>
          <t>Hotel</t>
        </is>
      </c>
      <c r="C224" s="225" t="inlineStr">
        <is>
          <t>Hotel — Suburban/Airport</t>
        </is>
      </c>
      <c r="D224" s="0" t="inlineStr"/>
      <c r="E224" s="0" t="inlineStr"/>
      <c r="F224" s="226" t="n">
        <v>0.6</v>
      </c>
      <c r="G224" s="0" t="inlineStr"/>
      <c r="H224" s="226" t="n">
        <v>0.15</v>
      </c>
      <c r="I224" s="0" t="inlineStr"/>
      <c r="J224" s="0" t="n">
        <v>360</v>
      </c>
      <c r="K224" s="0" t="inlineStr"/>
      <c r="L224" s="0" t="inlineStr"/>
      <c r="M224" s="0" t="inlineStr"/>
      <c r="N224" s="0" t="inlineStr">
        <is>
          <t>No Valet / TAM = $0</t>
        </is>
      </c>
      <c r="O224" s="0" t="inlineStr">
        <is>
          <t>Hotel has no valet (rate field: None). Auto-class: not downtown (by flag or name). Qualitative pipeline only.</t>
        </is>
      </c>
    </row>
    <row r="225">
      <c r="A225" s="0" t="inlineStr">
        <is>
          <t>Kasa Scottsdale Quarter Phoenix</t>
        </is>
      </c>
      <c r="B225" s="0" t="inlineStr">
        <is>
          <t>Hotel</t>
        </is>
      </c>
      <c r="C225" s="225" t="inlineStr">
        <is>
          <t>Hotel — Suburban/Airport</t>
        </is>
      </c>
      <c r="D225" s="0" t="inlineStr"/>
      <c r="E225" s="0" t="inlineStr"/>
      <c r="F225" s="226" t="n">
        <v>0.6</v>
      </c>
      <c r="G225" s="0" t="inlineStr"/>
      <c r="H225" s="226" t="n">
        <v>0.15</v>
      </c>
      <c r="I225" s="0" t="inlineStr"/>
      <c r="J225" s="0" t="n">
        <v>360</v>
      </c>
      <c r="K225" s="0" t="inlineStr"/>
      <c r="L225" s="0" t="inlineStr"/>
      <c r="M225" s="0" t="inlineStr"/>
      <c r="N225" s="0" t="inlineStr">
        <is>
          <t>No Valet / TAM = $0</t>
        </is>
      </c>
      <c r="O225" s="0" t="inlineStr">
        <is>
          <t>Hotel has no valet (rate field: None). Auto-class: not downtown (by flag or name). Qualitative pipeline only.</t>
        </is>
      </c>
    </row>
    <row r="226">
      <c r="A226" s="0" t="inlineStr">
        <is>
          <t>AC Hotels by Marriott Scottsdale North</t>
        </is>
      </c>
      <c r="B226" s="0" t="inlineStr">
        <is>
          <t>Hotel</t>
        </is>
      </c>
      <c r="C226" s="225" t="inlineStr">
        <is>
          <t>Hotel — Suburban/Airport</t>
        </is>
      </c>
      <c r="D226" s="0" t="inlineStr"/>
      <c r="E226" s="0" t="inlineStr"/>
      <c r="F226" s="226" t="n">
        <v>0.6</v>
      </c>
      <c r="G226" s="0" t="inlineStr"/>
      <c r="H226" s="226" t="n">
        <v>0.15</v>
      </c>
      <c r="I226" s="0" t="inlineStr"/>
      <c r="J226" s="0" t="n">
        <v>360</v>
      </c>
      <c r="K226" s="0" t="inlineStr"/>
      <c r="L226" s="0" t="inlineStr"/>
      <c r="M226" s="0" t="inlineStr"/>
      <c r="N226" s="0" t="inlineStr">
        <is>
          <t>No Valet / TAM = $0</t>
        </is>
      </c>
      <c r="O226" s="0" t="inlineStr">
        <is>
          <t>Hotel has no valet (rate field: None). Auto-class: not downtown (by flag or name). Qualitative pipeline only.</t>
        </is>
      </c>
    </row>
    <row r="227">
      <c r="A227" s="0" t="inlineStr">
        <is>
          <t>AC Hotel Scottsdale Old Town</t>
        </is>
      </c>
      <c r="B227" s="0" t="inlineStr">
        <is>
          <t>Hotel</t>
        </is>
      </c>
      <c r="C227" s="225" t="inlineStr">
        <is>
          <t>Hotel — Suburban/Airport</t>
        </is>
      </c>
      <c r="D227" s="0" t="inlineStr"/>
      <c r="E227" s="0" t="inlineStr"/>
      <c r="F227" s="226" t="n">
        <v>0.6</v>
      </c>
      <c r="G227" s="0" t="inlineStr"/>
      <c r="H227" s="226" t="n">
        <v>0.15</v>
      </c>
      <c r="I227" s="0" t="inlineStr"/>
      <c r="J227" s="0" t="n">
        <v>360</v>
      </c>
      <c r="K227" s="0" t="inlineStr"/>
      <c r="L227" s="0" t="inlineStr"/>
      <c r="M227" s="0" t="inlineStr"/>
      <c r="N227" s="0" t="inlineStr">
        <is>
          <t>No Valet / TAM = $0</t>
        </is>
      </c>
      <c r="O227" s="0" t="inlineStr">
        <is>
          <t>Hotel has no valet (rate field: None). Auto-class: not downtown (by flag or name). Qualitative pipeline only.</t>
        </is>
      </c>
    </row>
    <row r="228">
      <c r="A228" s="0" t="inlineStr">
        <is>
          <t>REVERB by Hard Rock Scottsdale</t>
        </is>
      </c>
      <c r="B228" s="0" t="inlineStr">
        <is>
          <t>Hotel</t>
        </is>
      </c>
      <c r="C228" s="225" t="inlineStr">
        <is>
          <t>Hotel — Suburban/Airport</t>
        </is>
      </c>
      <c r="D228" s="0" t="inlineStr"/>
      <c r="E228" s="0" t="inlineStr"/>
      <c r="F228" s="226" t="n">
        <v>0.6</v>
      </c>
      <c r="G228" s="0" t="inlineStr"/>
      <c r="H228" s="226" t="n">
        <v>0.15</v>
      </c>
      <c r="I228" s="0" t="inlineStr"/>
      <c r="J228" s="0" t="n">
        <v>360</v>
      </c>
      <c r="K228" s="0" t="inlineStr"/>
      <c r="L228" s="0" t="inlineStr"/>
      <c r="M228" s="0" t="inlineStr"/>
      <c r="N228" s="0" t="inlineStr">
        <is>
          <t>No Valet / TAM = $0</t>
        </is>
      </c>
      <c r="O228" s="0" t="inlineStr">
        <is>
          <t>Hotel has no valet (rate field: None). Auto-class: not downtown (by flag or name). Qualitative pipeline only.</t>
        </is>
      </c>
    </row>
    <row r="229">
      <c r="A229" s="0" t="inlineStr">
        <is>
          <t>Hotel Scottsdale, Tapestry Collection by Hilton</t>
        </is>
      </c>
      <c r="B229" s="0" t="inlineStr">
        <is>
          <t>Hotel</t>
        </is>
      </c>
      <c r="C229" s="225" t="inlineStr">
        <is>
          <t>Hotel — Suburban/Airport</t>
        </is>
      </c>
      <c r="D229" s="0" t="inlineStr"/>
      <c r="E229" s="0" t="inlineStr"/>
      <c r="F229" s="226" t="n">
        <v>0.6</v>
      </c>
      <c r="G229" s="0" t="inlineStr"/>
      <c r="H229" s="226" t="n">
        <v>0.15</v>
      </c>
      <c r="I229" s="0" t="inlineStr"/>
      <c r="J229" s="0" t="n">
        <v>360</v>
      </c>
      <c r="K229" s="0" t="inlineStr"/>
      <c r="L229" s="0" t="inlineStr"/>
      <c r="M229" s="0" t="inlineStr"/>
      <c r="N229" s="0" t="inlineStr">
        <is>
          <t>No Valet / TAM = $0</t>
        </is>
      </c>
      <c r="O229" s="0" t="inlineStr">
        <is>
          <t>Hotel has no valet (rate field: None). Auto-class: not downtown (by flag or name). Qualitative pipeline only.</t>
        </is>
      </c>
    </row>
    <row r="230">
      <c r="A230" s="0" t="inlineStr">
        <is>
          <t>Cambria Hotel &amp; Suites Scottsdale</t>
        </is>
      </c>
      <c r="B230" s="0" t="inlineStr">
        <is>
          <t>Hotel</t>
        </is>
      </c>
      <c r="C230" s="225" t="inlineStr">
        <is>
          <t>Hotel — Suburban/Airport</t>
        </is>
      </c>
      <c r="D230" s="0" t="inlineStr"/>
      <c r="E230" s="0" t="inlineStr"/>
      <c r="F230" s="226" t="n">
        <v>0.6</v>
      </c>
      <c r="G230" s="0" t="inlineStr"/>
      <c r="H230" s="226" t="n">
        <v>0.15</v>
      </c>
      <c r="I230" s="0" t="inlineStr"/>
      <c r="J230" s="0" t="n">
        <v>360</v>
      </c>
      <c r="K230" s="0" t="inlineStr"/>
      <c r="L230" s="0" t="inlineStr"/>
      <c r="M230" s="0" t="inlineStr"/>
      <c r="N230" s="0" t="inlineStr">
        <is>
          <t>No Valet / TAM = $0</t>
        </is>
      </c>
      <c r="O230" s="0" t="inlineStr">
        <is>
          <t>Hotel has no valet (rate field: None). Auto-class: not downtown (by flag or name). Qualitative pipeline only.</t>
        </is>
      </c>
    </row>
    <row r="231">
      <c r="A231" s="0" t="inlineStr">
        <is>
          <t>Trademark Collection by Wyndham Scottsdale</t>
        </is>
      </c>
      <c r="B231" s="0" t="inlineStr">
        <is>
          <t>Hotel</t>
        </is>
      </c>
      <c r="C231" s="225" t="inlineStr">
        <is>
          <t>Hotel — Suburban/Airport</t>
        </is>
      </c>
      <c r="D231" s="0" t="inlineStr"/>
      <c r="E231" s="0" t="inlineStr"/>
      <c r="F231" s="226" t="n">
        <v>0.6</v>
      </c>
      <c r="G231" s="0" t="inlineStr"/>
      <c r="H231" s="226" t="n">
        <v>0.15</v>
      </c>
      <c r="I231" s="0" t="inlineStr"/>
      <c r="J231" s="0" t="n">
        <v>360</v>
      </c>
      <c r="K231" s="0" t="inlineStr"/>
      <c r="L231" s="0" t="inlineStr"/>
      <c r="M231" s="0" t="inlineStr"/>
      <c r="N231" s="0" t="inlineStr">
        <is>
          <t>No Valet / TAM = $0</t>
        </is>
      </c>
      <c r="O231" s="0" t="inlineStr">
        <is>
          <t>Hotel has no valet (rate field: None). Auto-class: not downtown (by flag or name). Qualitative pipeline only.</t>
        </is>
      </c>
    </row>
    <row r="232">
      <c r="A232" s="0" t="inlineStr">
        <is>
          <t>Hotel Bixby Scottsdale</t>
        </is>
      </c>
      <c r="B232" s="0" t="inlineStr">
        <is>
          <t>Hotel</t>
        </is>
      </c>
      <c r="C232" s="225" t="inlineStr">
        <is>
          <t>Hotel — Suburban/Airport</t>
        </is>
      </c>
      <c r="D232" s="0" t="inlineStr"/>
      <c r="E232" s="0" t="inlineStr"/>
      <c r="F232" s="226" t="n">
        <v>0.6</v>
      </c>
      <c r="G232" s="0" t="inlineStr"/>
      <c r="H232" s="226" t="n">
        <v>0.15</v>
      </c>
      <c r="I232" s="0" t="inlineStr"/>
      <c r="J232" s="0" t="n">
        <v>360</v>
      </c>
      <c r="K232" s="0" t="inlineStr"/>
      <c r="L232" s="0" t="inlineStr"/>
      <c r="M232" s="0" t="inlineStr"/>
      <c r="N232" s="0" t="inlineStr">
        <is>
          <t>No Valet / TAM = $0</t>
        </is>
      </c>
      <c r="O232" s="0" t="inlineStr">
        <is>
          <t>Hotel has no valet (rate field: None). Auto-class: not downtown (by flag or name). Qualitative pipeline only.</t>
        </is>
      </c>
    </row>
    <row r="233">
      <c r="A233" s="0" t="inlineStr">
        <is>
          <t>Boutique Hotel Paradise Valley</t>
        </is>
      </c>
      <c r="B233" s="0" t="inlineStr">
        <is>
          <t>Hotel</t>
        </is>
      </c>
      <c r="C233" s="225" t="inlineStr">
        <is>
          <t>Hotel — Suburban/Airport</t>
        </is>
      </c>
      <c r="D233" s="0" t="inlineStr"/>
      <c r="E233" s="0" t="inlineStr"/>
      <c r="F233" s="226" t="n">
        <v>0.6</v>
      </c>
      <c r="G233" s="0" t="inlineStr"/>
      <c r="H233" s="226" t="n">
        <v>0.15</v>
      </c>
      <c r="I233" s="0" t="inlineStr"/>
      <c r="J233" s="0" t="n">
        <v>360</v>
      </c>
      <c r="K233" s="0" t="inlineStr"/>
      <c r="L233" s="0" t="inlineStr"/>
      <c r="M233" s="0" t="inlineStr"/>
      <c r="N233" s="0" t="inlineStr">
        <is>
          <t>No Valet / TAM = $0</t>
        </is>
      </c>
      <c r="O233" s="0" t="inlineStr">
        <is>
          <t>Hotel has no valet (rate field: None). Auto-class: not downtown (by flag or name). Qualitative pipeline only.</t>
        </is>
      </c>
    </row>
    <row r="234">
      <c r="A234" s="0" t="inlineStr">
        <is>
          <t>Country Inn &amp; Suites by Radisson, Scottsdale Old Town</t>
        </is>
      </c>
      <c r="B234" s="0" t="inlineStr">
        <is>
          <t>Hotel</t>
        </is>
      </c>
      <c r="C234" s="225" t="inlineStr">
        <is>
          <t>Hotel — Suburban/Airport</t>
        </is>
      </c>
      <c r="D234" s="0" t="inlineStr"/>
      <c r="E234" s="0" t="inlineStr"/>
      <c r="F234" s="226" t="n">
        <v>0.6</v>
      </c>
      <c r="G234" s="0" t="inlineStr"/>
      <c r="H234" s="226" t="n">
        <v>0.15</v>
      </c>
      <c r="I234" s="0" t="inlineStr"/>
      <c r="J234" s="0" t="n">
        <v>360</v>
      </c>
      <c r="K234" s="0" t="inlineStr"/>
      <c r="L234" s="0" t="inlineStr"/>
      <c r="M234" s="0" t="inlineStr"/>
      <c r="N234" s="0" t="inlineStr">
        <is>
          <t>No Valet / TAM = $0</t>
        </is>
      </c>
      <c r="O234" s="0" t="inlineStr">
        <is>
          <t>Hotel has no valet (rate field: None). Auto-class: not downtown (by flag or name). Qualitative pipeline only.</t>
        </is>
      </c>
    </row>
    <row r="235">
      <c r="A235" s="0" t="inlineStr">
        <is>
          <t>Radisson Resort Scottsdale</t>
        </is>
      </c>
      <c r="B235" s="0" t="inlineStr">
        <is>
          <t>Hotel</t>
        </is>
      </c>
      <c r="C235" s="225" t="inlineStr">
        <is>
          <t>Hotel — Resort</t>
        </is>
      </c>
      <c r="D235" s="0" t="inlineStr"/>
      <c r="E235" s="0" t="inlineStr"/>
      <c r="F235" s="226" t="n">
        <v>0.6</v>
      </c>
      <c r="G235" s="0" t="inlineStr"/>
      <c r="H235" s="226" t="n">
        <v>0.5</v>
      </c>
      <c r="I235" s="0" t="inlineStr"/>
      <c r="J235" s="0" t="n">
        <v>360</v>
      </c>
      <c r="K235" s="0" t="inlineStr"/>
      <c r="L235" s="0" t="inlineStr"/>
      <c r="M235" s="0" t="inlineStr"/>
      <c r="N235" s="0" t="inlineStr">
        <is>
          <t>No Valet / TAM = $0</t>
        </is>
      </c>
      <c r="O235" s="0" t="inlineStr">
        <is>
          <t>Hotel has no valet (rate field: None). Auto-class: resort keyword: 'resort'. Qualitative pipeline only.</t>
        </is>
      </c>
    </row>
    <row r="236">
      <c r="A236" s="0" t="inlineStr">
        <is>
          <t>Hyatt Place Scottsdale/OdySea in the Desert</t>
        </is>
      </c>
      <c r="B236" s="0" t="inlineStr">
        <is>
          <t>Hotel</t>
        </is>
      </c>
      <c r="C236" s="225" t="inlineStr">
        <is>
          <t>Hotel — Suburban/Airport</t>
        </is>
      </c>
      <c r="D236" s="0" t="inlineStr"/>
      <c r="E236" s="0" t="inlineStr"/>
      <c r="F236" s="226" t="n">
        <v>0.6</v>
      </c>
      <c r="G236" s="0" t="inlineStr"/>
      <c r="H236" s="226" t="n">
        <v>0.15</v>
      </c>
      <c r="I236" s="0" t="inlineStr"/>
      <c r="J236" s="0" t="n">
        <v>360</v>
      </c>
      <c r="K236" s="0" t="inlineStr"/>
      <c r="L236" s="0" t="inlineStr"/>
      <c r="M236" s="0" t="inlineStr"/>
      <c r="N236" s="0" t="inlineStr">
        <is>
          <t>No Valet / TAM = $0</t>
        </is>
      </c>
      <c r="O236" s="0" t="inlineStr">
        <is>
          <t>Hotel has no valet (rate field: None). Auto-class: not downtown (by flag or name). Qualitative pipeline only.</t>
        </is>
      </c>
    </row>
    <row r="237">
      <c r="A237" s="0" t="inlineStr">
        <is>
          <t>Bespoke Inn Scottsdale</t>
        </is>
      </c>
      <c r="B237" s="0" t="inlineStr">
        <is>
          <t>Hotel</t>
        </is>
      </c>
      <c r="C237" s="225" t="inlineStr">
        <is>
          <t>Hotel — Suburban/Airport</t>
        </is>
      </c>
      <c r="D237" s="0" t="inlineStr"/>
      <c r="E237" s="0" t="inlineStr"/>
      <c r="F237" s="226" t="n">
        <v>0.6</v>
      </c>
      <c r="G237" s="0" t="inlineStr"/>
      <c r="H237" s="226" t="n">
        <v>0.15</v>
      </c>
      <c r="I237" s="0" t="inlineStr"/>
      <c r="J237" s="0" t="n">
        <v>360</v>
      </c>
      <c r="K237" s="0" t="inlineStr"/>
      <c r="L237" s="0" t="inlineStr"/>
      <c r="M237" s="0" t="inlineStr"/>
      <c r="N237" s="0" t="inlineStr">
        <is>
          <t>No Valet / TAM = $0</t>
        </is>
      </c>
      <c r="O237" s="0" t="inlineStr">
        <is>
          <t>Hotel has no valet (rate field: None). Auto-class: not downtown (by flag or name). Qualitative pipeline only.</t>
        </is>
      </c>
    </row>
    <row r="238">
      <c r="A238" s="0" t="inlineStr">
        <is>
          <t>Winery Suites of Scottsdale</t>
        </is>
      </c>
      <c r="B238" s="0" t="inlineStr">
        <is>
          <t>Hotel</t>
        </is>
      </c>
      <c r="C238" s="225" t="inlineStr">
        <is>
          <t>Hotel — Suburban/Airport</t>
        </is>
      </c>
      <c r="D238" s="0" t="inlineStr"/>
      <c r="E238" s="0" t="inlineStr"/>
      <c r="F238" s="226" t="n">
        <v>0.6</v>
      </c>
      <c r="G238" s="0" t="inlineStr"/>
      <c r="H238" s="226" t="n">
        <v>0.15</v>
      </c>
      <c r="I238" s="0" t="inlineStr"/>
      <c r="J238" s="0" t="n">
        <v>360</v>
      </c>
      <c r="K238" s="0" t="inlineStr"/>
      <c r="L238" s="0" t="inlineStr"/>
      <c r="M238" s="0" t="inlineStr"/>
      <c r="N238" s="0" t="inlineStr">
        <is>
          <t>No Valet / TAM = $0</t>
        </is>
      </c>
      <c r="O238" s="0" t="inlineStr">
        <is>
          <t>Hotel has no valet (rate field: None). Auto-class: not downtown (by flag or name). Qualitative pipeline only.</t>
        </is>
      </c>
    </row>
    <row r="239">
      <c r="A239" s="0" t="inlineStr">
        <is>
          <t>Mint House Scottsdale – Old Town</t>
        </is>
      </c>
      <c r="B239" s="0" t="inlineStr">
        <is>
          <t>Hotel</t>
        </is>
      </c>
      <c r="C239" s="225" t="inlineStr">
        <is>
          <t>Hotel — Suburban/Airport</t>
        </is>
      </c>
      <c r="D239" s="0" t="inlineStr"/>
      <c r="E239" s="0" t="inlineStr"/>
      <c r="F239" s="226" t="n">
        <v>0.6</v>
      </c>
      <c r="G239" s="0" t="inlineStr"/>
      <c r="H239" s="226" t="n">
        <v>0.15</v>
      </c>
      <c r="I239" s="0" t="inlineStr"/>
      <c r="J239" s="0" t="n">
        <v>360</v>
      </c>
      <c r="K239" s="0" t="inlineStr"/>
      <c r="L239" s="0" t="inlineStr"/>
      <c r="M239" s="0" t="inlineStr"/>
      <c r="N239" s="0" t="inlineStr">
        <is>
          <t>No Valet / TAM = $0</t>
        </is>
      </c>
      <c r="O239" s="0" t="inlineStr">
        <is>
          <t>Hotel has no valet (rate field: None). Auto-class: not downtown (by flag or name). Qualitative pipeline only.</t>
        </is>
      </c>
    </row>
    <row r="240">
      <c r="A240" s="0" t="inlineStr">
        <is>
          <t>WorldMark by Wyndham Scottsdale</t>
        </is>
      </c>
      <c r="B240" s="0" t="inlineStr">
        <is>
          <t>Hotel</t>
        </is>
      </c>
      <c r="C240" s="225" t="inlineStr">
        <is>
          <t>Hotel — Suburban/Airport</t>
        </is>
      </c>
      <c r="D240" s="0" t="inlineStr"/>
      <c r="E240" s="0" t="inlineStr"/>
      <c r="F240" s="226" t="n">
        <v>0.6</v>
      </c>
      <c r="G240" s="0" t="inlineStr"/>
      <c r="H240" s="226" t="n">
        <v>0.15</v>
      </c>
      <c r="I240" s="0" t="inlineStr"/>
      <c r="J240" s="0" t="n">
        <v>360</v>
      </c>
      <c r="K240" s="0" t="inlineStr"/>
      <c r="L240" s="0" t="inlineStr"/>
      <c r="M240" s="0" t="inlineStr"/>
      <c r="N240" s="0" t="inlineStr">
        <is>
          <t>No Valet / TAM = $0</t>
        </is>
      </c>
      <c r="O240" s="0" t="inlineStr">
        <is>
          <t>Hotel has no valet (rate field: None). Auto-class: not downtown (by flag or name). Qualitative pipeline only.</t>
        </is>
      </c>
    </row>
    <row r="241">
      <c r="A241" s="0" t="inlineStr">
        <is>
          <t>Pointe Hilton Tapatio Cliffs Resort</t>
        </is>
      </c>
      <c r="B241" s="0" t="inlineStr">
        <is>
          <t>Hotel</t>
        </is>
      </c>
      <c r="C241" s="225" t="inlineStr">
        <is>
          <t>Hotel — Resort</t>
        </is>
      </c>
      <c r="D241" s="0" t="inlineStr"/>
      <c r="E241" s="0" t="inlineStr"/>
      <c r="F241" s="226" t="n">
        <v>0.6</v>
      </c>
      <c r="G241" s="0" t="inlineStr"/>
      <c r="H241" s="226" t="n">
        <v>0.5</v>
      </c>
      <c r="I241" s="0" t="inlineStr"/>
      <c r="J241" s="0" t="n">
        <v>360</v>
      </c>
      <c r="K241" s="0" t="inlineStr"/>
      <c r="L241" s="0" t="inlineStr"/>
      <c r="M241" s="0" t="inlineStr"/>
      <c r="N241" s="0" t="inlineStr">
        <is>
          <t>No Valet / TAM = $0</t>
        </is>
      </c>
      <c r="O241" s="0" t="inlineStr">
        <is>
          <t>Hotel has no valet (rate field: None). Auto-class: resort keyword: 'resort'. Qualitative pipeline only.</t>
        </is>
      </c>
    </row>
    <row r="242">
      <c r="A242" s="0" t="inlineStr">
        <is>
          <t>Hilton Phoenix Resort at the Peak</t>
        </is>
      </c>
      <c r="B242" s="0" t="inlineStr">
        <is>
          <t>Hotel</t>
        </is>
      </c>
      <c r="C242" s="225" t="inlineStr">
        <is>
          <t>Hotel — Resort</t>
        </is>
      </c>
      <c r="D242" s="0" t="inlineStr"/>
      <c r="E242" s="0" t="inlineStr"/>
      <c r="F242" s="226" t="n">
        <v>0.6</v>
      </c>
      <c r="G242" s="0" t="inlineStr"/>
      <c r="H242" s="226" t="n">
        <v>0.5</v>
      </c>
      <c r="I242" s="0" t="inlineStr"/>
      <c r="J242" s="0" t="n">
        <v>360</v>
      </c>
      <c r="K242" s="0" t="inlineStr"/>
      <c r="L242" s="0" t="inlineStr"/>
      <c r="M242" s="0" t="inlineStr"/>
      <c r="N242" s="0" t="inlineStr">
        <is>
          <t>No Valet / TAM = $0</t>
        </is>
      </c>
      <c r="O242" s="0" t="inlineStr">
        <is>
          <t>Hotel has no valet (rate field: None). Auto-class: resort keyword: 'resort'. Qualitative pipeline only.</t>
        </is>
      </c>
    </row>
    <row r="243">
      <c r="A243" s="0" t="inlineStr">
        <is>
          <t>Kimpton Miralina Resort &amp; Villas</t>
        </is>
      </c>
      <c r="B243" s="0" t="inlineStr">
        <is>
          <t>Hotel</t>
        </is>
      </c>
      <c r="C243" s="225" t="inlineStr">
        <is>
          <t>Hotel — Resort</t>
        </is>
      </c>
      <c r="D243" s="0" t="inlineStr"/>
      <c r="E243" s="0" t="inlineStr"/>
      <c r="F243" s="226" t="n">
        <v>0.6</v>
      </c>
      <c r="G243" s="0" t="inlineStr"/>
      <c r="H243" s="226" t="n">
        <v>0.5</v>
      </c>
      <c r="I243" s="0" t="inlineStr"/>
      <c r="J243" s="0" t="n">
        <v>360</v>
      </c>
      <c r="K243" s="0" t="inlineStr"/>
      <c r="L243" s="0" t="inlineStr"/>
      <c r="M243" s="0" t="inlineStr"/>
      <c r="N243" s="0" t="inlineStr">
        <is>
          <t>No Valet / TAM = $0</t>
        </is>
      </c>
      <c r="O243" s="0" t="inlineStr">
        <is>
          <t>Hotel has no valet (rate field: None). Auto-class: resort keyword: 'resort'. Qualitative pipeline only.</t>
        </is>
      </c>
    </row>
    <row r="244">
      <c r="A244" s="0" t="inlineStr">
        <is>
          <t>Sheraton Grand at Wild Horse Pass</t>
        </is>
      </c>
      <c r="B244" s="0" t="inlineStr">
        <is>
          <t>Hotel</t>
        </is>
      </c>
      <c r="C244" s="225" t="inlineStr">
        <is>
          <t>Hotel — Suburban/Airport</t>
        </is>
      </c>
      <c r="D244" s="0" t="inlineStr"/>
      <c r="E244" s="0" t="inlineStr"/>
      <c r="F244" s="226" t="n">
        <v>0.6</v>
      </c>
      <c r="G244" s="0" t="inlineStr"/>
      <c r="H244" s="226" t="n">
        <v>0.15</v>
      </c>
      <c r="I244" s="0" t="inlineStr"/>
      <c r="J244" s="0" t="n">
        <v>360</v>
      </c>
      <c r="K244" s="0" t="inlineStr"/>
      <c r="L244" s="0" t="inlineStr"/>
      <c r="M244" s="0" t="inlineStr"/>
      <c r="N244" s="0" t="inlineStr">
        <is>
          <t>No Valet / TAM = $0</t>
        </is>
      </c>
      <c r="O244" s="0" t="inlineStr">
        <is>
          <t>Hotel has no valet (rate field: None). Auto-class: not downtown (by flag or name). Qualitative pipeline only.</t>
        </is>
      </c>
    </row>
    <row r="245">
      <c r="A245" s="0" t="inlineStr">
        <is>
          <t>Gila River Resorts &amp; Casinos – Vee Quiva</t>
        </is>
      </c>
      <c r="B245" s="0" t="inlineStr">
        <is>
          <t>Hotel</t>
        </is>
      </c>
      <c r="C245" s="225" t="inlineStr">
        <is>
          <t>Hotel — Resort</t>
        </is>
      </c>
      <c r="D245" s="0" t="inlineStr"/>
      <c r="E245" s="0" t="inlineStr"/>
      <c r="F245" s="226" t="n">
        <v>0.6</v>
      </c>
      <c r="G245" s="0" t="inlineStr"/>
      <c r="H245" s="226" t="n">
        <v>0.5</v>
      </c>
      <c r="I245" s="0" t="inlineStr"/>
      <c r="J245" s="0" t="n">
        <v>360</v>
      </c>
      <c r="K245" s="0" t="inlineStr"/>
      <c r="L245" s="0" t="inlineStr"/>
      <c r="M245" s="0" t="inlineStr"/>
      <c r="N245" s="0" t="inlineStr">
        <is>
          <t>No Valet / TAM = $0</t>
        </is>
      </c>
      <c r="O245" s="0" t="inlineStr">
        <is>
          <t>Hotel has no valet (rate field: None). Auto-class: resort keyword: 'resort'. Qualitative pipeline only.</t>
        </is>
      </c>
    </row>
    <row r="246">
      <c r="A246" s="0" t="inlineStr">
        <is>
          <t>Gila River Resorts &amp; Casinos – Wild Horse Pass</t>
        </is>
      </c>
      <c r="B246" s="0" t="inlineStr">
        <is>
          <t>Hotel</t>
        </is>
      </c>
      <c r="C246" s="225" t="inlineStr">
        <is>
          <t>Hotel — Resort</t>
        </is>
      </c>
      <c r="D246" s="0" t="inlineStr"/>
      <c r="E246" s="0" t="inlineStr"/>
      <c r="F246" s="226" t="n">
        <v>0.6</v>
      </c>
      <c r="G246" s="0" t="inlineStr"/>
      <c r="H246" s="226" t="n">
        <v>0.5</v>
      </c>
      <c r="I246" s="0" t="inlineStr"/>
      <c r="J246" s="0" t="n">
        <v>360</v>
      </c>
      <c r="K246" s="0" t="inlineStr"/>
      <c r="L246" s="0" t="inlineStr"/>
      <c r="M246" s="0" t="inlineStr"/>
      <c r="N246" s="0" t="inlineStr">
        <is>
          <t>No Valet / TAM = $0</t>
        </is>
      </c>
      <c r="O246" s="0" t="inlineStr">
        <is>
          <t>Hotel has no valet (rate field: None). Auto-class: resort keyword: 'resort'. Qualitative pipeline only.</t>
        </is>
      </c>
    </row>
    <row r="247">
      <c r="A247" s="0" t="inlineStr">
        <is>
          <t>Desert Diamond West Valley Resort &amp; Casino</t>
        </is>
      </c>
      <c r="B247" s="0" t="inlineStr">
        <is>
          <t>Hotel</t>
        </is>
      </c>
      <c r="C247" s="225" t="inlineStr">
        <is>
          <t>Hotel — Resort</t>
        </is>
      </c>
      <c r="D247" s="0" t="inlineStr"/>
      <c r="E247" s="0" t="inlineStr"/>
      <c r="F247" s="226" t="n">
        <v>0.6</v>
      </c>
      <c r="G247" s="0" t="inlineStr"/>
      <c r="H247" s="226" t="n">
        <v>0.5</v>
      </c>
      <c r="I247" s="0" t="inlineStr"/>
      <c r="J247" s="0" t="n">
        <v>360</v>
      </c>
      <c r="K247" s="0" t="inlineStr"/>
      <c r="L247" s="0" t="inlineStr"/>
      <c r="M247" s="0" t="inlineStr"/>
      <c r="N247" s="0" t="inlineStr">
        <is>
          <t>No Valet / TAM = $0</t>
        </is>
      </c>
      <c r="O247" s="0" t="inlineStr">
        <is>
          <t>Hotel has no valet (rate field: None). Auto-class: resort keyword: 'resort'. Qualitative pipeline only.</t>
        </is>
      </c>
    </row>
    <row r="248">
      <c r="A248" s="0" t="inlineStr">
        <is>
          <t>The Scottsdale EDITION</t>
        </is>
      </c>
      <c r="B248" s="0" t="inlineStr">
        <is>
          <t>Hotel</t>
        </is>
      </c>
      <c r="C248" s="225" t="inlineStr">
        <is>
          <t>Hotel — Suburban/Airport</t>
        </is>
      </c>
      <c r="D248" s="0" t="inlineStr"/>
      <c r="E248" s="0" t="inlineStr"/>
      <c r="F248" s="226" t="n">
        <v>0.6</v>
      </c>
      <c r="G248" s="0" t="inlineStr"/>
      <c r="H248" s="226" t="n">
        <v>0.15</v>
      </c>
      <c r="I248" s="0" t="inlineStr"/>
      <c r="J248" s="0" t="n">
        <v>360</v>
      </c>
      <c r="K248" s="0" t="inlineStr"/>
      <c r="L248" s="0" t="inlineStr"/>
      <c r="M248" s="0" t="inlineStr"/>
      <c r="N248" s="0" t="inlineStr">
        <is>
          <t>No Valet / TAM = $0</t>
        </is>
      </c>
      <c r="O248" s="0" t="inlineStr">
        <is>
          <t>Hotel has no valet (rate field: None). Auto-class: not downtown (by flag or name). Qualitative pipeline only.</t>
        </is>
      </c>
    </row>
    <row r="249">
      <c r="A249" s="0" t="inlineStr">
        <is>
          <t>The Ritz-Carlton Paradise Valley, The Palmeraie</t>
        </is>
      </c>
      <c r="B249" s="0" t="inlineStr">
        <is>
          <t>Hotel</t>
        </is>
      </c>
      <c r="C249" s="225" t="inlineStr">
        <is>
          <t>Hotel — Suburban/Airport</t>
        </is>
      </c>
      <c r="D249" s="0" t="inlineStr"/>
      <c r="E249" s="0" t="inlineStr"/>
      <c r="F249" s="226" t="n">
        <v>0.6</v>
      </c>
      <c r="G249" s="0" t="inlineStr"/>
      <c r="H249" s="226" t="n">
        <v>0.15</v>
      </c>
      <c r="I249" s="0" t="inlineStr"/>
      <c r="J249" s="0" t="n">
        <v>360</v>
      </c>
      <c r="K249" s="0" t="inlineStr"/>
      <c r="L249" s="0" t="inlineStr"/>
      <c r="M249" s="0" t="inlineStr"/>
      <c r="N249" s="0" t="inlineStr">
        <is>
          <t>No Valet / TAM = $0</t>
        </is>
      </c>
      <c r="O249" s="0" t="inlineStr">
        <is>
          <t>Hotel has no valet (rate field: None). Auto-class: not downtown (by flag or name). Qualitative pipeline only.</t>
        </is>
      </c>
    </row>
    <row r="250">
      <c r="A250" s="0" t="inlineStr">
        <is>
          <t>VAI Resort</t>
        </is>
      </c>
      <c r="B250" s="0" t="inlineStr">
        <is>
          <t>Hotel</t>
        </is>
      </c>
      <c r="C250" s="225" t="inlineStr">
        <is>
          <t>Hotel — Resort</t>
        </is>
      </c>
      <c r="D250" s="0" t="inlineStr"/>
      <c r="E250" s="0" t="inlineStr"/>
      <c r="F250" s="226" t="n">
        <v>0.6</v>
      </c>
      <c r="G250" s="0" t="inlineStr"/>
      <c r="H250" s="226" t="n">
        <v>0.5</v>
      </c>
      <c r="I250" s="0" t="inlineStr"/>
      <c r="J250" s="0" t="n">
        <v>360</v>
      </c>
      <c r="K250" s="0" t="inlineStr"/>
      <c r="L250" s="0" t="inlineStr"/>
      <c r="M250" s="0" t="inlineStr"/>
      <c r="N250" s="0" t="inlineStr">
        <is>
          <t>No Valet / TAM = $0</t>
        </is>
      </c>
      <c r="O250" s="0" t="inlineStr">
        <is>
          <t>Hotel has no valet (rate field: None). Auto-class: resort keyword: 'resort'. Qualitative pipeline only.</t>
        </is>
      </c>
    </row>
    <row r="251">
      <c r="A251" s="0" t="inlineStr">
        <is>
          <t>Luxury Hotel at The Parque</t>
        </is>
      </c>
      <c r="B251" s="0" t="inlineStr">
        <is>
          <t>Hotel</t>
        </is>
      </c>
      <c r="C251" s="225" t="inlineStr">
        <is>
          <t>Hotel — Suburban/Airport</t>
        </is>
      </c>
      <c r="D251" s="0" t="inlineStr"/>
      <c r="E251" s="0" t="inlineStr"/>
      <c r="F251" s="226" t="n">
        <v>0.6</v>
      </c>
      <c r="G251" s="0" t="inlineStr"/>
      <c r="H251" s="226" t="n">
        <v>0.15</v>
      </c>
      <c r="I251" s="0" t="inlineStr"/>
      <c r="J251" s="0" t="n">
        <v>360</v>
      </c>
      <c r="K251" s="0" t="inlineStr"/>
      <c r="L251" s="0" t="inlineStr"/>
      <c r="M251" s="0" t="inlineStr"/>
      <c r="N251" s="0" t="inlineStr">
        <is>
          <t>No Valet / TAM = $0</t>
        </is>
      </c>
      <c r="O251" s="0" t="inlineStr">
        <is>
          <t>Hotel has no valet (rate field: None). Auto-class: not downtown (by flag or name). Qualitative pipeline only.</t>
        </is>
      </c>
    </row>
    <row r="252">
      <c r="A252" s="0" t="inlineStr">
        <is>
          <t>Mint House Midtown Phoenix</t>
        </is>
      </c>
      <c r="B252" s="0" t="inlineStr">
        <is>
          <t>Hotel</t>
        </is>
      </c>
      <c r="C252" s="225" t="inlineStr">
        <is>
          <t>Hotel — Suburban/Airport</t>
        </is>
      </c>
      <c r="D252" s="0" t="inlineStr"/>
      <c r="E252" s="0" t="inlineStr"/>
      <c r="F252" s="226" t="n">
        <v>0.6</v>
      </c>
      <c r="G252" s="0" t="inlineStr"/>
      <c r="H252" s="226" t="n">
        <v>0.15</v>
      </c>
      <c r="I252" s="0" t="inlineStr"/>
      <c r="J252" s="0" t="n">
        <v>360</v>
      </c>
      <c r="K252" s="0" t="inlineStr"/>
      <c r="L252" s="0" t="inlineStr"/>
      <c r="M252" s="0" t="inlineStr"/>
      <c r="N252" s="0" t="inlineStr">
        <is>
          <t>No Valet / TAM = $0</t>
        </is>
      </c>
      <c r="O252" s="0" t="inlineStr">
        <is>
          <t>Hotel has no valet (rate field: None). Auto-class: not downtown (by flag or name). Qualitative pipeline only.</t>
        </is>
      </c>
    </row>
    <row r="253">
      <c r="A253" s="0" t="inlineStr">
        <is>
          <t>Placemakr Downtown Phoenix</t>
        </is>
      </c>
      <c r="B253" s="0" t="inlineStr">
        <is>
          <t>Hotel</t>
        </is>
      </c>
      <c r="C253" s="225" t="inlineStr">
        <is>
          <t>Hotel — Downtown Select-Service</t>
        </is>
      </c>
      <c r="D253" s="0" t="inlineStr"/>
      <c r="E253" s="0" t="inlineStr"/>
      <c r="F253" s="226" t="n">
        <v>0.6</v>
      </c>
      <c r="G253" s="0" t="inlineStr"/>
      <c r="H253" s="226" t="n">
        <v>0.25</v>
      </c>
      <c r="I253" s="0" t="inlineStr"/>
      <c r="J253" s="0" t="n">
        <v>360</v>
      </c>
      <c r="K253" s="0" t="inlineStr"/>
      <c r="L253" s="0" t="inlineStr"/>
      <c r="M253" s="0" t="inlineStr"/>
      <c r="N253" s="0" t="inlineStr">
        <is>
          <t>No Valet / TAM = $0</t>
        </is>
      </c>
      <c r="O253" s="0" t="inlineStr">
        <is>
          <t>Hotel has no valet (rate field: None). Auto-class: downtown full-service &lt;300 rooms [name-inferred downtown]. Qualitative pipeline only.</t>
        </is>
      </c>
    </row>
    <row r="254">
      <c r="A254" s="0" t="inlineStr">
        <is>
          <t>Sonder Mill Ave Apartments Tempe</t>
        </is>
      </c>
      <c r="B254" s="0" t="inlineStr">
        <is>
          <t>Hotel</t>
        </is>
      </c>
      <c r="C254" s="225" t="inlineStr">
        <is>
          <t>Hotel — Suburban/Airport</t>
        </is>
      </c>
      <c r="D254" s="0" t="inlineStr"/>
      <c r="E254" s="0" t="inlineStr"/>
      <c r="F254" s="226" t="n">
        <v>0.6</v>
      </c>
      <c r="G254" s="0" t="inlineStr"/>
      <c r="H254" s="226" t="n">
        <v>0.15</v>
      </c>
      <c r="I254" s="0" t="inlineStr"/>
      <c r="J254" s="0" t="n">
        <v>360</v>
      </c>
      <c r="K254" s="0" t="inlineStr"/>
      <c r="L254" s="0" t="inlineStr"/>
      <c r="M254" s="0" t="inlineStr"/>
      <c r="N254" s="0" t="inlineStr">
        <is>
          <t>No Valet / TAM = $0</t>
        </is>
      </c>
      <c r="O254" s="0" t="inlineStr">
        <is>
          <t>Hotel has no valet (rate field: None). Auto-class: not downtown (by flag or name). Qualitative pipeline only.</t>
        </is>
      </c>
    </row>
    <row r="255">
      <c r="A255" s="0" t="inlineStr">
        <is>
          <t>Sonder Ida Apartments Downtown</t>
        </is>
      </c>
      <c r="B255" s="0" t="inlineStr">
        <is>
          <t>Hotel</t>
        </is>
      </c>
      <c r="C255" s="225" t="inlineStr">
        <is>
          <t>Hotel — Downtown Select-Service</t>
        </is>
      </c>
      <c r="D255" s="0" t="inlineStr"/>
      <c r="E255" s="0" t="inlineStr"/>
      <c r="F255" s="226" t="n">
        <v>0.6</v>
      </c>
      <c r="G255" s="0" t="inlineStr"/>
      <c r="H255" s="226" t="n">
        <v>0.25</v>
      </c>
      <c r="I255" s="0" t="inlineStr"/>
      <c r="J255" s="0" t="n">
        <v>360</v>
      </c>
      <c r="K255" s="0" t="inlineStr"/>
      <c r="L255" s="0" t="inlineStr"/>
      <c r="M255" s="0" t="inlineStr"/>
      <c r="N255" s="0" t="inlineStr">
        <is>
          <t>No Valet / TAM = $0</t>
        </is>
      </c>
      <c r="O255" s="0" t="inlineStr">
        <is>
          <t>Hotel has no valet (rate field: None). Auto-class: downtown full-service &lt;300 rooms [name-inferred downtown]. Qualitative pipeline only.</t>
        </is>
      </c>
    </row>
    <row r="256">
      <c r="A256" s="0" t="inlineStr">
        <is>
          <t>Sentral Old Town</t>
        </is>
      </c>
      <c r="B256" s="0" t="inlineStr">
        <is>
          <t>Hotel</t>
        </is>
      </c>
      <c r="C256" s="225" t="inlineStr">
        <is>
          <t>Hotel — Suburban/Airport</t>
        </is>
      </c>
      <c r="D256" s="0" t="inlineStr"/>
      <c r="E256" s="0" t="inlineStr"/>
      <c r="F256" s="226" t="n">
        <v>0.6</v>
      </c>
      <c r="G256" s="0" t="inlineStr"/>
      <c r="H256" s="226" t="n">
        <v>0.15</v>
      </c>
      <c r="I256" s="0" t="inlineStr"/>
      <c r="J256" s="0" t="n">
        <v>360</v>
      </c>
      <c r="K256" s="0" t="inlineStr"/>
      <c r="L256" s="0" t="inlineStr"/>
      <c r="M256" s="0" t="inlineStr"/>
      <c r="N256" s="0" t="inlineStr">
        <is>
          <t>No Valet / TAM = $0</t>
        </is>
      </c>
      <c r="O256" s="0" t="inlineStr">
        <is>
          <t>Hotel has no valet (rate field: None). Auto-class: not downtown (by flag or name). Qualitative pipeline only.</t>
        </is>
      </c>
    </row>
    <row r="257">
      <c r="A257" s="0" t="inlineStr">
        <is>
          <t>The Grand Inn</t>
        </is>
      </c>
      <c r="B257" s="0" t="inlineStr">
        <is>
          <t>Hotel</t>
        </is>
      </c>
      <c r="C257" s="225" t="inlineStr">
        <is>
          <t>Hotel — Suburban/Airport</t>
        </is>
      </c>
      <c r="D257" s="0" t="inlineStr"/>
      <c r="E257" s="0" t="inlineStr"/>
      <c r="F257" s="226" t="n">
        <v>0.6</v>
      </c>
      <c r="G257" s="0" t="inlineStr"/>
      <c r="H257" s="226" t="n">
        <v>0.15</v>
      </c>
      <c r="I257" s="0" t="inlineStr"/>
      <c r="J257" s="0" t="n">
        <v>360</v>
      </c>
      <c r="K257" s="0" t="inlineStr"/>
      <c r="L257" s="0" t="inlineStr"/>
      <c r="M257" s="0" t="inlineStr"/>
      <c r="N257" s="0" t="inlineStr">
        <is>
          <t>No Valet / TAM = $0</t>
        </is>
      </c>
      <c r="O257" s="0" t="inlineStr">
        <is>
          <t>Hotel has no valet (rate field: None). Auto-class: not downtown (by flag or name). Qualitative pipeline only.</t>
        </is>
      </c>
    </row>
    <row r="258">
      <c r="A258" s="0" t="inlineStr">
        <is>
          <t>Hotel Solaya</t>
        </is>
      </c>
      <c r="B258" s="0" t="inlineStr">
        <is>
          <t>Hotel</t>
        </is>
      </c>
      <c r="C258" s="225" t="inlineStr">
        <is>
          <t>Hotel — Suburban/Airport</t>
        </is>
      </c>
      <c r="D258" s="0" t="inlineStr"/>
      <c r="E258" s="0" t="inlineStr"/>
      <c r="F258" s="226" t="n">
        <v>0.6</v>
      </c>
      <c r="G258" s="0" t="inlineStr"/>
      <c r="H258" s="226" t="n">
        <v>0.15</v>
      </c>
      <c r="I258" s="0" t="inlineStr"/>
      <c r="J258" s="0" t="n">
        <v>360</v>
      </c>
      <c r="K258" s="0" t="inlineStr"/>
      <c r="L258" s="0" t="inlineStr"/>
      <c r="M258" s="0" t="inlineStr"/>
      <c r="N258" s="0" t="inlineStr">
        <is>
          <t>No Valet / TAM = $0</t>
        </is>
      </c>
      <c r="O258" s="0" t="inlineStr">
        <is>
          <t>Hotel has no valet (rate field: None). Auto-class: not downtown (by flag or name). Qualitative pipeline only.</t>
        </is>
      </c>
    </row>
    <row r="259">
      <c r="A259" s="0" t="inlineStr">
        <is>
          <t>Papago Hotel by Reside, Trademark Collection by Wyndham</t>
        </is>
      </c>
      <c r="B259" s="0" t="inlineStr">
        <is>
          <t>Hotel</t>
        </is>
      </c>
      <c r="C259" s="225" t="inlineStr">
        <is>
          <t>Hotel — Suburban/Airport</t>
        </is>
      </c>
      <c r="D259" s="0" t="inlineStr"/>
      <c r="E259" s="0" t="inlineStr"/>
      <c r="F259" s="226" t="n">
        <v>0.6</v>
      </c>
      <c r="G259" s="0" t="inlineStr"/>
      <c r="H259" s="226" t="n">
        <v>0.15</v>
      </c>
      <c r="I259" s="0" t="inlineStr"/>
      <c r="J259" s="0" t="n">
        <v>360</v>
      </c>
      <c r="K259" s="0" t="inlineStr"/>
      <c r="L259" s="0" t="inlineStr"/>
      <c r="M259" s="0" t="inlineStr"/>
      <c r="N259" s="0" t="inlineStr">
        <is>
          <t>No Valet / TAM = $0</t>
        </is>
      </c>
      <c r="O259" s="0" t="inlineStr">
        <is>
          <t>Hotel has no valet (rate field: None). Auto-class: not downtown (by flag or name). Qualitative pipeline only.</t>
        </is>
      </c>
    </row>
    <row r="260">
      <c r="A260" s="0" t="inlineStr">
        <is>
          <t>The Edith</t>
        </is>
      </c>
      <c r="B260" s="0" t="inlineStr">
        <is>
          <t>Hotel</t>
        </is>
      </c>
      <c r="C260" s="225" t="inlineStr">
        <is>
          <t>Hotel — Suburban/Airport</t>
        </is>
      </c>
      <c r="D260" s="0" t="inlineStr"/>
      <c r="E260" s="0" t="inlineStr"/>
      <c r="F260" s="226" t="n">
        <v>0.6</v>
      </c>
      <c r="G260" s="0" t="inlineStr"/>
      <c r="H260" s="226" t="n">
        <v>0.15</v>
      </c>
      <c r="I260" s="0" t="inlineStr"/>
      <c r="J260" s="0" t="n">
        <v>360</v>
      </c>
      <c r="K260" s="0" t="inlineStr"/>
      <c r="L260" s="0" t="inlineStr"/>
      <c r="M260" s="0" t="inlineStr"/>
      <c r="N260" s="0" t="inlineStr">
        <is>
          <t>No Valet / TAM = $0</t>
        </is>
      </c>
      <c r="O260" s="0" t="inlineStr">
        <is>
          <t>Hotel has no valet (rate field: None). Auto-class: not downtown (by flag or name). Qualitative pipeline only.</t>
        </is>
      </c>
    </row>
    <row r="261">
      <c r="A261" s="0" t="inlineStr">
        <is>
          <t>Alloy Midtown</t>
        </is>
      </c>
      <c r="B261" s="0" t="inlineStr">
        <is>
          <t>Hotel</t>
        </is>
      </c>
      <c r="C261" s="225" t="inlineStr">
        <is>
          <t>Hotel — Suburban/Airport</t>
        </is>
      </c>
      <c r="D261" s="0" t="inlineStr"/>
      <c r="E261" s="0" t="inlineStr"/>
      <c r="F261" s="226" t="n">
        <v>0.6</v>
      </c>
      <c r="G261" s="0" t="inlineStr"/>
      <c r="H261" s="226" t="n">
        <v>0.15</v>
      </c>
      <c r="I261" s="0" t="inlineStr"/>
      <c r="J261" s="0" t="n">
        <v>360</v>
      </c>
      <c r="K261" s="0" t="inlineStr"/>
      <c r="L261" s="0" t="inlineStr"/>
      <c r="M261" s="0" t="inlineStr"/>
      <c r="N261" s="0" t="inlineStr">
        <is>
          <t>No Valet / TAM = $0</t>
        </is>
      </c>
      <c r="O261" s="0" t="inlineStr">
        <is>
          <t>Hotel has no valet (rate field: None). Auto-class: not downtown (by flag or name). Qualitative pipeline only.</t>
        </is>
      </c>
    </row>
    <row r="262">
      <c r="A262" s="0" t="inlineStr">
        <is>
          <t>W2ND Historic Inn</t>
        </is>
      </c>
      <c r="B262" s="0" t="inlineStr">
        <is>
          <t>Hotel</t>
        </is>
      </c>
      <c r="C262" s="225" t="inlineStr">
        <is>
          <t>Hotel — Suburban/Airport</t>
        </is>
      </c>
      <c r="D262" s="0" t="inlineStr"/>
      <c r="E262" s="0" t="inlineStr"/>
      <c r="F262" s="226" t="n">
        <v>0.6</v>
      </c>
      <c r="G262" s="0" t="inlineStr"/>
      <c r="H262" s="226" t="n">
        <v>0.15</v>
      </c>
      <c r="I262" s="0" t="inlineStr"/>
      <c r="J262" s="0" t="n">
        <v>360</v>
      </c>
      <c r="K262" s="0" t="inlineStr"/>
      <c r="L262" s="0" t="inlineStr"/>
      <c r="M262" s="0" t="inlineStr"/>
      <c r="N262" s="0" t="inlineStr">
        <is>
          <t>No Valet / TAM = $0</t>
        </is>
      </c>
      <c r="O262" s="0" t="inlineStr">
        <is>
          <t>Hotel has no valet (rate field: None). Auto-class: not downtown (by flag or name). Qualitative pipeline only.</t>
        </is>
      </c>
    </row>
    <row r="263">
      <c r="A263" s="0" t="inlineStr">
        <is>
          <t>Recess Hotel &amp; Club Phoenix</t>
        </is>
      </c>
      <c r="B263" s="0" t="inlineStr">
        <is>
          <t>Hotel</t>
        </is>
      </c>
      <c r="C263" s="225" t="inlineStr">
        <is>
          <t>Hotel — Suburban/Airport</t>
        </is>
      </c>
      <c r="D263" s="0" t="inlineStr"/>
      <c r="E263" s="0" t="inlineStr"/>
      <c r="F263" s="226" t="n">
        <v>0.6</v>
      </c>
      <c r="G263" s="0" t="inlineStr"/>
      <c r="H263" s="226" t="n">
        <v>0.15</v>
      </c>
      <c r="I263" s="0" t="inlineStr"/>
      <c r="J263" s="0" t="n">
        <v>360</v>
      </c>
      <c r="K263" s="0" t="inlineStr"/>
      <c r="L263" s="0" t="inlineStr"/>
      <c r="M263" s="0" t="inlineStr"/>
      <c r="N263" s="0" t="inlineStr">
        <is>
          <t>No Valet / TAM = $0</t>
        </is>
      </c>
      <c r="O263" s="0" t="inlineStr">
        <is>
          <t>Hotel has no valet (rate field: None). Auto-class: not downtown (by flag or name). Qualitative pipeline only.</t>
        </is>
      </c>
    </row>
    <row r="264">
      <c r="A264" s="0" t="inlineStr">
        <is>
          <t>SLS Scottsdale</t>
        </is>
      </c>
      <c r="B264" s="0" t="inlineStr">
        <is>
          <t>Hotel</t>
        </is>
      </c>
      <c r="C264" s="225" t="inlineStr">
        <is>
          <t>Hotel — Suburban/Airport</t>
        </is>
      </c>
      <c r="D264" s="0" t="inlineStr"/>
      <c r="E264" s="0" t="inlineStr"/>
      <c r="F264" s="226" t="n">
        <v>0.6</v>
      </c>
      <c r="G264" s="0" t="inlineStr"/>
      <c r="H264" s="226" t="n">
        <v>0.15</v>
      </c>
      <c r="I264" s="0" t="inlineStr"/>
      <c r="J264" s="0" t="n">
        <v>360</v>
      </c>
      <c r="K264" s="0" t="inlineStr"/>
      <c r="L264" s="0" t="inlineStr"/>
      <c r="M264" s="0" t="inlineStr"/>
      <c r="N264" s="0" t="inlineStr">
        <is>
          <t>No Valet / TAM = $0</t>
        </is>
      </c>
      <c r="O264" s="0" t="inlineStr">
        <is>
          <t>Hotel has no valet (rate field: None). Auto-class: not downtown (by flag or name). Qualitative pipeline only.</t>
        </is>
      </c>
    </row>
    <row r="265">
      <c r="A265" s="0" t="inlineStr">
        <is>
          <t>Phoenix Tempe, Autograph Collection</t>
        </is>
      </c>
      <c r="B265" s="0" t="inlineStr">
        <is>
          <t>Hotel</t>
        </is>
      </c>
      <c r="C265" s="225" t="inlineStr">
        <is>
          <t>Hotel — Suburban/Airport</t>
        </is>
      </c>
      <c r="D265" s="0" t="inlineStr"/>
      <c r="E265" s="0" t="inlineStr"/>
      <c r="F265" s="226" t="n">
        <v>0.6</v>
      </c>
      <c r="G265" s="0" t="inlineStr"/>
      <c r="H265" s="226" t="n">
        <v>0.15</v>
      </c>
      <c r="I265" s="0" t="inlineStr"/>
      <c r="J265" s="0" t="n">
        <v>360</v>
      </c>
      <c r="K265" s="0" t="inlineStr"/>
      <c r="L265" s="0" t="inlineStr"/>
      <c r="M265" s="0" t="inlineStr"/>
      <c r="N265" s="0" t="inlineStr">
        <is>
          <t>No Valet / TAM = $0</t>
        </is>
      </c>
      <c r="O265" s="0" t="inlineStr">
        <is>
          <t>Hotel has no valet (rate field: None). Auto-class: not downtown (by flag or name). Qualitative pipeline only.</t>
        </is>
      </c>
    </row>
    <row r="266">
      <c r="A266" s="0" t="inlineStr">
        <is>
          <t>Astra Phoenix</t>
        </is>
      </c>
      <c r="B266" s="0" t="inlineStr">
        <is>
          <t>Hotel</t>
        </is>
      </c>
      <c r="C266" s="225" t="inlineStr">
        <is>
          <t>Hotel — Suburban/Airport</t>
        </is>
      </c>
      <c r="D266" s="0" t="inlineStr"/>
      <c r="E266" s="0" t="inlineStr"/>
      <c r="F266" s="226" t="n">
        <v>0.6</v>
      </c>
      <c r="G266" s="0" t="inlineStr"/>
      <c r="H266" s="226" t="n">
        <v>0.15</v>
      </c>
      <c r="I266" s="0" t="inlineStr"/>
      <c r="J266" s="0" t="n">
        <v>360</v>
      </c>
      <c r="K266" s="0" t="inlineStr"/>
      <c r="L266" s="0" t="inlineStr"/>
      <c r="M266" s="0" t="inlineStr"/>
      <c r="N266" s="0" t="inlineStr">
        <is>
          <t>No Valet / TAM = $0</t>
        </is>
      </c>
      <c r="O266" s="0" t="inlineStr">
        <is>
          <t>Hotel has no valet (rate field: None). Auto-class: not downtown (by flag or name). Qualitative pipeline only.</t>
        </is>
      </c>
    </row>
    <row r="267">
      <c r="A267" s="0" t="inlineStr">
        <is>
          <t>Atari Hotels Phoenix</t>
        </is>
      </c>
      <c r="B267" s="0" t="inlineStr">
        <is>
          <t>Hotel</t>
        </is>
      </c>
      <c r="C267" s="225" t="inlineStr">
        <is>
          <t>Hotel — Suburban/Airport</t>
        </is>
      </c>
      <c r="D267" s="0" t="inlineStr"/>
      <c r="E267" s="0" t="inlineStr"/>
      <c r="F267" s="226" t="n">
        <v>0.6</v>
      </c>
      <c r="G267" s="0" t="inlineStr"/>
      <c r="H267" s="226" t="n">
        <v>0.15</v>
      </c>
      <c r="I267" s="0" t="inlineStr"/>
      <c r="J267" s="0" t="n">
        <v>360</v>
      </c>
      <c r="K267" s="0" t="inlineStr"/>
      <c r="L267" s="0" t="inlineStr"/>
      <c r="M267" s="0" t="inlineStr"/>
      <c r="N267" s="0" t="inlineStr">
        <is>
          <t>No Valet / TAM = $0</t>
        </is>
      </c>
      <c r="O267" s="0" t="inlineStr">
        <is>
          <t>Hotel has no valet (rate field: None). Auto-class: not downtown (by flag or name). Qualitative pipeline only.</t>
        </is>
      </c>
    </row>
    <row r="268">
      <c r="A268" s="0" t="inlineStr">
        <is>
          <t>Museum Square Hotel</t>
        </is>
      </c>
      <c r="B268" s="0" t="inlineStr">
        <is>
          <t>Hotel</t>
        </is>
      </c>
      <c r="C268" s="225" t="inlineStr">
        <is>
          <t>Hotel — Suburban/Airport</t>
        </is>
      </c>
      <c r="D268" s="0" t="inlineStr"/>
      <c r="E268" s="0" t="inlineStr"/>
      <c r="F268" s="226" t="n">
        <v>0.6</v>
      </c>
      <c r="G268" s="0" t="inlineStr"/>
      <c r="H268" s="226" t="n">
        <v>0.15</v>
      </c>
      <c r="I268" s="0" t="inlineStr"/>
      <c r="J268" s="0" t="n">
        <v>360</v>
      </c>
      <c r="K268" s="0" t="inlineStr"/>
      <c r="L268" s="0" t="inlineStr"/>
      <c r="M268" s="0" t="inlineStr"/>
      <c r="N268" s="0" t="inlineStr">
        <is>
          <t>No Valet / TAM = $0</t>
        </is>
      </c>
      <c r="O268" s="0" t="inlineStr">
        <is>
          <t>Hotel has no valet (rate field: None). Auto-class: not downtown (by flag or name). Qualitative pipeline only.</t>
        </is>
      </c>
    </row>
    <row r="269">
      <c r="A269" s="0" t="inlineStr">
        <is>
          <t>Glo</t>
        </is>
      </c>
      <c r="B269" s="0" t="inlineStr">
        <is>
          <t>Hotel</t>
        </is>
      </c>
      <c r="C269" s="225" t="inlineStr">
        <is>
          <t>Hotel — Suburban/Airport</t>
        </is>
      </c>
      <c r="D269" s="0" t="inlineStr"/>
      <c r="E269" s="0" t="inlineStr"/>
      <c r="F269" s="226" t="n">
        <v>0.6</v>
      </c>
      <c r="G269" s="0" t="inlineStr"/>
      <c r="H269" s="226" t="n">
        <v>0.15</v>
      </c>
      <c r="I269" s="0" t="inlineStr"/>
      <c r="J269" s="0" t="n">
        <v>360</v>
      </c>
      <c r="K269" s="0" t="inlineStr"/>
      <c r="L269" s="0" t="inlineStr"/>
      <c r="M269" s="0" t="inlineStr"/>
      <c r="N269" s="0" t="inlineStr">
        <is>
          <t>No Valet / TAM = $0</t>
        </is>
      </c>
      <c r="O269" s="0" t="inlineStr">
        <is>
          <t>Hotel has no valet (rate field: None). Auto-class: not downtown (by flag or name). Qualitative pipeline only.</t>
        </is>
      </c>
    </row>
    <row r="270">
      <c r="A270" s="0" t="inlineStr">
        <is>
          <t>Filthy Animal</t>
        </is>
      </c>
      <c r="B270" s="0" t="inlineStr">
        <is>
          <t>Restaurant</t>
        </is>
      </c>
      <c r="C270" s="228" t="inlineStr">
        <is>
          <t>Restaurant — Excluded</t>
        </is>
      </c>
      <c r="D270" s="0" t="inlineStr"/>
      <c r="E270" s="0" t="inlineStr"/>
      <c r="F270" s="0" t="inlineStr"/>
      <c r="G270" s="0" t="inlineStr"/>
      <c r="H270" s="0" t="inlineStr"/>
      <c r="I270" s="227" t="n">
        <v>30</v>
      </c>
      <c r="J270" s="0" t="inlineStr"/>
      <c r="K270" s="0" t="inlineStr"/>
      <c r="L270" s="0" t="inlineStr"/>
      <c r="M270" s="0" t="inlineStr"/>
      <c r="N270" s="0" t="inlineStr">
        <is>
          <t>EXCLUDED — no active valet / not eligible</t>
        </is>
      </c>
      <c r="O270" s="0" t="inlineStr">
        <is>
          <t>Not in eligible FD universe (steakhouse/fine dining with active independent valet)</t>
        </is>
      </c>
    </row>
    <row r="271">
      <c r="A271" s="0" t="inlineStr">
        <is>
          <t>Culinary Dropout - Tempe</t>
        </is>
      </c>
      <c r="B271" s="0" t="inlineStr">
        <is>
          <t>Restaurant</t>
        </is>
      </c>
      <c r="C271" s="228" t="inlineStr">
        <is>
          <t>Restaurant — Excluded</t>
        </is>
      </c>
      <c r="D271" s="0" t="inlineStr"/>
      <c r="E271" s="0" t="inlineStr"/>
      <c r="F271" s="0" t="inlineStr"/>
      <c r="G271" s="0" t="inlineStr"/>
      <c r="H271" s="0" t="inlineStr"/>
      <c r="I271" s="227" t="n">
        <v>30</v>
      </c>
      <c r="J271" s="0" t="inlineStr"/>
      <c r="K271" s="0" t="inlineStr"/>
      <c r="L271" s="0" t="inlineStr"/>
      <c r="M271" s="0" t="inlineStr"/>
      <c r="N271" s="0" t="inlineStr">
        <is>
          <t>EXCLUDED — no active valet / not eligible</t>
        </is>
      </c>
      <c r="O271" s="0" t="inlineStr">
        <is>
          <t>Not in eligible FD universe (steakhouse/fine dining with active independent valet)</t>
        </is>
      </c>
    </row>
    <row r="272">
      <c r="A272" s="0" t="inlineStr">
        <is>
          <t>Three Thirty Three Restaurant</t>
        </is>
      </c>
      <c r="B272" s="0" t="inlineStr">
        <is>
          <t>Restaurant</t>
        </is>
      </c>
      <c r="C272" s="228" t="inlineStr">
        <is>
          <t>Restaurant — Upscale American</t>
        </is>
      </c>
      <c r="D272" s="0" t="inlineStr"/>
      <c r="E272" s="0" t="n">
        <v>200</v>
      </c>
      <c r="F272" s="0" t="inlineStr"/>
      <c r="G272" s="0" t="n">
        <v>1.5</v>
      </c>
      <c r="H272" s="226" t="n">
        <v>0.125</v>
      </c>
      <c r="I272" s="227" t="n">
        <v>30</v>
      </c>
      <c r="J272" s="0" t="n">
        <v>250</v>
      </c>
      <c r="K272" s="226" t="n">
        <v>1.08</v>
      </c>
      <c r="L272" s="227" t="n">
        <v>675</v>
      </c>
      <c r="M272" s="227" t="n">
        <v>182250</v>
      </c>
      <c r="N272" s="0" t="inlineStr">
        <is>
          <t>Active TAM (LOW confidence)</t>
        </is>
      </c>
      <c r="O272" s="0" t="inlineStr">
        <is>
          <t>Scottsdale — paid valet | workbook 'Has Valet' flag; default FD estimate</t>
        </is>
      </c>
    </row>
    <row r="273">
      <c r="A273" s="0" t="inlineStr">
        <is>
          <t>North Italia</t>
        </is>
      </c>
      <c r="B273" s="0" t="inlineStr">
        <is>
          <t>Restaurant</t>
        </is>
      </c>
      <c r="C273" s="228" t="inlineStr">
        <is>
          <t>Restaurant — Upscale Italian</t>
        </is>
      </c>
      <c r="D273" s="0" t="inlineStr"/>
      <c r="E273" s="0" t="n">
        <v>300</v>
      </c>
      <c r="F273" s="0" t="inlineStr"/>
      <c r="G273" s="0" t="n">
        <v>1.5</v>
      </c>
      <c r="H273" s="226" t="n">
        <v>0.125</v>
      </c>
      <c r="I273" s="227" t="n">
        <v>30</v>
      </c>
      <c r="J273" s="0" t="n">
        <v>250</v>
      </c>
      <c r="K273" s="226" t="n">
        <v>1.08</v>
      </c>
      <c r="L273" s="227" t="n">
        <v>1012.5</v>
      </c>
      <c r="M273" s="227" t="n">
        <v>273375</v>
      </c>
      <c r="N273" s="0" t="inlineStr">
        <is>
          <t>Active TAM (MED confidence)</t>
        </is>
      </c>
      <c r="O273" s="0" t="inlineStr">
        <is>
          <t>Scottsdale Fashion Square — Has Valet | Fox Restaurant concepts std ~280-320 seats</t>
        </is>
      </c>
    </row>
    <row r="274">
      <c r="A274" s="0" t="inlineStr">
        <is>
          <t>Top of the Rock Restaurant</t>
        </is>
      </c>
      <c r="B274" s="0" t="inlineStr">
        <is>
          <t>Restaurant</t>
        </is>
      </c>
      <c r="C274" s="228" t="inlineStr">
        <is>
          <t>Restaurant — Excluded</t>
        </is>
      </c>
      <c r="D274" s="0" t="inlineStr"/>
      <c r="E274" s="0" t="inlineStr"/>
      <c r="F274" s="0" t="inlineStr"/>
      <c r="G274" s="0" t="inlineStr"/>
      <c r="H274" s="0" t="inlineStr"/>
      <c r="I274" s="0" t="inlineStr"/>
      <c r="J274" s="0" t="inlineStr"/>
      <c r="K274" s="0" t="inlineStr"/>
      <c r="L274" s="0" t="inlineStr"/>
      <c r="M274" s="0" t="inlineStr"/>
      <c r="N274" s="0" t="inlineStr">
        <is>
          <t>EXCLUDED — no active valet / not eligible</t>
        </is>
      </c>
      <c r="O274" s="0" t="inlineStr">
        <is>
          <t>Not in eligible FD universe (steakhouse/fine dining with active independent valet)</t>
        </is>
      </c>
    </row>
    <row r="275">
      <c r="A275" s="0" t="inlineStr">
        <is>
          <t>Postino Annex</t>
        </is>
      </c>
      <c r="B275" s="0" t="inlineStr">
        <is>
          <t>Restaurant</t>
        </is>
      </c>
      <c r="C275" s="228" t="inlineStr">
        <is>
          <t>Restaurant — Excluded</t>
        </is>
      </c>
      <c r="D275" s="0" t="inlineStr"/>
      <c r="E275" s="0" t="inlineStr"/>
      <c r="F275" s="0" t="inlineStr"/>
      <c r="G275" s="0" t="inlineStr"/>
      <c r="H275" s="0" t="inlineStr"/>
      <c r="I275" s="0" t="inlineStr"/>
      <c r="J275" s="0" t="inlineStr"/>
      <c r="K275" s="0" t="inlineStr"/>
      <c r="L275" s="0" t="inlineStr"/>
      <c r="M275" s="0" t="inlineStr"/>
      <c r="N275" s="0" t="inlineStr">
        <is>
          <t>EXCLUDED — no active valet / not eligible</t>
        </is>
      </c>
      <c r="O275" s="0" t="inlineStr">
        <is>
          <t>Not in eligible FD universe (steakhouse/fine dining with active independent valet)</t>
        </is>
      </c>
    </row>
    <row r="276">
      <c r="A276" s="0" t="inlineStr">
        <is>
          <t>Society</t>
        </is>
      </c>
      <c r="B276" s="0" t="inlineStr">
        <is>
          <t>Restaurant</t>
        </is>
      </c>
      <c r="C276" s="228" t="inlineStr">
        <is>
          <t>Restaurant — Excluded</t>
        </is>
      </c>
      <c r="D276" s="0" t="inlineStr"/>
      <c r="E276" s="0" t="inlineStr"/>
      <c r="F276" s="0" t="inlineStr"/>
      <c r="G276" s="0" t="inlineStr"/>
      <c r="H276" s="0" t="inlineStr"/>
      <c r="I276" s="0" t="inlineStr"/>
      <c r="J276" s="0" t="inlineStr"/>
      <c r="K276" s="0" t="inlineStr"/>
      <c r="L276" s="0" t="inlineStr"/>
      <c r="M276" s="0" t="inlineStr"/>
      <c r="N276" s="0" t="inlineStr">
        <is>
          <t>EXCLUDED — no active valet / not eligible</t>
        </is>
      </c>
      <c r="O276" s="0" t="inlineStr">
        <is>
          <t>Not in eligible FD universe (steakhouse/fine dining with active independent valet)</t>
        </is>
      </c>
    </row>
    <row r="277">
      <c r="A277" s="0" t="inlineStr">
        <is>
          <t>Roman</t>
        </is>
      </c>
      <c r="B277" s="0" t="inlineStr">
        <is>
          <t>Restaurant</t>
        </is>
      </c>
      <c r="C277" s="228" t="inlineStr">
        <is>
          <t>Restaurant — Excluded</t>
        </is>
      </c>
      <c r="D277" s="0" t="inlineStr"/>
      <c r="E277" s="0" t="inlineStr"/>
      <c r="F277" s="0" t="inlineStr"/>
      <c r="G277" s="0" t="inlineStr"/>
      <c r="H277" s="0" t="inlineStr"/>
      <c r="I277" s="0" t="inlineStr"/>
      <c r="J277" s="0" t="inlineStr"/>
      <c r="K277" s="0" t="inlineStr"/>
      <c r="L277" s="0" t="inlineStr"/>
      <c r="M277" s="0" t="inlineStr"/>
      <c r="N277" s="0" t="inlineStr">
        <is>
          <t>EXCLUDED — no active valet / not eligible</t>
        </is>
      </c>
      <c r="O277" s="0" t="inlineStr">
        <is>
          <t>Not in eligible FD universe (steakhouse/fine dining with active independent valet)</t>
        </is>
      </c>
    </row>
    <row r="278">
      <c r="A278" s="0" t="inlineStr">
        <is>
          <t>AZ88</t>
        </is>
      </c>
      <c r="B278" s="0" t="inlineStr">
        <is>
          <t>Restaurant</t>
        </is>
      </c>
      <c r="C278" s="228" t="inlineStr">
        <is>
          <t>Restaurant — Excluded</t>
        </is>
      </c>
      <c r="D278" s="0" t="inlineStr"/>
      <c r="E278" s="0" t="inlineStr"/>
      <c r="F278" s="0" t="inlineStr"/>
      <c r="G278" s="0" t="inlineStr"/>
      <c r="H278" s="0" t="inlineStr"/>
      <c r="I278" s="0" t="inlineStr"/>
      <c r="J278" s="0" t="inlineStr"/>
      <c r="K278" s="0" t="inlineStr"/>
      <c r="L278" s="0" t="inlineStr"/>
      <c r="M278" s="0" t="inlineStr"/>
      <c r="N278" s="0" t="inlineStr">
        <is>
          <t>EXCLUDED — no active valet / not eligible</t>
        </is>
      </c>
      <c r="O278" s="0" t="inlineStr">
        <is>
          <t>Not in eligible FD universe (steakhouse/fine dining with active independent valet)</t>
        </is>
      </c>
    </row>
    <row r="279">
      <c r="A279" s="0" t="inlineStr">
        <is>
          <t>The Mission Old Town</t>
        </is>
      </c>
      <c r="B279" s="0" t="inlineStr">
        <is>
          <t>Restaurant</t>
        </is>
      </c>
      <c r="C279" s="228" t="inlineStr">
        <is>
          <t>Restaurant — Excluded</t>
        </is>
      </c>
      <c r="D279" s="0" t="inlineStr"/>
      <c r="E279" s="0" t="inlineStr"/>
      <c r="F279" s="0" t="inlineStr"/>
      <c r="G279" s="0" t="inlineStr"/>
      <c r="H279" s="0" t="inlineStr"/>
      <c r="I279" s="0" t="inlineStr"/>
      <c r="J279" s="0" t="inlineStr"/>
      <c r="K279" s="0" t="inlineStr"/>
      <c r="L279" s="0" t="inlineStr"/>
      <c r="M279" s="0" t="inlineStr"/>
      <c r="N279" s="0" t="inlineStr">
        <is>
          <t>EXCLUDED — no active valet / not eligible</t>
        </is>
      </c>
      <c r="O279" s="0" t="inlineStr">
        <is>
          <t>Not in eligible FD universe (steakhouse/fine dining with active independent valet)</t>
        </is>
      </c>
    </row>
    <row r="280">
      <c r="A280" s="0" t="inlineStr">
        <is>
          <t>STK Steakhouse - Scottsdale</t>
        </is>
      </c>
      <c r="B280" s="0" t="inlineStr">
        <is>
          <t>Restaurant</t>
        </is>
      </c>
      <c r="C280" s="228" t="inlineStr">
        <is>
          <t>Restaurant — Steakhouse — modern</t>
        </is>
      </c>
      <c r="D280" s="0" t="inlineStr"/>
      <c r="E280" s="0" t="n">
        <v>275</v>
      </c>
      <c r="F280" s="0" t="inlineStr"/>
      <c r="G280" s="0" t="n">
        <v>1.5</v>
      </c>
      <c r="H280" s="226" t="n">
        <v>0.125</v>
      </c>
      <c r="I280" s="227" t="n">
        <v>30</v>
      </c>
      <c r="J280" s="0" t="n">
        <v>250</v>
      </c>
      <c r="K280" s="226" t="n">
        <v>1.08</v>
      </c>
      <c r="L280" s="227" t="n">
        <v>928.125</v>
      </c>
      <c r="M280" s="227" t="n">
        <v>250593.75</v>
      </c>
      <c r="N280" s="0" t="inlineStr">
        <is>
          <t>Active TAM (MED confidence)</t>
        </is>
      </c>
      <c r="O280" s="0" t="inlineStr">
        <is>
          <t>SOPHI current operator (+1.0 lift) — Scottsdale | ONE Group brand std</t>
        </is>
      </c>
    </row>
    <row r="281">
      <c r="A281" s="0" t="inlineStr">
        <is>
          <t>Uchi Scottsdale</t>
        </is>
      </c>
      <c r="B281" s="0" t="inlineStr">
        <is>
          <t>Restaurant</t>
        </is>
      </c>
      <c r="C281" s="228" t="inlineStr">
        <is>
          <t>Restaurant — Excluded</t>
        </is>
      </c>
      <c r="D281" s="0" t="inlineStr"/>
      <c r="E281" s="0" t="inlineStr"/>
      <c r="F281" s="0" t="inlineStr"/>
      <c r="G281" s="0" t="inlineStr"/>
      <c r="H281" s="0" t="inlineStr"/>
      <c r="I281" s="0" t="inlineStr"/>
      <c r="J281" s="0" t="inlineStr"/>
      <c r="K281" s="0" t="inlineStr"/>
      <c r="L281" s="0" t="inlineStr"/>
      <c r="M281" s="0" t="inlineStr"/>
      <c r="N281" s="0" t="inlineStr">
        <is>
          <t>EXCLUDED — no active valet / not eligible</t>
        </is>
      </c>
      <c r="O281" s="0" t="inlineStr">
        <is>
          <t>Not in eligible FD universe (steakhouse/fine dining with active independent valet)</t>
        </is>
      </c>
    </row>
    <row r="282">
      <c r="A282" s="0" t="inlineStr">
        <is>
          <t>HULA'S Modern Tiki Scottsdale</t>
        </is>
      </c>
      <c r="B282" s="0" t="inlineStr">
        <is>
          <t>Restaurant</t>
        </is>
      </c>
      <c r="C282" s="228" t="inlineStr">
        <is>
          <t>Restaurant — Excluded</t>
        </is>
      </c>
      <c r="D282" s="0" t="inlineStr"/>
      <c r="E282" s="0" t="inlineStr"/>
      <c r="F282" s="0" t="inlineStr"/>
      <c r="G282" s="0" t="inlineStr"/>
      <c r="H282" s="0" t="inlineStr"/>
      <c r="I282" s="0" t="inlineStr"/>
      <c r="J282" s="0" t="inlineStr"/>
      <c r="K282" s="0" t="inlineStr"/>
      <c r="L282" s="0" t="inlineStr"/>
      <c r="M282" s="0" t="inlineStr"/>
      <c r="N282" s="0" t="inlineStr">
        <is>
          <t>EXCLUDED — no active valet / not eligible</t>
        </is>
      </c>
      <c r="O282" s="0" t="inlineStr">
        <is>
          <t>Not in eligible FD universe (steakhouse/fine dining with active independent valet)</t>
        </is>
      </c>
    </row>
    <row r="283">
      <c r="A283" s="0" t="inlineStr">
        <is>
          <t>FnB Restaurant</t>
        </is>
      </c>
      <c r="B283" s="0" t="inlineStr">
        <is>
          <t>Restaurant</t>
        </is>
      </c>
      <c r="C283" s="228" t="inlineStr">
        <is>
          <t>Restaurant — Excluded</t>
        </is>
      </c>
      <c r="D283" s="0" t="inlineStr"/>
      <c r="E283" s="0" t="inlineStr"/>
      <c r="F283" s="0" t="inlineStr"/>
      <c r="G283" s="0" t="inlineStr"/>
      <c r="H283" s="0" t="inlineStr"/>
      <c r="I283" s="0" t="inlineStr"/>
      <c r="J283" s="0" t="inlineStr"/>
      <c r="K283" s="0" t="inlineStr"/>
      <c r="L283" s="0" t="inlineStr"/>
      <c r="M283" s="0" t="inlineStr"/>
      <c r="N283" s="0" t="inlineStr">
        <is>
          <t>EXCLUDED — no active valet / not eligible</t>
        </is>
      </c>
      <c r="O283" s="0" t="inlineStr">
        <is>
          <t>Not in eligible FD universe (steakhouse/fine dining with active independent valet)</t>
        </is>
      </c>
    </row>
    <row r="284">
      <c r="A284" s="0" t="inlineStr">
        <is>
          <t>Bourbon &amp; Bones Chophouse | Bar</t>
        </is>
      </c>
      <c r="B284" s="0" t="inlineStr">
        <is>
          <t>Restaurant</t>
        </is>
      </c>
      <c r="C284" s="228" t="inlineStr">
        <is>
          <t>Restaurant — Excluded</t>
        </is>
      </c>
      <c r="D284" s="0" t="inlineStr"/>
      <c r="E284" s="0" t="inlineStr"/>
      <c r="F284" s="0" t="inlineStr"/>
      <c r="G284" s="0" t="inlineStr"/>
      <c r="H284" s="0" t="inlineStr"/>
      <c r="I284" s="0" t="inlineStr"/>
      <c r="J284" s="0" t="inlineStr"/>
      <c r="K284" s="0" t="inlineStr"/>
      <c r="L284" s="0" t="inlineStr"/>
      <c r="M284" s="0" t="inlineStr"/>
      <c r="N284" s="0" t="inlineStr">
        <is>
          <t>EXCLUDED — no active valet / not eligible</t>
        </is>
      </c>
      <c r="O284" s="0" t="inlineStr">
        <is>
          <t>Not in eligible FD universe (steakhouse/fine dining with active independent valet)</t>
        </is>
      </c>
    </row>
    <row r="285">
      <c r="A285" s="0" t="inlineStr">
        <is>
          <t>Liquor Pig - Kitchen &amp; Cocktails</t>
        </is>
      </c>
      <c r="B285" s="0" t="inlineStr">
        <is>
          <t>Restaurant</t>
        </is>
      </c>
      <c r="C285" s="228" t="inlineStr">
        <is>
          <t>Restaurant — Excluded</t>
        </is>
      </c>
      <c r="D285" s="0" t="inlineStr"/>
      <c r="E285" s="0" t="inlineStr"/>
      <c r="F285" s="0" t="inlineStr"/>
      <c r="G285" s="0" t="inlineStr"/>
      <c r="H285" s="0" t="inlineStr"/>
      <c r="I285" s="0" t="inlineStr"/>
      <c r="J285" s="0" t="inlineStr"/>
      <c r="K285" s="0" t="inlineStr"/>
      <c r="L285" s="0" t="inlineStr"/>
      <c r="M285" s="0" t="inlineStr"/>
      <c r="N285" s="0" t="inlineStr">
        <is>
          <t>EXCLUDED — no active valet / not eligible</t>
        </is>
      </c>
      <c r="O285" s="0" t="inlineStr">
        <is>
          <t>Not in eligible FD universe (steakhouse/fine dining with active independent valet)</t>
        </is>
      </c>
    </row>
    <row r="286">
      <c r="A286" s="0" t="inlineStr">
        <is>
          <t>Social Tap Scottsdale</t>
        </is>
      </c>
      <c r="B286" s="0" t="inlineStr">
        <is>
          <t>Restaurant</t>
        </is>
      </c>
      <c r="C286" s="228" t="inlineStr">
        <is>
          <t>Restaurant — Excluded</t>
        </is>
      </c>
      <c r="D286" s="0" t="inlineStr"/>
      <c r="E286" s="0" t="inlineStr"/>
      <c r="F286" s="0" t="inlineStr"/>
      <c r="G286" s="0" t="inlineStr"/>
      <c r="H286" s="0" t="inlineStr"/>
      <c r="I286" s="0" t="inlineStr"/>
      <c r="J286" s="0" t="inlineStr"/>
      <c r="K286" s="0" t="inlineStr"/>
      <c r="L286" s="0" t="inlineStr"/>
      <c r="M286" s="0" t="inlineStr"/>
      <c r="N286" s="0" t="inlineStr">
        <is>
          <t>EXCLUDED — no active valet / not eligible</t>
        </is>
      </c>
      <c r="O286" s="0" t="inlineStr">
        <is>
          <t>Not in eligible FD universe (steakhouse/fine dining with active independent valet)</t>
        </is>
      </c>
    </row>
    <row r="287">
      <c r="A287" s="0" t="inlineStr">
        <is>
          <t>Barstool Scottsdale</t>
        </is>
      </c>
      <c r="B287" s="0" t="inlineStr">
        <is>
          <t>Restaurant</t>
        </is>
      </c>
      <c r="C287" s="228" t="inlineStr">
        <is>
          <t>Restaurant — Excluded</t>
        </is>
      </c>
      <c r="D287" s="0" t="inlineStr"/>
      <c r="E287" s="0" t="inlineStr"/>
      <c r="F287" s="0" t="inlineStr"/>
      <c r="G287" s="0" t="inlineStr"/>
      <c r="H287" s="0" t="inlineStr"/>
      <c r="I287" s="0" t="inlineStr"/>
      <c r="J287" s="0" t="inlineStr"/>
      <c r="K287" s="0" t="inlineStr"/>
      <c r="L287" s="0" t="inlineStr"/>
      <c r="M287" s="0" t="inlineStr"/>
      <c r="N287" s="0" t="inlineStr">
        <is>
          <t>EXCLUDED — no active valet / not eligible</t>
        </is>
      </c>
      <c r="O287" s="0" t="inlineStr">
        <is>
          <t>Not in eligible FD universe (steakhouse/fine dining with active independent valet)</t>
        </is>
      </c>
    </row>
    <row r="288">
      <c r="A288" s="0" t="inlineStr">
        <is>
          <t>Diego Pops</t>
        </is>
      </c>
      <c r="B288" s="0" t="inlineStr">
        <is>
          <t>Restaurant</t>
        </is>
      </c>
      <c r="C288" s="228" t="inlineStr">
        <is>
          <t>Restaurant — Upscale Mexican</t>
        </is>
      </c>
      <c r="D288" s="0" t="inlineStr"/>
      <c r="E288" s="0" t="n">
        <v>175</v>
      </c>
      <c r="F288" s="0" t="inlineStr"/>
      <c r="G288" s="0" t="n">
        <v>1.5</v>
      </c>
      <c r="H288" s="226" t="n">
        <v>0.125</v>
      </c>
      <c r="I288" s="227" t="n">
        <v>30</v>
      </c>
      <c r="J288" s="0" t="n">
        <v>250</v>
      </c>
      <c r="K288" s="226" t="n">
        <v>1.08</v>
      </c>
      <c r="L288" s="227" t="n">
        <v>590.625</v>
      </c>
      <c r="M288" s="227" t="n">
        <v>159468.75</v>
      </c>
      <c r="N288" s="0" t="inlineStr">
        <is>
          <t>Active TAM (LOW confidence)</t>
        </is>
      </c>
      <c r="O288" s="0" t="inlineStr">
        <is>
          <t>Has Valet — Epic valet operator | Scottsdale Old Town sqft estimate</t>
        </is>
      </c>
    </row>
    <row r="289">
      <c r="A289" s="0" t="inlineStr">
        <is>
          <t>Montauk</t>
        </is>
      </c>
      <c r="B289" s="0" t="inlineStr">
        <is>
          <t>Restaurant</t>
        </is>
      </c>
      <c r="C289" s="228" t="inlineStr">
        <is>
          <t>Restaurant — Upscale seafood</t>
        </is>
      </c>
      <c r="D289" s="0" t="inlineStr"/>
      <c r="E289" s="0" t="n">
        <v>200</v>
      </c>
      <c r="F289" s="0" t="inlineStr"/>
      <c r="G289" s="0" t="n">
        <v>1.5</v>
      </c>
      <c r="H289" s="226" t="n">
        <v>0.125</v>
      </c>
      <c r="I289" s="227" t="n">
        <v>30</v>
      </c>
      <c r="J289" s="0" t="n">
        <v>250</v>
      </c>
      <c r="K289" s="226" t="n">
        <v>1.08</v>
      </c>
      <c r="L289" s="227" t="n">
        <v>675</v>
      </c>
      <c r="M289" s="227" t="n">
        <v>182250</v>
      </c>
      <c r="N289" s="0" t="inlineStr">
        <is>
          <t>Active TAM (LOW confidence)</t>
        </is>
      </c>
      <c r="O289" s="0" t="inlineStr">
        <is>
          <t>Has Valet — Epic valet operator | default estimate</t>
        </is>
      </c>
    </row>
    <row r="290">
      <c r="A290" s="0" t="inlineStr">
        <is>
          <t>Farm and Craft Scottsdale</t>
        </is>
      </c>
      <c r="B290" s="0" t="inlineStr">
        <is>
          <t>Restaurant</t>
        </is>
      </c>
      <c r="C290" s="228" t="inlineStr">
        <is>
          <t>Restaurant — Excluded</t>
        </is>
      </c>
      <c r="D290" s="0" t="inlineStr"/>
      <c r="E290" s="0" t="inlineStr"/>
      <c r="F290" s="0" t="inlineStr"/>
      <c r="G290" s="0" t="inlineStr"/>
      <c r="H290" s="0" t="inlineStr"/>
      <c r="I290" s="0" t="inlineStr"/>
      <c r="J290" s="0" t="inlineStr"/>
      <c r="K290" s="0" t="inlineStr"/>
      <c r="L290" s="0" t="inlineStr"/>
      <c r="M290" s="0" t="inlineStr"/>
      <c r="N290" s="0" t="inlineStr">
        <is>
          <t>EXCLUDED — no active valet / not eligible</t>
        </is>
      </c>
      <c r="O290" s="0" t="inlineStr">
        <is>
          <t>Not in eligible FD universe (steakhouse/fine dining with active independent valet)</t>
        </is>
      </c>
    </row>
    <row r="291">
      <c r="A291" s="0" t="inlineStr">
        <is>
          <t>Pistoleros Parrilla</t>
        </is>
      </c>
      <c r="B291" s="0" t="inlineStr">
        <is>
          <t>Restaurant</t>
        </is>
      </c>
      <c r="C291" s="228" t="inlineStr">
        <is>
          <t>Restaurant — Excluded</t>
        </is>
      </c>
      <c r="D291" s="0" t="inlineStr"/>
      <c r="E291" s="0" t="inlineStr"/>
      <c r="F291" s="0" t="inlineStr"/>
      <c r="G291" s="0" t="inlineStr"/>
      <c r="H291" s="0" t="inlineStr"/>
      <c r="I291" s="0" t="inlineStr"/>
      <c r="J291" s="0" t="inlineStr"/>
      <c r="K291" s="0" t="inlineStr"/>
      <c r="L291" s="0" t="inlineStr"/>
      <c r="M291" s="0" t="inlineStr"/>
      <c r="N291" s="0" t="inlineStr">
        <is>
          <t>EXCLUDED — no active valet / not eligible</t>
        </is>
      </c>
      <c r="O291" s="0" t="inlineStr">
        <is>
          <t>Not in eligible FD universe (steakhouse/fine dining with active independent valet)</t>
        </is>
      </c>
    </row>
    <row r="292">
      <c r="A292" s="0" t="inlineStr">
        <is>
          <t>Sexy Roman</t>
        </is>
      </c>
      <c r="B292" s="0" t="inlineStr">
        <is>
          <t>Restaurant</t>
        </is>
      </c>
      <c r="C292" s="228" t="inlineStr">
        <is>
          <t>Restaurant — Excluded</t>
        </is>
      </c>
      <c r="D292" s="0" t="inlineStr"/>
      <c r="E292" s="0" t="inlineStr"/>
      <c r="F292" s="0" t="inlineStr"/>
      <c r="G292" s="0" t="inlineStr"/>
      <c r="H292" s="0" t="inlineStr"/>
      <c r="I292" s="0" t="inlineStr"/>
      <c r="J292" s="0" t="inlineStr"/>
      <c r="K292" s="0" t="inlineStr"/>
      <c r="L292" s="0" t="inlineStr"/>
      <c r="M292" s="0" t="inlineStr"/>
      <c r="N292" s="0" t="inlineStr">
        <is>
          <t>EXCLUDED — no active valet / not eligible</t>
        </is>
      </c>
      <c r="O292" s="0" t="inlineStr">
        <is>
          <t>Not in eligible FD universe (steakhouse/fine dining with active independent valet)</t>
        </is>
      </c>
    </row>
    <row r="293">
      <c r="A293" s="0" t="inlineStr">
        <is>
          <t>HiFi Kitchen Cocktails</t>
        </is>
      </c>
      <c r="B293" s="0" t="inlineStr">
        <is>
          <t>Restaurant</t>
        </is>
      </c>
      <c r="C293" s="228" t="inlineStr">
        <is>
          <t>Restaurant — Excluded</t>
        </is>
      </c>
      <c r="D293" s="0" t="inlineStr"/>
      <c r="E293" s="0" t="inlineStr"/>
      <c r="F293" s="0" t="inlineStr"/>
      <c r="G293" s="0" t="inlineStr"/>
      <c r="H293" s="0" t="inlineStr"/>
      <c r="I293" s="0" t="inlineStr"/>
      <c r="J293" s="0" t="inlineStr"/>
      <c r="K293" s="0" t="inlineStr"/>
      <c r="L293" s="0" t="inlineStr"/>
      <c r="M293" s="0" t="inlineStr"/>
      <c r="N293" s="0" t="inlineStr">
        <is>
          <t>EXCLUDED — no active valet / not eligible</t>
        </is>
      </c>
      <c r="O293" s="0" t="inlineStr">
        <is>
          <t>Not in eligible FD universe (steakhouse/fine dining with active independent valet)</t>
        </is>
      </c>
    </row>
    <row r="294">
      <c r="A294" s="0" t="inlineStr">
        <is>
          <t>SHIV Supper Club</t>
        </is>
      </c>
      <c r="B294" s="0" t="inlineStr">
        <is>
          <t>Restaurant</t>
        </is>
      </c>
      <c r="C294" s="228" t="inlineStr">
        <is>
          <t>Restaurant — Excluded</t>
        </is>
      </c>
      <c r="D294" s="0" t="inlineStr"/>
      <c r="E294" s="0" t="inlineStr"/>
      <c r="F294" s="0" t="inlineStr"/>
      <c r="G294" s="0" t="inlineStr"/>
      <c r="H294" s="0" t="inlineStr"/>
      <c r="I294" s="0" t="inlineStr"/>
      <c r="J294" s="0" t="inlineStr"/>
      <c r="K294" s="0" t="inlineStr"/>
      <c r="L294" s="0" t="inlineStr"/>
      <c r="M294" s="0" t="inlineStr"/>
      <c r="N294" s="0" t="inlineStr">
        <is>
          <t>EXCLUDED — no active valet / not eligible</t>
        </is>
      </c>
      <c r="O294" s="0" t="inlineStr">
        <is>
          <t>Not in eligible FD universe (steakhouse/fine dining with active independent valet)</t>
        </is>
      </c>
    </row>
    <row r="295">
      <c r="A295" s="0" t="inlineStr">
        <is>
          <t>The Ends</t>
        </is>
      </c>
      <c r="B295" s="0" t="inlineStr">
        <is>
          <t>Restaurant</t>
        </is>
      </c>
      <c r="C295" s="228" t="inlineStr">
        <is>
          <t>Restaurant — Excluded</t>
        </is>
      </c>
      <c r="D295" s="0" t="inlineStr"/>
      <c r="E295" s="0" t="inlineStr"/>
      <c r="F295" s="0" t="inlineStr"/>
      <c r="G295" s="0" t="inlineStr"/>
      <c r="H295" s="0" t="inlineStr"/>
      <c r="I295" s="0" t="inlineStr"/>
      <c r="J295" s="0" t="inlineStr"/>
      <c r="K295" s="0" t="inlineStr"/>
      <c r="L295" s="0" t="inlineStr"/>
      <c r="M295" s="0" t="inlineStr"/>
      <c r="N295" s="0" t="inlineStr">
        <is>
          <t>EXCLUDED — no active valet / not eligible</t>
        </is>
      </c>
      <c r="O295" s="0" t="inlineStr">
        <is>
          <t>Not in eligible FD universe (steakhouse/fine dining with active independent valet)</t>
        </is>
      </c>
    </row>
    <row r="296">
      <c r="A296" s="0" t="inlineStr">
        <is>
          <t>Schmooze</t>
        </is>
      </c>
      <c r="B296" s="0" t="inlineStr">
        <is>
          <t>Restaurant</t>
        </is>
      </c>
      <c r="C296" s="228" t="inlineStr">
        <is>
          <t>Restaurant — Excluded</t>
        </is>
      </c>
      <c r="D296" s="0" t="inlineStr"/>
      <c r="E296" s="0" t="inlineStr"/>
      <c r="F296" s="0" t="inlineStr"/>
      <c r="G296" s="0" t="inlineStr"/>
      <c r="H296" s="0" t="inlineStr"/>
      <c r="I296" s="0" t="inlineStr"/>
      <c r="J296" s="0" t="inlineStr"/>
      <c r="K296" s="0" t="inlineStr"/>
      <c r="L296" s="0" t="inlineStr"/>
      <c r="M296" s="0" t="inlineStr"/>
      <c r="N296" s="0" t="inlineStr">
        <is>
          <t>EXCLUDED — no active valet / not eligible</t>
        </is>
      </c>
      <c r="O296" s="0" t="inlineStr">
        <is>
          <t>Not in eligible FD universe (steakhouse/fine dining with active independent valet)</t>
        </is>
      </c>
    </row>
    <row r="297">
      <c r="A297" s="0" t="inlineStr">
        <is>
          <t>EVO Old Town Scottsdale</t>
        </is>
      </c>
      <c r="B297" s="0" t="inlineStr">
        <is>
          <t>Restaurant</t>
        </is>
      </c>
      <c r="C297" s="228" t="inlineStr">
        <is>
          <t>Restaurant — Excluded</t>
        </is>
      </c>
      <c r="D297" s="0" t="inlineStr"/>
      <c r="E297" s="0" t="inlineStr"/>
      <c r="F297" s="0" t="inlineStr"/>
      <c r="G297" s="0" t="inlineStr"/>
      <c r="H297" s="0" t="inlineStr"/>
      <c r="I297" s="0" t="inlineStr"/>
      <c r="J297" s="0" t="inlineStr"/>
      <c r="K297" s="0" t="inlineStr"/>
      <c r="L297" s="0" t="inlineStr"/>
      <c r="M297" s="0" t="inlineStr"/>
      <c r="N297" s="0" t="inlineStr">
        <is>
          <t>EXCLUDED — no active valet / not eligible</t>
        </is>
      </c>
      <c r="O297" s="0" t="inlineStr">
        <is>
          <t>Not in eligible FD universe (steakhouse/fine dining with active independent valet)</t>
        </is>
      </c>
    </row>
    <row r="298">
      <c r="A298" s="0" t="inlineStr">
        <is>
          <t>The Beverly on Main</t>
        </is>
      </c>
      <c r="B298" s="0" t="inlineStr">
        <is>
          <t>Restaurant</t>
        </is>
      </c>
      <c r="C298" s="228" t="inlineStr">
        <is>
          <t>Restaurant — Excluded</t>
        </is>
      </c>
      <c r="D298" s="0" t="inlineStr"/>
      <c r="E298" s="0" t="inlineStr"/>
      <c r="F298" s="0" t="inlineStr"/>
      <c r="G298" s="0" t="inlineStr"/>
      <c r="H298" s="0" t="inlineStr"/>
      <c r="I298" s="0" t="inlineStr"/>
      <c r="J298" s="0" t="inlineStr"/>
      <c r="K298" s="0" t="inlineStr"/>
      <c r="L298" s="0" t="inlineStr"/>
      <c r="M298" s="0" t="inlineStr"/>
      <c r="N298" s="0" t="inlineStr">
        <is>
          <t>EXCLUDED — no active valet / not eligible</t>
        </is>
      </c>
      <c r="O298" s="0" t="inlineStr">
        <is>
          <t>Not in eligible FD universe (steakhouse/fine dining with active independent valet)</t>
        </is>
      </c>
    </row>
    <row r="299">
      <c r="A299" s="0" t="inlineStr">
        <is>
          <t>Sel</t>
        </is>
      </c>
      <c r="B299" s="0" t="inlineStr">
        <is>
          <t>Restaurant</t>
        </is>
      </c>
      <c r="C299" s="228" t="inlineStr">
        <is>
          <t>Restaurant — Excluded</t>
        </is>
      </c>
      <c r="D299" s="0" t="inlineStr"/>
      <c r="E299" s="0" t="inlineStr"/>
      <c r="F299" s="0" t="inlineStr"/>
      <c r="G299" s="0" t="inlineStr"/>
      <c r="H299" s="0" t="inlineStr"/>
      <c r="I299" s="0" t="inlineStr"/>
      <c r="J299" s="0" t="inlineStr"/>
      <c r="K299" s="0" t="inlineStr"/>
      <c r="L299" s="0" t="inlineStr"/>
      <c r="M299" s="0" t="inlineStr"/>
      <c r="N299" s="0" t="inlineStr">
        <is>
          <t>EXCLUDED — no active valet / not eligible</t>
        </is>
      </c>
      <c r="O299" s="0" t="inlineStr">
        <is>
          <t>Not in eligible FD universe (steakhouse/fine dining with active independent valet)</t>
        </is>
      </c>
    </row>
    <row r="300">
      <c r="A300" s="0" t="inlineStr">
        <is>
          <t>Olive &amp; Ivy</t>
        </is>
      </c>
      <c r="B300" s="0" t="inlineStr">
        <is>
          <t>Restaurant</t>
        </is>
      </c>
      <c r="C300" s="228" t="inlineStr">
        <is>
          <t>Restaurant — Excluded</t>
        </is>
      </c>
      <c r="D300" s="0" t="inlineStr"/>
      <c r="E300" s="0" t="inlineStr"/>
      <c r="F300" s="0" t="inlineStr"/>
      <c r="G300" s="0" t="inlineStr"/>
      <c r="H300" s="0" t="inlineStr"/>
      <c r="I300" s="0" t="inlineStr"/>
      <c r="J300" s="0" t="inlineStr"/>
      <c r="K300" s="0" t="inlineStr"/>
      <c r="L300" s="0" t="inlineStr"/>
      <c r="M300" s="0" t="inlineStr"/>
      <c r="N300" s="0" t="inlineStr">
        <is>
          <t>EXCLUDED — no active valet / not eligible</t>
        </is>
      </c>
      <c r="O300" s="0" t="inlineStr">
        <is>
          <t>Not in eligible FD universe (steakhouse/fine dining with active independent valet)</t>
        </is>
      </c>
    </row>
    <row r="301">
      <c r="A301" s="0" t="inlineStr">
        <is>
          <t>Hand Cut Chophouse</t>
        </is>
      </c>
      <c r="B301" s="0" t="inlineStr">
        <is>
          <t>Restaurant</t>
        </is>
      </c>
      <c r="C301" s="228" t="inlineStr">
        <is>
          <t>Restaurant — Excluded</t>
        </is>
      </c>
      <c r="D301" s="0" t="inlineStr"/>
      <c r="E301" s="0" t="inlineStr"/>
      <c r="F301" s="0" t="inlineStr"/>
      <c r="G301" s="0" t="inlineStr"/>
      <c r="H301" s="0" t="inlineStr"/>
      <c r="I301" s="0" t="inlineStr"/>
      <c r="J301" s="0" t="inlineStr"/>
      <c r="K301" s="0" t="inlineStr"/>
      <c r="L301" s="0" t="inlineStr"/>
      <c r="M301" s="0" t="inlineStr"/>
      <c r="N301" s="0" t="inlineStr">
        <is>
          <t>EXCLUDED — no active valet / not eligible</t>
        </is>
      </c>
      <c r="O301" s="0" t="inlineStr">
        <is>
          <t>Not in eligible FD universe (steakhouse/fine dining with active independent valet)</t>
        </is>
      </c>
    </row>
    <row r="302">
      <c r="A302" s="0" t="inlineStr">
        <is>
          <t>Maple &amp; Ash</t>
        </is>
      </c>
      <c r="B302" s="0" t="inlineStr">
        <is>
          <t>Restaurant</t>
        </is>
      </c>
      <c r="C302" s="228" t="inlineStr">
        <is>
          <t>Restaurant — Steakhouse — flagship</t>
        </is>
      </c>
      <c r="D302" s="0" t="inlineStr"/>
      <c r="E302" s="0" t="n">
        <v>350</v>
      </c>
      <c r="F302" s="0" t="inlineStr"/>
      <c r="G302" s="0" t="n">
        <v>1.5</v>
      </c>
      <c r="H302" s="226" t="n">
        <v>0.125</v>
      </c>
      <c r="I302" s="227" t="n">
        <v>9</v>
      </c>
      <c r="J302" s="0" t="n">
        <v>250</v>
      </c>
      <c r="K302" s="226" t="n">
        <v>1.08</v>
      </c>
      <c r="L302" s="227" t="n">
        <v>1181.25</v>
      </c>
      <c r="M302" s="227" t="n">
        <v>318937.5</v>
      </c>
      <c r="N302" s="0" t="inlineStr">
        <is>
          <t>Active TAM (MED confidence)</t>
        </is>
      </c>
      <c r="O302" s="0" t="inlineStr">
        <is>
          <t>Scottsdale — $9 valet rate on file (low confidence) | Maple Hospitality flagship ~320-380 seats</t>
        </is>
      </c>
    </row>
    <row r="303">
      <c r="A303" s="0" t="inlineStr">
        <is>
          <t>Culinary Dropout - Scottsdale</t>
        </is>
      </c>
      <c r="B303" s="0" t="inlineStr">
        <is>
          <t>Restaurant</t>
        </is>
      </c>
      <c r="C303" s="228" t="inlineStr">
        <is>
          <t>Restaurant — Excluded</t>
        </is>
      </c>
      <c r="D303" s="0" t="inlineStr"/>
      <c r="E303" s="0" t="inlineStr"/>
      <c r="F303" s="0" t="inlineStr"/>
      <c r="G303" s="0" t="inlineStr"/>
      <c r="H303" s="0" t="inlineStr"/>
      <c r="I303" s="0" t="inlineStr"/>
      <c r="J303" s="0" t="inlineStr"/>
      <c r="K303" s="0" t="inlineStr"/>
      <c r="L303" s="0" t="inlineStr"/>
      <c r="M303" s="0" t="inlineStr"/>
      <c r="N303" s="0" t="inlineStr">
        <is>
          <t>EXCLUDED — no active valet / not eligible</t>
        </is>
      </c>
      <c r="O303" s="0" t="inlineStr">
        <is>
          <t>Not in eligible FD universe (steakhouse/fine dining with active independent valet)</t>
        </is>
      </c>
    </row>
    <row r="304">
      <c r="A304" s="0" t="inlineStr">
        <is>
          <t>P.F. Chang's</t>
        </is>
      </c>
      <c r="B304" s="0" t="inlineStr">
        <is>
          <t>Restaurant</t>
        </is>
      </c>
      <c r="C304" s="228" t="inlineStr">
        <is>
          <t>Restaurant — Excluded</t>
        </is>
      </c>
      <c r="D304" s="0" t="inlineStr"/>
      <c r="E304" s="0" t="inlineStr"/>
      <c r="F304" s="0" t="inlineStr"/>
      <c r="G304" s="0" t="inlineStr"/>
      <c r="H304" s="0" t="inlineStr"/>
      <c r="I304" s="0" t="inlineStr"/>
      <c r="J304" s="0" t="inlineStr"/>
      <c r="K304" s="0" t="inlineStr"/>
      <c r="L304" s="0" t="inlineStr"/>
      <c r="M304" s="0" t="inlineStr"/>
      <c r="N304" s="0" t="inlineStr">
        <is>
          <t>EXCLUDED — no active valet / not eligible</t>
        </is>
      </c>
      <c r="O304" s="0" t="inlineStr">
        <is>
          <t>Not in eligible FD universe (steakhouse/fine dining with active independent valet)</t>
        </is>
      </c>
    </row>
    <row r="305">
      <c r="A305" s="0" t="inlineStr">
        <is>
          <t>Scottsdale Fashion Square</t>
        </is>
      </c>
      <c r="B305" s="0" t="inlineStr">
        <is>
          <t>Restaurant</t>
        </is>
      </c>
      <c r="C305" s="228" t="inlineStr">
        <is>
          <t>Restaurant — Excluded</t>
        </is>
      </c>
      <c r="D305" s="0" t="inlineStr"/>
      <c r="E305" s="0" t="inlineStr"/>
      <c r="F305" s="0" t="inlineStr"/>
      <c r="G305" s="0" t="inlineStr"/>
      <c r="H305" s="0" t="inlineStr"/>
      <c r="I305" s="227" t="n">
        <v>30</v>
      </c>
      <c r="J305" s="0" t="inlineStr"/>
      <c r="K305" s="0" t="inlineStr"/>
      <c r="L305" s="0" t="inlineStr"/>
      <c r="M305" s="0" t="inlineStr"/>
      <c r="N305" s="0" t="inlineStr">
        <is>
          <t>EXCLUDED — no active valet / not eligible</t>
        </is>
      </c>
      <c r="O305" s="0" t="inlineStr">
        <is>
          <t>Not in eligible FD universe (steakhouse/fine dining with active independent valet)</t>
        </is>
      </c>
    </row>
    <row r="306">
      <c r="A306" s="0" t="inlineStr">
        <is>
          <t>Moxies Scottsdale Restaurant</t>
        </is>
      </c>
      <c r="B306" s="0" t="inlineStr">
        <is>
          <t>Restaurant</t>
        </is>
      </c>
      <c r="C306" s="228" t="inlineStr">
        <is>
          <t>Restaurant — Excluded</t>
        </is>
      </c>
      <c r="D306" s="0" t="inlineStr"/>
      <c r="E306" s="0" t="inlineStr"/>
      <c r="F306" s="0" t="inlineStr"/>
      <c r="G306" s="0" t="inlineStr"/>
      <c r="H306" s="0" t="inlineStr"/>
      <c r="I306" s="0" t="inlineStr"/>
      <c r="J306" s="0" t="inlineStr"/>
      <c r="K306" s="0" t="inlineStr"/>
      <c r="L306" s="0" t="inlineStr"/>
      <c r="M306" s="0" t="inlineStr"/>
      <c r="N306" s="0" t="inlineStr">
        <is>
          <t>EXCLUDED — no active valet / not eligible</t>
        </is>
      </c>
      <c r="O306" s="0" t="inlineStr">
        <is>
          <t>Not in eligible FD universe (steakhouse/fine dining with active independent valet)</t>
        </is>
      </c>
    </row>
    <row r="307">
      <c r="A307" s="0" t="inlineStr">
        <is>
          <t>Toca Madera Scottsdale</t>
        </is>
      </c>
      <c r="B307" s="0" t="inlineStr">
        <is>
          <t>Restaurant</t>
        </is>
      </c>
      <c r="C307" s="228" t="inlineStr">
        <is>
          <t>Restaurant — Upscale Mexican</t>
        </is>
      </c>
      <c r="D307" s="0" t="inlineStr"/>
      <c r="E307" s="0" t="n">
        <v>275</v>
      </c>
      <c r="F307" s="0" t="inlineStr"/>
      <c r="G307" s="0" t="n">
        <v>1.5</v>
      </c>
      <c r="H307" s="226" t="n">
        <v>0.125</v>
      </c>
      <c r="I307" s="227" t="n">
        <v>30</v>
      </c>
      <c r="J307" s="0" t="n">
        <v>250</v>
      </c>
      <c r="K307" s="226" t="n">
        <v>1.08</v>
      </c>
      <c r="L307" s="227" t="n">
        <v>928.125</v>
      </c>
      <c r="M307" s="227" t="n">
        <v>250593.75</v>
      </c>
      <c r="N307" s="0" t="inlineStr">
        <is>
          <t>Active TAM (LOW confidence)</t>
        </is>
      </c>
      <c r="O307" s="0" t="inlineStr">
        <is>
          <t>Has Valet — Scottsdale | Noble 33 brand estimate</t>
        </is>
      </c>
    </row>
    <row r="308">
      <c r="A308" s="0" t="inlineStr">
        <is>
          <t>Ocean 44</t>
        </is>
      </c>
      <c r="B308" s="0" t="inlineStr">
        <is>
          <t>Restaurant</t>
        </is>
      </c>
      <c r="C308" s="228" t="inlineStr">
        <is>
          <t>Restaurant — Upscale seafood/steak</t>
        </is>
      </c>
      <c r="D308" s="0" t="inlineStr"/>
      <c r="E308" s="0" t="n">
        <v>325</v>
      </c>
      <c r="F308" s="0" t="inlineStr"/>
      <c r="G308" s="0" t="n">
        <v>1.5</v>
      </c>
      <c r="H308" s="226" t="n">
        <v>0.125</v>
      </c>
      <c r="I308" s="227" t="n">
        <v>30</v>
      </c>
      <c r="J308" s="0" t="n">
        <v>250</v>
      </c>
      <c r="K308" s="226" t="n">
        <v>1.08</v>
      </c>
      <c r="L308" s="227" t="n">
        <v>1096.875</v>
      </c>
      <c r="M308" s="227" t="n">
        <v>296156.25</v>
      </c>
      <c r="N308" s="0" t="inlineStr">
        <is>
          <t>Active TAM (MED confidence)</t>
        </is>
      </c>
      <c r="O308" s="0" t="inlineStr">
        <is>
          <t>Scottsdale Biltmore — Has Valet | Mastro's Ocean concept ~300-350</t>
        </is>
      </c>
    </row>
    <row r="309">
      <c r="A309" s="0" t="inlineStr">
        <is>
          <t>Nobu Scottsdale</t>
        </is>
      </c>
      <c r="B309" s="0" t="inlineStr">
        <is>
          <t>Restaurant</t>
        </is>
      </c>
      <c r="C309" s="228" t="inlineStr">
        <is>
          <t>Restaurant — Excluded</t>
        </is>
      </c>
      <c r="D309" s="0" t="inlineStr"/>
      <c r="E309" s="0" t="inlineStr"/>
      <c r="F309" s="0" t="inlineStr"/>
      <c r="G309" s="0" t="inlineStr"/>
      <c r="H309" s="0" t="inlineStr"/>
      <c r="I309" s="0" t="inlineStr"/>
      <c r="J309" s="0" t="inlineStr"/>
      <c r="K309" s="0" t="inlineStr"/>
      <c r="L309" s="0" t="inlineStr"/>
      <c r="M309" s="0" t="inlineStr"/>
      <c r="N309" s="0" t="inlineStr">
        <is>
          <t>EXCLUDED — no active valet / not eligible</t>
        </is>
      </c>
      <c r="O309" s="0" t="inlineStr">
        <is>
          <t>Not in eligible FD universe (steakhouse/fine dining with active independent valet)</t>
        </is>
      </c>
    </row>
    <row r="310">
      <c r="A310" s="0" t="inlineStr">
        <is>
          <t>Fogo de Chão Brazilian Steakhouse</t>
        </is>
      </c>
      <c r="B310" s="0" t="inlineStr">
        <is>
          <t>Restaurant</t>
        </is>
      </c>
      <c r="C310" s="228" t="inlineStr">
        <is>
          <t>Restaurant — Excluded</t>
        </is>
      </c>
      <c r="D310" s="0" t="inlineStr"/>
      <c r="E310" s="0" t="inlineStr"/>
      <c r="F310" s="0" t="inlineStr"/>
      <c r="G310" s="0" t="inlineStr"/>
      <c r="H310" s="0" t="inlineStr"/>
      <c r="I310" s="0" t="inlineStr"/>
      <c r="J310" s="0" t="inlineStr"/>
      <c r="K310" s="0" t="inlineStr"/>
      <c r="L310" s="0" t="inlineStr"/>
      <c r="M310" s="0" t="inlineStr"/>
      <c r="N310" s="0" t="inlineStr">
        <is>
          <t>EXCLUDED — no active valet / not eligible</t>
        </is>
      </c>
      <c r="O310" s="0" t="inlineStr">
        <is>
          <t>Not in eligible FD universe (steakhouse/fine dining with active independent valet)</t>
        </is>
      </c>
    </row>
    <row r="311">
      <c r="A311" s="0" t="inlineStr">
        <is>
          <t>Fat Ox</t>
        </is>
      </c>
      <c r="B311" s="0" t="inlineStr">
        <is>
          <t>Restaurant</t>
        </is>
      </c>
      <c r="C311" s="228" t="inlineStr">
        <is>
          <t>Restaurant — Excluded</t>
        </is>
      </c>
      <c r="D311" s="0" t="inlineStr"/>
      <c r="E311" s="0" t="inlineStr"/>
      <c r="F311" s="0" t="inlineStr"/>
      <c r="G311" s="0" t="inlineStr"/>
      <c r="H311" s="0" t="inlineStr"/>
      <c r="I311" s="0" t="inlineStr"/>
      <c r="J311" s="0" t="inlineStr"/>
      <c r="K311" s="0" t="inlineStr"/>
      <c r="L311" s="0" t="inlineStr"/>
      <c r="M311" s="0" t="inlineStr"/>
      <c r="N311" s="0" t="inlineStr">
        <is>
          <t>EXCLUDED — no active valet / not eligible</t>
        </is>
      </c>
      <c r="O311" s="0" t="inlineStr">
        <is>
          <t>Not in eligible FD universe (steakhouse/fine dining with active independent valet)</t>
        </is>
      </c>
    </row>
    <row r="312">
      <c r="A312" s="0" t="inlineStr">
        <is>
          <t>Culinary Dropout - Kierland</t>
        </is>
      </c>
      <c r="B312" s="0" t="inlineStr">
        <is>
          <t>Restaurant</t>
        </is>
      </c>
      <c r="C312" s="228" t="inlineStr">
        <is>
          <t>Restaurant — Excluded</t>
        </is>
      </c>
      <c r="D312" s="0" t="inlineStr"/>
      <c r="E312" s="0" t="inlineStr"/>
      <c r="F312" s="0" t="inlineStr"/>
      <c r="G312" s="0" t="inlineStr"/>
      <c r="H312" s="0" t="inlineStr"/>
      <c r="I312" s="0" t="inlineStr"/>
      <c r="J312" s="0" t="inlineStr"/>
      <c r="K312" s="0" t="inlineStr"/>
      <c r="L312" s="0" t="inlineStr"/>
      <c r="M312" s="0" t="inlineStr"/>
      <c r="N312" s="0" t="inlineStr">
        <is>
          <t>EXCLUDED — no active valet / not eligible</t>
        </is>
      </c>
      <c r="O312" s="0" t="inlineStr">
        <is>
          <t>Not in eligible FD universe (steakhouse/fine dining with active independent valet)</t>
        </is>
      </c>
    </row>
    <row r="313">
      <c r="A313" s="0" t="inlineStr">
        <is>
          <t>Dominick's Steakhouse</t>
        </is>
      </c>
      <c r="B313" s="0" t="inlineStr">
        <is>
          <t>Restaurant</t>
        </is>
      </c>
      <c r="C313" s="228" t="inlineStr">
        <is>
          <t>Restaurant — Excluded</t>
        </is>
      </c>
      <c r="D313" s="0" t="inlineStr"/>
      <c r="E313" s="0" t="inlineStr"/>
      <c r="F313" s="0" t="inlineStr"/>
      <c r="G313" s="0" t="inlineStr"/>
      <c r="H313" s="0" t="inlineStr"/>
      <c r="I313" s="0" t="inlineStr"/>
      <c r="J313" s="0" t="inlineStr"/>
      <c r="K313" s="0" t="inlineStr"/>
      <c r="L313" s="0" t="inlineStr"/>
      <c r="M313" s="0" t="inlineStr"/>
      <c r="N313" s="0" t="inlineStr">
        <is>
          <t>EXCLUDED — no active valet / not eligible</t>
        </is>
      </c>
      <c r="O313" s="0" t="inlineStr">
        <is>
          <t>Not in eligible FD universe (steakhouse/fine dining with active independent valet)</t>
        </is>
      </c>
    </row>
    <row r="314">
      <c r="A314" s="0" t="inlineStr">
        <is>
          <t>Morton's The Steakhouse</t>
        </is>
      </c>
      <c r="B314" s="0" t="inlineStr">
        <is>
          <t>Restaurant</t>
        </is>
      </c>
      <c r="C314" s="228" t="inlineStr">
        <is>
          <t>Restaurant — Excluded</t>
        </is>
      </c>
      <c r="D314" s="0" t="inlineStr"/>
      <c r="E314" s="0" t="inlineStr"/>
      <c r="F314" s="0" t="inlineStr"/>
      <c r="G314" s="0" t="inlineStr"/>
      <c r="H314" s="0" t="inlineStr"/>
      <c r="I314" s="0" t="inlineStr"/>
      <c r="J314" s="0" t="inlineStr"/>
      <c r="K314" s="0" t="inlineStr"/>
      <c r="L314" s="0" t="inlineStr"/>
      <c r="M314" s="0" t="inlineStr"/>
      <c r="N314" s="0" t="inlineStr">
        <is>
          <t>EXCLUDED — no active valet / not eligible</t>
        </is>
      </c>
      <c r="O314" s="0" t="inlineStr">
        <is>
          <t>Not in eligible FD universe (steakhouse/fine dining with active independent valet)</t>
        </is>
      </c>
    </row>
    <row r="315">
      <c r="A315" s="0" t="inlineStr">
        <is>
          <t>The Guest House Scottsdale</t>
        </is>
      </c>
      <c r="B315" s="0" t="inlineStr">
        <is>
          <t>Restaurant</t>
        </is>
      </c>
      <c r="C315" s="228" t="inlineStr">
        <is>
          <t>Restaurant — Excluded</t>
        </is>
      </c>
      <c r="D315" s="0" t="inlineStr"/>
      <c r="E315" s="0" t="inlineStr"/>
      <c r="F315" s="0" t="inlineStr"/>
      <c r="G315" s="0" t="inlineStr"/>
      <c r="H315" s="0" t="inlineStr"/>
      <c r="I315" s="0" t="inlineStr"/>
      <c r="J315" s="0" t="inlineStr"/>
      <c r="K315" s="0" t="inlineStr"/>
      <c r="L315" s="0" t="inlineStr"/>
      <c r="M315" s="0" t="inlineStr"/>
      <c r="N315" s="0" t="inlineStr">
        <is>
          <t>EXCLUDED — no active valet / not eligible</t>
        </is>
      </c>
      <c r="O315" s="0" t="inlineStr">
        <is>
          <t>Not in eligible FD universe (steakhouse/fine dining with active independent valet)</t>
        </is>
      </c>
    </row>
    <row r="316">
      <c r="A316" s="0" t="inlineStr">
        <is>
          <t>Postino Kierland</t>
        </is>
      </c>
      <c r="B316" s="0" t="inlineStr">
        <is>
          <t>Restaurant</t>
        </is>
      </c>
      <c r="C316" s="228" t="inlineStr">
        <is>
          <t>Restaurant — Excluded</t>
        </is>
      </c>
      <c r="D316" s="0" t="inlineStr"/>
      <c r="E316" s="0" t="inlineStr"/>
      <c r="F316" s="0" t="inlineStr"/>
      <c r="G316" s="0" t="inlineStr"/>
      <c r="H316" s="0" t="inlineStr"/>
      <c r="I316" s="0" t="inlineStr"/>
      <c r="J316" s="0" t="inlineStr"/>
      <c r="K316" s="0" t="inlineStr"/>
      <c r="L316" s="0" t="inlineStr"/>
      <c r="M316" s="0" t="inlineStr"/>
      <c r="N316" s="0" t="inlineStr">
        <is>
          <t>EXCLUDED — no active valet / not eligible</t>
        </is>
      </c>
      <c r="O316" s="0" t="inlineStr">
        <is>
          <t>Not in eligible FD universe (steakhouse/fine dining with active independent valet)</t>
        </is>
      </c>
    </row>
    <row r="317">
      <c r="A317" s="0" t="inlineStr">
        <is>
          <t>North Italia - Kierland</t>
        </is>
      </c>
      <c r="B317" s="0" t="inlineStr">
        <is>
          <t>Restaurant</t>
        </is>
      </c>
      <c r="C317" s="228" t="inlineStr">
        <is>
          <t>Restaurant — Excluded</t>
        </is>
      </c>
      <c r="D317" s="0" t="inlineStr"/>
      <c r="E317" s="0" t="inlineStr"/>
      <c r="F317" s="0" t="inlineStr"/>
      <c r="G317" s="0" t="inlineStr"/>
      <c r="H317" s="0" t="inlineStr"/>
      <c r="I317" s="0" t="inlineStr"/>
      <c r="J317" s="0" t="inlineStr"/>
      <c r="K317" s="0" t="inlineStr"/>
      <c r="L317" s="0" t="inlineStr"/>
      <c r="M317" s="0" t="inlineStr"/>
      <c r="N317" s="0" t="inlineStr">
        <is>
          <t>EXCLUDED — no active valet / not eligible</t>
        </is>
      </c>
      <c r="O317" s="0" t="inlineStr">
        <is>
          <t>Not in eligible FD universe (steakhouse/fine dining with active independent valet)</t>
        </is>
      </c>
    </row>
    <row r="318">
      <c r="A318" s="0" t="inlineStr">
        <is>
          <t>The Arrogant Butcher</t>
        </is>
      </c>
      <c r="B318" s="0" t="inlineStr">
        <is>
          <t>Restaurant</t>
        </is>
      </c>
      <c r="C318" s="228" t="inlineStr">
        <is>
          <t>Restaurant — Excluded</t>
        </is>
      </c>
      <c r="D318" s="0" t="inlineStr"/>
      <c r="E318" s="0" t="inlineStr"/>
      <c r="F318" s="0" t="inlineStr"/>
      <c r="G318" s="0" t="inlineStr"/>
      <c r="H318" s="0" t="inlineStr"/>
      <c r="I318" s="0" t="inlineStr"/>
      <c r="J318" s="0" t="inlineStr"/>
      <c r="K318" s="0" t="inlineStr"/>
      <c r="L318" s="0" t="inlineStr"/>
      <c r="M318" s="0" t="inlineStr"/>
      <c r="N318" s="0" t="inlineStr">
        <is>
          <t>EXCLUDED — no active valet / not eligible</t>
        </is>
      </c>
      <c r="O318" s="0" t="inlineStr">
        <is>
          <t>Not in eligible FD universe (steakhouse/fine dining with active independent valet)</t>
        </is>
      </c>
    </row>
    <row r="319">
      <c r="A319" s="0" t="inlineStr">
        <is>
          <t>ROSSO ITALIAN</t>
        </is>
      </c>
      <c r="B319" s="0" t="inlineStr">
        <is>
          <t>Restaurant</t>
        </is>
      </c>
      <c r="C319" s="228" t="inlineStr">
        <is>
          <t>Restaurant — Excluded</t>
        </is>
      </c>
      <c r="D319" s="0" t="inlineStr"/>
      <c r="E319" s="0" t="inlineStr"/>
      <c r="F319" s="0" t="inlineStr"/>
      <c r="G319" s="0" t="inlineStr"/>
      <c r="H319" s="0" t="inlineStr"/>
      <c r="I319" s="0" t="inlineStr"/>
      <c r="J319" s="0" t="inlineStr"/>
      <c r="K319" s="0" t="inlineStr"/>
      <c r="L319" s="0" t="inlineStr"/>
      <c r="M319" s="0" t="inlineStr"/>
      <c r="N319" s="0" t="inlineStr">
        <is>
          <t>EXCLUDED — no active valet / not eligible</t>
        </is>
      </c>
      <c r="O319" s="0" t="inlineStr">
        <is>
          <t>Not in eligible FD universe (steakhouse/fine dining with active independent valet)</t>
        </is>
      </c>
    </row>
    <row r="320">
      <c r="A320" s="0" t="inlineStr">
        <is>
          <t>Chico Malo</t>
        </is>
      </c>
      <c r="B320" s="0" t="inlineStr">
        <is>
          <t>Restaurant</t>
        </is>
      </c>
      <c r="C320" s="228" t="inlineStr">
        <is>
          <t>Restaurant — Excluded</t>
        </is>
      </c>
      <c r="D320" s="0" t="inlineStr"/>
      <c r="E320" s="0" t="inlineStr"/>
      <c r="F320" s="0" t="inlineStr"/>
      <c r="G320" s="0" t="inlineStr"/>
      <c r="H320" s="0" t="inlineStr"/>
      <c r="I320" s="0" t="inlineStr"/>
      <c r="J320" s="0" t="inlineStr"/>
      <c r="K320" s="0" t="inlineStr"/>
      <c r="L320" s="0" t="inlineStr"/>
      <c r="M320" s="0" t="inlineStr"/>
      <c r="N320" s="0" t="inlineStr">
        <is>
          <t>EXCLUDED — no active valet / not eligible</t>
        </is>
      </c>
      <c r="O320" s="0" t="inlineStr">
        <is>
          <t>Not in eligible FD universe (steakhouse/fine dining with active independent valet)</t>
        </is>
      </c>
    </row>
    <row r="321">
      <c r="A321" s="0" t="inlineStr">
        <is>
          <t>Blanco Cocina + Cantina</t>
        </is>
      </c>
      <c r="B321" s="0" t="inlineStr">
        <is>
          <t>Restaurant</t>
        </is>
      </c>
      <c r="C321" s="228" t="inlineStr">
        <is>
          <t>Restaurant — Excluded</t>
        </is>
      </c>
      <c r="D321" s="0" t="inlineStr"/>
      <c r="E321" s="0" t="inlineStr"/>
      <c r="F321" s="0" t="inlineStr"/>
      <c r="G321" s="0" t="inlineStr"/>
      <c r="H321" s="0" t="inlineStr"/>
      <c r="I321" s="0" t="inlineStr"/>
      <c r="J321" s="0" t="inlineStr"/>
      <c r="K321" s="0" t="inlineStr"/>
      <c r="L321" s="0" t="inlineStr"/>
      <c r="M321" s="0" t="inlineStr"/>
      <c r="N321" s="0" t="inlineStr">
        <is>
          <t>EXCLUDED — no active valet / not eligible</t>
        </is>
      </c>
      <c r="O321" s="0" t="inlineStr">
        <is>
          <t>Not in eligible FD universe (steakhouse/fine dining with active independent valet)</t>
        </is>
      </c>
    </row>
    <row r="322">
      <c r="A322" s="0" t="inlineStr">
        <is>
          <t>Wren &amp; Wolf</t>
        </is>
      </c>
      <c r="B322" s="0" t="inlineStr">
        <is>
          <t>Restaurant</t>
        </is>
      </c>
      <c r="C322" s="228" t="inlineStr">
        <is>
          <t>Restaurant — Excluded</t>
        </is>
      </c>
      <c r="D322" s="0" t="inlineStr"/>
      <c r="E322" s="0" t="inlineStr"/>
      <c r="F322" s="0" t="inlineStr"/>
      <c r="G322" s="0" t="inlineStr"/>
      <c r="H322" s="0" t="inlineStr"/>
      <c r="I322" s="0" t="inlineStr"/>
      <c r="J322" s="0" t="inlineStr"/>
      <c r="K322" s="0" t="inlineStr"/>
      <c r="L322" s="0" t="inlineStr"/>
      <c r="M322" s="0" t="inlineStr"/>
      <c r="N322" s="0" t="inlineStr">
        <is>
          <t>EXCLUDED — no active valet / not eligible</t>
        </is>
      </c>
      <c r="O322" s="0" t="inlineStr">
        <is>
          <t>Not in eligible FD universe (steakhouse/fine dining with active independent valet)</t>
        </is>
      </c>
    </row>
    <row r="323">
      <c r="A323" s="0" t="inlineStr">
        <is>
          <t>Cleaverman</t>
        </is>
      </c>
      <c r="B323" s="0" t="inlineStr">
        <is>
          <t>Restaurant</t>
        </is>
      </c>
      <c r="C323" s="228" t="inlineStr">
        <is>
          <t>Restaurant — Excluded</t>
        </is>
      </c>
      <c r="D323" s="0" t="inlineStr"/>
      <c r="E323" s="0" t="inlineStr"/>
      <c r="F323" s="0" t="inlineStr"/>
      <c r="G323" s="0" t="inlineStr"/>
      <c r="H323" s="0" t="inlineStr"/>
      <c r="I323" s="0" t="inlineStr"/>
      <c r="J323" s="0" t="inlineStr"/>
      <c r="K323" s="0" t="inlineStr"/>
      <c r="L323" s="0" t="inlineStr"/>
      <c r="M323" s="0" t="inlineStr"/>
      <c r="N323" s="0" t="inlineStr">
        <is>
          <t>EXCLUDED — no active valet / not eligible</t>
        </is>
      </c>
      <c r="O323" s="0" t="inlineStr">
        <is>
          <t>Not in eligible FD universe (steakhouse/fine dining with active independent valet)</t>
        </is>
      </c>
    </row>
    <row r="324">
      <c r="A324" s="0" t="inlineStr">
        <is>
          <t>Condesa Phoenix</t>
        </is>
      </c>
      <c r="B324" s="0" t="inlineStr">
        <is>
          <t>Restaurant</t>
        </is>
      </c>
      <c r="C324" s="228" t="inlineStr">
        <is>
          <t>Restaurant — Excluded</t>
        </is>
      </c>
      <c r="D324" s="0" t="inlineStr"/>
      <c r="E324" s="0" t="inlineStr"/>
      <c r="F324" s="0" t="inlineStr"/>
      <c r="G324" s="0" t="inlineStr"/>
      <c r="H324" s="0" t="inlineStr"/>
      <c r="I324" s="0" t="inlineStr"/>
      <c r="J324" s="0" t="inlineStr"/>
      <c r="K324" s="0" t="inlineStr"/>
      <c r="L324" s="0" t="inlineStr"/>
      <c r="M324" s="0" t="inlineStr"/>
      <c r="N324" s="0" t="inlineStr">
        <is>
          <t>EXCLUDED — no active valet / not eligible</t>
        </is>
      </c>
      <c r="O324" s="0" t="inlineStr">
        <is>
          <t>Not in eligible FD universe (steakhouse/fine dining with active independent valet)</t>
        </is>
      </c>
    </row>
    <row r="325">
      <c r="A325" s="0" t="inlineStr">
        <is>
          <t>Miel De Agave Phoenix</t>
        </is>
      </c>
      <c r="B325" s="0" t="inlineStr">
        <is>
          <t>Restaurant</t>
        </is>
      </c>
      <c r="C325" s="228" t="inlineStr">
        <is>
          <t>Restaurant — Excluded</t>
        </is>
      </c>
      <c r="D325" s="0" t="inlineStr"/>
      <c r="E325" s="0" t="inlineStr"/>
      <c r="F325" s="0" t="inlineStr"/>
      <c r="G325" s="0" t="inlineStr"/>
      <c r="H325" s="0" t="inlineStr"/>
      <c r="I325" s="0" t="inlineStr"/>
      <c r="J325" s="0" t="inlineStr"/>
      <c r="K325" s="0" t="inlineStr"/>
      <c r="L325" s="0" t="inlineStr"/>
      <c r="M325" s="0" t="inlineStr"/>
      <c r="N325" s="0" t="inlineStr">
        <is>
          <t>EXCLUDED — no active valet / not eligible</t>
        </is>
      </c>
      <c r="O325" s="0" t="inlineStr">
        <is>
          <t>Not in eligible FD universe (steakhouse/fine dining with active independent valet)</t>
        </is>
      </c>
    </row>
    <row r="326">
      <c r="A326" s="0" t="inlineStr">
        <is>
          <t>The Churchill</t>
        </is>
      </c>
      <c r="B326" s="0" t="inlineStr">
        <is>
          <t>Restaurant</t>
        </is>
      </c>
      <c r="C326" s="228" t="inlineStr">
        <is>
          <t>Restaurant — Excluded</t>
        </is>
      </c>
      <c r="D326" s="0" t="inlineStr"/>
      <c r="E326" s="0" t="inlineStr"/>
      <c r="F326" s="0" t="inlineStr"/>
      <c r="G326" s="0" t="inlineStr"/>
      <c r="H326" s="0" t="inlineStr"/>
      <c r="I326" s="0" t="inlineStr"/>
      <c r="J326" s="0" t="inlineStr"/>
      <c r="K326" s="0" t="inlineStr"/>
      <c r="L326" s="0" t="inlineStr"/>
      <c r="M326" s="0" t="inlineStr"/>
      <c r="N326" s="0" t="inlineStr">
        <is>
          <t>EXCLUDED — no active valet / not eligible</t>
        </is>
      </c>
      <c r="O326" s="0" t="inlineStr">
        <is>
          <t>Not in eligible FD universe (steakhouse/fine dining with active independent valet)</t>
        </is>
      </c>
    </row>
    <row r="327">
      <c r="A327" s="0" t="inlineStr">
        <is>
          <t>Palma</t>
        </is>
      </c>
      <c r="B327" s="0" t="inlineStr">
        <is>
          <t>Restaurant</t>
        </is>
      </c>
      <c r="C327" s="228" t="inlineStr">
        <is>
          <t>Restaurant — Excluded</t>
        </is>
      </c>
      <c r="D327" s="0" t="inlineStr"/>
      <c r="E327" s="0" t="inlineStr"/>
      <c r="F327" s="0" t="inlineStr"/>
      <c r="G327" s="0" t="inlineStr"/>
      <c r="H327" s="0" t="inlineStr"/>
      <c r="I327" s="0" t="inlineStr"/>
      <c r="J327" s="0" t="inlineStr"/>
      <c r="K327" s="0" t="inlineStr"/>
      <c r="L327" s="0" t="inlineStr"/>
      <c r="M327" s="0" t="inlineStr"/>
      <c r="N327" s="0" t="inlineStr">
        <is>
          <t>EXCLUDED — no active valet / not eligible</t>
        </is>
      </c>
      <c r="O327" s="0" t="inlineStr">
        <is>
          <t>Not in eligible FD universe (steakhouse/fine dining with active independent valet)</t>
        </is>
      </c>
    </row>
    <row r="328">
      <c r="A328" s="0" t="inlineStr">
        <is>
          <t>Lom Wong</t>
        </is>
      </c>
      <c r="B328" s="0" t="inlineStr">
        <is>
          <t>Restaurant</t>
        </is>
      </c>
      <c r="C328" s="228" t="inlineStr">
        <is>
          <t>Restaurant — Excluded</t>
        </is>
      </c>
      <c r="D328" s="0" t="inlineStr"/>
      <c r="E328" s="0" t="inlineStr"/>
      <c r="F328" s="0" t="inlineStr"/>
      <c r="G328" s="0" t="inlineStr"/>
      <c r="H328" s="0" t="inlineStr"/>
      <c r="I328" s="0" t="inlineStr"/>
      <c r="J328" s="0" t="inlineStr"/>
      <c r="K328" s="0" t="inlineStr"/>
      <c r="L328" s="0" t="inlineStr"/>
      <c r="M328" s="0" t="inlineStr"/>
      <c r="N328" s="0" t="inlineStr">
        <is>
          <t>EXCLUDED — no active valet / not eligible</t>
        </is>
      </c>
      <c r="O328" s="0" t="inlineStr">
        <is>
          <t>Not in eligible FD universe (steakhouse/fine dining with active independent valet)</t>
        </is>
      </c>
    </row>
    <row r="329">
      <c r="A329" s="0" t="inlineStr">
        <is>
          <t>The Pemberton</t>
        </is>
      </c>
      <c r="B329" s="0" t="inlineStr">
        <is>
          <t>Restaurant</t>
        </is>
      </c>
      <c r="C329" s="228" t="inlineStr">
        <is>
          <t>Restaurant — Excluded</t>
        </is>
      </c>
      <c r="D329" s="0" t="inlineStr"/>
      <c r="E329" s="0" t="inlineStr"/>
      <c r="F329" s="0" t="inlineStr"/>
      <c r="G329" s="0" t="inlineStr"/>
      <c r="H329" s="0" t="inlineStr"/>
      <c r="I329" s="0" t="inlineStr"/>
      <c r="J329" s="0" t="inlineStr"/>
      <c r="K329" s="0" t="inlineStr"/>
      <c r="L329" s="0" t="inlineStr"/>
      <c r="M329" s="0" t="inlineStr"/>
      <c r="N329" s="0" t="inlineStr">
        <is>
          <t>EXCLUDED — no active valet / not eligible</t>
        </is>
      </c>
      <c r="O329" s="0" t="inlineStr">
        <is>
          <t>Not in eligible FD universe (steakhouse/fine dining with active independent valet)</t>
        </is>
      </c>
    </row>
    <row r="330">
      <c r="A330" s="0" t="inlineStr">
        <is>
          <t>Industry Standard</t>
        </is>
      </c>
      <c r="B330" s="0" t="inlineStr">
        <is>
          <t>Restaurant</t>
        </is>
      </c>
      <c r="C330" s="228" t="inlineStr">
        <is>
          <t>Restaurant — Excluded</t>
        </is>
      </c>
      <c r="D330" s="0" t="inlineStr"/>
      <c r="E330" s="0" t="inlineStr"/>
      <c r="F330" s="0" t="inlineStr"/>
      <c r="G330" s="0" t="inlineStr"/>
      <c r="H330" s="0" t="inlineStr"/>
      <c r="I330" s="0" t="inlineStr"/>
      <c r="J330" s="0" t="inlineStr"/>
      <c r="K330" s="0" t="inlineStr"/>
      <c r="L330" s="0" t="inlineStr"/>
      <c r="M330" s="0" t="inlineStr"/>
      <c r="N330" s="0" t="inlineStr">
        <is>
          <t>EXCLUDED — no active valet / not eligible</t>
        </is>
      </c>
      <c r="O330" s="0" t="inlineStr">
        <is>
          <t>Not in eligible FD universe (steakhouse/fine dining with active independent valet)</t>
        </is>
      </c>
    </row>
    <row r="331">
      <c r="A331" s="0" t="inlineStr">
        <is>
          <t>First &amp; Last</t>
        </is>
      </c>
      <c r="B331" s="0" t="inlineStr">
        <is>
          <t>Restaurant</t>
        </is>
      </c>
      <c r="C331" s="228" t="inlineStr">
        <is>
          <t>Restaurant — Excluded</t>
        </is>
      </c>
      <c r="D331" s="0" t="inlineStr"/>
      <c r="E331" s="0" t="inlineStr"/>
      <c r="F331" s="0" t="inlineStr"/>
      <c r="G331" s="0" t="inlineStr"/>
      <c r="H331" s="0" t="inlineStr"/>
      <c r="I331" s="0" t="inlineStr"/>
      <c r="J331" s="0" t="inlineStr"/>
      <c r="K331" s="0" t="inlineStr"/>
      <c r="L331" s="0" t="inlineStr"/>
      <c r="M331" s="0" t="inlineStr"/>
      <c r="N331" s="0" t="inlineStr">
        <is>
          <t>EXCLUDED — no active valet / not eligible</t>
        </is>
      </c>
      <c r="O331" s="0" t="inlineStr">
        <is>
          <t>Not in eligible FD universe (steakhouse/fine dining with active independent valet)</t>
        </is>
      </c>
    </row>
    <row r="332">
      <c r="A332" s="0" t="inlineStr">
        <is>
          <t>Pa'La Wood Fired Cooking</t>
        </is>
      </c>
      <c r="B332" s="0" t="inlineStr">
        <is>
          <t>Restaurant</t>
        </is>
      </c>
      <c r="C332" s="228" t="inlineStr">
        <is>
          <t>Restaurant — Excluded</t>
        </is>
      </c>
      <c r="D332" s="0" t="inlineStr"/>
      <c r="E332" s="0" t="inlineStr"/>
      <c r="F332" s="0" t="inlineStr"/>
      <c r="G332" s="0" t="inlineStr"/>
      <c r="H332" s="0" t="inlineStr"/>
      <c r="I332" s="0" t="inlineStr"/>
      <c r="J332" s="0" t="inlineStr"/>
      <c r="K332" s="0" t="inlineStr"/>
      <c r="L332" s="0" t="inlineStr"/>
      <c r="M332" s="0" t="inlineStr"/>
      <c r="N332" s="0" t="inlineStr">
        <is>
          <t>EXCLUDED — no active valet / not eligible</t>
        </is>
      </c>
      <c r="O332" s="0" t="inlineStr">
        <is>
          <t>Not in eligible FD universe (steakhouse/fine dining with active independent valet)</t>
        </is>
      </c>
    </row>
    <row r="333">
      <c r="A333" s="0" t="inlineStr">
        <is>
          <t>Bacanora PHX</t>
        </is>
      </c>
      <c r="B333" s="0" t="inlineStr">
        <is>
          <t>Restaurant</t>
        </is>
      </c>
      <c r="C333" s="228" t="inlineStr">
        <is>
          <t>Restaurant — Excluded</t>
        </is>
      </c>
      <c r="D333" s="0" t="inlineStr"/>
      <c r="E333" s="0" t="inlineStr"/>
      <c r="F333" s="0" t="inlineStr"/>
      <c r="G333" s="0" t="inlineStr"/>
      <c r="H333" s="0" t="inlineStr"/>
      <c r="I333" s="0" t="inlineStr"/>
      <c r="J333" s="0" t="inlineStr"/>
      <c r="K333" s="0" t="inlineStr"/>
      <c r="L333" s="0" t="inlineStr"/>
      <c r="M333" s="0" t="inlineStr"/>
      <c r="N333" s="0" t="inlineStr">
        <is>
          <t>EXCLUDED — no active valet / not eligible</t>
        </is>
      </c>
      <c r="O333" s="0" t="inlineStr">
        <is>
          <t>Not in eligible FD universe (steakhouse/fine dining with active independent valet)</t>
        </is>
      </c>
    </row>
    <row r="334">
      <c r="A334" s="0" t="inlineStr">
        <is>
          <t>Pizzeria Bianco</t>
        </is>
      </c>
      <c r="B334" s="0" t="inlineStr">
        <is>
          <t>Restaurant</t>
        </is>
      </c>
      <c r="C334" s="228" t="inlineStr">
        <is>
          <t>Restaurant — Excluded</t>
        </is>
      </c>
      <c r="D334" s="0" t="inlineStr"/>
      <c r="E334" s="0" t="inlineStr"/>
      <c r="F334" s="0" t="inlineStr"/>
      <c r="G334" s="0" t="inlineStr"/>
      <c r="H334" s="0" t="inlineStr"/>
      <c r="I334" s="0" t="inlineStr"/>
      <c r="J334" s="0" t="inlineStr"/>
      <c r="K334" s="0" t="inlineStr"/>
      <c r="L334" s="0" t="inlineStr"/>
      <c r="M334" s="0" t="inlineStr"/>
      <c r="N334" s="0" t="inlineStr">
        <is>
          <t>EXCLUDED — no active valet / not eligible</t>
        </is>
      </c>
      <c r="O334" s="0" t="inlineStr">
        <is>
          <t>Not in eligible FD universe (steakhouse/fine dining with active independent valet)</t>
        </is>
      </c>
    </row>
    <row r="335">
      <c r="A335" s="0" t="inlineStr">
        <is>
          <t>LATHA</t>
        </is>
      </c>
      <c r="B335" s="0" t="inlineStr">
        <is>
          <t>Restaurant</t>
        </is>
      </c>
      <c r="C335" s="228" t="inlineStr">
        <is>
          <t>Restaurant — Excluded</t>
        </is>
      </c>
      <c r="D335" s="0" t="inlineStr"/>
      <c r="E335" s="0" t="inlineStr"/>
      <c r="F335" s="0" t="inlineStr"/>
      <c r="G335" s="0" t="inlineStr"/>
      <c r="H335" s="0" t="inlineStr"/>
      <c r="I335" s="0" t="inlineStr"/>
      <c r="J335" s="0" t="inlineStr"/>
      <c r="K335" s="0" t="inlineStr"/>
      <c r="L335" s="0" t="inlineStr"/>
      <c r="M335" s="0" t="inlineStr"/>
      <c r="N335" s="0" t="inlineStr">
        <is>
          <t>EXCLUDED — no active valet / not eligible</t>
        </is>
      </c>
      <c r="O335" s="0" t="inlineStr">
        <is>
          <t>Not in eligible FD universe (steakhouse/fine dining with active independent valet)</t>
        </is>
      </c>
    </row>
    <row r="336">
      <c r="A336" s="0" t="inlineStr">
        <is>
          <t>Buck &amp; Rider Phoenix</t>
        </is>
      </c>
      <c r="B336" s="0" t="inlineStr">
        <is>
          <t>Restaurant</t>
        </is>
      </c>
      <c r="C336" s="228" t="inlineStr">
        <is>
          <t>Restaurant — Excluded</t>
        </is>
      </c>
      <c r="D336" s="0" t="inlineStr"/>
      <c r="E336" s="0" t="inlineStr"/>
      <c r="F336" s="0" t="inlineStr"/>
      <c r="G336" s="0" t="inlineStr"/>
      <c r="H336" s="0" t="inlineStr"/>
      <c r="I336" s="0" t="inlineStr"/>
      <c r="J336" s="0" t="inlineStr"/>
      <c r="K336" s="0" t="inlineStr"/>
      <c r="L336" s="0" t="inlineStr"/>
      <c r="M336" s="0" t="inlineStr"/>
      <c r="N336" s="0" t="inlineStr">
        <is>
          <t>EXCLUDED — no active valet / not eligible</t>
        </is>
      </c>
      <c r="O336" s="0" t="inlineStr">
        <is>
          <t>Not in eligible FD universe (steakhouse/fine dining with active independent valet)</t>
        </is>
      </c>
    </row>
    <row r="337">
      <c r="A337" s="0" t="inlineStr">
        <is>
          <t>HULA'S Modern Tiki Uptown</t>
        </is>
      </c>
      <c r="B337" s="0" t="inlineStr">
        <is>
          <t>Restaurant</t>
        </is>
      </c>
      <c r="C337" s="228" t="inlineStr">
        <is>
          <t>Restaurant — Excluded</t>
        </is>
      </c>
      <c r="D337" s="0" t="inlineStr"/>
      <c r="E337" s="0" t="inlineStr"/>
      <c r="F337" s="0" t="inlineStr"/>
      <c r="G337" s="0" t="inlineStr"/>
      <c r="H337" s="0" t="inlineStr"/>
      <c r="I337" s="0" t="inlineStr"/>
      <c r="J337" s="0" t="inlineStr"/>
      <c r="K337" s="0" t="inlineStr"/>
      <c r="L337" s="0" t="inlineStr"/>
      <c r="M337" s="0" t="inlineStr"/>
      <c r="N337" s="0" t="inlineStr">
        <is>
          <t>EXCLUDED — no active valet / not eligible</t>
        </is>
      </c>
      <c r="O337" s="0" t="inlineStr">
        <is>
          <t>Not in eligible FD universe (steakhouse/fine dining with active independent valet)</t>
        </is>
      </c>
    </row>
    <row r="338">
      <c r="A338" s="0" t="inlineStr">
        <is>
          <t>Postino Central</t>
        </is>
      </c>
      <c r="B338" s="0" t="inlineStr">
        <is>
          <t>Restaurant</t>
        </is>
      </c>
      <c r="C338" s="228" t="inlineStr">
        <is>
          <t>Restaurant — Excluded</t>
        </is>
      </c>
      <c r="D338" s="0" t="inlineStr"/>
      <c r="E338" s="0" t="inlineStr"/>
      <c r="F338" s="0" t="inlineStr"/>
      <c r="G338" s="0" t="inlineStr"/>
      <c r="H338" s="0" t="inlineStr"/>
      <c r="I338" s="0" t="inlineStr"/>
      <c r="J338" s="0" t="inlineStr"/>
      <c r="K338" s="0" t="inlineStr"/>
      <c r="L338" s="0" t="inlineStr"/>
      <c r="M338" s="0" t="inlineStr"/>
      <c r="N338" s="0" t="inlineStr">
        <is>
          <t>EXCLUDED — no active valet / not eligible</t>
        </is>
      </c>
      <c r="O338" s="0" t="inlineStr">
        <is>
          <t>Not in eligible FD universe (steakhouse/fine dining with active independent valet)</t>
        </is>
      </c>
    </row>
    <row r="339">
      <c r="A339" s="0" t="inlineStr">
        <is>
          <t>Steak 44 - Biltmore</t>
        </is>
      </c>
      <c r="B339" s="0" t="inlineStr">
        <is>
          <t>Restaurant</t>
        </is>
      </c>
      <c r="C339" s="228" t="inlineStr">
        <is>
          <t>Restaurant — Excluded</t>
        </is>
      </c>
      <c r="D339" s="0" t="inlineStr"/>
      <c r="E339" s="0" t="inlineStr"/>
      <c r="F339" s="0" t="inlineStr"/>
      <c r="G339" s="0" t="inlineStr"/>
      <c r="H339" s="0" t="inlineStr"/>
      <c r="I339" s="0" t="inlineStr"/>
      <c r="J339" s="0" t="inlineStr"/>
      <c r="K339" s="0" t="inlineStr"/>
      <c r="L339" s="0" t="inlineStr"/>
      <c r="M339" s="0" t="inlineStr"/>
      <c r="N339" s="0" t="inlineStr">
        <is>
          <t>EXCLUDED — no active valet / not eligible</t>
        </is>
      </c>
      <c r="O339" s="0" t="inlineStr">
        <is>
          <t>Not in eligible FD universe (steakhouse/fine dining with active independent valet)</t>
        </is>
      </c>
    </row>
    <row r="340">
      <c r="A340" s="0" t="inlineStr">
        <is>
          <t>PYRO</t>
        </is>
      </c>
      <c r="B340" s="0" t="inlineStr">
        <is>
          <t>Restaurant</t>
        </is>
      </c>
      <c r="C340" s="228" t="inlineStr">
        <is>
          <t>Restaurant — Excluded</t>
        </is>
      </c>
      <c r="D340" s="0" t="inlineStr"/>
      <c r="E340" s="0" t="inlineStr"/>
      <c r="F340" s="0" t="inlineStr"/>
      <c r="G340" s="0" t="inlineStr"/>
      <c r="H340" s="0" t="inlineStr"/>
      <c r="I340" s="0" t="inlineStr"/>
      <c r="J340" s="0" t="inlineStr"/>
      <c r="K340" s="0" t="inlineStr"/>
      <c r="L340" s="0" t="inlineStr"/>
      <c r="M340" s="0" t="inlineStr"/>
      <c r="N340" s="0" t="inlineStr">
        <is>
          <t>EXCLUDED — no active valet / not eligible</t>
        </is>
      </c>
      <c r="O340" s="0" t="inlineStr">
        <is>
          <t>Not in eligible FD universe (steakhouse/fine dining with active independent valet)</t>
        </is>
      </c>
    </row>
    <row r="341">
      <c r="A341" s="0" t="inlineStr">
        <is>
          <t>Rough Rider</t>
        </is>
      </c>
      <c r="B341" s="0" t="inlineStr">
        <is>
          <t>Restaurant</t>
        </is>
      </c>
      <c r="C341" s="228" t="inlineStr">
        <is>
          <t>Restaurant — Excluded</t>
        </is>
      </c>
      <c r="D341" s="0" t="inlineStr"/>
      <c r="E341" s="0" t="inlineStr"/>
      <c r="F341" s="0" t="inlineStr"/>
      <c r="G341" s="0" t="inlineStr"/>
      <c r="H341" s="0" t="inlineStr"/>
      <c r="I341" s="0" t="inlineStr"/>
      <c r="J341" s="0" t="inlineStr"/>
      <c r="K341" s="0" t="inlineStr"/>
      <c r="L341" s="0" t="inlineStr"/>
      <c r="M341" s="0" t="inlineStr"/>
      <c r="N341" s="0" t="inlineStr">
        <is>
          <t>EXCLUDED — no active valet / not eligible</t>
        </is>
      </c>
      <c r="O341" s="0" t="inlineStr">
        <is>
          <t>Not in eligible FD universe (steakhouse/fine dining with active independent valet)</t>
        </is>
      </c>
    </row>
    <row r="342">
      <c r="A342" s="0" t="inlineStr">
        <is>
          <t>Citizen Public House</t>
        </is>
      </c>
      <c r="B342" s="0" t="inlineStr">
        <is>
          <t>Restaurant</t>
        </is>
      </c>
      <c r="C342" s="228" t="inlineStr">
        <is>
          <t>Restaurant — Excluded</t>
        </is>
      </c>
      <c r="D342" s="0" t="inlineStr"/>
      <c r="E342" s="0" t="inlineStr"/>
      <c r="F342" s="0" t="inlineStr"/>
      <c r="G342" s="0" t="inlineStr"/>
      <c r="H342" s="0" t="inlineStr"/>
      <c r="I342" s="0" t="inlineStr"/>
      <c r="J342" s="0" t="inlineStr"/>
      <c r="K342" s="0" t="inlineStr"/>
      <c r="L342" s="0" t="inlineStr"/>
      <c r="M342" s="0" t="inlineStr"/>
      <c r="N342" s="0" t="inlineStr">
        <is>
          <t>EXCLUDED — no active valet / not eligible</t>
        </is>
      </c>
      <c r="O342" s="0" t="inlineStr">
        <is>
          <t>Not in eligible FD universe (steakhouse/fine dining with active independent valet)</t>
        </is>
      </c>
    </row>
    <row r="343">
      <c r="A343" s="0" t="inlineStr">
        <is>
          <t>Cooper’s Hawk Winery &amp; Restaurant</t>
        </is>
      </c>
      <c r="B343" s="0" t="inlineStr">
        <is>
          <t>Restaurant</t>
        </is>
      </c>
      <c r="C343" s="228" t="inlineStr">
        <is>
          <t>Restaurant — Excluded</t>
        </is>
      </c>
      <c r="D343" s="0" t="inlineStr"/>
      <c r="E343" s="0" t="inlineStr"/>
      <c r="F343" s="0" t="inlineStr"/>
      <c r="G343" s="0" t="inlineStr"/>
      <c r="H343" s="0" t="inlineStr"/>
      <c r="I343" s="0" t="inlineStr"/>
      <c r="J343" s="0" t="inlineStr"/>
      <c r="K343" s="0" t="inlineStr"/>
      <c r="L343" s="0" t="inlineStr"/>
      <c r="M343" s="0" t="inlineStr"/>
      <c r="N343" s="0" t="inlineStr">
        <is>
          <t>EXCLUDED — no active valet / not eligible</t>
        </is>
      </c>
      <c r="O343" s="0" t="inlineStr">
        <is>
          <t>Not in eligible FD universe (steakhouse/fine dining with active independent valet)</t>
        </is>
      </c>
    </row>
    <row r="344">
      <c r="A344" s="0" t="inlineStr">
        <is>
          <t>Thirsty Lion</t>
        </is>
      </c>
      <c r="B344" s="0" t="inlineStr">
        <is>
          <t>Restaurant</t>
        </is>
      </c>
      <c r="C344" s="228" t="inlineStr">
        <is>
          <t>Restaurant — Excluded</t>
        </is>
      </c>
      <c r="D344" s="0" t="inlineStr"/>
      <c r="E344" s="0" t="inlineStr"/>
      <c r="F344" s="0" t="inlineStr"/>
      <c r="G344" s="0" t="inlineStr"/>
      <c r="H344" s="0" t="inlineStr"/>
      <c r="I344" s="0" t="inlineStr"/>
      <c r="J344" s="0" t="inlineStr"/>
      <c r="K344" s="0" t="inlineStr"/>
      <c r="L344" s="0" t="inlineStr"/>
      <c r="M344" s="0" t="inlineStr"/>
      <c r="N344" s="0" t="inlineStr">
        <is>
          <t>EXCLUDED — no active valet / not eligible</t>
        </is>
      </c>
      <c r="O344" s="0" t="inlineStr">
        <is>
          <t>Not in eligible FD universe (steakhouse/fine dining with active independent valet)</t>
        </is>
      </c>
    </row>
    <row r="345">
      <c r="A345" s="0" t="inlineStr">
        <is>
          <t>George &amp; Gather</t>
        </is>
      </c>
      <c r="B345" s="0" t="inlineStr">
        <is>
          <t>Restaurant</t>
        </is>
      </c>
      <c r="C345" s="228" t="inlineStr">
        <is>
          <t>Restaurant — Excluded</t>
        </is>
      </c>
      <c r="D345" s="0" t="inlineStr"/>
      <c r="E345" s="0" t="inlineStr"/>
      <c r="F345" s="0" t="inlineStr"/>
      <c r="G345" s="0" t="inlineStr"/>
      <c r="H345" s="0" t="inlineStr"/>
      <c r="I345" s="0" t="inlineStr"/>
      <c r="J345" s="0" t="inlineStr"/>
      <c r="K345" s="0" t="inlineStr"/>
      <c r="L345" s="0" t="inlineStr"/>
      <c r="M345" s="0" t="inlineStr"/>
      <c r="N345" s="0" t="inlineStr">
        <is>
          <t>EXCLUDED — no active valet / not eligible</t>
        </is>
      </c>
      <c r="O345" s="0" t="inlineStr">
        <is>
          <t>Not in eligible FD universe (steakhouse/fine dining with active independent valet)</t>
        </is>
      </c>
    </row>
    <row r="346">
      <c r="A346" s="0" t="inlineStr">
        <is>
          <t>Miel de Agave Chandler</t>
        </is>
      </c>
      <c r="B346" s="0" t="inlineStr">
        <is>
          <t>Restaurant</t>
        </is>
      </c>
      <c r="C346" s="228" t="inlineStr">
        <is>
          <t>Restaurant — Excluded</t>
        </is>
      </c>
      <c r="D346" s="0" t="inlineStr"/>
      <c r="E346" s="0" t="inlineStr"/>
      <c r="F346" s="0" t="inlineStr"/>
      <c r="G346" s="0" t="inlineStr"/>
      <c r="H346" s="0" t="inlineStr"/>
      <c r="I346" s="0" t="inlineStr"/>
      <c r="J346" s="0" t="inlineStr"/>
      <c r="K346" s="0" t="inlineStr"/>
      <c r="L346" s="0" t="inlineStr"/>
      <c r="M346" s="0" t="inlineStr"/>
      <c r="N346" s="0" t="inlineStr">
        <is>
          <t>EXCLUDED — no active valet / not eligible</t>
        </is>
      </c>
      <c r="O346" s="0" t="inlineStr">
        <is>
          <t>Not in eligible FD universe (steakhouse/fine dining with active independent valet)</t>
        </is>
      </c>
    </row>
    <row r="347">
      <c r="A347" s="0" t="inlineStr">
        <is>
          <t>Born &amp; Bred by Aftermath</t>
        </is>
      </c>
      <c r="B347" s="0" t="inlineStr">
        <is>
          <t>Restaurant</t>
        </is>
      </c>
      <c r="C347" s="228" t="inlineStr">
        <is>
          <t>Restaurant — Excluded</t>
        </is>
      </c>
      <c r="D347" s="0" t="inlineStr"/>
      <c r="E347" s="0" t="inlineStr"/>
      <c r="F347" s="0" t="inlineStr"/>
      <c r="G347" s="0" t="inlineStr"/>
      <c r="H347" s="0" t="inlineStr"/>
      <c r="I347" s="0" t="inlineStr"/>
      <c r="J347" s="0" t="inlineStr"/>
      <c r="K347" s="0" t="inlineStr"/>
      <c r="L347" s="0" t="inlineStr"/>
      <c r="M347" s="0" t="inlineStr"/>
      <c r="N347" s="0" t="inlineStr">
        <is>
          <t>EXCLUDED — no active valet / not eligible</t>
        </is>
      </c>
      <c r="O347" s="0" t="inlineStr">
        <is>
          <t>Not in eligible FD universe (steakhouse/fine dining with active independent valet)</t>
        </is>
      </c>
    </row>
    <row r="348">
      <c r="A348" s="0" t="inlineStr">
        <is>
          <t>Postino East</t>
        </is>
      </c>
      <c r="B348" s="0" t="inlineStr">
        <is>
          <t>Restaurant</t>
        </is>
      </c>
      <c r="C348" s="228" t="inlineStr">
        <is>
          <t>Restaurant — Excluded</t>
        </is>
      </c>
      <c r="D348" s="0" t="inlineStr"/>
      <c r="E348" s="0" t="inlineStr"/>
      <c r="F348" s="0" t="inlineStr"/>
      <c r="G348" s="0" t="inlineStr"/>
      <c r="H348" s="0" t="inlineStr"/>
      <c r="I348" s="0" t="inlineStr"/>
      <c r="J348" s="0" t="inlineStr"/>
      <c r="K348" s="0" t="inlineStr"/>
      <c r="L348" s="0" t="inlineStr"/>
      <c r="M348" s="0" t="inlineStr"/>
      <c r="N348" s="0" t="inlineStr">
        <is>
          <t>EXCLUDED — no active valet / not eligible</t>
        </is>
      </c>
      <c r="O348" s="0" t="inlineStr">
        <is>
          <t>Not in eligible FD universe (steakhouse/fine dining with active independent valet)</t>
        </is>
      </c>
    </row>
    <row r="349">
      <c r="A349" s="0" t="inlineStr">
        <is>
          <t>Sotol Modern Cocktail Kitchen</t>
        </is>
      </c>
      <c r="B349" s="0" t="inlineStr">
        <is>
          <t>Restaurant</t>
        </is>
      </c>
      <c r="C349" s="228" t="inlineStr">
        <is>
          <t>Restaurant — Excluded</t>
        </is>
      </c>
      <c r="D349" s="0" t="inlineStr"/>
      <c r="E349" s="0" t="inlineStr"/>
      <c r="F349" s="0" t="inlineStr"/>
      <c r="G349" s="0" t="inlineStr"/>
      <c r="H349" s="0" t="inlineStr"/>
      <c r="I349" s="0" t="inlineStr"/>
      <c r="J349" s="0" t="inlineStr"/>
      <c r="K349" s="0" t="inlineStr"/>
      <c r="L349" s="0" t="inlineStr"/>
      <c r="M349" s="0" t="inlineStr"/>
      <c r="N349" s="0" t="inlineStr">
        <is>
          <t>EXCLUDED — no active valet / not eligible</t>
        </is>
      </c>
      <c r="O349" s="0" t="inlineStr">
        <is>
          <t>Not in eligible FD universe (steakhouse/fine dining with active independent valet)</t>
        </is>
      </c>
    </row>
    <row r="350">
      <c r="A350" s="0" t="inlineStr">
        <is>
          <t>Culinary Dropout - Gilbert</t>
        </is>
      </c>
      <c r="B350" s="0" t="inlineStr">
        <is>
          <t>Restaurant</t>
        </is>
      </c>
      <c r="C350" s="228" t="inlineStr">
        <is>
          <t>Restaurant — Excluded</t>
        </is>
      </c>
      <c r="D350" s="0" t="inlineStr"/>
      <c r="E350" s="0" t="inlineStr"/>
      <c r="F350" s="0" t="inlineStr"/>
      <c r="G350" s="0" t="inlineStr"/>
      <c r="H350" s="0" t="inlineStr"/>
      <c r="I350" s="0" t="inlineStr"/>
      <c r="J350" s="0" t="inlineStr"/>
      <c r="K350" s="0" t="inlineStr"/>
      <c r="L350" s="0" t="inlineStr"/>
      <c r="M350" s="0" t="inlineStr"/>
      <c r="N350" s="0" t="inlineStr">
        <is>
          <t>EXCLUDED — no active valet / not eligible</t>
        </is>
      </c>
      <c r="O350" s="0" t="inlineStr">
        <is>
          <t>Not in eligible FD universe (steakhouse/fine dining with active independent valet)</t>
        </is>
      </c>
    </row>
    <row r="351">
      <c r="A351" s="0" t="inlineStr">
        <is>
          <t>El Chorro</t>
        </is>
      </c>
      <c r="B351" s="0" t="inlineStr">
        <is>
          <t>Restaurant</t>
        </is>
      </c>
      <c r="C351" s="228" t="inlineStr">
        <is>
          <t>Restaurant — Excluded</t>
        </is>
      </c>
      <c r="D351" s="0" t="inlineStr"/>
      <c r="E351" s="0" t="inlineStr"/>
      <c r="F351" s="0" t="inlineStr"/>
      <c r="G351" s="0" t="inlineStr"/>
      <c r="H351" s="0" t="inlineStr"/>
      <c r="I351" s="0" t="inlineStr"/>
      <c r="J351" s="0" t="inlineStr"/>
      <c r="K351" s="0" t="inlineStr"/>
      <c r="L351" s="0" t="inlineStr"/>
      <c r="M351" s="0" t="inlineStr"/>
      <c r="N351" s="0" t="inlineStr">
        <is>
          <t>EXCLUDED — no active valet / not eligible</t>
        </is>
      </c>
      <c r="O351" s="0" t="inlineStr">
        <is>
          <t>Not in eligible FD universe (steakhouse/fine dining with active independent valet)</t>
        </is>
      </c>
    </row>
    <row r="352">
      <c r="A352" s="0" t="inlineStr">
        <is>
          <t>Roaring Fork</t>
        </is>
      </c>
      <c r="B352" s="0" t="inlineStr">
        <is>
          <t>Restaurant</t>
        </is>
      </c>
      <c r="C352" s="228" t="inlineStr">
        <is>
          <t>Restaurant — Excluded</t>
        </is>
      </c>
      <c r="D352" s="0" t="inlineStr"/>
      <c r="E352" s="0" t="inlineStr"/>
      <c r="F352" s="0" t="inlineStr"/>
      <c r="G352" s="0" t="inlineStr"/>
      <c r="H352" s="0" t="inlineStr"/>
      <c r="I352" s="0" t="inlineStr"/>
      <c r="J352" s="0" t="inlineStr"/>
      <c r="K352" s="0" t="inlineStr"/>
      <c r="L352" s="0" t="inlineStr"/>
      <c r="M352" s="0" t="inlineStr"/>
      <c r="N352" s="0" t="inlineStr">
        <is>
          <t>EXCLUDED — no active valet / not eligible</t>
        </is>
      </c>
      <c r="O352" s="0" t="inlineStr">
        <is>
          <t>Not in eligible FD universe (steakhouse/fine dining with active independent valet)</t>
        </is>
      </c>
    </row>
    <row r="353">
      <c r="A353" s="0" t="inlineStr">
        <is>
          <t>Metropolis</t>
        </is>
      </c>
      <c r="B353" s="0" t="inlineStr">
        <is>
          <t>Restaurant</t>
        </is>
      </c>
      <c r="C353" s="228" t="inlineStr">
        <is>
          <t>Restaurant — Excluded</t>
        </is>
      </c>
      <c r="D353" s="0" t="inlineStr"/>
      <c r="E353" s="0" t="inlineStr"/>
      <c r="F353" s="0" t="inlineStr"/>
      <c r="G353" s="0" t="inlineStr"/>
      <c r="H353" s="0" t="inlineStr"/>
      <c r="I353" s="0" t="inlineStr"/>
      <c r="J353" s="0" t="inlineStr"/>
      <c r="K353" s="0" t="inlineStr"/>
      <c r="L353" s="0" t="inlineStr"/>
      <c r="M353" s="0" t="inlineStr"/>
      <c r="N353" s="0" t="inlineStr">
        <is>
          <t>EXCLUDED — no active valet / not eligible</t>
        </is>
      </c>
      <c r="O353" s="0" t="inlineStr">
        <is>
          <t>Not in eligible FD universe (steakhouse/fine dining with active independent valet)</t>
        </is>
      </c>
    </row>
    <row r="354">
      <c r="A354" s="0" t="inlineStr">
        <is>
          <t>STK Steakhouse - Downtown</t>
        </is>
      </c>
      <c r="B354" s="0" t="inlineStr">
        <is>
          <t>Restaurant</t>
        </is>
      </c>
      <c r="C354" s="228" t="inlineStr">
        <is>
          <t>Restaurant — Excluded</t>
        </is>
      </c>
      <c r="D354" s="0" t="inlineStr"/>
      <c r="E354" s="0" t="inlineStr"/>
      <c r="F354" s="0" t="inlineStr"/>
      <c r="G354" s="0" t="inlineStr"/>
      <c r="H354" s="0" t="inlineStr"/>
      <c r="I354" s="0" t="inlineStr"/>
      <c r="J354" s="0" t="inlineStr"/>
      <c r="K354" s="0" t="inlineStr"/>
      <c r="L354" s="0" t="inlineStr"/>
      <c r="M354" s="0" t="inlineStr"/>
      <c r="N354" s="0" t="inlineStr">
        <is>
          <t>EXCLUDED — no active valet / not eligible</t>
        </is>
      </c>
      <c r="O354" s="0" t="inlineStr">
        <is>
          <t>Not in eligible FD universe (steakhouse/fine dining with active independent valet)</t>
        </is>
      </c>
    </row>
    <row r="355">
      <c r="A355" s="0" t="inlineStr">
        <is>
          <t>The Westin Kierland Villas, Scottsdale</t>
        </is>
      </c>
      <c r="B355" s="0" t="inlineStr">
        <is>
          <t>Villas</t>
        </is>
      </c>
      <c r="C355" s="224" t="inlineStr">
        <is>
          <t>Unknown type: Villas</t>
        </is>
      </c>
      <c r="D355" s="0" t="n">
        <v>298</v>
      </c>
      <c r="E355" s="0" t="inlineStr"/>
      <c r="F355" s="0" t="inlineStr"/>
      <c r="G355" s="0" t="inlineStr"/>
      <c r="H355" s="0" t="inlineStr"/>
      <c r="I355" s="0" t="inlineStr"/>
      <c r="J355" s="0" t="inlineStr"/>
      <c r="K355" s="0" t="inlineStr"/>
      <c r="L355" s="0" t="inlineStr"/>
      <c r="M355" s="0" t="inlineStr"/>
      <c r="N355" s="0" t="inlineStr">
        <is>
          <t>REVIEW</t>
        </is>
      </c>
      <c r="O355" s="0" t="inlineStr"/>
    </row>
    <row r="356">
      <c r="A356" s="0" t="inlineStr">
        <is>
          <t>Scottsdale Camelback Resort</t>
        </is>
      </c>
      <c r="B356" s="0" t="inlineStr">
        <is>
          <t>Villas</t>
        </is>
      </c>
      <c r="C356" s="224" t="inlineStr">
        <is>
          <t>Unknown type: Villas</t>
        </is>
      </c>
      <c r="D356" s="0" t="n">
        <v>111</v>
      </c>
      <c r="E356" s="0" t="inlineStr"/>
      <c r="F356" s="0" t="inlineStr"/>
      <c r="G356" s="0" t="inlineStr"/>
      <c r="H356" s="0" t="inlineStr"/>
      <c r="I356" s="0" t="inlineStr"/>
      <c r="J356" s="0" t="inlineStr"/>
      <c r="K356" s="0" t="inlineStr"/>
      <c r="L356" s="0" t="inlineStr"/>
      <c r="M356" s="0" t="inlineStr"/>
      <c r="N356" s="0" t="inlineStr">
        <is>
          <t>REVIEW</t>
        </is>
      </c>
      <c r="O356" s="0" t="inlineStr"/>
    </row>
    <row r="357">
      <c r="A357" s="0" t="inlineStr">
        <is>
          <t>Events by Sloane</t>
        </is>
      </c>
      <c r="B357" s="0" t="inlineStr">
        <is>
          <t>Wedding Planner</t>
        </is>
      </c>
      <c r="C357" s="224" t="inlineStr">
        <is>
          <t>Unknown type: Wedding Planner</t>
        </is>
      </c>
      <c r="D357" s="0" t="inlineStr"/>
      <c r="E357" s="0" t="inlineStr"/>
      <c r="F357" s="0" t="inlineStr"/>
      <c r="G357" s="0" t="inlineStr"/>
      <c r="H357" s="0" t="inlineStr"/>
      <c r="I357" s="0" t="inlineStr"/>
      <c r="J357" s="0" t="inlineStr"/>
      <c r="K357" s="0" t="inlineStr"/>
      <c r="L357" s="0" t="inlineStr"/>
      <c r="M357" s="0" t="inlineStr"/>
      <c r="N357" s="0" t="inlineStr">
        <is>
          <t>REVIEW</t>
        </is>
      </c>
      <c r="O357" s="0" t="inlineStr"/>
    </row>
    <row r="358">
      <c r="A358" s="0" t="inlineStr">
        <is>
          <t>Cactus Bloom Wedding &amp; Events</t>
        </is>
      </c>
      <c r="B358" s="0" t="inlineStr">
        <is>
          <t>Wedding Planner</t>
        </is>
      </c>
      <c r="C358" s="224" t="inlineStr">
        <is>
          <t>Unknown type: Wedding Planner</t>
        </is>
      </c>
      <c r="D358" s="0" t="inlineStr"/>
      <c r="E358" s="0" t="inlineStr"/>
      <c r="F358" s="0" t="inlineStr"/>
      <c r="G358" s="0" t="inlineStr"/>
      <c r="H358" s="0" t="inlineStr"/>
      <c r="I358" s="0" t="inlineStr"/>
      <c r="J358" s="0" t="inlineStr"/>
      <c r="K358" s="0" t="inlineStr"/>
      <c r="L358" s="0" t="inlineStr"/>
      <c r="M358" s="0" t="inlineStr"/>
      <c r="N358" s="0" t="inlineStr">
        <is>
          <t>REVIEW</t>
        </is>
      </c>
      <c r="O358" s="0" t="inlineStr"/>
    </row>
    <row r="359">
      <c r="A359" s="0" t="inlineStr">
        <is>
          <t>Wedding Bel AZ</t>
        </is>
      </c>
      <c r="B359" s="0" t="inlineStr">
        <is>
          <t>Wedding Planner</t>
        </is>
      </c>
      <c r="C359" s="224" t="inlineStr">
        <is>
          <t>Unknown type: Wedding Planner</t>
        </is>
      </c>
      <c r="D359" s="0" t="inlineStr"/>
      <c r="E359" s="0" t="inlineStr"/>
      <c r="F359" s="0" t="inlineStr"/>
      <c r="G359" s="0" t="inlineStr"/>
      <c r="H359" s="0" t="inlineStr"/>
      <c r="I359" s="0" t="inlineStr"/>
      <c r="J359" s="0" t="inlineStr"/>
      <c r="K359" s="0" t="inlineStr"/>
      <c r="L359" s="0" t="inlineStr"/>
      <c r="M359" s="0" t="inlineStr"/>
      <c r="N359" s="0" t="inlineStr">
        <is>
          <t>REVIEW</t>
        </is>
      </c>
      <c r="O359" s="0" t="inlineStr"/>
    </row>
    <row r="360">
      <c r="A360" s="0" t="inlineStr">
        <is>
          <t>Un Jour D'Amour Weddings &amp; Events</t>
        </is>
      </c>
      <c r="B360" s="0" t="inlineStr">
        <is>
          <t>Wedding Planner</t>
        </is>
      </c>
      <c r="C360" s="224" t="inlineStr">
        <is>
          <t>Unknown type: Wedding Planner</t>
        </is>
      </c>
      <c r="D360" s="0" t="inlineStr"/>
      <c r="E360" s="0" t="inlineStr"/>
      <c r="F360" s="0" t="inlineStr"/>
      <c r="G360" s="0" t="inlineStr"/>
      <c r="H360" s="0" t="inlineStr"/>
      <c r="I360" s="0" t="inlineStr"/>
      <c r="J360" s="0" t="inlineStr"/>
      <c r="K360" s="0" t="inlineStr"/>
      <c r="L360" s="0" t="inlineStr"/>
      <c r="M360" s="0" t="inlineStr"/>
      <c r="N360" s="0" t="inlineStr">
        <is>
          <t>REVIEW</t>
        </is>
      </c>
      <c r="O360" s="0" t="inlineStr"/>
    </row>
    <row r="361">
      <c r="A361" s="0" t="inlineStr">
        <is>
          <t>WeddingsbyShaye</t>
        </is>
      </c>
      <c r="B361" s="0" t="inlineStr">
        <is>
          <t>Wedding Planner</t>
        </is>
      </c>
      <c r="C361" s="224" t="inlineStr">
        <is>
          <t>Unknown type: Wedding Planner</t>
        </is>
      </c>
      <c r="D361" s="0" t="inlineStr"/>
      <c r="E361" s="0" t="inlineStr"/>
      <c r="F361" s="0" t="inlineStr"/>
      <c r="G361" s="0" t="inlineStr"/>
      <c r="H361" s="0" t="inlineStr"/>
      <c r="I361" s="0" t="inlineStr"/>
      <c r="J361" s="0" t="inlineStr"/>
      <c r="K361" s="0" t="inlineStr"/>
      <c r="L361" s="0" t="inlineStr"/>
      <c r="M361" s="0" t="inlineStr"/>
      <c r="N361" s="0" t="inlineStr">
        <is>
          <t>REVIEW</t>
        </is>
      </c>
      <c r="O361" s="0" t="inlineStr"/>
    </row>
    <row r="362">
      <c r="A362" s="0" t="inlineStr">
        <is>
          <t>Sydney Lema Weddings &amp; Events</t>
        </is>
      </c>
      <c r="B362" s="0" t="inlineStr">
        <is>
          <t>Wedding Planner</t>
        </is>
      </c>
      <c r="C362" s="224" t="inlineStr">
        <is>
          <t>Unknown type: Wedding Planner</t>
        </is>
      </c>
      <c r="D362" s="0" t="inlineStr"/>
      <c r="E362" s="0" t="inlineStr"/>
      <c r="F362" s="0" t="inlineStr"/>
      <c r="G362" s="0" t="inlineStr"/>
      <c r="H362" s="0" t="inlineStr"/>
      <c r="I362" s="0" t="inlineStr"/>
      <c r="J362" s="0" t="inlineStr"/>
      <c r="K362" s="0" t="inlineStr"/>
      <c r="L362" s="0" t="inlineStr"/>
      <c r="M362" s="0" t="inlineStr"/>
      <c r="N362" s="0" t="inlineStr">
        <is>
          <t>REVIEW</t>
        </is>
      </c>
      <c r="O362" s="0" t="inlineStr"/>
    </row>
    <row r="363">
      <c r="A363" s="0" t="inlineStr">
        <is>
          <t>Riding Tandem</t>
        </is>
      </c>
      <c r="B363" s="0" t="inlineStr">
        <is>
          <t>Wedding Planner</t>
        </is>
      </c>
      <c r="C363" s="224" t="inlineStr">
        <is>
          <t>Unknown type: Wedding Planner</t>
        </is>
      </c>
      <c r="D363" s="0" t="inlineStr"/>
      <c r="E363" s="0" t="inlineStr"/>
      <c r="F363" s="0" t="inlineStr"/>
      <c r="G363" s="0" t="inlineStr"/>
      <c r="H363" s="0" t="inlineStr"/>
      <c r="I363" s="0" t="inlineStr"/>
      <c r="J363" s="0" t="inlineStr"/>
      <c r="K363" s="0" t="inlineStr"/>
      <c r="L363" s="0" t="inlineStr"/>
      <c r="M363" s="0" t="inlineStr"/>
      <c r="N363" s="0" t="inlineStr">
        <is>
          <t>REVIEW</t>
        </is>
      </c>
      <c r="O363" s="0" t="inlineStr"/>
    </row>
    <row r="364">
      <c r="A364" s="0" t="inlineStr">
        <is>
          <t>K Marie Weddings</t>
        </is>
      </c>
      <c r="B364" s="0" t="inlineStr">
        <is>
          <t>Wedding Planner</t>
        </is>
      </c>
      <c r="C364" s="224" t="inlineStr">
        <is>
          <t>Unknown type: Wedding Planner</t>
        </is>
      </c>
      <c r="D364" s="0" t="inlineStr"/>
      <c r="E364" s="0" t="inlineStr"/>
      <c r="F364" s="0" t="inlineStr"/>
      <c r="G364" s="0" t="inlineStr"/>
      <c r="H364" s="0" t="inlineStr"/>
      <c r="I364" s="0" t="inlineStr"/>
      <c r="J364" s="0" t="inlineStr"/>
      <c r="K364" s="0" t="inlineStr"/>
      <c r="L364" s="0" t="inlineStr"/>
      <c r="M364" s="0" t="inlineStr"/>
      <c r="N364" s="0" t="inlineStr">
        <is>
          <t>REVIEW</t>
        </is>
      </c>
      <c r="O364" s="0" t="inlineStr"/>
    </row>
    <row r="365">
      <c r="A365" s="0" t="inlineStr">
        <is>
          <t>Beatriz Events</t>
        </is>
      </c>
      <c r="B365" s="0" t="inlineStr">
        <is>
          <t>Wedding Planner</t>
        </is>
      </c>
      <c r="C365" s="224" t="inlineStr">
        <is>
          <t>Unknown type: Wedding Planner</t>
        </is>
      </c>
      <c r="D365" s="0" t="inlineStr"/>
      <c r="E365" s="0" t="inlineStr"/>
      <c r="F365" s="0" t="inlineStr"/>
      <c r="G365" s="0" t="inlineStr"/>
      <c r="H365" s="0" t="inlineStr"/>
      <c r="I365" s="0" t="inlineStr"/>
      <c r="J365" s="0" t="inlineStr"/>
      <c r="K365" s="0" t="inlineStr"/>
      <c r="L365" s="0" t="inlineStr"/>
      <c r="M365" s="0" t="inlineStr"/>
      <c r="N365" s="0" t="inlineStr">
        <is>
          <t>REVIEW</t>
        </is>
      </c>
      <c r="O365" s="0" t="inlineStr"/>
    </row>
    <row r="366">
      <c r="A366" s="0" t="inlineStr">
        <is>
          <t>Perry's Steakhouse</t>
        </is>
      </c>
      <c r="B366" s="0" t="inlineStr">
        <is>
          <t>Restaurant</t>
        </is>
      </c>
      <c r="C366" s="228" t="inlineStr">
        <is>
          <t>Restaurant — Excluded</t>
        </is>
      </c>
      <c r="D366" s="0" t="inlineStr"/>
      <c r="E366" s="0" t="inlineStr"/>
      <c r="F366" s="0" t="inlineStr"/>
      <c r="G366" s="0" t="inlineStr"/>
      <c r="H366" s="0" t="inlineStr"/>
      <c r="I366" s="0" t="inlineStr"/>
      <c r="J366" s="0" t="inlineStr"/>
      <c r="K366" s="0" t="inlineStr"/>
      <c r="L366" s="0" t="inlineStr"/>
      <c r="M366" s="0" t="inlineStr"/>
      <c r="N366" s="0" t="inlineStr">
        <is>
          <t>EXCLUDED — no active valet / not eligible</t>
        </is>
      </c>
      <c r="O366" s="0" t="inlineStr">
        <is>
          <t>Not in eligible FD universe (steakhouse/fine dining with active independent valet)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40" customWidth="1" style="222" min="1" max="1"/>
    <col width="14" customWidth="1" style="222" min="2" max="2"/>
    <col width="18" customWidth="1" style="222" min="3" max="3"/>
    <col width="36" customWidth="1" style="222" min="4" max="4"/>
  </cols>
  <sheetData>
    <row r="1">
      <c r="A1" s="229" t="inlineStr">
        <is>
          <t>Phoenix — Conservative TAM Summary</t>
        </is>
      </c>
    </row>
    <row r="3">
      <c r="A3" s="230" t="inlineStr">
        <is>
          <t>Account Type</t>
        </is>
      </c>
      <c r="B3" s="230" t="inlineStr">
        <is>
          <t># Accounts</t>
        </is>
      </c>
      <c r="C3" s="230" t="inlineStr">
        <is>
          <t>TAM</t>
        </is>
      </c>
      <c r="D3" s="230" t="inlineStr">
        <is>
          <t>Status</t>
        </is>
      </c>
    </row>
    <row r="4">
      <c r="A4" s="0" t="inlineStr">
        <is>
          <t>Hotel</t>
        </is>
      </c>
      <c r="B4" s="0" t="n">
        <v>239</v>
      </c>
      <c r="C4" s="227" t="n">
        <v>37116392.4</v>
      </c>
      <c r="D4" s="0" t="inlineStr">
        <is>
          <t>Active TAM</t>
        </is>
      </c>
    </row>
    <row r="5">
      <c r="A5" s="0" t="inlineStr">
        <is>
          <t>Restaurant</t>
        </is>
      </c>
      <c r="B5" s="0" t="n">
        <v>8</v>
      </c>
      <c r="C5" s="227" t="n">
        <v>1913625</v>
      </c>
      <c r="D5" s="0" t="inlineStr">
        <is>
          <t>Active TAM</t>
        </is>
      </c>
    </row>
    <row r="6">
      <c r="A6" s="0" t="inlineStr">
        <is>
          <t>Hospital</t>
        </is>
      </c>
      <c r="B6" s="0" t="n">
        <v>12</v>
      </c>
      <c r="C6" s="227" t="n">
        <v>0</v>
      </c>
      <c r="D6" s="0" t="inlineStr">
        <is>
          <t>Qualitative pipeline only</t>
        </is>
      </c>
    </row>
    <row r="7">
      <c r="A7" s="0" t="inlineStr">
        <is>
          <t>Unknown</t>
        </is>
      </c>
      <c r="B7" s="0" t="n">
        <v>28</v>
      </c>
      <c r="C7" s="227" t="n">
        <v>0</v>
      </c>
      <c r="D7" s="0" t="inlineStr">
        <is>
          <t>⚠️ Review</t>
        </is>
      </c>
    </row>
    <row r="8">
      <c r="A8" s="231" t="inlineStr">
        <is>
          <t>TOTAL</t>
        </is>
      </c>
      <c r="B8" s="231" t="n">
        <v>287</v>
      </c>
      <c r="C8" s="232" t="n">
        <v>39030017.4</v>
      </c>
    </row>
    <row r="10">
      <c r="A10" s="233" t="inlineStr">
        <is>
          <t>HOTEL BREAKDOWN BY CLASS</t>
        </is>
      </c>
    </row>
    <row r="11">
      <c r="A11" s="231" t="inlineStr">
        <is>
          <t>Class</t>
        </is>
      </c>
      <c r="B11" s="231" t="inlineStr">
        <is>
          <t># Hotels</t>
        </is>
      </c>
      <c r="C11" s="231" t="inlineStr">
        <is>
          <t>Conv %</t>
        </is>
      </c>
    </row>
    <row r="12">
      <c r="A12" s="0" t="inlineStr">
        <is>
          <t>Downtown+Convention</t>
        </is>
      </c>
      <c r="B12" s="0" t="n">
        <v>4</v>
      </c>
      <c r="C12" s="234" t="n">
        <v>0.4</v>
      </c>
    </row>
    <row r="13">
      <c r="A13" s="0" t="inlineStr">
        <is>
          <t>Downtown Select-Service</t>
        </is>
      </c>
      <c r="B13" s="0" t="n">
        <v>21</v>
      </c>
      <c r="C13" s="234" t="n">
        <v>0.25</v>
      </c>
    </row>
    <row r="14">
      <c r="A14" s="0" t="inlineStr">
        <is>
          <t>Resort</t>
        </is>
      </c>
      <c r="B14" s="0" t="n">
        <v>35</v>
      </c>
      <c r="C14" s="234" t="n">
        <v>0.5</v>
      </c>
    </row>
    <row r="15">
      <c r="A15" s="0" t="inlineStr">
        <is>
          <t>Suburban/Airport</t>
        </is>
      </c>
      <c r="B15" s="0" t="n">
        <v>179</v>
      </c>
      <c r="C15" s="234" t="n">
        <v>0.15</v>
      </c>
    </row>
    <row r="17">
      <c r="A17" s="233" t="inlineStr">
        <is>
          <t>RESTAURANTS WITH ACTIVE TAM</t>
        </is>
      </c>
    </row>
    <row r="18">
      <c r="A18" s="231" t="inlineStr">
        <is>
          <t>Restaurant</t>
        </is>
      </c>
      <c r="B18" s="231" t="inlineStr">
        <is>
          <t>Seats</t>
        </is>
      </c>
      <c r="C18" s="231" t="inlineStr">
        <is>
          <t>TAM</t>
        </is>
      </c>
    </row>
    <row r="19">
      <c r="A19" s="0" t="inlineStr">
        <is>
          <t>Maple &amp; Ash</t>
        </is>
      </c>
      <c r="B19" s="0" t="n">
        <v>350</v>
      </c>
      <c r="C19" s="227" t="n">
        <v>318937.5</v>
      </c>
    </row>
    <row r="20">
      <c r="A20" s="0" t="inlineStr">
        <is>
          <t>Ocean 44</t>
        </is>
      </c>
      <c r="B20" s="0" t="n">
        <v>325</v>
      </c>
      <c r="C20" s="227" t="n">
        <v>296156.25</v>
      </c>
    </row>
    <row r="21">
      <c r="A21" s="0" t="inlineStr">
        <is>
          <t>North Italia</t>
        </is>
      </c>
      <c r="B21" s="0" t="n">
        <v>300</v>
      </c>
      <c r="C21" s="227" t="n">
        <v>273375</v>
      </c>
    </row>
    <row r="22">
      <c r="A22" s="0" t="inlineStr">
        <is>
          <t>STK Steakhouse - Scottsdale</t>
        </is>
      </c>
      <c r="B22" s="0" t="n">
        <v>275</v>
      </c>
      <c r="C22" s="227" t="n">
        <v>250593.75</v>
      </c>
    </row>
    <row r="23">
      <c r="A23" s="0" t="inlineStr">
        <is>
          <t>Toca Madera Scottsdale</t>
        </is>
      </c>
      <c r="B23" s="0" t="n">
        <v>275</v>
      </c>
      <c r="C23" s="227" t="n">
        <v>250593.75</v>
      </c>
    </row>
    <row r="24">
      <c r="A24" s="0" t="inlineStr">
        <is>
          <t>Three Thirty Three Restaurant</t>
        </is>
      </c>
      <c r="B24" s="0" t="n">
        <v>200</v>
      </c>
      <c r="C24" s="227" t="n">
        <v>182250</v>
      </c>
    </row>
    <row r="25">
      <c r="A25" s="0" t="inlineStr">
        <is>
          <t>Montauk</t>
        </is>
      </c>
      <c r="B25" s="0" t="n">
        <v>200</v>
      </c>
      <c r="C25" s="227" t="n">
        <v>182250</v>
      </c>
    </row>
    <row r="26">
      <c r="A26" s="0" t="inlineStr">
        <is>
          <t>Diego Pops</t>
        </is>
      </c>
      <c r="B26" s="0" t="n">
        <v>175</v>
      </c>
      <c r="C26" s="227" t="n">
        <v>159468.75</v>
      </c>
    </row>
  </sheetData>
  <mergeCells count="1">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10" customWidth="1" style="222" min="1" max="1"/>
  </cols>
  <sheetData>
    <row r="1">
      <c r="A1" s="229" t="inlineStr">
        <is>
          <t>SOPHI CONSERVATIVE TAM METHODOLOGY</t>
        </is>
      </c>
    </row>
    <row r="2">
      <c r="A2" s="235" t="inlineStr"/>
    </row>
    <row r="3">
      <c r="A3" s="235" t="inlineStr">
        <is>
          <t>Replaces original RevenueForecasting formulas. Hospitals / Venues / Airports now qualitative only.</t>
        </is>
      </c>
    </row>
    <row r="4">
      <c r="A4" s="235" t="inlineStr"/>
    </row>
    <row r="5">
      <c r="A5" s="233" t="inlineStr">
        <is>
          <t>HOTEL FORMULA</t>
        </is>
      </c>
    </row>
    <row r="6">
      <c r="A6" s="235" t="inlineStr">
        <is>
          <t xml:space="preserve">  TAM = Rooms × Occupancy × Valet Conversion (tiered) × Valet Rate × 360 days</t>
        </is>
      </c>
    </row>
    <row r="7">
      <c r="A7" s="235" t="inlineStr">
        <is>
          <t xml:space="preserve">  Occupancy: 60% flat across all hotels</t>
        </is>
      </c>
    </row>
    <row r="8">
      <c r="A8" s="235" t="inlineStr">
        <is>
          <t xml:space="preserve">    ⚠️ FLAG: Refine with STR actuals per-submarket before finalizing fundraise model</t>
        </is>
      </c>
    </row>
    <row r="9">
      <c r="A9" s="235" t="inlineStr">
        <is>
          <t xml:space="preserve">  Valet Conversion by archetype (auto-classified — review recommended):</t>
        </is>
      </c>
    </row>
    <row r="10">
      <c r="A10" s="235" t="inlineStr">
        <is>
          <t xml:space="preserve">    Downtown+Convention:     40%</t>
        </is>
      </c>
    </row>
    <row r="11">
      <c r="A11" s="235" t="inlineStr">
        <is>
          <t xml:space="preserve">    Downtown Select-Service: 25%</t>
        </is>
      </c>
    </row>
    <row r="12">
      <c r="A12" s="235" t="inlineStr">
        <is>
          <t xml:space="preserve">    Resort:                  50%</t>
        </is>
      </c>
    </row>
    <row r="13">
      <c r="A13" s="235" t="inlineStr">
        <is>
          <t xml:space="preserve">    Suburban/Airport:        15%</t>
        </is>
      </c>
    </row>
    <row r="14">
      <c r="A14" s="235" t="inlineStr">
        <is>
          <t xml:space="preserve">  Operating Days: 360 (captures soft-closures / transition days)</t>
        </is>
      </c>
    </row>
    <row r="15">
      <c r="A15" s="235" t="inlineStr"/>
    </row>
    <row r="16">
      <c r="A16" s="233" t="inlineStr">
        <is>
          <t>RESTAURANT FORMULA</t>
        </is>
      </c>
    </row>
    <row r="17">
      <c r="A17" s="235" t="inlineStr">
        <is>
          <t xml:space="preserve">  TAM = Max Occupancy × 1.5 turns × 12.5% valet conv × $20 rate × 250 days × 1.08 peak mod</t>
        </is>
      </c>
    </row>
    <row r="18">
      <c r="A18" s="235" t="inlineStr">
        <is>
          <t xml:space="preserve">  Eligibility: only steakhouses &amp; fine dining with ACTIVE INDEPENDENT VALET today</t>
        </is>
      </c>
    </row>
    <row r="19">
      <c r="A19" s="235" t="inlineStr">
        <is>
          <t xml:space="preserve">  Excluded: no-valet, hotel-dependent valet (double-count), complimentary/validated only</t>
        </is>
      </c>
    </row>
    <row r="20">
      <c r="A20" s="235" t="inlineStr">
        <is>
          <t xml:space="preserve">  Seat data: public research (restaurant sites, OpenTable, event pages) with industry bounds</t>
        </is>
      </c>
    </row>
    <row r="21">
      <c r="A21" s="235" t="inlineStr">
        <is>
          <t xml:space="preserve">    ⚠️ FLAG: Seat counts are best-available public data; refine with direct outreach pre-fundraise</t>
        </is>
      </c>
    </row>
    <row r="22">
      <c r="A22" s="235" t="inlineStr">
        <is>
          <t xml:space="preserve">  Operating Days: 250 = 5 days/wk × 52 wks minus ~10 major holidays</t>
        </is>
      </c>
    </row>
    <row r="23">
      <c r="A23" s="235" t="inlineStr">
        <is>
          <t xml:space="preserve">  Peak Demand Modifier: +8% for V-day, NYE, Mother's/Father's Day, Christmas Eve, local peaks</t>
        </is>
      </c>
    </row>
    <row r="24">
      <c r="A24" s="235" t="inlineStr"/>
    </row>
    <row r="25">
      <c r="A25" s="233" t="inlineStr">
        <is>
          <t>HOSPITAL / EVENT VENUE / AIRPORT</t>
        </is>
      </c>
    </row>
    <row r="26">
      <c r="A26" s="235" t="inlineStr">
        <is>
          <t xml:space="preserve">  TAM = $0 (qualitative pipeline only)</t>
        </is>
      </c>
    </row>
    <row r="27">
      <c r="A27" s="235" t="inlineStr">
        <is>
          <t xml:space="preserve">  Rationale: Deal structures are RFP-driven, profit-share, or fixed-cost; not formulaic TAM.</t>
        </is>
      </c>
    </row>
    <row r="28">
      <c r="A28" s="235" t="inlineStr">
        <is>
          <t xml:space="preserve">  IU Health North reference point: $36K NOI. Once bed/patient-volume KPI is confirmed,</t>
        </is>
      </c>
    </row>
    <row r="29">
      <c r="A29" s="235" t="inlineStr">
        <is>
          <t xml:space="preserve">  this can be extrapolated for Phase 2 valuation uplift — tracked separately from TAM.</t>
        </is>
      </c>
    </row>
    <row r="30">
      <c r="A30" s="235" t="inlineStr"/>
    </row>
    <row r="31">
      <c r="A31" s="233" t="inlineStr">
        <is>
          <t>ACTIVE FLAGS TO REVIEW BEFORE FUNDRAISE</t>
        </is>
      </c>
    </row>
    <row r="32">
      <c r="A32" s="235" t="inlineStr">
        <is>
          <t xml:space="preserve">  1. Hotel occupancy 60% flat → replace with STR actuals per submarket</t>
        </is>
      </c>
    </row>
    <row r="33">
      <c r="A33" s="235" t="inlineStr">
        <is>
          <t xml:space="preserve">  2. Hotel valet-conv tier auto-classified → manual review for edge cases (e.g. Gaylord Rockies)</t>
        </is>
      </c>
    </row>
    <row r="34">
      <c r="A34" s="235" t="inlineStr">
        <is>
          <t xml:space="preserve">  3. Restaurant seat counts sourced from public data → validate via direct contact</t>
        </is>
      </c>
    </row>
    <row r="35">
      <c r="A35" s="235" t="inlineStr">
        <is>
          <t xml:space="preserve">  4. Hospital/venue/airport TAM dropped to $0 → build IU Health-benchmarked KPI proxy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36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style="222" min="1" max="1"/>
    <col width="13" customWidth="1" style="222" min="2" max="2"/>
    <col width="9" customWidth="1" style="222" min="3" max="3"/>
    <col width="7" customWidth="1" style="222" min="4" max="4"/>
    <col width="18" customWidth="1" style="222" min="5" max="5"/>
    <col width="9" customWidth="1" style="222" min="6" max="6"/>
    <col width="14" customWidth="1" style="222" min="7" max="7"/>
    <col width="7" customWidth="1" style="222" min="8" max="8"/>
    <col width="7" customWidth="1" style="222" min="9" max="9"/>
    <col width="10" customWidth="1" style="222" min="10" max="10"/>
    <col width="7" customWidth="1" style="222" min="11" max="11"/>
    <col width="7" customWidth="1" style="222" min="12" max="12"/>
    <col width="7" customWidth="1" style="222" min="13" max="13"/>
    <col width="24" customWidth="1" style="222" min="14" max="14"/>
    <col width="8" customWidth="1" style="222" min="15" max="15"/>
    <col width="8" customWidth="1" style="222" min="16" max="16"/>
    <col width="18" customWidth="1" style="222" min="17" max="17"/>
    <col width="7" customWidth="1" style="222" min="18" max="18"/>
    <col width="7" customWidth="1" style="222" min="19" max="19"/>
    <col width="7" customWidth="1" style="222" min="20" max="20"/>
    <col width="7" customWidth="1" style="222" min="21" max="21"/>
    <col width="7" customWidth="1" style="222" min="22" max="22"/>
    <col width="12" customWidth="1" style="222" min="23" max="23"/>
    <col width="12" customWidth="1" style="222" min="24" max="24"/>
    <col width="12" customWidth="1" style="222" min="25" max="25"/>
    <col width="12" customWidth="1" style="222" min="26" max="26"/>
    <col width="12" customWidth="1" style="222" min="27" max="27"/>
  </cols>
  <sheetData>
    <row r="1">
      <c r="A1" s="223" t="inlineStr">
        <is>
          <t>Account</t>
        </is>
      </c>
      <c r="B1" s="223" t="inlineStr">
        <is>
          <t>Type</t>
        </is>
      </c>
      <c r="C1" s="223" t="inlineStr">
        <is>
          <t>Downtown</t>
        </is>
      </c>
      <c r="D1" s="223" t="inlineStr">
        <is>
          <t>Rooms</t>
        </is>
      </c>
      <c r="E1" s="223" t="inlineStr">
        <is>
          <t>Valet Op (incumbent)</t>
        </is>
      </c>
      <c r="F1" s="223" t="inlineStr">
        <is>
          <t>Valet Rate</t>
        </is>
      </c>
      <c r="G1" s="223" t="inlineStr">
        <is>
          <t>Est. Annual Rev (TAM)</t>
        </is>
      </c>
      <c r="H1" s="223" t="inlineStr">
        <is>
          <t>Fit (25%)</t>
        </is>
      </c>
      <c r="I1" s="223" t="inlineStr">
        <is>
          <t>Size (25%)</t>
        </is>
      </c>
      <c r="J1" s="223" t="inlineStr">
        <is>
          <t>Owner Base (20%)</t>
        </is>
      </c>
      <c r="K1" s="223" t="inlineStr">
        <is>
          <t>Addr (15%)</t>
        </is>
      </c>
      <c r="L1" s="223" t="inlineStr">
        <is>
          <t>Adj (15%)</t>
        </is>
      </c>
      <c r="M1" s="223" t="inlineStr">
        <is>
          <t>Rel Lift</t>
        </is>
      </c>
      <c r="N1" s="223" t="inlineStr">
        <is>
          <t>Rel Tag</t>
        </is>
      </c>
      <c r="O1" s="223" t="inlineStr">
        <is>
          <t>WAS Raw</t>
        </is>
      </c>
      <c r="P1" s="223" t="inlineStr">
        <is>
          <t>WAS Final</t>
        </is>
      </c>
      <c r="Q1" s="223" t="inlineStr">
        <is>
          <t>Tier</t>
        </is>
      </c>
      <c r="R1" s="223" t="inlineStr">
        <is>
          <t>Y1 %</t>
        </is>
      </c>
      <c r="S1" s="223" t="inlineStr">
        <is>
          <t>Y2 %</t>
        </is>
      </c>
      <c r="T1" s="223" t="inlineStr">
        <is>
          <t>Y3 %</t>
        </is>
      </c>
      <c r="U1" s="223" t="inlineStr">
        <is>
          <t>Y4 %</t>
        </is>
      </c>
      <c r="V1" s="223" t="inlineStr">
        <is>
          <t>Y5 %</t>
        </is>
      </c>
      <c r="W1" s="223" t="inlineStr">
        <is>
          <t>Y1 Rev</t>
        </is>
      </c>
      <c r="X1" s="223" t="inlineStr">
        <is>
          <t>Y2 Rev</t>
        </is>
      </c>
      <c r="Y1" s="223" t="inlineStr">
        <is>
          <t>Y3 Rev</t>
        </is>
      </c>
      <c r="Z1" s="223" t="inlineStr">
        <is>
          <t>Y4 Rev</t>
        </is>
      </c>
      <c r="AA1" s="223" t="inlineStr">
        <is>
          <t>Y5 Rev</t>
        </is>
      </c>
    </row>
    <row r="2">
      <c r="A2" t="inlineStr">
        <is>
          <t>Kenect Phoenix</t>
        </is>
      </c>
      <c r="B2" t="inlineStr">
        <is>
          <t>Apartment</t>
        </is>
      </c>
      <c r="C2" t="inlineStr">
        <is>
          <t>YES</t>
        </is>
      </c>
      <c r="D2" t="n">
        <v>0</v>
      </c>
      <c r="E2" t="inlineStr"/>
      <c r="F2" t="inlineStr">
        <is>
          <t>No Valet</t>
        </is>
      </c>
      <c r="G2" s="227" t="n">
        <v>0</v>
      </c>
      <c r="H2" t="n">
        <v>2</v>
      </c>
      <c r="I2" t="n">
        <v>1</v>
      </c>
      <c r="J2" t="n">
        <v>2</v>
      </c>
      <c r="K2" t="n">
        <v>4</v>
      </c>
      <c r="L2" t="n">
        <v>4</v>
      </c>
      <c r="M2" s="236" t="n">
        <v>0</v>
      </c>
      <c r="N2" t="inlineStr"/>
      <c r="O2" s="236" t="n">
        <v>2.35</v>
      </c>
      <c r="P2" s="236" t="n">
        <v>2.35</v>
      </c>
      <c r="Q2" s="224" t="inlineStr">
        <is>
          <t>D — Deprioritized</t>
        </is>
      </c>
      <c r="R2" s="226" t="n">
        <v>0</v>
      </c>
      <c r="S2" s="226" t="n">
        <v>0.018</v>
      </c>
      <c r="T2" s="226" t="n">
        <v>0.05500000000000001</v>
      </c>
      <c r="U2" s="226" t="n">
        <v>0.082</v>
      </c>
      <c r="V2" s="226" t="n">
        <v>0.1</v>
      </c>
      <c r="W2" s="227" t="n">
        <v>0</v>
      </c>
      <c r="X2" s="227" t="n">
        <v>0</v>
      </c>
      <c r="Y2" s="227" t="n">
        <v>0</v>
      </c>
      <c r="Z2" s="227" t="n">
        <v>0</v>
      </c>
      <c r="AA2" s="227" t="n">
        <v>0</v>
      </c>
    </row>
    <row r="3">
      <c r="A3" t="inlineStr">
        <is>
          <t>Sentral Sol Modern</t>
        </is>
      </c>
      <c r="B3" t="inlineStr">
        <is>
          <t>Apartment/Hotel</t>
        </is>
      </c>
      <c r="C3" t="inlineStr">
        <is>
          <t>YES</t>
        </is>
      </c>
      <c r="D3" t="n">
        <v>0</v>
      </c>
      <c r="E3" t="inlineStr"/>
      <c r="F3" t="inlineStr">
        <is>
          <t>No Valet</t>
        </is>
      </c>
      <c r="G3" s="227" t="n">
        <v>0</v>
      </c>
      <c r="H3" t="n">
        <v>2</v>
      </c>
      <c r="I3" t="n">
        <v>1</v>
      </c>
      <c r="J3" t="n">
        <v>2</v>
      </c>
      <c r="K3" t="n">
        <v>4</v>
      </c>
      <c r="L3" t="n">
        <v>4</v>
      </c>
      <c r="M3" s="236" t="n">
        <v>0</v>
      </c>
      <c r="N3" t="inlineStr"/>
      <c r="O3" s="236" t="n">
        <v>2.35</v>
      </c>
      <c r="P3" s="236" t="n">
        <v>2.35</v>
      </c>
      <c r="Q3" s="224" t="inlineStr">
        <is>
          <t>D — Deprioritized</t>
        </is>
      </c>
      <c r="R3" s="226" t="n">
        <v>0</v>
      </c>
      <c r="S3" s="226" t="n">
        <v>0.018</v>
      </c>
      <c r="T3" s="226" t="n">
        <v>0.05500000000000001</v>
      </c>
      <c r="U3" s="226" t="n">
        <v>0.082</v>
      </c>
      <c r="V3" s="226" t="n">
        <v>0.1</v>
      </c>
      <c r="W3" s="227" t="n">
        <v>0</v>
      </c>
      <c r="X3" s="227" t="n">
        <v>0</v>
      </c>
      <c r="Y3" s="227" t="n">
        <v>0</v>
      </c>
      <c r="Z3" s="227" t="n">
        <v>0</v>
      </c>
      <c r="AA3" s="227" t="n">
        <v>0</v>
      </c>
    </row>
    <row r="4">
      <c r="A4" t="inlineStr">
        <is>
          <t>Sentral Alloy Midtown</t>
        </is>
      </c>
      <c r="B4" t="inlineStr">
        <is>
          <t>Apartment/Hotel</t>
        </is>
      </c>
      <c r="C4" t="inlineStr">
        <is>
          <t>NO</t>
        </is>
      </c>
      <c r="D4" t="n">
        <v>0</v>
      </c>
      <c r="E4" t="inlineStr"/>
      <c r="F4" t="inlineStr">
        <is>
          <t>No Valet</t>
        </is>
      </c>
      <c r="G4" s="227" t="n">
        <v>0</v>
      </c>
      <c r="H4" t="n">
        <v>2</v>
      </c>
      <c r="I4" t="n">
        <v>1</v>
      </c>
      <c r="J4" t="n">
        <v>2</v>
      </c>
      <c r="K4" t="n">
        <v>4</v>
      </c>
      <c r="L4" t="n">
        <v>2</v>
      </c>
      <c r="M4" s="236" t="n">
        <v>0</v>
      </c>
      <c r="N4" t="inlineStr"/>
      <c r="O4" s="236" t="n">
        <v>2.05</v>
      </c>
      <c r="P4" s="236" t="n">
        <v>2.05</v>
      </c>
      <c r="Q4" s="224" t="inlineStr">
        <is>
          <t>D — Deprioritized</t>
        </is>
      </c>
      <c r="R4" s="226" t="n">
        <v>0</v>
      </c>
      <c r="S4" s="226" t="n">
        <v>0.018</v>
      </c>
      <c r="T4" s="226" t="n">
        <v>0.05500000000000001</v>
      </c>
      <c r="U4" s="226" t="n">
        <v>0.082</v>
      </c>
      <c r="V4" s="226" t="n">
        <v>0.1</v>
      </c>
      <c r="W4" s="227" t="n">
        <v>0</v>
      </c>
      <c r="X4" s="227" t="n">
        <v>0</v>
      </c>
      <c r="Y4" s="227" t="n">
        <v>0</v>
      </c>
      <c r="Z4" s="227" t="n">
        <v>0</v>
      </c>
      <c r="AA4" s="227" t="n">
        <v>0</v>
      </c>
    </row>
    <row r="5">
      <c r="A5" t="inlineStr">
        <is>
          <t>Chateau Luxe Event Venue</t>
        </is>
      </c>
      <c r="B5" t="inlineStr">
        <is>
          <t>Event</t>
        </is>
      </c>
      <c r="C5" t="inlineStr">
        <is>
          <t>NO</t>
        </is>
      </c>
      <c r="D5" t="n">
        <v>0</v>
      </c>
      <c r="E5" t="inlineStr"/>
      <c r="F5" t="inlineStr"/>
      <c r="G5" s="227" t="n">
        <v>0</v>
      </c>
      <c r="H5" t="n">
        <v>2</v>
      </c>
      <c r="I5" t="n">
        <v>1</v>
      </c>
      <c r="J5" t="n">
        <v>2</v>
      </c>
      <c r="K5" t="n">
        <v>4</v>
      </c>
      <c r="L5" t="n">
        <v>2</v>
      </c>
      <c r="M5" s="236" t="n">
        <v>0</v>
      </c>
      <c r="N5" t="inlineStr"/>
      <c r="O5" s="236" t="n">
        <v>2.05</v>
      </c>
      <c r="P5" s="236" t="n">
        <v>2.05</v>
      </c>
      <c r="Q5" s="224" t="inlineStr">
        <is>
          <t>D — Deprioritized</t>
        </is>
      </c>
      <c r="R5" s="226" t="n">
        <v>0</v>
      </c>
      <c r="S5" s="226" t="n">
        <v>0.018</v>
      </c>
      <c r="T5" s="226" t="n">
        <v>0.05500000000000001</v>
      </c>
      <c r="U5" s="226" t="n">
        <v>0.082</v>
      </c>
      <c r="V5" s="226" t="n">
        <v>0.1</v>
      </c>
      <c r="W5" s="227" t="n">
        <v>0</v>
      </c>
      <c r="X5" s="227" t="n">
        <v>0</v>
      </c>
      <c r="Y5" s="227" t="n">
        <v>0</v>
      </c>
      <c r="Z5" s="227" t="n">
        <v>0</v>
      </c>
      <c r="AA5" s="227" t="n">
        <v>0</v>
      </c>
    </row>
    <row r="6">
      <c r="A6" t="inlineStr">
        <is>
          <t>Warehouse215</t>
        </is>
      </c>
      <c r="B6" t="inlineStr">
        <is>
          <t>Event</t>
        </is>
      </c>
      <c r="C6" t="inlineStr">
        <is>
          <t>YES</t>
        </is>
      </c>
      <c r="D6" t="n">
        <v>0</v>
      </c>
      <c r="E6" t="inlineStr"/>
      <c r="F6" t="inlineStr"/>
      <c r="G6" s="227" t="n">
        <v>0</v>
      </c>
      <c r="H6" t="n">
        <v>2</v>
      </c>
      <c r="I6" t="n">
        <v>1</v>
      </c>
      <c r="J6" t="n">
        <v>2</v>
      </c>
      <c r="K6" t="n">
        <v>4</v>
      </c>
      <c r="L6" t="n">
        <v>4</v>
      </c>
      <c r="M6" s="236" t="n">
        <v>0</v>
      </c>
      <c r="N6" t="inlineStr"/>
      <c r="O6" s="236" t="n">
        <v>2.35</v>
      </c>
      <c r="P6" s="236" t="n">
        <v>2.35</v>
      </c>
      <c r="Q6" s="224" t="inlineStr">
        <is>
          <t>D — Deprioritized</t>
        </is>
      </c>
      <c r="R6" s="226" t="n">
        <v>0</v>
      </c>
      <c r="S6" s="226" t="n">
        <v>0.018</v>
      </c>
      <c r="T6" s="226" t="n">
        <v>0.05500000000000001</v>
      </c>
      <c r="U6" s="226" t="n">
        <v>0.082</v>
      </c>
      <c r="V6" s="226" t="n">
        <v>0.1</v>
      </c>
      <c r="W6" s="227" t="n">
        <v>0</v>
      </c>
      <c r="X6" s="227" t="n">
        <v>0</v>
      </c>
      <c r="Y6" s="227" t="n">
        <v>0</v>
      </c>
      <c r="Z6" s="227" t="n">
        <v>0</v>
      </c>
      <c r="AA6" s="227" t="n">
        <v>0</v>
      </c>
    </row>
    <row r="7">
      <c r="A7" t="inlineStr">
        <is>
          <t>435 Collective</t>
        </is>
      </c>
      <c r="B7" t="inlineStr">
        <is>
          <t>Event</t>
        </is>
      </c>
      <c r="C7" t="inlineStr">
        <is>
          <t>YES</t>
        </is>
      </c>
      <c r="D7" t="n">
        <v>0</v>
      </c>
      <c r="E7" t="inlineStr"/>
      <c r="F7" t="inlineStr"/>
      <c r="G7" s="227" t="n">
        <v>0</v>
      </c>
      <c r="H7" t="n">
        <v>2</v>
      </c>
      <c r="I7" t="n">
        <v>1</v>
      </c>
      <c r="J7" t="n">
        <v>2</v>
      </c>
      <c r="K7" t="n">
        <v>4</v>
      </c>
      <c r="L7" t="n">
        <v>4</v>
      </c>
      <c r="M7" s="236" t="n">
        <v>0</v>
      </c>
      <c r="N7" t="inlineStr"/>
      <c r="O7" s="236" t="n">
        <v>2.35</v>
      </c>
      <c r="P7" s="236" t="n">
        <v>2.35</v>
      </c>
      <c r="Q7" s="224" t="inlineStr">
        <is>
          <t>D — Deprioritized</t>
        </is>
      </c>
      <c r="R7" s="226" t="n">
        <v>0</v>
      </c>
      <c r="S7" s="226" t="n">
        <v>0.018</v>
      </c>
      <c r="T7" s="226" t="n">
        <v>0.05500000000000001</v>
      </c>
      <c r="U7" s="226" t="n">
        <v>0.082</v>
      </c>
      <c r="V7" s="226" t="n">
        <v>0.1</v>
      </c>
      <c r="W7" s="227" t="n">
        <v>0</v>
      </c>
      <c r="X7" s="227" t="n">
        <v>0</v>
      </c>
      <c r="Y7" s="227" t="n">
        <v>0</v>
      </c>
      <c r="Z7" s="227" t="n">
        <v>0</v>
      </c>
      <c r="AA7" s="227" t="n">
        <v>0</v>
      </c>
    </row>
    <row r="8">
      <c r="A8" t="inlineStr">
        <is>
          <t>The Boho Space</t>
        </is>
      </c>
      <c r="B8" t="inlineStr">
        <is>
          <t>Event</t>
        </is>
      </c>
      <c r="C8" t="inlineStr">
        <is>
          <t>NO</t>
        </is>
      </c>
      <c r="D8" t="n">
        <v>0</v>
      </c>
      <c r="E8" t="inlineStr"/>
      <c r="F8" t="inlineStr"/>
      <c r="G8" s="227" t="n">
        <v>0</v>
      </c>
      <c r="H8" t="n">
        <v>2</v>
      </c>
      <c r="I8" t="n">
        <v>1</v>
      </c>
      <c r="J8" t="n">
        <v>2</v>
      </c>
      <c r="K8" t="n">
        <v>4</v>
      </c>
      <c r="L8" t="n">
        <v>2</v>
      </c>
      <c r="M8" s="236" t="n">
        <v>0</v>
      </c>
      <c r="N8" t="inlineStr"/>
      <c r="O8" s="236" t="n">
        <v>2.05</v>
      </c>
      <c r="P8" s="236" t="n">
        <v>2.05</v>
      </c>
      <c r="Q8" s="224" t="inlineStr">
        <is>
          <t>D — Deprioritized</t>
        </is>
      </c>
      <c r="R8" s="226" t="n">
        <v>0</v>
      </c>
      <c r="S8" s="226" t="n">
        <v>0.018</v>
      </c>
      <c r="T8" s="226" t="n">
        <v>0.05500000000000001</v>
      </c>
      <c r="U8" s="226" t="n">
        <v>0.082</v>
      </c>
      <c r="V8" s="226" t="n">
        <v>0.1</v>
      </c>
      <c r="W8" s="227" t="n">
        <v>0</v>
      </c>
      <c r="X8" s="227" t="n">
        <v>0</v>
      </c>
      <c r="Y8" s="227" t="n">
        <v>0</v>
      </c>
      <c r="Z8" s="227" t="n">
        <v>0</v>
      </c>
      <c r="AA8" s="227" t="n">
        <v>0</v>
      </c>
    </row>
    <row r="9">
      <c r="A9" t="inlineStr">
        <is>
          <t>The Teapot</t>
        </is>
      </c>
      <c r="B9" t="inlineStr">
        <is>
          <t>Event</t>
        </is>
      </c>
      <c r="C9" t="inlineStr">
        <is>
          <t>NO</t>
        </is>
      </c>
      <c r="D9" t="n">
        <v>0</v>
      </c>
      <c r="E9" t="inlineStr"/>
      <c r="F9" t="inlineStr"/>
      <c r="G9" s="227" t="n">
        <v>0</v>
      </c>
      <c r="H9" t="n">
        <v>2</v>
      </c>
      <c r="I9" t="n">
        <v>1</v>
      </c>
      <c r="J9" t="n">
        <v>2</v>
      </c>
      <c r="K9" t="n">
        <v>4</v>
      </c>
      <c r="L9" t="n">
        <v>2</v>
      </c>
      <c r="M9" s="236" t="n">
        <v>0</v>
      </c>
      <c r="N9" t="inlineStr"/>
      <c r="O9" s="236" t="n">
        <v>2.05</v>
      </c>
      <c r="P9" s="236" t="n">
        <v>2.05</v>
      </c>
      <c r="Q9" s="224" t="inlineStr">
        <is>
          <t>D — Deprioritized</t>
        </is>
      </c>
      <c r="R9" s="226" t="n">
        <v>0</v>
      </c>
      <c r="S9" s="226" t="n">
        <v>0.018</v>
      </c>
      <c r="T9" s="226" t="n">
        <v>0.05500000000000001</v>
      </c>
      <c r="U9" s="226" t="n">
        <v>0.082</v>
      </c>
      <c r="V9" s="226" t="n">
        <v>0.1</v>
      </c>
      <c r="W9" s="227" t="n">
        <v>0</v>
      </c>
      <c r="X9" s="227" t="n">
        <v>0</v>
      </c>
      <c r="Y9" s="227" t="n">
        <v>0</v>
      </c>
      <c r="Z9" s="227" t="n">
        <v>0</v>
      </c>
      <c r="AA9" s="227" t="n">
        <v>0</v>
      </c>
    </row>
    <row r="10">
      <c r="A10" t="inlineStr">
        <is>
          <t>monOrchid</t>
        </is>
      </c>
      <c r="B10" t="inlineStr">
        <is>
          <t>Event</t>
        </is>
      </c>
      <c r="C10" t="inlineStr">
        <is>
          <t>YES</t>
        </is>
      </c>
      <c r="D10" t="n">
        <v>0</v>
      </c>
      <c r="E10" t="inlineStr"/>
      <c r="F10" t="inlineStr"/>
      <c r="G10" s="227" t="n">
        <v>0</v>
      </c>
      <c r="H10" t="n">
        <v>2</v>
      </c>
      <c r="I10" t="n">
        <v>1</v>
      </c>
      <c r="J10" t="n">
        <v>2</v>
      </c>
      <c r="K10" t="n">
        <v>4</v>
      </c>
      <c r="L10" t="n">
        <v>4</v>
      </c>
      <c r="M10" s="236" t="n">
        <v>0</v>
      </c>
      <c r="N10" t="inlineStr"/>
      <c r="O10" s="236" t="n">
        <v>2.35</v>
      </c>
      <c r="P10" s="236" t="n">
        <v>2.35</v>
      </c>
      <c r="Q10" s="224" t="inlineStr">
        <is>
          <t>D — Deprioritized</t>
        </is>
      </c>
      <c r="R10" s="226" t="n">
        <v>0</v>
      </c>
      <c r="S10" s="226" t="n">
        <v>0.018</v>
      </c>
      <c r="T10" s="226" t="n">
        <v>0.05500000000000001</v>
      </c>
      <c r="U10" s="226" t="n">
        <v>0.082</v>
      </c>
      <c r="V10" s="226" t="n">
        <v>0.1</v>
      </c>
      <c r="W10" s="227" t="n">
        <v>0</v>
      </c>
      <c r="X10" s="227" t="n">
        <v>0</v>
      </c>
      <c r="Y10" s="227" t="n">
        <v>0</v>
      </c>
      <c r="Z10" s="227" t="n">
        <v>0</v>
      </c>
      <c r="AA10" s="227" t="n">
        <v>0</v>
      </c>
    </row>
    <row r="11">
      <c r="A11" t="inlineStr">
        <is>
          <t>The Dauz Venue</t>
        </is>
      </c>
      <c r="B11" t="inlineStr">
        <is>
          <t>Event</t>
        </is>
      </c>
      <c r="C11" t="inlineStr">
        <is>
          <t>YES</t>
        </is>
      </c>
      <c r="D11" t="n">
        <v>0</v>
      </c>
      <c r="E11" t="inlineStr"/>
      <c r="F11" t="inlineStr"/>
      <c r="G11" s="227" t="n">
        <v>0</v>
      </c>
      <c r="H11" t="n">
        <v>2</v>
      </c>
      <c r="I11" t="n">
        <v>1</v>
      </c>
      <c r="J11" t="n">
        <v>2</v>
      </c>
      <c r="K11" t="n">
        <v>4</v>
      </c>
      <c r="L11" t="n">
        <v>4</v>
      </c>
      <c r="M11" s="236" t="n">
        <v>0</v>
      </c>
      <c r="N11" t="inlineStr"/>
      <c r="O11" s="236" t="n">
        <v>2.35</v>
      </c>
      <c r="P11" s="236" t="n">
        <v>2.35</v>
      </c>
      <c r="Q11" s="224" t="inlineStr">
        <is>
          <t>D — Deprioritized</t>
        </is>
      </c>
      <c r="R11" s="226" t="n">
        <v>0</v>
      </c>
      <c r="S11" s="226" t="n">
        <v>0.018</v>
      </c>
      <c r="T11" s="226" t="n">
        <v>0.05500000000000001</v>
      </c>
      <c r="U11" s="226" t="n">
        <v>0.082</v>
      </c>
      <c r="V11" s="226" t="n">
        <v>0.1</v>
      </c>
      <c r="W11" s="227" t="n">
        <v>0</v>
      </c>
      <c r="X11" s="227" t="n">
        <v>0</v>
      </c>
      <c r="Y11" s="227" t="n">
        <v>0</v>
      </c>
      <c r="Z11" s="227" t="n">
        <v>0</v>
      </c>
      <c r="AA11" s="227" t="n">
        <v>0</v>
      </c>
    </row>
    <row r="12">
      <c r="A12" t="inlineStr">
        <is>
          <t>Antigua Garden</t>
        </is>
      </c>
      <c r="B12" t="inlineStr">
        <is>
          <t>Event</t>
        </is>
      </c>
      <c r="C12" t="inlineStr">
        <is>
          <t>YES</t>
        </is>
      </c>
      <c r="D12" t="n">
        <v>0</v>
      </c>
      <c r="E12" t="inlineStr"/>
      <c r="F12" t="inlineStr"/>
      <c r="G12" s="227" t="n">
        <v>0</v>
      </c>
      <c r="H12" t="n">
        <v>2</v>
      </c>
      <c r="I12" t="n">
        <v>1</v>
      </c>
      <c r="J12" t="n">
        <v>2</v>
      </c>
      <c r="K12" t="n">
        <v>4</v>
      </c>
      <c r="L12" t="n">
        <v>4</v>
      </c>
      <c r="M12" s="236" t="n">
        <v>0</v>
      </c>
      <c r="N12" t="inlineStr"/>
      <c r="O12" s="236" t="n">
        <v>2.35</v>
      </c>
      <c r="P12" s="236" t="n">
        <v>2.35</v>
      </c>
      <c r="Q12" s="224" t="inlineStr">
        <is>
          <t>D — Deprioritized</t>
        </is>
      </c>
      <c r="R12" s="226" t="n">
        <v>0</v>
      </c>
      <c r="S12" s="226" t="n">
        <v>0.018</v>
      </c>
      <c r="T12" s="226" t="n">
        <v>0.05500000000000001</v>
      </c>
      <c r="U12" s="226" t="n">
        <v>0.082</v>
      </c>
      <c r="V12" s="226" t="n">
        <v>0.1</v>
      </c>
      <c r="W12" s="227" t="n">
        <v>0</v>
      </c>
      <c r="X12" s="227" t="n">
        <v>0</v>
      </c>
      <c r="Y12" s="227" t="n">
        <v>0</v>
      </c>
      <c r="Z12" s="227" t="n">
        <v>0</v>
      </c>
      <c r="AA12" s="227" t="n">
        <v>0</v>
      </c>
    </row>
    <row r="13">
      <c r="A13" t="inlineStr">
        <is>
          <t>The Icehouse</t>
        </is>
      </c>
      <c r="B13" t="inlineStr">
        <is>
          <t>Event</t>
        </is>
      </c>
      <c r="C13" t="inlineStr">
        <is>
          <t>YES</t>
        </is>
      </c>
      <c r="D13" t="n">
        <v>0</v>
      </c>
      <c r="E13" t="inlineStr"/>
      <c r="F13" t="inlineStr"/>
      <c r="G13" s="227" t="n">
        <v>0</v>
      </c>
      <c r="H13" t="n">
        <v>2</v>
      </c>
      <c r="I13" t="n">
        <v>1</v>
      </c>
      <c r="J13" t="n">
        <v>2</v>
      </c>
      <c r="K13" t="n">
        <v>4</v>
      </c>
      <c r="L13" t="n">
        <v>4</v>
      </c>
      <c r="M13" s="236" t="n">
        <v>0</v>
      </c>
      <c r="N13" t="inlineStr"/>
      <c r="O13" s="236" t="n">
        <v>2.35</v>
      </c>
      <c r="P13" s="236" t="n">
        <v>2.35</v>
      </c>
      <c r="Q13" s="224" t="inlineStr">
        <is>
          <t>D — Deprioritized</t>
        </is>
      </c>
      <c r="R13" s="226" t="n">
        <v>0</v>
      </c>
      <c r="S13" s="226" t="n">
        <v>0.018</v>
      </c>
      <c r="T13" s="226" t="n">
        <v>0.05500000000000001</v>
      </c>
      <c r="U13" s="226" t="n">
        <v>0.082</v>
      </c>
      <c r="V13" s="226" t="n">
        <v>0.1</v>
      </c>
      <c r="W13" s="227" t="n">
        <v>0</v>
      </c>
      <c r="X13" s="227" t="n">
        <v>0</v>
      </c>
      <c r="Y13" s="227" t="n">
        <v>0</v>
      </c>
      <c r="Z13" s="227" t="n">
        <v>0</v>
      </c>
      <c r="AA13" s="227" t="n">
        <v>0</v>
      </c>
    </row>
    <row r="14">
      <c r="A14" t="inlineStr">
        <is>
          <t>Encanto 18</t>
        </is>
      </c>
      <c r="B14" t="inlineStr">
        <is>
          <t>Event</t>
        </is>
      </c>
      <c r="C14" t="inlineStr">
        <is>
          <t>YES</t>
        </is>
      </c>
      <c r="D14" t="n">
        <v>0</v>
      </c>
      <c r="E14" t="inlineStr"/>
      <c r="F14" t="inlineStr"/>
      <c r="G14" s="227" t="n">
        <v>0</v>
      </c>
      <c r="H14" t="n">
        <v>2</v>
      </c>
      <c r="I14" t="n">
        <v>1</v>
      </c>
      <c r="J14" t="n">
        <v>2</v>
      </c>
      <c r="K14" t="n">
        <v>4</v>
      </c>
      <c r="L14" t="n">
        <v>4</v>
      </c>
      <c r="M14" s="236" t="n">
        <v>0</v>
      </c>
      <c r="N14" t="inlineStr"/>
      <c r="O14" s="236" t="n">
        <v>2.35</v>
      </c>
      <c r="P14" s="236" t="n">
        <v>2.35</v>
      </c>
      <c r="Q14" s="224" t="inlineStr">
        <is>
          <t>D — Deprioritized</t>
        </is>
      </c>
      <c r="R14" s="226" t="n">
        <v>0</v>
      </c>
      <c r="S14" s="226" t="n">
        <v>0.018</v>
      </c>
      <c r="T14" s="226" t="n">
        <v>0.05500000000000001</v>
      </c>
      <c r="U14" s="226" t="n">
        <v>0.082</v>
      </c>
      <c r="V14" s="226" t="n">
        <v>0.1</v>
      </c>
      <c r="W14" s="227" t="n">
        <v>0</v>
      </c>
      <c r="X14" s="227" t="n">
        <v>0</v>
      </c>
      <c r="Y14" s="227" t="n">
        <v>0</v>
      </c>
      <c r="Z14" s="227" t="n">
        <v>0</v>
      </c>
      <c r="AA14" s="227" t="n">
        <v>0</v>
      </c>
    </row>
    <row r="15">
      <c r="A15" t="inlineStr">
        <is>
          <t>The Duce</t>
        </is>
      </c>
      <c r="B15" t="inlineStr">
        <is>
          <t>Event</t>
        </is>
      </c>
      <c r="C15" t="inlineStr">
        <is>
          <t>YES</t>
        </is>
      </c>
      <c r="D15" t="n">
        <v>0</v>
      </c>
      <c r="E15" t="inlineStr"/>
      <c r="F15" t="inlineStr"/>
      <c r="G15" s="227" t="n">
        <v>0</v>
      </c>
      <c r="H15" t="n">
        <v>2</v>
      </c>
      <c r="I15" t="n">
        <v>1</v>
      </c>
      <c r="J15" t="n">
        <v>2</v>
      </c>
      <c r="K15" t="n">
        <v>4</v>
      </c>
      <c r="L15" t="n">
        <v>4</v>
      </c>
      <c r="M15" s="236" t="n">
        <v>0</v>
      </c>
      <c r="N15" t="inlineStr"/>
      <c r="O15" s="236" t="n">
        <v>2.35</v>
      </c>
      <c r="P15" s="236" t="n">
        <v>2.35</v>
      </c>
      <c r="Q15" s="224" t="inlineStr">
        <is>
          <t>D — Deprioritized</t>
        </is>
      </c>
      <c r="R15" s="226" t="n">
        <v>0</v>
      </c>
      <c r="S15" s="226" t="n">
        <v>0.018</v>
      </c>
      <c r="T15" s="226" t="n">
        <v>0.05500000000000001</v>
      </c>
      <c r="U15" s="226" t="n">
        <v>0.082</v>
      </c>
      <c r="V15" s="226" t="n">
        <v>0.1</v>
      </c>
      <c r="W15" s="227" t="n">
        <v>0</v>
      </c>
      <c r="X15" s="227" t="n">
        <v>0</v>
      </c>
      <c r="Y15" s="227" t="n">
        <v>0</v>
      </c>
      <c r="Z15" s="227" t="n">
        <v>0</v>
      </c>
      <c r="AA15" s="227" t="n">
        <v>0</v>
      </c>
    </row>
    <row r="16">
      <c r="A16" t="inlineStr">
        <is>
          <t>Wedgewood Weddings</t>
        </is>
      </c>
      <c r="B16" t="inlineStr">
        <is>
          <t>Event</t>
        </is>
      </c>
      <c r="C16" t="inlineStr">
        <is>
          <t>NO</t>
        </is>
      </c>
      <c r="D16" t="n">
        <v>0</v>
      </c>
      <c r="E16" t="inlineStr"/>
      <c r="F16" t="inlineStr"/>
      <c r="G16" s="227" t="n">
        <v>0</v>
      </c>
      <c r="H16" t="n">
        <v>2</v>
      </c>
      <c r="I16" t="n">
        <v>1</v>
      </c>
      <c r="J16" t="n">
        <v>2</v>
      </c>
      <c r="K16" t="n">
        <v>4</v>
      </c>
      <c r="L16" t="n">
        <v>2</v>
      </c>
      <c r="M16" s="236" t="n">
        <v>0</v>
      </c>
      <c r="N16" t="inlineStr"/>
      <c r="O16" s="236" t="n">
        <v>2.05</v>
      </c>
      <c r="P16" s="236" t="n">
        <v>2.05</v>
      </c>
      <c r="Q16" s="224" t="inlineStr">
        <is>
          <t>D — Deprioritized</t>
        </is>
      </c>
      <c r="R16" s="226" t="n">
        <v>0</v>
      </c>
      <c r="S16" s="226" t="n">
        <v>0.018</v>
      </c>
      <c r="T16" s="226" t="n">
        <v>0.05500000000000001</v>
      </c>
      <c r="U16" s="226" t="n">
        <v>0.082</v>
      </c>
      <c r="V16" s="226" t="n">
        <v>0.1</v>
      </c>
      <c r="W16" s="227" t="n">
        <v>0</v>
      </c>
      <c r="X16" s="227" t="n">
        <v>0</v>
      </c>
      <c r="Y16" s="227" t="n">
        <v>0</v>
      </c>
      <c r="Z16" s="227" t="n">
        <v>0</v>
      </c>
      <c r="AA16" s="227" t="n">
        <v>0</v>
      </c>
    </row>
    <row r="17">
      <c r="A17" t="inlineStr">
        <is>
          <t>The Legacy Ballroom</t>
        </is>
      </c>
      <c r="B17" t="inlineStr">
        <is>
          <t>Event</t>
        </is>
      </c>
      <c r="C17" t="inlineStr">
        <is>
          <t>NO</t>
        </is>
      </c>
      <c r="D17" t="n">
        <v>0</v>
      </c>
      <c r="E17" t="inlineStr"/>
      <c r="F17" t="inlineStr"/>
      <c r="G17" s="227" t="n">
        <v>0</v>
      </c>
      <c r="H17" t="n">
        <v>2</v>
      </c>
      <c r="I17" t="n">
        <v>1</v>
      </c>
      <c r="J17" t="n">
        <v>2</v>
      </c>
      <c r="K17" t="n">
        <v>4</v>
      </c>
      <c r="L17" t="n">
        <v>2</v>
      </c>
      <c r="M17" s="236" t="n">
        <v>0</v>
      </c>
      <c r="N17" t="inlineStr"/>
      <c r="O17" s="236" t="n">
        <v>2.05</v>
      </c>
      <c r="P17" s="236" t="n">
        <v>2.05</v>
      </c>
      <c r="Q17" s="224" t="inlineStr">
        <is>
          <t>D — Deprioritized</t>
        </is>
      </c>
      <c r="R17" s="226" t="n">
        <v>0</v>
      </c>
      <c r="S17" s="226" t="n">
        <v>0.018</v>
      </c>
      <c r="T17" s="226" t="n">
        <v>0.05500000000000001</v>
      </c>
      <c r="U17" s="226" t="n">
        <v>0.082</v>
      </c>
      <c r="V17" s="226" t="n">
        <v>0.1</v>
      </c>
      <c r="W17" s="227" t="n">
        <v>0</v>
      </c>
      <c r="X17" s="227" t="n">
        <v>0</v>
      </c>
      <c r="Y17" s="227" t="n">
        <v>0</v>
      </c>
      <c r="Z17" s="227" t="n">
        <v>0</v>
      </c>
      <c r="AA17" s="227" t="n">
        <v>0</v>
      </c>
    </row>
    <row r="18">
      <c r="A18" t="inlineStr">
        <is>
          <t>TPC Scottsdale</t>
        </is>
      </c>
      <c r="B18" t="inlineStr">
        <is>
          <t>Golf</t>
        </is>
      </c>
      <c r="C18" t="inlineStr">
        <is>
          <t>NO</t>
        </is>
      </c>
      <c r="D18" t="n">
        <v>0</v>
      </c>
      <c r="E18" t="inlineStr"/>
      <c r="F18" t="inlineStr"/>
      <c r="G18" s="227" t="n">
        <v>0</v>
      </c>
      <c r="H18" t="n">
        <v>2</v>
      </c>
      <c r="I18" t="n">
        <v>1</v>
      </c>
      <c r="J18" t="n">
        <v>2</v>
      </c>
      <c r="K18" t="n">
        <v>4</v>
      </c>
      <c r="L18" t="n">
        <v>2</v>
      </c>
      <c r="M18" s="236" t="n">
        <v>0</v>
      </c>
      <c r="N18" t="inlineStr"/>
      <c r="O18" s="236" t="n">
        <v>2.05</v>
      </c>
      <c r="P18" s="236" t="n">
        <v>2.05</v>
      </c>
      <c r="Q18" s="224" t="inlineStr">
        <is>
          <t>D — Deprioritized</t>
        </is>
      </c>
      <c r="R18" s="226" t="n">
        <v>0</v>
      </c>
      <c r="S18" s="226" t="n">
        <v>0.018</v>
      </c>
      <c r="T18" s="226" t="n">
        <v>0.05500000000000001</v>
      </c>
      <c r="U18" s="226" t="n">
        <v>0.082</v>
      </c>
      <c r="V18" s="226" t="n">
        <v>0.1</v>
      </c>
      <c r="W18" s="227" t="n">
        <v>0</v>
      </c>
      <c r="X18" s="227" t="n">
        <v>0</v>
      </c>
      <c r="Y18" s="227" t="n">
        <v>0</v>
      </c>
      <c r="Z18" s="227" t="n">
        <v>0</v>
      </c>
      <c r="AA18" s="227" t="n">
        <v>0</v>
      </c>
    </row>
    <row r="19">
      <c r="A19" t="inlineStr">
        <is>
          <t>Raven Golf Club</t>
        </is>
      </c>
      <c r="B19" t="inlineStr">
        <is>
          <t>Golf</t>
        </is>
      </c>
      <c r="C19" t="inlineStr">
        <is>
          <t>NO</t>
        </is>
      </c>
      <c r="D19" t="n">
        <v>0</v>
      </c>
      <c r="E19" t="inlineStr"/>
      <c r="F19" t="inlineStr"/>
      <c r="G19" s="227" t="n">
        <v>0</v>
      </c>
      <c r="H19" t="n">
        <v>2</v>
      </c>
      <c r="I19" t="n">
        <v>1</v>
      </c>
      <c r="J19" t="n">
        <v>2</v>
      </c>
      <c r="K19" t="n">
        <v>4</v>
      </c>
      <c r="L19" t="n">
        <v>2</v>
      </c>
      <c r="M19" s="236" t="n">
        <v>0</v>
      </c>
      <c r="N19" t="inlineStr"/>
      <c r="O19" s="236" t="n">
        <v>2.05</v>
      </c>
      <c r="P19" s="236" t="n">
        <v>2.05</v>
      </c>
      <c r="Q19" s="224" t="inlineStr">
        <is>
          <t>D — Deprioritized</t>
        </is>
      </c>
      <c r="R19" s="226" t="n">
        <v>0</v>
      </c>
      <c r="S19" s="226" t="n">
        <v>0.018</v>
      </c>
      <c r="T19" s="226" t="n">
        <v>0.05500000000000001</v>
      </c>
      <c r="U19" s="226" t="n">
        <v>0.082</v>
      </c>
      <c r="V19" s="226" t="n">
        <v>0.1</v>
      </c>
      <c r="W19" s="227" t="n">
        <v>0</v>
      </c>
      <c r="X19" s="227" t="n">
        <v>0</v>
      </c>
      <c r="Y19" s="227" t="n">
        <v>0</v>
      </c>
      <c r="Z19" s="227" t="n">
        <v>0</v>
      </c>
      <c r="AA19" s="227" t="n">
        <v>0</v>
      </c>
    </row>
    <row r="20">
      <c r="A20" t="inlineStr">
        <is>
          <t>Papago Golf Club</t>
        </is>
      </c>
      <c r="B20" t="inlineStr">
        <is>
          <t>Golf</t>
        </is>
      </c>
      <c r="C20" t="inlineStr">
        <is>
          <t>NO</t>
        </is>
      </c>
      <c r="D20" t="n">
        <v>0</v>
      </c>
      <c r="E20" t="inlineStr"/>
      <c r="F20" t="inlineStr"/>
      <c r="G20" s="227" t="n">
        <v>0</v>
      </c>
      <c r="H20" t="n">
        <v>2</v>
      </c>
      <c r="I20" t="n">
        <v>1</v>
      </c>
      <c r="J20" t="n">
        <v>2</v>
      </c>
      <c r="K20" t="n">
        <v>4</v>
      </c>
      <c r="L20" t="n">
        <v>2</v>
      </c>
      <c r="M20" s="236" t="n">
        <v>0</v>
      </c>
      <c r="N20" t="inlineStr"/>
      <c r="O20" s="236" t="n">
        <v>2.05</v>
      </c>
      <c r="P20" s="236" t="n">
        <v>2.05</v>
      </c>
      <c r="Q20" s="224" t="inlineStr">
        <is>
          <t>D — Deprioritized</t>
        </is>
      </c>
      <c r="R20" s="226" t="n">
        <v>0</v>
      </c>
      <c r="S20" s="226" t="n">
        <v>0.018</v>
      </c>
      <c r="T20" s="226" t="n">
        <v>0.05500000000000001</v>
      </c>
      <c r="U20" s="226" t="n">
        <v>0.082</v>
      </c>
      <c r="V20" s="226" t="n">
        <v>0.1</v>
      </c>
      <c r="W20" s="227" t="n">
        <v>0</v>
      </c>
      <c r="X20" s="227" t="n">
        <v>0</v>
      </c>
      <c r="Y20" s="227" t="n">
        <v>0</v>
      </c>
      <c r="Z20" s="227" t="n">
        <v>0</v>
      </c>
      <c r="AA20" s="227" t="n">
        <v>0</v>
      </c>
    </row>
    <row r="21">
      <c r="A21" t="inlineStr">
        <is>
          <t>Reliance Hospitality</t>
        </is>
      </c>
      <c r="B21" t="inlineStr">
        <is>
          <t>Hospitality Group</t>
        </is>
      </c>
      <c r="C21" t="inlineStr">
        <is>
          <t>NO</t>
        </is>
      </c>
      <c r="D21" t="n">
        <v>0</v>
      </c>
      <c r="E21" t="inlineStr"/>
      <c r="F21" t="inlineStr"/>
      <c r="G21" s="227" t="n">
        <v>0</v>
      </c>
      <c r="H21" t="n">
        <v>3</v>
      </c>
      <c r="I21" t="n">
        <v>1</v>
      </c>
      <c r="J21" t="n">
        <v>2</v>
      </c>
      <c r="K21" t="n">
        <v>4</v>
      </c>
      <c r="L21" t="n">
        <v>2</v>
      </c>
      <c r="M21" s="236" t="n">
        <v>0</v>
      </c>
      <c r="N21" t="inlineStr"/>
      <c r="O21" s="236" t="n">
        <v>2.3</v>
      </c>
      <c r="P21" s="236" t="n">
        <v>2.3</v>
      </c>
      <c r="Q21" s="224" t="inlineStr">
        <is>
          <t>D — Deprioritized</t>
        </is>
      </c>
      <c r="R21" s="226" t="n">
        <v>0</v>
      </c>
      <c r="S21" s="226" t="n">
        <v>0.018</v>
      </c>
      <c r="T21" s="226" t="n">
        <v>0.05500000000000001</v>
      </c>
      <c r="U21" s="226" t="n">
        <v>0.082</v>
      </c>
      <c r="V21" s="226" t="n">
        <v>0.1</v>
      </c>
      <c r="W21" s="227" t="n">
        <v>0</v>
      </c>
      <c r="X21" s="227" t="n">
        <v>0</v>
      </c>
      <c r="Y21" s="227" t="n">
        <v>0</v>
      </c>
      <c r="Z21" s="227" t="n">
        <v>0</v>
      </c>
      <c r="AA21" s="227" t="n">
        <v>0</v>
      </c>
    </row>
    <row r="22">
      <c r="A22" t="inlineStr">
        <is>
          <t>Integrity Lodging</t>
        </is>
      </c>
      <c r="B22" t="inlineStr">
        <is>
          <t>Hospitality Group</t>
        </is>
      </c>
      <c r="C22" t="inlineStr">
        <is>
          <t>NO</t>
        </is>
      </c>
      <c r="D22" t="n">
        <v>0</v>
      </c>
      <c r="E22" t="inlineStr"/>
      <c r="F22" t="inlineStr"/>
      <c r="G22" s="227" t="n">
        <v>0</v>
      </c>
      <c r="H22" t="n">
        <v>3</v>
      </c>
      <c r="I22" t="n">
        <v>1</v>
      </c>
      <c r="J22" t="n">
        <v>2</v>
      </c>
      <c r="K22" t="n">
        <v>4</v>
      </c>
      <c r="L22" t="n">
        <v>2</v>
      </c>
      <c r="M22" s="236" t="n">
        <v>0</v>
      </c>
      <c r="N22" t="inlineStr"/>
      <c r="O22" s="236" t="n">
        <v>2.3</v>
      </c>
      <c r="P22" s="236" t="n">
        <v>2.3</v>
      </c>
      <c r="Q22" s="224" t="inlineStr">
        <is>
          <t>D — Deprioritized</t>
        </is>
      </c>
      <c r="R22" s="226" t="n">
        <v>0</v>
      </c>
      <c r="S22" s="226" t="n">
        <v>0.018</v>
      </c>
      <c r="T22" s="226" t="n">
        <v>0.05500000000000001</v>
      </c>
      <c r="U22" s="226" t="n">
        <v>0.082</v>
      </c>
      <c r="V22" s="226" t="n">
        <v>0.1</v>
      </c>
      <c r="W22" s="227" t="n">
        <v>0</v>
      </c>
      <c r="X22" s="227" t="n">
        <v>0</v>
      </c>
      <c r="Y22" s="227" t="n">
        <v>0</v>
      </c>
      <c r="Z22" s="227" t="n">
        <v>0</v>
      </c>
      <c r="AA22" s="227" t="n">
        <v>0</v>
      </c>
    </row>
    <row r="23">
      <c r="A23" t="inlineStr">
        <is>
          <t>Riot Hospitality Group</t>
        </is>
      </c>
      <c r="B23" t="inlineStr">
        <is>
          <t>Hospitality Group</t>
        </is>
      </c>
      <c r="C23" t="inlineStr">
        <is>
          <t>NO</t>
        </is>
      </c>
      <c r="D23" t="n">
        <v>0</v>
      </c>
      <c r="E23" t="inlineStr"/>
      <c r="F23" t="inlineStr"/>
      <c r="G23" s="227" t="n">
        <v>0</v>
      </c>
      <c r="H23" t="n">
        <v>3</v>
      </c>
      <c r="I23" t="n">
        <v>1</v>
      </c>
      <c r="J23" t="n">
        <v>2</v>
      </c>
      <c r="K23" t="n">
        <v>4</v>
      </c>
      <c r="L23" t="n">
        <v>2</v>
      </c>
      <c r="M23" s="236" t="n">
        <v>0</v>
      </c>
      <c r="N23" t="inlineStr"/>
      <c r="O23" s="236" t="n">
        <v>2.3</v>
      </c>
      <c r="P23" s="236" t="n">
        <v>2.3</v>
      </c>
      <c r="Q23" s="224" t="inlineStr">
        <is>
          <t>D — Deprioritized</t>
        </is>
      </c>
      <c r="R23" s="226" t="n">
        <v>0</v>
      </c>
      <c r="S23" s="226" t="n">
        <v>0.018</v>
      </c>
      <c r="T23" s="226" t="n">
        <v>0.05500000000000001</v>
      </c>
      <c r="U23" s="226" t="n">
        <v>0.082</v>
      </c>
      <c r="V23" s="226" t="n">
        <v>0.1</v>
      </c>
      <c r="W23" s="227" t="n">
        <v>0</v>
      </c>
      <c r="X23" s="227" t="n">
        <v>0</v>
      </c>
      <c r="Y23" s="227" t="n">
        <v>0</v>
      </c>
      <c r="Z23" s="227" t="n">
        <v>0</v>
      </c>
      <c r="AA23" s="227" t="n">
        <v>0</v>
      </c>
    </row>
    <row r="24">
      <c r="A24" t="inlineStr">
        <is>
          <t>Heavlin Management Company (HMC)</t>
        </is>
      </c>
      <c r="B24" t="inlineStr">
        <is>
          <t>Hospitality Group</t>
        </is>
      </c>
      <c r="C24" t="inlineStr">
        <is>
          <t>NO</t>
        </is>
      </c>
      <c r="D24" t="n">
        <v>0</v>
      </c>
      <c r="E24" t="inlineStr"/>
      <c r="F24" t="inlineStr"/>
      <c r="G24" s="227" t="n">
        <v>0</v>
      </c>
      <c r="H24" t="n">
        <v>3</v>
      </c>
      <c r="I24" t="n">
        <v>1</v>
      </c>
      <c r="J24" t="n">
        <v>2</v>
      </c>
      <c r="K24" t="n">
        <v>4</v>
      </c>
      <c r="L24" t="n">
        <v>2</v>
      </c>
      <c r="M24" s="236" t="n">
        <v>0</v>
      </c>
      <c r="N24" t="inlineStr"/>
      <c r="O24" s="236" t="n">
        <v>2.3</v>
      </c>
      <c r="P24" s="236" t="n">
        <v>2.3</v>
      </c>
      <c r="Q24" s="224" t="inlineStr">
        <is>
          <t>D — Deprioritized</t>
        </is>
      </c>
      <c r="R24" s="226" t="n">
        <v>0</v>
      </c>
      <c r="S24" s="226" t="n">
        <v>0.018</v>
      </c>
      <c r="T24" s="226" t="n">
        <v>0.05500000000000001</v>
      </c>
      <c r="U24" s="226" t="n">
        <v>0.082</v>
      </c>
      <c r="V24" s="226" t="n">
        <v>0.1</v>
      </c>
      <c r="W24" s="227" t="n">
        <v>0</v>
      </c>
      <c r="X24" s="227" t="n">
        <v>0</v>
      </c>
      <c r="Y24" s="227" t="n">
        <v>0</v>
      </c>
      <c r="Z24" s="227" t="n">
        <v>0</v>
      </c>
      <c r="AA24" s="227" t="n">
        <v>0</v>
      </c>
    </row>
    <row r="25">
      <c r="A25" t="inlineStr">
        <is>
          <t>Aligned Hospitality Management</t>
        </is>
      </c>
      <c r="B25" t="inlineStr">
        <is>
          <t>Hospitality Group</t>
        </is>
      </c>
      <c r="C25" t="inlineStr">
        <is>
          <t>NO</t>
        </is>
      </c>
      <c r="D25" t="n">
        <v>0</v>
      </c>
      <c r="E25" t="inlineStr"/>
      <c r="F25" t="inlineStr"/>
      <c r="G25" s="227" t="n">
        <v>0</v>
      </c>
      <c r="H25" t="n">
        <v>3</v>
      </c>
      <c r="I25" t="n">
        <v>1</v>
      </c>
      <c r="J25" t="n">
        <v>2</v>
      </c>
      <c r="K25" t="n">
        <v>4</v>
      </c>
      <c r="L25" t="n">
        <v>2</v>
      </c>
      <c r="M25" s="236" t="n">
        <v>0</v>
      </c>
      <c r="N25" t="inlineStr"/>
      <c r="O25" s="236" t="n">
        <v>2.3</v>
      </c>
      <c r="P25" s="236" t="n">
        <v>2.3</v>
      </c>
      <c r="Q25" s="224" t="inlineStr">
        <is>
          <t>D — Deprioritized</t>
        </is>
      </c>
      <c r="R25" s="226" t="n">
        <v>0</v>
      </c>
      <c r="S25" s="226" t="n">
        <v>0.018</v>
      </c>
      <c r="T25" s="226" t="n">
        <v>0.05500000000000001</v>
      </c>
      <c r="U25" s="226" t="n">
        <v>0.082</v>
      </c>
      <c r="V25" s="226" t="n">
        <v>0.1</v>
      </c>
      <c r="W25" s="227" t="n">
        <v>0</v>
      </c>
      <c r="X25" s="227" t="n">
        <v>0</v>
      </c>
      <c r="Y25" s="227" t="n">
        <v>0</v>
      </c>
      <c r="Z25" s="227" t="n">
        <v>0</v>
      </c>
      <c r="AA25" s="227" t="n">
        <v>0</v>
      </c>
    </row>
    <row r="26">
      <c r="A26" t="inlineStr">
        <is>
          <t>Aimbridge Hospitality</t>
        </is>
      </c>
      <c r="B26" t="inlineStr">
        <is>
          <t>Hospitality Group</t>
        </is>
      </c>
      <c r="C26" t="inlineStr">
        <is>
          <t>NO</t>
        </is>
      </c>
      <c r="D26" t="n">
        <v>0</v>
      </c>
      <c r="E26" t="inlineStr"/>
      <c r="F26" t="inlineStr"/>
      <c r="G26" s="227" t="n">
        <v>0</v>
      </c>
      <c r="H26" t="n">
        <v>3</v>
      </c>
      <c r="I26" t="n">
        <v>1</v>
      </c>
      <c r="J26" t="n">
        <v>2</v>
      </c>
      <c r="K26" t="n">
        <v>4</v>
      </c>
      <c r="L26" t="n">
        <v>2</v>
      </c>
      <c r="M26" s="236" t="n">
        <v>0</v>
      </c>
      <c r="N26" t="inlineStr"/>
      <c r="O26" s="236" t="n">
        <v>2.3</v>
      </c>
      <c r="P26" s="236" t="n">
        <v>2.3</v>
      </c>
      <c r="Q26" s="224" t="inlineStr">
        <is>
          <t>D — Deprioritized</t>
        </is>
      </c>
      <c r="R26" s="226" t="n">
        <v>0</v>
      </c>
      <c r="S26" s="226" t="n">
        <v>0.018</v>
      </c>
      <c r="T26" s="226" t="n">
        <v>0.05500000000000001</v>
      </c>
      <c r="U26" s="226" t="n">
        <v>0.082</v>
      </c>
      <c r="V26" s="226" t="n">
        <v>0.1</v>
      </c>
      <c r="W26" s="227" t="n">
        <v>0</v>
      </c>
      <c r="X26" s="227" t="n">
        <v>0</v>
      </c>
      <c r="Y26" s="227" t="n">
        <v>0</v>
      </c>
      <c r="Z26" s="227" t="n">
        <v>0</v>
      </c>
      <c r="AA26" s="227" t="n">
        <v>0</v>
      </c>
    </row>
    <row r="27">
      <c r="A27" t="inlineStr">
        <is>
          <t>Crescent Hotels &amp; Resorts</t>
        </is>
      </c>
      <c r="B27" t="inlineStr">
        <is>
          <t>Hospitality Group</t>
        </is>
      </c>
      <c r="C27" t="inlineStr">
        <is>
          <t>NO</t>
        </is>
      </c>
      <c r="D27" t="n">
        <v>0</v>
      </c>
      <c r="E27" t="inlineStr"/>
      <c r="F27" t="inlineStr"/>
      <c r="G27" s="227" t="n">
        <v>0</v>
      </c>
      <c r="H27" t="n">
        <v>3</v>
      </c>
      <c r="I27" t="n">
        <v>1</v>
      </c>
      <c r="J27" t="n">
        <v>2</v>
      </c>
      <c r="K27" t="n">
        <v>4</v>
      </c>
      <c r="L27" t="n">
        <v>2</v>
      </c>
      <c r="M27" s="236" t="n">
        <v>0</v>
      </c>
      <c r="N27" t="inlineStr"/>
      <c r="O27" s="236" t="n">
        <v>2.3</v>
      </c>
      <c r="P27" s="236" t="n">
        <v>2.3</v>
      </c>
      <c r="Q27" s="224" t="inlineStr">
        <is>
          <t>D — Deprioritized</t>
        </is>
      </c>
      <c r="R27" s="226" t="n">
        <v>0</v>
      </c>
      <c r="S27" s="226" t="n">
        <v>0.018</v>
      </c>
      <c r="T27" s="226" t="n">
        <v>0.05500000000000001</v>
      </c>
      <c r="U27" s="226" t="n">
        <v>0.082</v>
      </c>
      <c r="V27" s="226" t="n">
        <v>0.1</v>
      </c>
      <c r="W27" s="227" t="n">
        <v>0</v>
      </c>
      <c r="X27" s="227" t="n">
        <v>0</v>
      </c>
      <c r="Y27" s="227" t="n">
        <v>0</v>
      </c>
      <c r="Z27" s="227" t="n">
        <v>0</v>
      </c>
      <c r="AA27" s="227" t="n">
        <v>0</v>
      </c>
    </row>
    <row r="28">
      <c r="A28" t="inlineStr">
        <is>
          <t>Southwest Hospitality Management</t>
        </is>
      </c>
      <c r="B28" t="inlineStr">
        <is>
          <t>Hospitality Group</t>
        </is>
      </c>
      <c r="C28" t="inlineStr">
        <is>
          <t>NO</t>
        </is>
      </c>
      <c r="D28" t="n">
        <v>0</v>
      </c>
      <c r="E28" t="inlineStr"/>
      <c r="F28" t="inlineStr"/>
      <c r="G28" s="227" t="n">
        <v>0</v>
      </c>
      <c r="H28" t="n">
        <v>3</v>
      </c>
      <c r="I28" t="n">
        <v>1</v>
      </c>
      <c r="J28" t="n">
        <v>2</v>
      </c>
      <c r="K28" t="n">
        <v>4</v>
      </c>
      <c r="L28" t="n">
        <v>2</v>
      </c>
      <c r="M28" s="236" t="n">
        <v>0</v>
      </c>
      <c r="N28" t="inlineStr"/>
      <c r="O28" s="236" t="n">
        <v>2.3</v>
      </c>
      <c r="P28" s="236" t="n">
        <v>2.3</v>
      </c>
      <c r="Q28" s="224" t="inlineStr">
        <is>
          <t>D — Deprioritized</t>
        </is>
      </c>
      <c r="R28" s="226" t="n">
        <v>0</v>
      </c>
      <c r="S28" s="226" t="n">
        <v>0.018</v>
      </c>
      <c r="T28" s="226" t="n">
        <v>0.05500000000000001</v>
      </c>
      <c r="U28" s="226" t="n">
        <v>0.082</v>
      </c>
      <c r="V28" s="226" t="n">
        <v>0.1</v>
      </c>
      <c r="W28" s="227" t="n">
        <v>0</v>
      </c>
      <c r="X28" s="227" t="n">
        <v>0</v>
      </c>
      <c r="Y28" s="227" t="n">
        <v>0</v>
      </c>
      <c r="Z28" s="227" t="n">
        <v>0</v>
      </c>
      <c r="AA28" s="227" t="n">
        <v>0</v>
      </c>
    </row>
    <row r="29">
      <c r="A29" t="inlineStr">
        <is>
          <t>Desert Hospitality Management</t>
        </is>
      </c>
      <c r="B29" t="inlineStr">
        <is>
          <t>Hospitality Group</t>
        </is>
      </c>
      <c r="C29" t="inlineStr">
        <is>
          <t>NO</t>
        </is>
      </c>
      <c r="D29" t="n">
        <v>0</v>
      </c>
      <c r="E29" t="inlineStr"/>
      <c r="F29" t="inlineStr"/>
      <c r="G29" s="227" t="n">
        <v>0</v>
      </c>
      <c r="H29" t="n">
        <v>3</v>
      </c>
      <c r="I29" t="n">
        <v>1</v>
      </c>
      <c r="J29" t="n">
        <v>2</v>
      </c>
      <c r="K29" t="n">
        <v>4</v>
      </c>
      <c r="L29" t="n">
        <v>2</v>
      </c>
      <c r="M29" s="236" t="n">
        <v>0</v>
      </c>
      <c r="N29" t="inlineStr"/>
      <c r="O29" s="236" t="n">
        <v>2.3</v>
      </c>
      <c r="P29" s="236" t="n">
        <v>2.3</v>
      </c>
      <c r="Q29" s="224" t="inlineStr">
        <is>
          <t>D — Deprioritized</t>
        </is>
      </c>
      <c r="R29" s="226" t="n">
        <v>0</v>
      </c>
      <c r="S29" s="226" t="n">
        <v>0.018</v>
      </c>
      <c r="T29" s="226" t="n">
        <v>0.05500000000000001</v>
      </c>
      <c r="U29" s="226" t="n">
        <v>0.082</v>
      </c>
      <c r="V29" s="226" t="n">
        <v>0.1</v>
      </c>
      <c r="W29" s="227" t="n">
        <v>0</v>
      </c>
      <c r="X29" s="227" t="n">
        <v>0</v>
      </c>
      <c r="Y29" s="227" t="n">
        <v>0</v>
      </c>
      <c r="Z29" s="227" t="n">
        <v>0</v>
      </c>
      <c r="AA29" s="227" t="n">
        <v>0</v>
      </c>
    </row>
    <row r="30">
      <c r="A30" t="inlineStr">
        <is>
          <t>NCG Hospitality</t>
        </is>
      </c>
      <c r="B30" t="inlineStr">
        <is>
          <t>Hospitality Group</t>
        </is>
      </c>
      <c r="C30" t="inlineStr">
        <is>
          <t>NO</t>
        </is>
      </c>
      <c r="D30" t="n">
        <v>0</v>
      </c>
      <c r="E30" t="inlineStr"/>
      <c r="F30" t="inlineStr"/>
      <c r="G30" s="227" t="n">
        <v>0</v>
      </c>
      <c r="H30" t="n">
        <v>3</v>
      </c>
      <c r="I30" t="n">
        <v>1</v>
      </c>
      <c r="J30" t="n">
        <v>2</v>
      </c>
      <c r="K30" t="n">
        <v>4</v>
      </c>
      <c r="L30" t="n">
        <v>2</v>
      </c>
      <c r="M30" s="236" t="n">
        <v>0</v>
      </c>
      <c r="N30" t="inlineStr"/>
      <c r="O30" s="236" t="n">
        <v>2.3</v>
      </c>
      <c r="P30" s="236" t="n">
        <v>2.3</v>
      </c>
      <c r="Q30" s="224" t="inlineStr">
        <is>
          <t>D — Deprioritized</t>
        </is>
      </c>
      <c r="R30" s="226" t="n">
        <v>0</v>
      </c>
      <c r="S30" s="226" t="n">
        <v>0.018</v>
      </c>
      <c r="T30" s="226" t="n">
        <v>0.05500000000000001</v>
      </c>
      <c r="U30" s="226" t="n">
        <v>0.082</v>
      </c>
      <c r="V30" s="226" t="n">
        <v>0.1</v>
      </c>
      <c r="W30" s="227" t="n">
        <v>0</v>
      </c>
      <c r="X30" s="227" t="n">
        <v>0</v>
      </c>
      <c r="Y30" s="227" t="n">
        <v>0</v>
      </c>
      <c r="Z30" s="227" t="n">
        <v>0</v>
      </c>
      <c r="AA30" s="227" t="n">
        <v>0</v>
      </c>
    </row>
    <row r="31">
      <c r="A31" t="inlineStr">
        <is>
          <t>Classic Hotels &amp; Resorts</t>
        </is>
      </c>
      <c r="B31" t="inlineStr">
        <is>
          <t>Hospitality Group</t>
        </is>
      </c>
      <c r="C31" t="inlineStr">
        <is>
          <t>NO</t>
        </is>
      </c>
      <c r="D31" t="n">
        <v>0</v>
      </c>
      <c r="E31" t="inlineStr"/>
      <c r="F31" t="inlineStr"/>
      <c r="G31" s="227" t="n">
        <v>0</v>
      </c>
      <c r="H31" t="n">
        <v>3</v>
      </c>
      <c r="I31" t="n">
        <v>1</v>
      </c>
      <c r="J31" t="n">
        <v>2</v>
      </c>
      <c r="K31" t="n">
        <v>4</v>
      </c>
      <c r="L31" t="n">
        <v>2</v>
      </c>
      <c r="M31" s="236" t="n">
        <v>0</v>
      </c>
      <c r="N31" t="inlineStr"/>
      <c r="O31" s="236" t="n">
        <v>2.3</v>
      </c>
      <c r="P31" s="236" t="n">
        <v>2.3</v>
      </c>
      <c r="Q31" s="224" t="inlineStr">
        <is>
          <t>D — Deprioritized</t>
        </is>
      </c>
      <c r="R31" s="226" t="n">
        <v>0</v>
      </c>
      <c r="S31" s="226" t="n">
        <v>0.018</v>
      </c>
      <c r="T31" s="226" t="n">
        <v>0.05500000000000001</v>
      </c>
      <c r="U31" s="226" t="n">
        <v>0.082</v>
      </c>
      <c r="V31" s="226" t="n">
        <v>0.1</v>
      </c>
      <c r="W31" s="227" t="n">
        <v>0</v>
      </c>
      <c r="X31" s="227" t="n">
        <v>0</v>
      </c>
      <c r="Y31" s="227" t="n">
        <v>0</v>
      </c>
      <c r="Z31" s="227" t="n">
        <v>0</v>
      </c>
      <c r="AA31" s="227" t="n">
        <v>0</v>
      </c>
    </row>
    <row r="32">
      <c r="A32" t="inlineStr">
        <is>
          <t>Carter Concepts Restaurant Group</t>
        </is>
      </c>
      <c r="B32" t="inlineStr">
        <is>
          <t>Hospitality Group</t>
        </is>
      </c>
      <c r="C32" t="inlineStr">
        <is>
          <t>NO</t>
        </is>
      </c>
      <c r="D32" t="n">
        <v>0</v>
      </c>
      <c r="E32" t="inlineStr"/>
      <c r="F32" t="inlineStr"/>
      <c r="G32" s="227" t="n">
        <v>0</v>
      </c>
      <c r="H32" t="n">
        <v>3</v>
      </c>
      <c r="I32" t="n">
        <v>1</v>
      </c>
      <c r="J32" t="n">
        <v>2</v>
      </c>
      <c r="K32" t="n">
        <v>4</v>
      </c>
      <c r="L32" t="n">
        <v>2</v>
      </c>
      <c r="M32" s="236" t="n">
        <v>0</v>
      </c>
      <c r="N32" t="inlineStr"/>
      <c r="O32" s="236" t="n">
        <v>2.3</v>
      </c>
      <c r="P32" s="236" t="n">
        <v>2.3</v>
      </c>
      <c r="Q32" s="224" t="inlineStr">
        <is>
          <t>D — Deprioritized</t>
        </is>
      </c>
      <c r="R32" s="226" t="n">
        <v>0</v>
      </c>
      <c r="S32" s="226" t="n">
        <v>0.018</v>
      </c>
      <c r="T32" s="226" t="n">
        <v>0.05500000000000001</v>
      </c>
      <c r="U32" s="226" t="n">
        <v>0.082</v>
      </c>
      <c r="V32" s="226" t="n">
        <v>0.1</v>
      </c>
      <c r="W32" s="227" t="n">
        <v>0</v>
      </c>
      <c r="X32" s="227" t="n">
        <v>0</v>
      </c>
      <c r="Y32" s="227" t="n">
        <v>0</v>
      </c>
      <c r="Z32" s="227" t="n">
        <v>0</v>
      </c>
      <c r="AA32" s="227" t="n">
        <v>0</v>
      </c>
    </row>
    <row r="33">
      <c r="A33" t="inlineStr">
        <is>
          <t>Courtyard Phoenix Airport</t>
        </is>
      </c>
      <c r="B33" t="inlineStr">
        <is>
          <t>Hotel</t>
        </is>
      </c>
      <c r="C33" t="inlineStr">
        <is>
          <t>NO</t>
        </is>
      </c>
      <c r="D33" t="n">
        <v>145</v>
      </c>
      <c r="E33" t="inlineStr"/>
      <c r="F33" t="inlineStr">
        <is>
          <t>No Valet</t>
        </is>
      </c>
      <c r="G33" s="227" t="n">
        <v>0</v>
      </c>
      <c r="H33" t="n">
        <v>3</v>
      </c>
      <c r="I33" t="n">
        <v>1</v>
      </c>
      <c r="J33" t="n">
        <v>3</v>
      </c>
      <c r="K33" t="n">
        <v>4</v>
      </c>
      <c r="L33" t="n">
        <v>2</v>
      </c>
      <c r="M33" s="236" t="n">
        <v>0</v>
      </c>
      <c r="N33" t="inlineStr"/>
      <c r="O33" s="236" t="n">
        <v>2.5</v>
      </c>
      <c r="P33" s="236" t="n">
        <v>2.5</v>
      </c>
      <c r="Q33" s="237" t="inlineStr">
        <is>
          <t>C — Opportunistic</t>
        </is>
      </c>
      <c r="R33" s="226" t="n">
        <v>0.02</v>
      </c>
      <c r="S33" s="226" t="n">
        <v>0.09724000000000002</v>
      </c>
      <c r="T33" s="226" t="n">
        <v>0.28625</v>
      </c>
      <c r="U33" s="226" t="n">
        <v>0.4145</v>
      </c>
      <c r="V33" s="226" t="n">
        <v>0.5</v>
      </c>
      <c r="W33" s="227" t="n">
        <v>0</v>
      </c>
      <c r="X33" s="227" t="n">
        <v>0</v>
      </c>
      <c r="Y33" s="227" t="n">
        <v>0</v>
      </c>
      <c r="Z33" s="227" t="n">
        <v>0</v>
      </c>
      <c r="AA33" s="227" t="n">
        <v>0</v>
      </c>
    </row>
    <row r="34">
      <c r="A34" t="inlineStr">
        <is>
          <t>Hilton Phoenix Airport</t>
        </is>
      </c>
      <c r="B34" t="inlineStr">
        <is>
          <t>Hotel</t>
        </is>
      </c>
      <c r="C34" t="inlineStr">
        <is>
          <t>NO</t>
        </is>
      </c>
      <c r="D34" t="n">
        <v>259</v>
      </c>
      <c r="E34" t="inlineStr"/>
      <c r="F34" t="inlineStr">
        <is>
          <t>No Valet</t>
        </is>
      </c>
      <c r="G34" s="227" t="n">
        <v>0</v>
      </c>
      <c r="H34" t="n">
        <v>4</v>
      </c>
      <c r="I34" t="n">
        <v>1</v>
      </c>
      <c r="J34" t="n">
        <v>3</v>
      </c>
      <c r="K34" t="n">
        <v>4</v>
      </c>
      <c r="L34" t="n">
        <v>2</v>
      </c>
      <c r="M34" s="236" t="n">
        <v>0.15</v>
      </c>
      <c r="N34" t="inlineStr">
        <is>
          <t>Brand familiarity (historical): Hilton_family</t>
        </is>
      </c>
      <c r="O34" s="236" t="n">
        <v>2.75</v>
      </c>
      <c r="P34" s="236" t="n">
        <v>2.9</v>
      </c>
      <c r="Q34" s="237" t="inlineStr">
        <is>
          <t>C — Opportunistic</t>
        </is>
      </c>
      <c r="R34" s="226" t="n">
        <v>0.02</v>
      </c>
      <c r="S34" s="226" t="n">
        <v>0.09724000000000002</v>
      </c>
      <c r="T34" s="226" t="n">
        <v>0.28625</v>
      </c>
      <c r="U34" s="226" t="n">
        <v>0.4145</v>
      </c>
      <c r="V34" s="226" t="n">
        <v>0.5</v>
      </c>
      <c r="W34" s="227" t="n">
        <v>0</v>
      </c>
      <c r="X34" s="227" t="n">
        <v>0</v>
      </c>
      <c r="Y34" s="227" t="n">
        <v>0</v>
      </c>
      <c r="Z34" s="227" t="n">
        <v>0</v>
      </c>
      <c r="AA34" s="227" t="n">
        <v>0</v>
      </c>
    </row>
    <row r="35">
      <c r="A35" t="inlineStr">
        <is>
          <t>Marriott Phoenix Airport</t>
        </is>
      </c>
      <c r="B35" t="inlineStr">
        <is>
          <t>Hotel</t>
        </is>
      </c>
      <c r="C35" t="inlineStr">
        <is>
          <t>NO</t>
        </is>
      </c>
      <c r="D35" t="n">
        <v>347</v>
      </c>
      <c r="E35" t="inlineStr"/>
      <c r="F35" t="inlineStr">
        <is>
          <t>No Valet</t>
        </is>
      </c>
      <c r="G35" s="227" t="n">
        <v>0</v>
      </c>
      <c r="H35" t="n">
        <v>4</v>
      </c>
      <c r="I35" t="n">
        <v>1</v>
      </c>
      <c r="J35" t="n">
        <v>3</v>
      </c>
      <c r="K35" t="n">
        <v>4</v>
      </c>
      <c r="L35" t="n">
        <v>2</v>
      </c>
      <c r="M35" s="236" t="n">
        <v>0.3</v>
      </c>
      <c r="N35" t="inlineStr">
        <is>
          <t>Brand familiarity (current): Marriott_family</t>
        </is>
      </c>
      <c r="O35" s="236" t="n">
        <v>2.75</v>
      </c>
      <c r="P35" s="236" t="n">
        <v>3.05</v>
      </c>
      <c r="Q35" s="237" t="inlineStr">
        <is>
          <t>C — Opportunistic</t>
        </is>
      </c>
      <c r="R35" s="226" t="n">
        <v>0.02</v>
      </c>
      <c r="S35" s="226" t="n">
        <v>0.09724000000000002</v>
      </c>
      <c r="T35" s="226" t="n">
        <v>0.28625</v>
      </c>
      <c r="U35" s="226" t="n">
        <v>0.4145</v>
      </c>
      <c r="V35" s="226" t="n">
        <v>0.5</v>
      </c>
      <c r="W35" s="227" t="n">
        <v>0</v>
      </c>
      <c r="X35" s="227" t="n">
        <v>0</v>
      </c>
      <c r="Y35" s="227" t="n">
        <v>0</v>
      </c>
      <c r="Z35" s="227" t="n">
        <v>0</v>
      </c>
      <c r="AA35" s="227" t="n">
        <v>0</v>
      </c>
    </row>
    <row r="36">
      <c r="A36" t="inlineStr">
        <is>
          <t>Arizona Biltmore, LXR Hotels &amp; Resorts</t>
        </is>
      </c>
      <c r="B36" t="inlineStr">
        <is>
          <t>Hotel</t>
        </is>
      </c>
      <c r="C36" t="inlineStr">
        <is>
          <t>NO</t>
        </is>
      </c>
      <c r="D36" t="n">
        <v>750</v>
      </c>
      <c r="E36" t="inlineStr"/>
      <c r="F36" t="inlineStr">
        <is>
          <t>valet only</t>
        </is>
      </c>
      <c r="G36" s="227" t="n">
        <v>2430000</v>
      </c>
      <c r="H36" t="n">
        <v>5</v>
      </c>
      <c r="I36" t="n">
        <v>4</v>
      </c>
      <c r="J36" t="n">
        <v>2</v>
      </c>
      <c r="K36" t="n">
        <v>4</v>
      </c>
      <c r="L36" t="n">
        <v>2</v>
      </c>
      <c r="M36" s="236" t="n">
        <v>0.15</v>
      </c>
      <c r="N36" t="inlineStr">
        <is>
          <t>Brand familiarity (historical): Hilton_family</t>
        </is>
      </c>
      <c r="O36" s="236" t="n">
        <v>3.55</v>
      </c>
      <c r="P36" s="236" t="n">
        <v>3.7</v>
      </c>
      <c r="Q36" s="238" t="inlineStr">
        <is>
          <t>B — Core</t>
        </is>
      </c>
      <c r="R36" s="226" t="n">
        <v>0.08</v>
      </c>
      <c r="S36" s="226" t="n">
        <v>0.22066</v>
      </c>
      <c r="T36" s="226" t="n">
        <v>0.560625</v>
      </c>
      <c r="U36" s="226" t="n">
        <v>0.7867499999999999</v>
      </c>
      <c r="V36" s="226" t="n">
        <v>0.9375</v>
      </c>
      <c r="W36" s="227" t="n">
        <v>194400</v>
      </c>
      <c r="X36" s="227" t="n">
        <v>536203.8</v>
      </c>
      <c r="Y36" s="227" t="n">
        <v>1362318.75</v>
      </c>
      <c r="Z36" s="227" t="n">
        <v>1911802.5</v>
      </c>
      <c r="AA36" s="227" t="n">
        <v>2278125</v>
      </c>
    </row>
    <row r="37">
      <c r="A37" t="inlineStr">
        <is>
          <t>Embassy Suites by Hilton Phoenix Biltmore</t>
        </is>
      </c>
      <c r="B37" t="inlineStr">
        <is>
          <t>Hotel</t>
        </is>
      </c>
      <c r="C37" t="inlineStr">
        <is>
          <t>NO</t>
        </is>
      </c>
      <c r="D37" t="n">
        <v>232</v>
      </c>
      <c r="E37" t="inlineStr"/>
      <c r="F37" t="inlineStr">
        <is>
          <t>No Valet</t>
        </is>
      </c>
      <c r="G37" s="227" t="n">
        <v>0</v>
      </c>
      <c r="H37" t="n">
        <v>3</v>
      </c>
      <c r="I37" t="n">
        <v>1</v>
      </c>
      <c r="J37" t="n">
        <v>3</v>
      </c>
      <c r="K37" t="n">
        <v>4</v>
      </c>
      <c r="L37" t="n">
        <v>2</v>
      </c>
      <c r="M37" s="236" t="n">
        <v>0.15</v>
      </c>
      <c r="N37" t="inlineStr">
        <is>
          <t>Brand familiarity (historical): Hilton_family</t>
        </is>
      </c>
      <c r="O37" s="236" t="n">
        <v>2.5</v>
      </c>
      <c r="P37" s="236" t="n">
        <v>2.65</v>
      </c>
      <c r="Q37" s="237" t="inlineStr">
        <is>
          <t>C — Opportunistic</t>
        </is>
      </c>
      <c r="R37" s="226" t="n">
        <v>0.02</v>
      </c>
      <c r="S37" s="226" t="n">
        <v>0.09724000000000002</v>
      </c>
      <c r="T37" s="226" t="n">
        <v>0.28625</v>
      </c>
      <c r="U37" s="226" t="n">
        <v>0.4145</v>
      </c>
      <c r="V37" s="226" t="n">
        <v>0.5</v>
      </c>
      <c r="W37" s="227" t="n">
        <v>0</v>
      </c>
      <c r="X37" s="227" t="n">
        <v>0</v>
      </c>
      <c r="Y37" s="227" t="n">
        <v>0</v>
      </c>
      <c r="Z37" s="227" t="n">
        <v>0</v>
      </c>
      <c r="AA37" s="227" t="n">
        <v>0</v>
      </c>
    </row>
    <row r="38">
      <c r="A38" t="inlineStr">
        <is>
          <t>Hampton Inn Phoenix-Biltmore</t>
        </is>
      </c>
      <c r="B38" t="inlineStr">
        <is>
          <t>Hotel</t>
        </is>
      </c>
      <c r="C38" t="inlineStr">
        <is>
          <t>NO</t>
        </is>
      </c>
      <c r="D38" t="n">
        <v>121</v>
      </c>
      <c r="E38" t="inlineStr"/>
      <c r="F38" t="inlineStr"/>
      <c r="G38" s="227" t="n">
        <v>0</v>
      </c>
      <c r="H38" t="n">
        <v>3</v>
      </c>
      <c r="I38" t="n">
        <v>1</v>
      </c>
      <c r="J38" t="n">
        <v>3</v>
      </c>
      <c r="K38" t="n">
        <v>4</v>
      </c>
      <c r="L38" t="n">
        <v>2</v>
      </c>
      <c r="M38" s="236" t="n">
        <v>0.15</v>
      </c>
      <c r="N38" t="inlineStr">
        <is>
          <t>Brand familiarity (historical): Hilton_family</t>
        </is>
      </c>
      <c r="O38" s="236" t="n">
        <v>2.5</v>
      </c>
      <c r="P38" s="236" t="n">
        <v>2.65</v>
      </c>
      <c r="Q38" s="237" t="inlineStr">
        <is>
          <t>C — Opportunistic</t>
        </is>
      </c>
      <c r="R38" s="226" t="n">
        <v>0.02</v>
      </c>
      <c r="S38" s="226" t="n">
        <v>0.09724000000000002</v>
      </c>
      <c r="T38" s="226" t="n">
        <v>0.28625</v>
      </c>
      <c r="U38" s="226" t="n">
        <v>0.4145</v>
      </c>
      <c r="V38" s="226" t="n">
        <v>0.5</v>
      </c>
      <c r="W38" s="227" t="n">
        <v>0</v>
      </c>
      <c r="X38" s="227" t="n">
        <v>0</v>
      </c>
      <c r="Y38" s="227" t="n">
        <v>0</v>
      </c>
      <c r="Z38" s="227" t="n">
        <v>0</v>
      </c>
      <c r="AA38" s="227" t="n">
        <v>0</v>
      </c>
    </row>
    <row r="39">
      <c r="A39" t="inlineStr">
        <is>
          <t>The Camby, Autograph Collection</t>
        </is>
      </c>
      <c r="B39" t="inlineStr">
        <is>
          <t>Hotel</t>
        </is>
      </c>
      <c r="C39" t="inlineStr">
        <is>
          <t>NO</t>
        </is>
      </c>
      <c r="D39" t="n">
        <v>279</v>
      </c>
      <c r="E39" t="inlineStr"/>
      <c r="F39" t="n">
        <v>40</v>
      </c>
      <c r="G39" s="227" t="n">
        <v>361584</v>
      </c>
      <c r="H39" t="n">
        <v>4</v>
      </c>
      <c r="I39" t="n">
        <v>2</v>
      </c>
      <c r="J39" t="n">
        <v>3</v>
      </c>
      <c r="K39" t="n">
        <v>4</v>
      </c>
      <c r="L39" t="n">
        <v>2</v>
      </c>
      <c r="M39" s="236" t="n">
        <v>0.3</v>
      </c>
      <c r="N39" t="inlineStr">
        <is>
          <t>Brand familiarity (current): Marriott_family</t>
        </is>
      </c>
      <c r="O39" s="236" t="n">
        <v>3</v>
      </c>
      <c r="P39" s="236" t="n">
        <v>3.3</v>
      </c>
      <c r="Q39" s="237" t="inlineStr">
        <is>
          <t>C — Opportunistic</t>
        </is>
      </c>
      <c r="R39" s="226" t="n">
        <v>0.02</v>
      </c>
      <c r="S39" s="226" t="n">
        <v>0.09724000000000002</v>
      </c>
      <c r="T39" s="226" t="n">
        <v>0.28625</v>
      </c>
      <c r="U39" s="226" t="n">
        <v>0.4145</v>
      </c>
      <c r="V39" s="226" t="n">
        <v>0.5</v>
      </c>
      <c r="W39" s="227" t="n">
        <v>7231.68</v>
      </c>
      <c r="X39" s="227" t="n">
        <v>35160.42816000001</v>
      </c>
      <c r="Y39" s="227" t="n">
        <v>103503.42</v>
      </c>
      <c r="Z39" s="227" t="n">
        <v>149876.568</v>
      </c>
      <c r="AA39" s="227" t="n">
        <v>180792</v>
      </c>
    </row>
    <row r="40">
      <c r="A40" t="inlineStr">
        <is>
          <t>AC Hotel Phoenix Biltmore</t>
        </is>
      </c>
      <c r="B40" t="inlineStr">
        <is>
          <t>Hotel</t>
        </is>
      </c>
      <c r="C40" t="inlineStr">
        <is>
          <t>NO</t>
        </is>
      </c>
      <c r="D40" t="n">
        <v>160</v>
      </c>
      <c r="E40" t="inlineStr"/>
      <c r="F40" t="inlineStr">
        <is>
          <t>No Valet</t>
        </is>
      </c>
      <c r="G40" s="227" t="n">
        <v>0</v>
      </c>
      <c r="H40" t="n">
        <v>3</v>
      </c>
      <c r="I40" t="n">
        <v>1</v>
      </c>
      <c r="J40" t="n">
        <v>2</v>
      </c>
      <c r="K40" t="n">
        <v>4</v>
      </c>
      <c r="L40" t="n">
        <v>2</v>
      </c>
      <c r="M40" s="236" t="n">
        <v>0</v>
      </c>
      <c r="N40" t="inlineStr"/>
      <c r="O40" s="236" t="n">
        <v>2.3</v>
      </c>
      <c r="P40" s="236" t="n">
        <v>2.3</v>
      </c>
      <c r="Q40" s="224" t="inlineStr">
        <is>
          <t>D — Deprioritized</t>
        </is>
      </c>
      <c r="R40" s="226" t="n">
        <v>0</v>
      </c>
      <c r="S40" s="226" t="n">
        <v>0.018</v>
      </c>
      <c r="T40" s="226" t="n">
        <v>0.05500000000000001</v>
      </c>
      <c r="U40" s="226" t="n">
        <v>0.082</v>
      </c>
      <c r="V40" s="226" t="n">
        <v>0.1</v>
      </c>
      <c r="W40" s="227" t="n">
        <v>0</v>
      </c>
      <c r="X40" s="227" t="n">
        <v>0</v>
      </c>
      <c r="Y40" s="227" t="n">
        <v>0</v>
      </c>
      <c r="Z40" s="227" t="n">
        <v>0</v>
      </c>
      <c r="AA40" s="227" t="n">
        <v>0</v>
      </c>
    </row>
    <row r="41">
      <c r="A41" t="inlineStr">
        <is>
          <t>Sonesta Select Phoenix Camelback</t>
        </is>
      </c>
      <c r="B41" t="inlineStr">
        <is>
          <t>Hotel</t>
        </is>
      </c>
      <c r="C41" t="inlineStr">
        <is>
          <t>NO</t>
        </is>
      </c>
      <c r="D41" t="n">
        <v>155</v>
      </c>
      <c r="E41" t="inlineStr"/>
      <c r="F41" t="inlineStr"/>
      <c r="G41" s="227" t="n">
        <v>0</v>
      </c>
      <c r="H41" t="n">
        <v>3</v>
      </c>
      <c r="I41" t="n">
        <v>1</v>
      </c>
      <c r="J41" t="n">
        <v>2</v>
      </c>
      <c r="K41" t="n">
        <v>4</v>
      </c>
      <c r="L41" t="n">
        <v>2</v>
      </c>
      <c r="M41" s="236" t="n">
        <v>0</v>
      </c>
      <c r="N41" t="inlineStr"/>
      <c r="O41" s="236" t="n">
        <v>2.3</v>
      </c>
      <c r="P41" s="236" t="n">
        <v>2.3</v>
      </c>
      <c r="Q41" s="224" t="inlineStr">
        <is>
          <t>D — Deprioritized</t>
        </is>
      </c>
      <c r="R41" s="226" t="n">
        <v>0</v>
      </c>
      <c r="S41" s="226" t="n">
        <v>0.018</v>
      </c>
      <c r="T41" s="226" t="n">
        <v>0.05500000000000001</v>
      </c>
      <c r="U41" s="226" t="n">
        <v>0.082</v>
      </c>
      <c r="V41" s="226" t="n">
        <v>0.1</v>
      </c>
      <c r="W41" s="227" t="n">
        <v>0</v>
      </c>
      <c r="X41" s="227" t="n">
        <v>0</v>
      </c>
      <c r="Y41" s="227" t="n">
        <v>0</v>
      </c>
      <c r="Z41" s="227" t="n">
        <v>0</v>
      </c>
      <c r="AA41" s="227" t="n">
        <v>0</v>
      </c>
    </row>
    <row r="42">
      <c r="A42" t="inlineStr">
        <is>
          <t>Hilton Garden Inn Chandler Downtown</t>
        </is>
      </c>
      <c r="B42" t="inlineStr">
        <is>
          <t>Hotel</t>
        </is>
      </c>
      <c r="C42" t="inlineStr">
        <is>
          <t>NO</t>
        </is>
      </c>
      <c r="D42" t="n">
        <v>110</v>
      </c>
      <c r="E42" t="inlineStr"/>
      <c r="F42" t="inlineStr">
        <is>
          <t>No Valet</t>
        </is>
      </c>
      <c r="G42" s="227" t="n">
        <v>0</v>
      </c>
      <c r="H42" t="n">
        <v>3</v>
      </c>
      <c r="I42" t="n">
        <v>1</v>
      </c>
      <c r="J42" t="n">
        <v>3</v>
      </c>
      <c r="K42" t="n">
        <v>4</v>
      </c>
      <c r="L42" t="n">
        <v>2</v>
      </c>
      <c r="M42" s="236" t="n">
        <v>0.15</v>
      </c>
      <c r="N42" t="inlineStr">
        <is>
          <t>Brand familiarity (historical): Hilton_family</t>
        </is>
      </c>
      <c r="O42" s="236" t="n">
        <v>2.5</v>
      </c>
      <c r="P42" s="236" t="n">
        <v>2.65</v>
      </c>
      <c r="Q42" s="237" t="inlineStr">
        <is>
          <t>C — Opportunistic</t>
        </is>
      </c>
      <c r="R42" s="226" t="n">
        <v>0.02</v>
      </c>
      <c r="S42" s="226" t="n">
        <v>0.09724000000000002</v>
      </c>
      <c r="T42" s="226" t="n">
        <v>0.28625</v>
      </c>
      <c r="U42" s="226" t="n">
        <v>0.4145</v>
      </c>
      <c r="V42" s="226" t="n">
        <v>0.5</v>
      </c>
      <c r="W42" s="227" t="n">
        <v>0</v>
      </c>
      <c r="X42" s="227" t="n">
        <v>0</v>
      </c>
      <c r="Y42" s="227" t="n">
        <v>0</v>
      </c>
      <c r="Z42" s="227" t="n">
        <v>0</v>
      </c>
      <c r="AA42" s="227" t="n">
        <v>0</v>
      </c>
    </row>
    <row r="43">
      <c r="A43" t="inlineStr">
        <is>
          <t>Element Chandler Fashion Center</t>
        </is>
      </c>
      <c r="B43" t="inlineStr">
        <is>
          <t>Hotel</t>
        </is>
      </c>
      <c r="C43" t="inlineStr">
        <is>
          <t>NO</t>
        </is>
      </c>
      <c r="D43" t="n">
        <v>107</v>
      </c>
      <c r="E43" t="inlineStr"/>
      <c r="F43" t="inlineStr">
        <is>
          <t>No Valet</t>
        </is>
      </c>
      <c r="G43" s="227" t="n">
        <v>0</v>
      </c>
      <c r="H43" t="n">
        <v>3</v>
      </c>
      <c r="I43" t="n">
        <v>1</v>
      </c>
      <c r="J43" t="n">
        <v>2</v>
      </c>
      <c r="K43" t="n">
        <v>4</v>
      </c>
      <c r="L43" t="n">
        <v>2</v>
      </c>
      <c r="M43" s="236" t="n">
        <v>0</v>
      </c>
      <c r="N43" t="inlineStr"/>
      <c r="O43" s="236" t="n">
        <v>2.3</v>
      </c>
      <c r="P43" s="236" t="n">
        <v>2.3</v>
      </c>
      <c r="Q43" s="224" t="inlineStr">
        <is>
          <t>D — Deprioritized</t>
        </is>
      </c>
      <c r="R43" s="226" t="n">
        <v>0</v>
      </c>
      <c r="S43" s="226" t="n">
        <v>0.018</v>
      </c>
      <c r="T43" s="226" t="n">
        <v>0.05500000000000001</v>
      </c>
      <c r="U43" s="226" t="n">
        <v>0.082</v>
      </c>
      <c r="V43" s="226" t="n">
        <v>0.1</v>
      </c>
      <c r="W43" s="227" t="n">
        <v>0</v>
      </c>
      <c r="X43" s="227" t="n">
        <v>0</v>
      </c>
      <c r="Y43" s="227" t="n">
        <v>0</v>
      </c>
      <c r="Z43" s="227" t="n">
        <v>0</v>
      </c>
      <c r="AA43" s="227" t="n">
        <v>0</v>
      </c>
    </row>
    <row r="44">
      <c r="A44" t="inlineStr">
        <is>
          <t>AC Hotel Phoenix Downtown</t>
        </is>
      </c>
      <c r="B44" t="inlineStr">
        <is>
          <t>Hotel</t>
        </is>
      </c>
      <c r="C44" t="inlineStr">
        <is>
          <t>YES</t>
        </is>
      </c>
      <c r="D44" t="n">
        <v>199</v>
      </c>
      <c r="E44" t="inlineStr"/>
      <c r="F44" t="inlineStr">
        <is>
          <t>No Valet</t>
        </is>
      </c>
      <c r="G44" s="227" t="n">
        <v>0</v>
      </c>
      <c r="H44" t="n">
        <v>4</v>
      </c>
      <c r="I44" t="n">
        <v>1</v>
      </c>
      <c r="J44" t="n">
        <v>2</v>
      </c>
      <c r="K44" t="n">
        <v>4</v>
      </c>
      <c r="L44" t="n">
        <v>4</v>
      </c>
      <c r="M44" s="236" t="n">
        <v>0</v>
      </c>
      <c r="N44" t="inlineStr"/>
      <c r="O44" s="236" t="n">
        <v>2.85</v>
      </c>
      <c r="P44" s="236" t="n">
        <v>2.85</v>
      </c>
      <c r="Q44" s="237" t="inlineStr">
        <is>
          <t>C — Opportunistic</t>
        </is>
      </c>
      <c r="R44" s="226" t="n">
        <v>0.02</v>
      </c>
      <c r="S44" s="226" t="n">
        <v>0.09724000000000002</v>
      </c>
      <c r="T44" s="226" t="n">
        <v>0.28625</v>
      </c>
      <c r="U44" s="226" t="n">
        <v>0.4145</v>
      </c>
      <c r="V44" s="226" t="n">
        <v>0.5</v>
      </c>
      <c r="W44" s="227" t="n">
        <v>0</v>
      </c>
      <c r="X44" s="227" t="n">
        <v>0</v>
      </c>
      <c r="Y44" s="227" t="n">
        <v>0</v>
      </c>
      <c r="Z44" s="227" t="n">
        <v>0</v>
      </c>
      <c r="AA44" s="227" t="n">
        <v>0</v>
      </c>
    </row>
    <row r="45">
      <c r="A45" t="inlineStr">
        <is>
          <t>Embassy Suites by Hilton Phoenix Downtown North</t>
        </is>
      </c>
      <c r="B45" t="inlineStr">
        <is>
          <t>Hotel</t>
        </is>
      </c>
      <c r="C45" t="inlineStr">
        <is>
          <t>YES</t>
        </is>
      </c>
      <c r="D45" t="n">
        <v>242</v>
      </c>
      <c r="E45" t="inlineStr"/>
      <c r="F45" t="inlineStr">
        <is>
          <t>No Valet</t>
        </is>
      </c>
      <c r="G45" s="227" t="n">
        <v>0</v>
      </c>
      <c r="H45" t="n">
        <v>4</v>
      </c>
      <c r="I45" t="n">
        <v>1</v>
      </c>
      <c r="J45" t="n">
        <v>3</v>
      </c>
      <c r="K45" t="n">
        <v>4</v>
      </c>
      <c r="L45" t="n">
        <v>4</v>
      </c>
      <c r="M45" s="236" t="n">
        <v>0.15</v>
      </c>
      <c r="N45" t="inlineStr">
        <is>
          <t>Brand familiarity (historical): Hilton_family</t>
        </is>
      </c>
      <c r="O45" s="236" t="n">
        <v>3.05</v>
      </c>
      <c r="P45" s="236" t="n">
        <v>3.2</v>
      </c>
      <c r="Q45" s="237" t="inlineStr">
        <is>
          <t>C — Opportunistic</t>
        </is>
      </c>
      <c r="R45" s="226" t="n">
        <v>0.02</v>
      </c>
      <c r="S45" s="226" t="n">
        <v>0.09724000000000002</v>
      </c>
      <c r="T45" s="226" t="n">
        <v>0.28625</v>
      </c>
      <c r="U45" s="226" t="n">
        <v>0.4145</v>
      </c>
      <c r="V45" s="226" t="n">
        <v>0.5</v>
      </c>
      <c r="W45" s="227" t="n">
        <v>0</v>
      </c>
      <c r="X45" s="227" t="n">
        <v>0</v>
      </c>
      <c r="Y45" s="227" t="n">
        <v>0</v>
      </c>
      <c r="Z45" s="227" t="n">
        <v>0</v>
      </c>
      <c r="AA45" s="227" t="n">
        <v>0</v>
      </c>
    </row>
    <row r="46">
      <c r="A46" t="inlineStr">
        <is>
          <t>Cambria Hotel Downtown Phoenix Convention Center</t>
        </is>
      </c>
      <c r="B46" t="inlineStr">
        <is>
          <t>Hotel</t>
        </is>
      </c>
      <c r="C46" t="inlineStr">
        <is>
          <t>YES</t>
        </is>
      </c>
      <c r="D46" t="n">
        <v>127</v>
      </c>
      <c r="E46" t="inlineStr">
        <is>
          <t>Premium Parking</t>
        </is>
      </c>
      <c r="F46" t="n">
        <v>41</v>
      </c>
      <c r="G46" s="227" t="n">
        <v>449884.8</v>
      </c>
      <c r="H46" t="n">
        <v>3</v>
      </c>
      <c r="I46" t="n">
        <v>2</v>
      </c>
      <c r="J46" t="n">
        <v>2</v>
      </c>
      <c r="K46" t="n">
        <v>3</v>
      </c>
      <c r="L46" t="n">
        <v>4</v>
      </c>
      <c r="M46" s="236" t="n">
        <v>0</v>
      </c>
      <c r="N46" t="inlineStr"/>
      <c r="O46" s="236" t="n">
        <v>2.7</v>
      </c>
      <c r="P46" s="236" t="n">
        <v>2.7</v>
      </c>
      <c r="Q46" s="237" t="inlineStr">
        <is>
          <t>C — Opportunistic</t>
        </is>
      </c>
      <c r="R46" s="226" t="n">
        <v>0.02</v>
      </c>
      <c r="S46" s="226" t="n">
        <v>0.09724000000000002</v>
      </c>
      <c r="T46" s="226" t="n">
        <v>0.28625</v>
      </c>
      <c r="U46" s="226" t="n">
        <v>0.4145</v>
      </c>
      <c r="V46" s="226" t="n">
        <v>0.5</v>
      </c>
      <c r="W46" s="227" t="n">
        <v>8997.696</v>
      </c>
      <c r="X46" s="227" t="n">
        <v>43746.79795200001</v>
      </c>
      <c r="Y46" s="227" t="n">
        <v>128779.524</v>
      </c>
      <c r="Z46" s="227" t="n">
        <v>186477.2496</v>
      </c>
      <c r="AA46" s="227" t="n">
        <v>224942.4</v>
      </c>
    </row>
    <row r="47">
      <c r="A47" t="inlineStr">
        <is>
          <t>Courtyard Phoenix Downtown</t>
        </is>
      </c>
      <c r="B47" t="inlineStr">
        <is>
          <t>Hotel</t>
        </is>
      </c>
      <c r="C47" t="inlineStr">
        <is>
          <t>YES</t>
        </is>
      </c>
      <c r="D47" t="n">
        <v>120</v>
      </c>
      <c r="E47" t="inlineStr">
        <is>
          <t>Laz</t>
        </is>
      </c>
      <c r="F47" t="n">
        <v>45</v>
      </c>
      <c r="G47" s="227" t="n">
        <v>291600</v>
      </c>
      <c r="H47" t="n">
        <v>3</v>
      </c>
      <c r="I47" t="n">
        <v>2</v>
      </c>
      <c r="J47" t="n">
        <v>3</v>
      </c>
      <c r="K47" t="n">
        <v>2</v>
      </c>
      <c r="L47" t="n">
        <v>4</v>
      </c>
      <c r="M47" s="236" t="n">
        <v>0</v>
      </c>
      <c r="N47" t="inlineStr"/>
      <c r="O47" s="236" t="n">
        <v>2.75</v>
      </c>
      <c r="P47" s="236" t="n">
        <v>2.75</v>
      </c>
      <c r="Q47" s="237" t="inlineStr">
        <is>
          <t>C — Opportunistic</t>
        </is>
      </c>
      <c r="R47" s="226" t="n">
        <v>0.02</v>
      </c>
      <c r="S47" s="226" t="n">
        <v>0.09724000000000002</v>
      </c>
      <c r="T47" s="226" t="n">
        <v>0.28625</v>
      </c>
      <c r="U47" s="226" t="n">
        <v>0.4145</v>
      </c>
      <c r="V47" s="226" t="n">
        <v>0.5</v>
      </c>
      <c r="W47" s="227" t="n">
        <v>5832</v>
      </c>
      <c r="X47" s="227" t="n">
        <v>28355.184</v>
      </c>
      <c r="Y47" s="227" t="n">
        <v>83470.5</v>
      </c>
      <c r="Z47" s="227" t="n">
        <v>120868.2</v>
      </c>
      <c r="AA47" s="227" t="n">
        <v>145800</v>
      </c>
    </row>
    <row r="48">
      <c r="A48" t="inlineStr">
        <is>
          <t>Hilton Garden Inn Phoenix Downtown</t>
        </is>
      </c>
      <c r="B48" t="inlineStr">
        <is>
          <t>Hotel</t>
        </is>
      </c>
      <c r="C48" t="inlineStr">
        <is>
          <t>YES</t>
        </is>
      </c>
      <c r="D48" t="n">
        <v>170</v>
      </c>
      <c r="E48" t="inlineStr"/>
      <c r="F48" t="n">
        <v>43</v>
      </c>
      <c r="G48" s="227" t="n">
        <v>394740</v>
      </c>
      <c r="H48" t="n">
        <v>4</v>
      </c>
      <c r="I48" t="n">
        <v>2</v>
      </c>
      <c r="J48" t="n">
        <v>3</v>
      </c>
      <c r="K48" t="n">
        <v>4</v>
      </c>
      <c r="L48" t="n">
        <v>4</v>
      </c>
      <c r="M48" s="236" t="n">
        <v>0.15</v>
      </c>
      <c r="N48" t="inlineStr">
        <is>
          <t>Brand familiarity (historical): Hilton_family</t>
        </is>
      </c>
      <c r="O48" s="236" t="n">
        <v>3.3</v>
      </c>
      <c r="P48" s="236" t="n">
        <v>3.45</v>
      </c>
      <c r="Q48" s="237" t="inlineStr">
        <is>
          <t>C — Opportunistic</t>
        </is>
      </c>
      <c r="R48" s="226" t="n">
        <v>0.02</v>
      </c>
      <c r="S48" s="226" t="n">
        <v>0.09724000000000002</v>
      </c>
      <c r="T48" s="226" t="n">
        <v>0.28625</v>
      </c>
      <c r="U48" s="226" t="n">
        <v>0.4145</v>
      </c>
      <c r="V48" s="226" t="n">
        <v>0.5</v>
      </c>
      <c r="W48" s="227" t="n">
        <v>7894.8</v>
      </c>
      <c r="X48" s="227" t="n">
        <v>38384.51760000001</v>
      </c>
      <c r="Y48" s="227" t="n">
        <v>112994.325</v>
      </c>
      <c r="Z48" s="227" t="n">
        <v>163619.73</v>
      </c>
      <c r="AA48" s="227" t="n">
        <v>197370</v>
      </c>
    </row>
    <row r="49">
      <c r="A49" t="inlineStr">
        <is>
          <t>Residence Inn by Marriott Phoenix Downtown</t>
        </is>
      </c>
      <c r="B49" t="inlineStr">
        <is>
          <t>Hotel</t>
        </is>
      </c>
      <c r="C49" t="inlineStr">
        <is>
          <t>YES</t>
        </is>
      </c>
      <c r="D49" t="n">
        <v>0</v>
      </c>
      <c r="E49" t="inlineStr">
        <is>
          <t>Laz</t>
        </is>
      </c>
      <c r="F49" t="n">
        <v>45</v>
      </c>
      <c r="G49" s="227" t="n">
        <v>0</v>
      </c>
      <c r="H49" t="n">
        <v>2</v>
      </c>
      <c r="I49" t="n">
        <v>1</v>
      </c>
      <c r="J49" t="n">
        <v>3</v>
      </c>
      <c r="K49" t="n">
        <v>2</v>
      </c>
      <c r="L49" t="n">
        <v>4</v>
      </c>
      <c r="M49" s="236" t="n">
        <v>0.3</v>
      </c>
      <c r="N49" t="inlineStr">
        <is>
          <t>Brand familiarity (current): Marriott_family</t>
        </is>
      </c>
      <c r="O49" s="236" t="n">
        <v>2.25</v>
      </c>
      <c r="P49" s="236" t="n">
        <v>2.55</v>
      </c>
      <c r="Q49" s="237" t="inlineStr">
        <is>
          <t>C — Opportunistic</t>
        </is>
      </c>
      <c r="R49" s="226" t="n">
        <v>0.02</v>
      </c>
      <c r="S49" s="226" t="n">
        <v>0.09724000000000002</v>
      </c>
      <c r="T49" s="226" t="n">
        <v>0.28625</v>
      </c>
      <c r="U49" s="226" t="n">
        <v>0.4145</v>
      </c>
      <c r="V49" s="226" t="n">
        <v>0.5</v>
      </c>
      <c r="W49" s="227" t="n">
        <v>0</v>
      </c>
      <c r="X49" s="227" t="n">
        <v>0</v>
      </c>
      <c r="Y49" s="227" t="n">
        <v>0</v>
      </c>
      <c r="Z49" s="227" t="n">
        <v>0</v>
      </c>
      <c r="AA49" s="227" t="n">
        <v>0</v>
      </c>
    </row>
    <row r="50">
      <c r="A50" t="inlineStr">
        <is>
          <t>Moxy Phoenix Downtown</t>
        </is>
      </c>
      <c r="B50" t="inlineStr">
        <is>
          <t>Hotel</t>
        </is>
      </c>
      <c r="C50" t="inlineStr">
        <is>
          <t>YES</t>
        </is>
      </c>
      <c r="D50" t="n">
        <v>164</v>
      </c>
      <c r="E50" t="inlineStr"/>
      <c r="F50" t="n">
        <v>45</v>
      </c>
      <c r="G50" s="227" t="n">
        <v>398520</v>
      </c>
      <c r="H50" t="n">
        <v>4</v>
      </c>
      <c r="I50" t="n">
        <v>2</v>
      </c>
      <c r="J50" t="n">
        <v>2</v>
      </c>
      <c r="K50" t="n">
        <v>4</v>
      </c>
      <c r="L50" t="n">
        <v>4</v>
      </c>
      <c r="M50" s="236" t="n">
        <v>0</v>
      </c>
      <c r="N50" t="inlineStr"/>
      <c r="O50" s="236" t="n">
        <v>3.1</v>
      </c>
      <c r="P50" s="236" t="n">
        <v>3.1</v>
      </c>
      <c r="Q50" s="237" t="inlineStr">
        <is>
          <t>C — Opportunistic</t>
        </is>
      </c>
      <c r="R50" s="226" t="n">
        <v>0.02</v>
      </c>
      <c r="S50" s="226" t="n">
        <v>0.09724000000000002</v>
      </c>
      <c r="T50" s="226" t="n">
        <v>0.28625</v>
      </c>
      <c r="U50" s="226" t="n">
        <v>0.4145</v>
      </c>
      <c r="V50" s="226" t="n">
        <v>0.5</v>
      </c>
      <c r="W50" s="227" t="n">
        <v>7970.400000000001</v>
      </c>
      <c r="X50" s="227" t="n">
        <v>38752.08480000001</v>
      </c>
      <c r="Y50" s="227" t="n">
        <v>114076.35</v>
      </c>
      <c r="Z50" s="227" t="n">
        <v>165186.54</v>
      </c>
      <c r="AA50" s="227" t="n">
        <v>199260</v>
      </c>
    </row>
    <row r="51">
      <c r="A51" t="inlineStr">
        <is>
          <t>Kimpton Hotel Palomar Phoenix</t>
        </is>
      </c>
      <c r="B51" t="inlineStr">
        <is>
          <t>Hotel</t>
        </is>
      </c>
      <c r="C51" t="inlineStr">
        <is>
          <t>YES</t>
        </is>
      </c>
      <c r="D51" t="n">
        <v>242</v>
      </c>
      <c r="E51" t="inlineStr"/>
      <c r="F51" t="n">
        <v>44</v>
      </c>
      <c r="G51" s="227" t="n">
        <v>574991.9999999999</v>
      </c>
      <c r="H51" t="n">
        <v>4</v>
      </c>
      <c r="I51" t="n">
        <v>2</v>
      </c>
      <c r="J51" t="n">
        <v>3</v>
      </c>
      <c r="K51" t="n">
        <v>4</v>
      </c>
      <c r="L51" t="n">
        <v>4</v>
      </c>
      <c r="M51" s="236" t="n">
        <v>0</v>
      </c>
      <c r="N51" t="inlineStr"/>
      <c r="O51" s="236" t="n">
        <v>3.3</v>
      </c>
      <c r="P51" s="236" t="n">
        <v>3.3</v>
      </c>
      <c r="Q51" s="237" t="inlineStr">
        <is>
          <t>C — Opportunistic</t>
        </is>
      </c>
      <c r="R51" s="226" t="n">
        <v>0.02</v>
      </c>
      <c r="S51" s="226" t="n">
        <v>0.09724000000000002</v>
      </c>
      <c r="T51" s="226" t="n">
        <v>0.28625</v>
      </c>
      <c r="U51" s="226" t="n">
        <v>0.4145</v>
      </c>
      <c r="V51" s="226" t="n">
        <v>0.5</v>
      </c>
      <c r="W51" s="227" t="n">
        <v>11499.84</v>
      </c>
      <c r="X51" s="227" t="n">
        <v>55912.22208</v>
      </c>
      <c r="Y51" s="227" t="n">
        <v>164591.46</v>
      </c>
      <c r="Z51" s="227" t="n">
        <v>238334.184</v>
      </c>
      <c r="AA51" s="227" t="n">
        <v>287495.9999999999</v>
      </c>
    </row>
    <row r="52">
      <c r="A52" t="inlineStr">
        <is>
          <t>Home2 Suites by Hilton Phoenix Downtown</t>
        </is>
      </c>
      <c r="B52" t="inlineStr">
        <is>
          <t>Hotel</t>
        </is>
      </c>
      <c r="C52" t="inlineStr">
        <is>
          <t>YES</t>
        </is>
      </c>
      <c r="D52" t="n">
        <v>148</v>
      </c>
      <c r="E52" t="inlineStr"/>
      <c r="F52" t="n">
        <v>45</v>
      </c>
      <c r="G52" s="227" t="n">
        <v>359640</v>
      </c>
      <c r="H52" t="n">
        <v>3</v>
      </c>
      <c r="I52" t="n">
        <v>2</v>
      </c>
      <c r="J52" t="n">
        <v>3</v>
      </c>
      <c r="K52" t="n">
        <v>4</v>
      </c>
      <c r="L52" t="n">
        <v>4</v>
      </c>
      <c r="M52" s="236" t="n">
        <v>0.15</v>
      </c>
      <c r="N52" t="inlineStr">
        <is>
          <t>Brand familiarity (historical): Hilton_family</t>
        </is>
      </c>
      <c r="O52" s="236" t="n">
        <v>3.05</v>
      </c>
      <c r="P52" s="236" t="n">
        <v>3.2</v>
      </c>
      <c r="Q52" s="237" t="inlineStr">
        <is>
          <t>C — Opportunistic</t>
        </is>
      </c>
      <c r="R52" s="226" t="n">
        <v>0.02</v>
      </c>
      <c r="S52" s="226" t="n">
        <v>0.09724000000000002</v>
      </c>
      <c r="T52" s="226" t="n">
        <v>0.28625</v>
      </c>
      <c r="U52" s="226" t="n">
        <v>0.4145</v>
      </c>
      <c r="V52" s="226" t="n">
        <v>0.5</v>
      </c>
      <c r="W52" s="227" t="n">
        <v>7192.8</v>
      </c>
      <c r="X52" s="227" t="n">
        <v>34971.39360000001</v>
      </c>
      <c r="Y52" s="227" t="n">
        <v>102946.95</v>
      </c>
      <c r="Z52" s="227" t="n">
        <v>149070.78</v>
      </c>
      <c r="AA52" s="227" t="n">
        <v>179820</v>
      </c>
    </row>
    <row r="53">
      <c r="A53" t="inlineStr">
        <is>
          <t>Renaissance Phoenix Downtown Hotel</t>
        </is>
      </c>
      <c r="B53" t="inlineStr">
        <is>
          <t>Hotel</t>
        </is>
      </c>
      <c r="C53" t="inlineStr">
        <is>
          <t>YES</t>
        </is>
      </c>
      <c r="D53" t="n">
        <v>518</v>
      </c>
      <c r="E53" t="inlineStr">
        <is>
          <t>TownePark</t>
        </is>
      </c>
      <c r="F53" t="n">
        <v>42</v>
      </c>
      <c r="G53" s="227" t="n">
        <v>1879718.4</v>
      </c>
      <c r="H53" t="n">
        <v>5</v>
      </c>
      <c r="I53" t="n">
        <v>4</v>
      </c>
      <c r="J53" t="n">
        <v>3</v>
      </c>
      <c r="K53" t="n">
        <v>3</v>
      </c>
      <c r="L53" t="n">
        <v>4</v>
      </c>
      <c r="M53" s="236" t="n">
        <v>0.3</v>
      </c>
      <c r="N53" t="inlineStr">
        <is>
          <t>Brand familiarity (current): Marriott_family</t>
        </is>
      </c>
      <c r="O53" s="236" t="n">
        <v>3.9</v>
      </c>
      <c r="P53" s="236" t="n">
        <v>4.2</v>
      </c>
      <c r="Q53" s="238" t="inlineStr">
        <is>
          <t>B — Core</t>
        </is>
      </c>
      <c r="R53" s="226" t="n">
        <v>0.08</v>
      </c>
      <c r="S53" s="226" t="n">
        <v>0.22066</v>
      </c>
      <c r="T53" s="226" t="n">
        <v>0.560625</v>
      </c>
      <c r="U53" s="226" t="n">
        <v>0.7867499999999999</v>
      </c>
      <c r="V53" s="226" t="n">
        <v>0.9375</v>
      </c>
      <c r="W53" s="227" t="n">
        <v>150377.472</v>
      </c>
      <c r="X53" s="227" t="n">
        <v>414778.662144</v>
      </c>
      <c r="Y53" s="227" t="n">
        <v>1053817.128</v>
      </c>
      <c r="Z53" s="227" t="n">
        <v>1478868.4512</v>
      </c>
      <c r="AA53" s="227" t="n">
        <v>1762236</v>
      </c>
    </row>
    <row r="54">
      <c r="A54" t="inlineStr">
        <is>
          <t>Sheraton Phoenix Downtown</t>
        </is>
      </c>
      <c r="B54" t="inlineStr">
        <is>
          <t>Hotel</t>
        </is>
      </c>
      <c r="C54" t="inlineStr">
        <is>
          <t>YES</t>
        </is>
      </c>
      <c r="D54" t="n">
        <v>1000</v>
      </c>
      <c r="E54" t="inlineStr">
        <is>
          <t>TownePark</t>
        </is>
      </c>
      <c r="F54" t="n">
        <v>46</v>
      </c>
      <c r="G54" s="227" t="n">
        <v>3974400</v>
      </c>
      <c r="H54" t="n">
        <v>5</v>
      </c>
      <c r="I54" t="n">
        <v>5</v>
      </c>
      <c r="J54" t="n">
        <v>3</v>
      </c>
      <c r="K54" t="n">
        <v>3</v>
      </c>
      <c r="L54" t="n">
        <v>4</v>
      </c>
      <c r="M54" s="236" t="n">
        <v>0.3</v>
      </c>
      <c r="N54" t="inlineStr">
        <is>
          <t>Brand familiarity (current): Marriott_family</t>
        </is>
      </c>
      <c r="O54" s="236" t="n">
        <v>4.15</v>
      </c>
      <c r="P54" s="236" t="n">
        <v>4.45</v>
      </c>
      <c r="Q54" s="238" t="inlineStr">
        <is>
          <t>B — Core</t>
        </is>
      </c>
      <c r="R54" s="226" t="n">
        <v>0.08</v>
      </c>
      <c r="S54" s="226" t="n">
        <v>0.22066</v>
      </c>
      <c r="T54" s="226" t="n">
        <v>0.560625</v>
      </c>
      <c r="U54" s="226" t="n">
        <v>0.7867499999999999</v>
      </c>
      <c r="V54" s="226" t="n">
        <v>0.9375</v>
      </c>
      <c r="W54" s="227" t="n">
        <v>317952</v>
      </c>
      <c r="X54" s="227" t="n">
        <v>876991.1040000001</v>
      </c>
      <c r="Y54" s="227" t="n">
        <v>2228148</v>
      </c>
      <c r="Z54" s="227" t="n">
        <v>3126859.2</v>
      </c>
      <c r="AA54" s="227" t="n">
        <v>3726000</v>
      </c>
    </row>
    <row r="55">
      <c r="A55" t="inlineStr">
        <is>
          <t>The Westin Phoenix Downtown</t>
        </is>
      </c>
      <c r="B55" t="inlineStr">
        <is>
          <t>Hotel</t>
        </is>
      </c>
      <c r="C55" t="inlineStr">
        <is>
          <t>YES</t>
        </is>
      </c>
      <c r="D55" t="n">
        <v>242</v>
      </c>
      <c r="E55" t="inlineStr"/>
      <c r="F55" t="n">
        <v>45</v>
      </c>
      <c r="G55" s="227" t="n">
        <v>588059.9999999999</v>
      </c>
      <c r="H55" t="n">
        <v>4</v>
      </c>
      <c r="I55" t="n">
        <v>2</v>
      </c>
      <c r="J55" t="n">
        <v>3</v>
      </c>
      <c r="K55" t="n">
        <v>4</v>
      </c>
      <c r="L55" t="n">
        <v>4</v>
      </c>
      <c r="M55" s="236" t="n">
        <v>0.3</v>
      </c>
      <c r="N55" t="inlineStr">
        <is>
          <t>Brand familiarity (current): Marriott_family</t>
        </is>
      </c>
      <c r="O55" s="236" t="n">
        <v>3.3</v>
      </c>
      <c r="P55" s="236" t="n">
        <v>3.6</v>
      </c>
      <c r="Q55" s="238" t="inlineStr">
        <is>
          <t>B — Core</t>
        </is>
      </c>
      <c r="R55" s="226" t="n">
        <v>0.08</v>
      </c>
      <c r="S55" s="226" t="n">
        <v>0.22066</v>
      </c>
      <c r="T55" s="226" t="n">
        <v>0.560625</v>
      </c>
      <c r="U55" s="226" t="n">
        <v>0.7867499999999999</v>
      </c>
      <c r="V55" s="226" t="n">
        <v>0.9375</v>
      </c>
      <c r="W55" s="227" t="n">
        <v>47044.79999999999</v>
      </c>
      <c r="X55" s="227" t="n">
        <v>129761.3196</v>
      </c>
      <c r="Y55" s="227" t="n">
        <v>329681.1375</v>
      </c>
      <c r="Z55" s="227" t="n">
        <v>462656.2049999999</v>
      </c>
      <c r="AA55" s="227" t="n">
        <v>551306.2499999999</v>
      </c>
    </row>
    <row r="56">
      <c r="A56" t="inlineStr">
        <is>
          <t>Hotel San Carlos</t>
        </is>
      </c>
      <c r="B56" t="inlineStr">
        <is>
          <t>Hotel</t>
        </is>
      </c>
      <c r="C56" t="inlineStr">
        <is>
          <t>YES</t>
        </is>
      </c>
      <c r="D56" t="n">
        <v>128</v>
      </c>
      <c r="E56" t="inlineStr"/>
      <c r="F56" t="inlineStr">
        <is>
          <t>No Valet</t>
        </is>
      </c>
      <c r="G56" s="227" t="n">
        <v>0</v>
      </c>
      <c r="H56" t="n">
        <v>3</v>
      </c>
      <c r="I56" t="n">
        <v>1</v>
      </c>
      <c r="J56" t="n">
        <v>2</v>
      </c>
      <c r="K56" t="n">
        <v>4</v>
      </c>
      <c r="L56" t="n">
        <v>4</v>
      </c>
      <c r="M56" s="236" t="n">
        <v>0</v>
      </c>
      <c r="N56" t="inlineStr"/>
      <c r="O56" s="236" t="n">
        <v>2.6</v>
      </c>
      <c r="P56" s="236" t="n">
        <v>2.6</v>
      </c>
      <c r="Q56" s="237" t="inlineStr">
        <is>
          <t>C — Opportunistic</t>
        </is>
      </c>
      <c r="R56" s="226" t="n">
        <v>0.02</v>
      </c>
      <c r="S56" s="226" t="n">
        <v>0.09724000000000002</v>
      </c>
      <c r="T56" s="226" t="n">
        <v>0.28625</v>
      </c>
      <c r="U56" s="226" t="n">
        <v>0.4145</v>
      </c>
      <c r="V56" s="226" t="n">
        <v>0.5</v>
      </c>
      <c r="W56" s="227" t="n">
        <v>0</v>
      </c>
      <c r="X56" s="227" t="n">
        <v>0</v>
      </c>
      <c r="Y56" s="227" t="n">
        <v>0</v>
      </c>
      <c r="Z56" s="227" t="n">
        <v>0</v>
      </c>
      <c r="AA56" s="227" t="n">
        <v>0</v>
      </c>
    </row>
    <row r="57">
      <c r="A57" t="inlineStr">
        <is>
          <t>Hampton Inn &amp; Suites Phoenix Downtown</t>
        </is>
      </c>
      <c r="B57" t="inlineStr">
        <is>
          <t>Hotel</t>
        </is>
      </c>
      <c r="C57" t="inlineStr">
        <is>
          <t>YES</t>
        </is>
      </c>
      <c r="D57" t="n">
        <v>210</v>
      </c>
      <c r="E57" t="inlineStr"/>
      <c r="F57" t="n">
        <v>42</v>
      </c>
      <c r="G57" s="227" t="n">
        <v>476280</v>
      </c>
      <c r="H57" t="n">
        <v>4</v>
      </c>
      <c r="I57" t="n">
        <v>2</v>
      </c>
      <c r="J57" t="n">
        <v>3</v>
      </c>
      <c r="K57" t="n">
        <v>4</v>
      </c>
      <c r="L57" t="n">
        <v>4</v>
      </c>
      <c r="M57" s="236" t="n">
        <v>0.15</v>
      </c>
      <c r="N57" t="inlineStr">
        <is>
          <t>Brand familiarity (historical): Hilton_family</t>
        </is>
      </c>
      <c r="O57" s="236" t="n">
        <v>3.3</v>
      </c>
      <c r="P57" s="236" t="n">
        <v>3.45</v>
      </c>
      <c r="Q57" s="237" t="inlineStr">
        <is>
          <t>C — Opportunistic</t>
        </is>
      </c>
      <c r="R57" s="226" t="n">
        <v>0.02</v>
      </c>
      <c r="S57" s="226" t="n">
        <v>0.09724000000000002</v>
      </c>
      <c r="T57" s="226" t="n">
        <v>0.28625</v>
      </c>
      <c r="U57" s="226" t="n">
        <v>0.4145</v>
      </c>
      <c r="V57" s="226" t="n">
        <v>0.5</v>
      </c>
      <c r="W57" s="227" t="n">
        <v>9525.6</v>
      </c>
      <c r="X57" s="227" t="n">
        <v>46313.46720000001</v>
      </c>
      <c r="Y57" s="227" t="n">
        <v>136335.15</v>
      </c>
      <c r="Z57" s="227" t="n">
        <v>197418.06</v>
      </c>
      <c r="AA57" s="227" t="n">
        <v>238140</v>
      </c>
    </row>
    <row r="58">
      <c r="A58" t="inlineStr">
        <is>
          <t>Hyatt Place Phoenix / Downtown</t>
        </is>
      </c>
      <c r="B58" t="inlineStr">
        <is>
          <t>Hotel</t>
        </is>
      </c>
      <c r="C58" t="inlineStr">
        <is>
          <t>YES</t>
        </is>
      </c>
      <c r="D58" t="n">
        <v>238</v>
      </c>
      <c r="E58" t="inlineStr"/>
      <c r="F58" t="n">
        <v>44</v>
      </c>
      <c r="G58" s="227" t="n">
        <v>565487.9999999999</v>
      </c>
      <c r="H58" t="n">
        <v>4</v>
      </c>
      <c r="I58" t="n">
        <v>2</v>
      </c>
      <c r="J58" t="n">
        <v>3</v>
      </c>
      <c r="K58" t="n">
        <v>4</v>
      </c>
      <c r="L58" t="n">
        <v>4</v>
      </c>
      <c r="M58" s="236" t="n">
        <v>0</v>
      </c>
      <c r="N58" t="inlineStr"/>
      <c r="O58" s="236" t="n">
        <v>3.3</v>
      </c>
      <c r="P58" s="236" t="n">
        <v>3.3</v>
      </c>
      <c r="Q58" s="237" t="inlineStr">
        <is>
          <t>C — Opportunistic</t>
        </is>
      </c>
      <c r="R58" s="226" t="n">
        <v>0.02</v>
      </c>
      <c r="S58" s="226" t="n">
        <v>0.09724000000000002</v>
      </c>
      <c r="T58" s="226" t="n">
        <v>0.28625</v>
      </c>
      <c r="U58" s="226" t="n">
        <v>0.4145</v>
      </c>
      <c r="V58" s="226" t="n">
        <v>0.5</v>
      </c>
      <c r="W58" s="227" t="n">
        <v>11309.76</v>
      </c>
      <c r="X58" s="227" t="n">
        <v>54988.05312</v>
      </c>
      <c r="Y58" s="227" t="n">
        <v>161870.94</v>
      </c>
      <c r="Z58" s="227" t="n">
        <v>234394.776</v>
      </c>
      <c r="AA58" s="227" t="n">
        <v>282743.9999999999</v>
      </c>
    </row>
    <row r="59">
      <c r="A59" t="inlineStr">
        <is>
          <t>FOUND:RE Phoenix Hotel</t>
        </is>
      </c>
      <c r="B59" t="inlineStr">
        <is>
          <t>Hotel</t>
        </is>
      </c>
      <c r="C59" t="inlineStr">
        <is>
          <t>YES</t>
        </is>
      </c>
      <c r="D59" t="n">
        <v>104</v>
      </c>
      <c r="E59" t="inlineStr"/>
      <c r="F59" t="n">
        <v>45</v>
      </c>
      <c r="G59" s="227" t="n">
        <v>252720</v>
      </c>
      <c r="H59" t="n">
        <v>3</v>
      </c>
      <c r="I59" t="n">
        <v>2</v>
      </c>
      <c r="J59" t="n">
        <v>2</v>
      </c>
      <c r="K59" t="n">
        <v>4</v>
      </c>
      <c r="L59" t="n">
        <v>4</v>
      </c>
      <c r="M59" s="236" t="n">
        <v>0</v>
      </c>
      <c r="N59" t="inlineStr"/>
      <c r="O59" s="236" t="n">
        <v>2.85</v>
      </c>
      <c r="P59" s="236" t="n">
        <v>2.85</v>
      </c>
      <c r="Q59" s="237" t="inlineStr">
        <is>
          <t>C — Opportunistic</t>
        </is>
      </c>
      <c r="R59" s="226" t="n">
        <v>0.02</v>
      </c>
      <c r="S59" s="226" t="n">
        <v>0.09724000000000002</v>
      </c>
      <c r="T59" s="226" t="n">
        <v>0.28625</v>
      </c>
      <c r="U59" s="226" t="n">
        <v>0.4145</v>
      </c>
      <c r="V59" s="226" t="n">
        <v>0.5</v>
      </c>
      <c r="W59" s="227" t="n">
        <v>5054.400000000001</v>
      </c>
      <c r="X59" s="227" t="n">
        <v>24574.4928</v>
      </c>
      <c r="Y59" s="227" t="n">
        <v>72341.10000000001</v>
      </c>
      <c r="Z59" s="227" t="n">
        <v>104752.44</v>
      </c>
      <c r="AA59" s="227" t="n">
        <v>126360</v>
      </c>
    </row>
    <row r="60">
      <c r="A60" t="inlineStr">
        <is>
          <t>Hyatt Regency Phoenix</t>
        </is>
      </c>
      <c r="B60" t="inlineStr">
        <is>
          <t>Hotel</t>
        </is>
      </c>
      <c r="C60" t="inlineStr">
        <is>
          <t>YES</t>
        </is>
      </c>
      <c r="D60" t="n">
        <v>693</v>
      </c>
      <c r="E60" t="inlineStr"/>
      <c r="F60" t="n">
        <v>44</v>
      </c>
      <c r="G60" s="227" t="n">
        <v>2634508.8</v>
      </c>
      <c r="H60" t="n">
        <v>5</v>
      </c>
      <c r="I60" t="n">
        <v>5</v>
      </c>
      <c r="J60" t="n">
        <v>3</v>
      </c>
      <c r="K60" t="n">
        <v>4</v>
      </c>
      <c r="L60" t="n">
        <v>4</v>
      </c>
      <c r="M60" s="236" t="n">
        <v>0</v>
      </c>
      <c r="N60" t="inlineStr"/>
      <c r="O60" s="236" t="n">
        <v>4.3</v>
      </c>
      <c r="P60" s="236" t="n">
        <v>4.3</v>
      </c>
      <c r="Q60" s="238" t="inlineStr">
        <is>
          <t>B — Core</t>
        </is>
      </c>
      <c r="R60" s="226" t="n">
        <v>0.08</v>
      </c>
      <c r="S60" s="226" t="n">
        <v>0.22066</v>
      </c>
      <c r="T60" s="226" t="n">
        <v>0.560625</v>
      </c>
      <c r="U60" s="226" t="n">
        <v>0.7867499999999999</v>
      </c>
      <c r="V60" s="226" t="n">
        <v>0.9375</v>
      </c>
      <c r="W60" s="227" t="n">
        <v>210760.704</v>
      </c>
      <c r="X60" s="227" t="n">
        <v>581330.711808</v>
      </c>
      <c r="Y60" s="227" t="n">
        <v>1476971.496</v>
      </c>
      <c r="Z60" s="227" t="n">
        <v>2072699.7984</v>
      </c>
      <c r="AA60" s="227" t="n">
        <v>2469852</v>
      </c>
    </row>
    <row r="61">
      <c r="A61" t="inlineStr">
        <is>
          <t>Egyptian Motor Hotel BW Signature Collection</t>
        </is>
      </c>
      <c r="B61" t="inlineStr">
        <is>
          <t>Hotel</t>
        </is>
      </c>
      <c r="C61" t="inlineStr">
        <is>
          <t>YES</t>
        </is>
      </c>
      <c r="D61" t="n">
        <v>49</v>
      </c>
      <c r="E61" t="inlineStr"/>
      <c r="F61" t="inlineStr">
        <is>
          <t>No Valet</t>
        </is>
      </c>
      <c r="G61" s="227" t="n">
        <v>0</v>
      </c>
      <c r="H61" t="n">
        <v>2</v>
      </c>
      <c r="I61" t="n">
        <v>1</v>
      </c>
      <c r="J61" t="n">
        <v>2</v>
      </c>
      <c r="K61" t="n">
        <v>4</v>
      </c>
      <c r="L61" t="n">
        <v>4</v>
      </c>
      <c r="M61" s="236" t="n">
        <v>0</v>
      </c>
      <c r="N61" t="inlineStr"/>
      <c r="O61" s="236" t="n">
        <v>2.35</v>
      </c>
      <c r="P61" s="236" t="n">
        <v>2.35</v>
      </c>
      <c r="Q61" s="224" t="inlineStr">
        <is>
          <t>D — Deprioritized</t>
        </is>
      </c>
      <c r="R61" s="226" t="n">
        <v>0</v>
      </c>
      <c r="S61" s="226" t="n">
        <v>0.018</v>
      </c>
      <c r="T61" s="226" t="n">
        <v>0.05500000000000001</v>
      </c>
      <c r="U61" s="226" t="n">
        <v>0.082</v>
      </c>
      <c r="V61" s="226" t="n">
        <v>0.1</v>
      </c>
      <c r="W61" s="227" t="n">
        <v>0</v>
      </c>
      <c r="X61" s="227" t="n">
        <v>0</v>
      </c>
      <c r="Y61" s="227" t="n">
        <v>0</v>
      </c>
      <c r="Z61" s="227" t="n">
        <v>0</v>
      </c>
      <c r="AA61" s="227" t="n">
        <v>0</v>
      </c>
    </row>
    <row r="62">
      <c r="A62" t="inlineStr">
        <is>
          <t>DoubleTree by Hilton Hotel Phoenix - Gilbert</t>
        </is>
      </c>
      <c r="B62" t="inlineStr">
        <is>
          <t>Hotel</t>
        </is>
      </c>
      <c r="C62" t="inlineStr">
        <is>
          <t>NO</t>
        </is>
      </c>
      <c r="D62" t="n">
        <v>121</v>
      </c>
      <c r="E62" t="inlineStr"/>
      <c r="F62" t="inlineStr">
        <is>
          <t>No Valet</t>
        </is>
      </c>
      <c r="G62" s="227" t="n">
        <v>0</v>
      </c>
      <c r="H62" t="n">
        <v>3</v>
      </c>
      <c r="I62" t="n">
        <v>1</v>
      </c>
      <c r="J62" t="n">
        <v>3</v>
      </c>
      <c r="K62" t="n">
        <v>4</v>
      </c>
      <c r="L62" t="n">
        <v>2</v>
      </c>
      <c r="M62" s="236" t="n">
        <v>0.15</v>
      </c>
      <c r="N62" t="inlineStr">
        <is>
          <t>Brand familiarity (historical): Hilton_family</t>
        </is>
      </c>
      <c r="O62" s="236" t="n">
        <v>2.5</v>
      </c>
      <c r="P62" s="236" t="n">
        <v>2.65</v>
      </c>
      <c r="Q62" s="237" t="inlineStr">
        <is>
          <t>C — Opportunistic</t>
        </is>
      </c>
      <c r="R62" s="226" t="n">
        <v>0.02</v>
      </c>
      <c r="S62" s="226" t="n">
        <v>0.09724000000000002</v>
      </c>
      <c r="T62" s="226" t="n">
        <v>0.28625</v>
      </c>
      <c r="U62" s="226" t="n">
        <v>0.4145</v>
      </c>
      <c r="V62" s="226" t="n">
        <v>0.5</v>
      </c>
      <c r="W62" s="227" t="n">
        <v>0</v>
      </c>
      <c r="X62" s="227" t="n">
        <v>0</v>
      </c>
      <c r="Y62" s="227" t="n">
        <v>0</v>
      </c>
      <c r="Z62" s="227" t="n">
        <v>0</v>
      </c>
      <c r="AA62" s="227" t="n">
        <v>0</v>
      </c>
    </row>
    <row r="63">
      <c r="A63" t="inlineStr">
        <is>
          <t>TownePlace Suites by Marriott Phoenix Glendale Sports &amp; Entertainment District</t>
        </is>
      </c>
      <c r="B63" t="inlineStr">
        <is>
          <t>Hotel</t>
        </is>
      </c>
      <c r="C63" t="inlineStr">
        <is>
          <t>NO</t>
        </is>
      </c>
      <c r="D63" t="n">
        <v>0</v>
      </c>
      <c r="E63" t="inlineStr"/>
      <c r="F63" t="inlineStr">
        <is>
          <t>No Valet</t>
        </is>
      </c>
      <c r="G63" s="227" t="n">
        <v>0</v>
      </c>
      <c r="H63" t="n">
        <v>2</v>
      </c>
      <c r="I63" t="n">
        <v>1</v>
      </c>
      <c r="J63" t="n">
        <v>3</v>
      </c>
      <c r="K63" t="n">
        <v>4</v>
      </c>
      <c r="L63" t="n">
        <v>2</v>
      </c>
      <c r="M63" s="236" t="n">
        <v>0.3</v>
      </c>
      <c r="N63" t="inlineStr">
        <is>
          <t>Brand familiarity (current): Marriott_family</t>
        </is>
      </c>
      <c r="O63" s="236" t="n">
        <v>2.25</v>
      </c>
      <c r="P63" s="236" t="n">
        <v>2.55</v>
      </c>
      <c r="Q63" s="237" t="inlineStr">
        <is>
          <t>C — Opportunistic</t>
        </is>
      </c>
      <c r="R63" s="226" t="n">
        <v>0.02</v>
      </c>
      <c r="S63" s="226" t="n">
        <v>0.09724000000000002</v>
      </c>
      <c r="T63" s="226" t="n">
        <v>0.28625</v>
      </c>
      <c r="U63" s="226" t="n">
        <v>0.4145</v>
      </c>
      <c r="V63" s="226" t="n">
        <v>0.5</v>
      </c>
      <c r="W63" s="227" t="n">
        <v>0</v>
      </c>
      <c r="X63" s="227" t="n">
        <v>0</v>
      </c>
      <c r="Y63" s="227" t="n">
        <v>0</v>
      </c>
      <c r="Z63" s="227" t="n">
        <v>0</v>
      </c>
      <c r="AA63" s="227" t="n">
        <v>0</v>
      </c>
    </row>
    <row r="64">
      <c r="A64" t="inlineStr">
        <is>
          <t>SpringHill Suites by Marriott Phoenix Glendale Sports &amp; Entertainment District</t>
        </is>
      </c>
      <c r="B64" t="inlineStr">
        <is>
          <t>Hotel</t>
        </is>
      </c>
      <c r="C64" t="inlineStr">
        <is>
          <t>NO</t>
        </is>
      </c>
      <c r="D64" t="n">
        <v>120</v>
      </c>
      <c r="E64" t="inlineStr"/>
      <c r="F64" t="inlineStr">
        <is>
          <t>No Valet</t>
        </is>
      </c>
      <c r="G64" s="227" t="n">
        <v>0</v>
      </c>
      <c r="H64" t="n">
        <v>3</v>
      </c>
      <c r="I64" t="n">
        <v>1</v>
      </c>
      <c r="J64" t="n">
        <v>3</v>
      </c>
      <c r="K64" t="n">
        <v>4</v>
      </c>
      <c r="L64" t="n">
        <v>2</v>
      </c>
      <c r="M64" s="236" t="n">
        <v>0.3</v>
      </c>
      <c r="N64" t="inlineStr">
        <is>
          <t>Brand familiarity (current): Marriott_family</t>
        </is>
      </c>
      <c r="O64" s="236" t="n">
        <v>2.5</v>
      </c>
      <c r="P64" s="236" t="n">
        <v>2.8</v>
      </c>
      <c r="Q64" s="237" t="inlineStr">
        <is>
          <t>C — Opportunistic</t>
        </is>
      </c>
      <c r="R64" s="226" t="n">
        <v>0.02</v>
      </c>
      <c r="S64" s="226" t="n">
        <v>0.09724000000000002</v>
      </c>
      <c r="T64" s="226" t="n">
        <v>0.28625</v>
      </c>
      <c r="U64" s="226" t="n">
        <v>0.4145</v>
      </c>
      <c r="V64" s="226" t="n">
        <v>0.5</v>
      </c>
      <c r="W64" s="227" t="n">
        <v>0</v>
      </c>
      <c r="X64" s="227" t="n">
        <v>0</v>
      </c>
      <c r="Y64" s="227" t="n">
        <v>0</v>
      </c>
      <c r="Z64" s="227" t="n">
        <v>0</v>
      </c>
      <c r="AA64" s="227" t="n">
        <v>0</v>
      </c>
    </row>
    <row r="65">
      <c r="A65" t="inlineStr">
        <is>
          <t>Tru by Hilton Phoenix Glendale Westgate</t>
        </is>
      </c>
      <c r="B65" t="inlineStr">
        <is>
          <t>Hotel</t>
        </is>
      </c>
      <c r="C65" t="inlineStr">
        <is>
          <t>NO</t>
        </is>
      </c>
      <c r="D65" t="n">
        <v>0</v>
      </c>
      <c r="E65" t="inlineStr"/>
      <c r="F65" t="inlineStr">
        <is>
          <t>No Valet</t>
        </is>
      </c>
      <c r="G65" s="227" t="n">
        <v>0</v>
      </c>
      <c r="H65" t="n">
        <v>2</v>
      </c>
      <c r="I65" t="n">
        <v>1</v>
      </c>
      <c r="J65" t="n">
        <v>3</v>
      </c>
      <c r="K65" t="n">
        <v>4</v>
      </c>
      <c r="L65" t="n">
        <v>2</v>
      </c>
      <c r="M65" s="236" t="n">
        <v>0.15</v>
      </c>
      <c r="N65" t="inlineStr">
        <is>
          <t>Brand familiarity (historical): Hilton_family</t>
        </is>
      </c>
      <c r="O65" s="236" t="n">
        <v>2.25</v>
      </c>
      <c r="P65" s="236" t="n">
        <v>2.4</v>
      </c>
      <c r="Q65" s="224" t="inlineStr">
        <is>
          <t>D — Deprioritized</t>
        </is>
      </c>
      <c r="R65" s="226" t="n">
        <v>0</v>
      </c>
      <c r="S65" s="226" t="n">
        <v>0.018</v>
      </c>
      <c r="T65" s="226" t="n">
        <v>0.05500000000000001</v>
      </c>
      <c r="U65" s="226" t="n">
        <v>0.082</v>
      </c>
      <c r="V65" s="226" t="n">
        <v>0.1</v>
      </c>
      <c r="W65" s="227" t="n">
        <v>0</v>
      </c>
      <c r="X65" s="227" t="n">
        <v>0</v>
      </c>
      <c r="Y65" s="227" t="n">
        <v>0</v>
      </c>
      <c r="Z65" s="227" t="n">
        <v>0</v>
      </c>
      <c r="AA65" s="227" t="n">
        <v>0</v>
      </c>
    </row>
    <row r="66">
      <c r="A66" t="inlineStr">
        <is>
          <t>Residence Inn by Marriott Phoenix Glendale Sports &amp; Entertainment District</t>
        </is>
      </c>
      <c r="B66" t="inlineStr">
        <is>
          <t>Hotel</t>
        </is>
      </c>
      <c r="C66" t="inlineStr">
        <is>
          <t>NO</t>
        </is>
      </c>
      <c r="D66" t="n">
        <v>0</v>
      </c>
      <c r="E66" t="inlineStr"/>
      <c r="F66" t="inlineStr">
        <is>
          <t>No Valet</t>
        </is>
      </c>
      <c r="G66" s="227" t="n">
        <v>0</v>
      </c>
      <c r="H66" t="n">
        <v>2</v>
      </c>
      <c r="I66" t="n">
        <v>1</v>
      </c>
      <c r="J66" t="n">
        <v>3</v>
      </c>
      <c r="K66" t="n">
        <v>4</v>
      </c>
      <c r="L66" t="n">
        <v>2</v>
      </c>
      <c r="M66" s="236" t="n">
        <v>0.3</v>
      </c>
      <c r="N66" t="inlineStr">
        <is>
          <t>Brand familiarity (current): Marriott_family</t>
        </is>
      </c>
      <c r="O66" s="236" t="n">
        <v>2.25</v>
      </c>
      <c r="P66" s="236" t="n">
        <v>2.55</v>
      </c>
      <c r="Q66" s="237" t="inlineStr">
        <is>
          <t>C — Opportunistic</t>
        </is>
      </c>
      <c r="R66" s="226" t="n">
        <v>0.02</v>
      </c>
      <c r="S66" s="226" t="n">
        <v>0.09724000000000002</v>
      </c>
      <c r="T66" s="226" t="n">
        <v>0.28625</v>
      </c>
      <c r="U66" s="226" t="n">
        <v>0.4145</v>
      </c>
      <c r="V66" s="226" t="n">
        <v>0.5</v>
      </c>
      <c r="W66" s="227" t="n">
        <v>0</v>
      </c>
      <c r="X66" s="227" t="n">
        <v>0</v>
      </c>
      <c r="Y66" s="227" t="n">
        <v>0</v>
      </c>
      <c r="Z66" s="227" t="n">
        <v>0</v>
      </c>
      <c r="AA66" s="227" t="n">
        <v>0</v>
      </c>
    </row>
    <row r="67">
      <c r="A67" t="inlineStr">
        <is>
          <t>Hampton Inn &amp; Suites Phoenix Glendale-Westgate</t>
        </is>
      </c>
      <c r="B67" t="inlineStr">
        <is>
          <t>Hotel</t>
        </is>
      </c>
      <c r="C67" t="inlineStr">
        <is>
          <t>NO</t>
        </is>
      </c>
      <c r="D67" t="n">
        <v>149</v>
      </c>
      <c r="E67" t="inlineStr"/>
      <c r="F67" t="inlineStr">
        <is>
          <t>No Valet</t>
        </is>
      </c>
      <c r="G67" s="227" t="n">
        <v>0</v>
      </c>
      <c r="H67" t="n">
        <v>3</v>
      </c>
      <c r="I67" t="n">
        <v>1</v>
      </c>
      <c r="J67" t="n">
        <v>3</v>
      </c>
      <c r="K67" t="n">
        <v>4</v>
      </c>
      <c r="L67" t="n">
        <v>2</v>
      </c>
      <c r="M67" s="236" t="n">
        <v>0.15</v>
      </c>
      <c r="N67" t="inlineStr">
        <is>
          <t>Brand familiarity (historical): Hilton_family</t>
        </is>
      </c>
      <c r="O67" s="236" t="n">
        <v>2.5</v>
      </c>
      <c r="P67" s="236" t="n">
        <v>2.65</v>
      </c>
      <c r="Q67" s="237" t="inlineStr">
        <is>
          <t>C — Opportunistic</t>
        </is>
      </c>
      <c r="R67" s="226" t="n">
        <v>0.02</v>
      </c>
      <c r="S67" s="226" t="n">
        <v>0.09724000000000002</v>
      </c>
      <c r="T67" s="226" t="n">
        <v>0.28625</v>
      </c>
      <c r="U67" s="226" t="n">
        <v>0.4145</v>
      </c>
      <c r="V67" s="226" t="n">
        <v>0.5</v>
      </c>
      <c r="W67" s="227" t="n">
        <v>0</v>
      </c>
      <c r="X67" s="227" t="n">
        <v>0</v>
      </c>
      <c r="Y67" s="227" t="n">
        <v>0</v>
      </c>
      <c r="Z67" s="227" t="n">
        <v>0</v>
      </c>
      <c r="AA67" s="227" t="n">
        <v>0</v>
      </c>
    </row>
    <row r="68">
      <c r="A68" t="inlineStr">
        <is>
          <t>Staybridge Suites Phoenix - Glendale Sports Dist by IHG</t>
        </is>
      </c>
      <c r="B68" t="inlineStr">
        <is>
          <t>Hotel</t>
        </is>
      </c>
      <c r="C68" t="inlineStr">
        <is>
          <t>NO</t>
        </is>
      </c>
      <c r="D68" t="n">
        <v>116</v>
      </c>
      <c r="E68" t="inlineStr"/>
      <c r="F68" t="inlineStr">
        <is>
          <t>No Valet</t>
        </is>
      </c>
      <c r="G68" s="227" t="n">
        <v>0</v>
      </c>
      <c r="H68" t="n">
        <v>3</v>
      </c>
      <c r="I68" t="n">
        <v>1</v>
      </c>
      <c r="J68" t="n">
        <v>3</v>
      </c>
      <c r="K68" t="n">
        <v>4</v>
      </c>
      <c r="L68" t="n">
        <v>2</v>
      </c>
      <c r="M68" s="236" t="n">
        <v>0</v>
      </c>
      <c r="N68" t="inlineStr"/>
      <c r="O68" s="236" t="n">
        <v>2.5</v>
      </c>
      <c r="P68" s="236" t="n">
        <v>2.5</v>
      </c>
      <c r="Q68" s="237" t="inlineStr">
        <is>
          <t>C — Opportunistic</t>
        </is>
      </c>
      <c r="R68" s="226" t="n">
        <v>0.02</v>
      </c>
      <c r="S68" s="226" t="n">
        <v>0.09724000000000002</v>
      </c>
      <c r="T68" s="226" t="n">
        <v>0.28625</v>
      </c>
      <c r="U68" s="226" t="n">
        <v>0.4145</v>
      </c>
      <c r="V68" s="226" t="n">
        <v>0.5</v>
      </c>
      <c r="W68" s="227" t="n">
        <v>0</v>
      </c>
      <c r="X68" s="227" t="n">
        <v>0</v>
      </c>
      <c r="Y68" s="227" t="n">
        <v>0</v>
      </c>
      <c r="Z68" s="227" t="n">
        <v>0</v>
      </c>
      <c r="AA68" s="227" t="n">
        <v>0</v>
      </c>
    </row>
    <row r="69">
      <c r="A69" t="inlineStr">
        <is>
          <t>Renaissance Phoenix Glendale Hotel &amp; Conference Center</t>
        </is>
      </c>
      <c r="B69" t="inlineStr">
        <is>
          <t>Hotel</t>
        </is>
      </c>
      <c r="C69" t="inlineStr">
        <is>
          <t>NO</t>
        </is>
      </c>
      <c r="D69" t="n">
        <v>324</v>
      </c>
      <c r="E69" t="inlineStr"/>
      <c r="F69" t="n">
        <v>26</v>
      </c>
      <c r="G69" s="227" t="n">
        <v>272937.6</v>
      </c>
      <c r="H69" t="n">
        <v>4</v>
      </c>
      <c r="I69" t="n">
        <v>2</v>
      </c>
      <c r="J69" t="n">
        <v>3</v>
      </c>
      <c r="K69" t="n">
        <v>4</v>
      </c>
      <c r="L69" t="n">
        <v>2</v>
      </c>
      <c r="M69" s="236" t="n">
        <v>0.3</v>
      </c>
      <c r="N69" t="inlineStr">
        <is>
          <t>Brand familiarity (current): Marriott_family</t>
        </is>
      </c>
      <c r="O69" s="236" t="n">
        <v>3</v>
      </c>
      <c r="P69" s="236" t="n">
        <v>3.3</v>
      </c>
      <c r="Q69" s="237" t="inlineStr">
        <is>
          <t>C — Opportunistic</t>
        </is>
      </c>
      <c r="R69" s="226" t="n">
        <v>0.02</v>
      </c>
      <c r="S69" s="226" t="n">
        <v>0.09724000000000002</v>
      </c>
      <c r="T69" s="226" t="n">
        <v>0.28625</v>
      </c>
      <c r="U69" s="226" t="n">
        <v>0.4145</v>
      </c>
      <c r="V69" s="226" t="n">
        <v>0.5</v>
      </c>
      <c r="W69" s="227" t="n">
        <v>5458.751999999999</v>
      </c>
      <c r="X69" s="227" t="n">
        <v>26540.452224</v>
      </c>
      <c r="Y69" s="227" t="n">
        <v>78128.38799999999</v>
      </c>
      <c r="Z69" s="227" t="n">
        <v>113132.6352</v>
      </c>
      <c r="AA69" s="227" t="n">
        <v>136468.8</v>
      </c>
    </row>
    <row r="70">
      <c r="A70" t="inlineStr">
        <is>
          <t>Holiday Inn Express &amp; Suites Phoenix - Glendale Sports Dist</t>
        </is>
      </c>
      <c r="B70" t="inlineStr">
        <is>
          <t>Hotel</t>
        </is>
      </c>
      <c r="C70" t="inlineStr">
        <is>
          <t>NO</t>
        </is>
      </c>
      <c r="D70" t="n">
        <v>96</v>
      </c>
      <c r="E70" t="inlineStr"/>
      <c r="F70" t="inlineStr">
        <is>
          <t>No Valet</t>
        </is>
      </c>
      <c r="G70" s="227" t="n">
        <v>0</v>
      </c>
      <c r="H70" t="n">
        <v>2</v>
      </c>
      <c r="I70" t="n">
        <v>1</v>
      </c>
      <c r="J70" t="n">
        <v>3</v>
      </c>
      <c r="K70" t="n">
        <v>4</v>
      </c>
      <c r="L70" t="n">
        <v>2</v>
      </c>
      <c r="M70" s="236" t="n">
        <v>0</v>
      </c>
      <c r="N70" t="inlineStr"/>
      <c r="O70" s="236" t="n">
        <v>2.25</v>
      </c>
      <c r="P70" s="236" t="n">
        <v>2.25</v>
      </c>
      <c r="Q70" s="224" t="inlineStr">
        <is>
          <t>D — Deprioritized</t>
        </is>
      </c>
      <c r="R70" s="226" t="n">
        <v>0</v>
      </c>
      <c r="S70" s="226" t="n">
        <v>0.018</v>
      </c>
      <c r="T70" s="226" t="n">
        <v>0.05500000000000001</v>
      </c>
      <c r="U70" s="226" t="n">
        <v>0.082</v>
      </c>
      <c r="V70" s="226" t="n">
        <v>0.1</v>
      </c>
      <c r="W70" s="227" t="n">
        <v>0</v>
      </c>
      <c r="X70" s="227" t="n">
        <v>0</v>
      </c>
      <c r="Y70" s="227" t="n">
        <v>0</v>
      </c>
      <c r="Z70" s="227" t="n">
        <v>0</v>
      </c>
      <c r="AA70" s="227" t="n">
        <v>0</v>
      </c>
    </row>
    <row r="71">
      <c r="A71" t="inlineStr">
        <is>
          <t>Arizona Grand Resort &amp; Spa</t>
        </is>
      </c>
      <c r="B71" t="inlineStr">
        <is>
          <t>Hotel</t>
        </is>
      </c>
      <c r="C71" t="inlineStr">
        <is>
          <t>NO</t>
        </is>
      </c>
      <c r="D71" t="n">
        <v>744</v>
      </c>
      <c r="E71" t="inlineStr"/>
      <c r="F71" t="inlineStr">
        <is>
          <t>No Valet</t>
        </is>
      </c>
      <c r="G71" s="227" t="n">
        <v>0</v>
      </c>
      <c r="H71" t="n">
        <v>5</v>
      </c>
      <c r="I71" t="n">
        <v>1</v>
      </c>
      <c r="J71" t="n">
        <v>2</v>
      </c>
      <c r="K71" t="n">
        <v>4</v>
      </c>
      <c r="L71" t="n">
        <v>2</v>
      </c>
      <c r="M71" s="236" t="n">
        <v>0</v>
      </c>
      <c r="N71" t="inlineStr"/>
      <c r="O71" s="236" t="n">
        <v>2.8</v>
      </c>
      <c r="P71" s="236" t="n">
        <v>2.8</v>
      </c>
      <c r="Q71" s="237" t="inlineStr">
        <is>
          <t>C — Opportunistic</t>
        </is>
      </c>
      <c r="R71" s="226" t="n">
        <v>0.02</v>
      </c>
      <c r="S71" s="226" t="n">
        <v>0.09724000000000002</v>
      </c>
      <c r="T71" s="226" t="n">
        <v>0.28625</v>
      </c>
      <c r="U71" s="226" t="n">
        <v>0.4145</v>
      </c>
      <c r="V71" s="226" t="n">
        <v>0.5</v>
      </c>
      <c r="W71" s="227" t="n">
        <v>0</v>
      </c>
      <c r="X71" s="227" t="n">
        <v>0</v>
      </c>
      <c r="Y71" s="227" t="n">
        <v>0</v>
      </c>
      <c r="Z71" s="227" t="n">
        <v>0</v>
      </c>
      <c r="AA71" s="227" t="n">
        <v>0</v>
      </c>
    </row>
    <row r="72">
      <c r="A72" t="inlineStr">
        <is>
          <t>Legacy Golf Resort</t>
        </is>
      </c>
      <c r="B72" t="inlineStr">
        <is>
          <t>Hotel</t>
        </is>
      </c>
      <c r="C72" t="inlineStr">
        <is>
          <t>NO</t>
        </is>
      </c>
      <c r="D72" t="n">
        <v>0</v>
      </c>
      <c r="E72" t="inlineStr"/>
      <c r="F72" t="inlineStr">
        <is>
          <t>No Valet</t>
        </is>
      </c>
      <c r="G72" s="227" t="n">
        <v>0</v>
      </c>
      <c r="H72" t="n">
        <v>2</v>
      </c>
      <c r="I72" t="n">
        <v>1</v>
      </c>
      <c r="J72" t="n">
        <v>2</v>
      </c>
      <c r="K72" t="n">
        <v>4</v>
      </c>
      <c r="L72" t="n">
        <v>2</v>
      </c>
      <c r="M72" s="236" t="n">
        <v>0</v>
      </c>
      <c r="N72" t="inlineStr"/>
      <c r="O72" s="236" t="n">
        <v>2.05</v>
      </c>
      <c r="P72" s="236" t="n">
        <v>2.05</v>
      </c>
      <c r="Q72" s="224" t="inlineStr">
        <is>
          <t>D — Deprioritized</t>
        </is>
      </c>
      <c r="R72" s="226" t="n">
        <v>0</v>
      </c>
      <c r="S72" s="226" t="n">
        <v>0.018</v>
      </c>
      <c r="T72" s="226" t="n">
        <v>0.05500000000000001</v>
      </c>
      <c r="U72" s="226" t="n">
        <v>0.082</v>
      </c>
      <c r="V72" s="226" t="n">
        <v>0.1</v>
      </c>
      <c r="W72" s="227" t="n">
        <v>0</v>
      </c>
      <c r="X72" s="227" t="n">
        <v>0</v>
      </c>
      <c r="Y72" s="227" t="n">
        <v>0</v>
      </c>
      <c r="Z72" s="227" t="n">
        <v>0</v>
      </c>
      <c r="AA72" s="227" t="n">
        <v>0</v>
      </c>
    </row>
    <row r="73">
      <c r="A73" t="inlineStr">
        <is>
          <t>WorldMark Phoenix - South Mountain Preserve</t>
        </is>
      </c>
      <c r="B73" t="inlineStr">
        <is>
          <t>Hotel</t>
        </is>
      </c>
      <c r="C73" t="inlineStr">
        <is>
          <t>NO</t>
        </is>
      </c>
      <c r="D73" t="n">
        <v>0</v>
      </c>
      <c r="E73" t="inlineStr"/>
      <c r="F73" t="inlineStr">
        <is>
          <t>No Valet</t>
        </is>
      </c>
      <c r="G73" s="227" t="n">
        <v>0</v>
      </c>
      <c r="H73" t="n">
        <v>2</v>
      </c>
      <c r="I73" t="n">
        <v>1</v>
      </c>
      <c r="J73" t="n">
        <v>2</v>
      </c>
      <c r="K73" t="n">
        <v>4</v>
      </c>
      <c r="L73" t="n">
        <v>2</v>
      </c>
      <c r="M73" s="236" t="n">
        <v>0</v>
      </c>
      <c r="N73" t="inlineStr"/>
      <c r="O73" s="236" t="n">
        <v>2.05</v>
      </c>
      <c r="P73" s="236" t="n">
        <v>2.05</v>
      </c>
      <c r="Q73" s="224" t="inlineStr">
        <is>
          <t>D — Deprioritized</t>
        </is>
      </c>
      <c r="R73" s="226" t="n">
        <v>0</v>
      </c>
      <c r="S73" s="226" t="n">
        <v>0.018</v>
      </c>
      <c r="T73" s="226" t="n">
        <v>0.05500000000000001</v>
      </c>
      <c r="U73" s="226" t="n">
        <v>0.082</v>
      </c>
      <c r="V73" s="226" t="n">
        <v>0.1</v>
      </c>
      <c r="W73" s="227" t="n">
        <v>0</v>
      </c>
      <c r="X73" s="227" t="n">
        <v>0</v>
      </c>
      <c r="Y73" s="227" t="n">
        <v>0</v>
      </c>
      <c r="Z73" s="227" t="n">
        <v>0</v>
      </c>
      <c r="AA73" s="227" t="n">
        <v>0</v>
      </c>
    </row>
    <row r="74">
      <c r="A74" t="inlineStr">
        <is>
          <t>The Wigwam</t>
        </is>
      </c>
      <c r="B74" t="inlineStr">
        <is>
          <t>Hotel</t>
        </is>
      </c>
      <c r="C74" t="inlineStr">
        <is>
          <t>NO</t>
        </is>
      </c>
      <c r="D74" t="n">
        <v>331</v>
      </c>
      <c r="E74" t="inlineStr"/>
      <c r="F74" t="n">
        <v>42</v>
      </c>
      <c r="G74" s="227" t="n">
        <v>450424.8</v>
      </c>
      <c r="H74" t="n">
        <v>4</v>
      </c>
      <c r="I74" t="n">
        <v>2</v>
      </c>
      <c r="J74" t="n">
        <v>2</v>
      </c>
      <c r="K74" t="n">
        <v>4</v>
      </c>
      <c r="L74" t="n">
        <v>2</v>
      </c>
      <c r="M74" s="236" t="n">
        <v>0</v>
      </c>
      <c r="N74" t="inlineStr"/>
      <c r="O74" s="236" t="n">
        <v>2.8</v>
      </c>
      <c r="P74" s="236" t="n">
        <v>2.8</v>
      </c>
      <c r="Q74" s="237" t="inlineStr">
        <is>
          <t>C — Opportunistic</t>
        </is>
      </c>
      <c r="R74" s="226" t="n">
        <v>0.02</v>
      </c>
      <c r="S74" s="226" t="n">
        <v>0.09724000000000002</v>
      </c>
      <c r="T74" s="226" t="n">
        <v>0.28625</v>
      </c>
      <c r="U74" s="226" t="n">
        <v>0.4145</v>
      </c>
      <c r="V74" s="226" t="n">
        <v>0.5</v>
      </c>
      <c r="W74" s="227" t="n">
        <v>9008.495999999999</v>
      </c>
      <c r="X74" s="227" t="n">
        <v>43799.30755200001</v>
      </c>
      <c r="Y74" s="227" t="n">
        <v>128934.099</v>
      </c>
      <c r="Z74" s="227" t="n">
        <v>186701.0796</v>
      </c>
      <c r="AA74" s="227" t="n">
        <v>225212.4</v>
      </c>
    </row>
    <row r="75">
      <c r="A75" t="inlineStr">
        <is>
          <t>Sheraton Mesa Hotel at Wrigleyville West</t>
        </is>
      </c>
      <c r="B75" t="inlineStr">
        <is>
          <t>Hotel</t>
        </is>
      </c>
      <c r="C75" t="inlineStr">
        <is>
          <t>NO</t>
        </is>
      </c>
      <c r="D75" t="n">
        <v>180</v>
      </c>
      <c r="E75" t="inlineStr"/>
      <c r="F75" t="inlineStr">
        <is>
          <t>No Valet</t>
        </is>
      </c>
      <c r="G75" s="227" t="n">
        <v>0</v>
      </c>
      <c r="H75" t="n">
        <v>3</v>
      </c>
      <c r="I75" t="n">
        <v>1</v>
      </c>
      <c r="J75" t="n">
        <v>3</v>
      </c>
      <c r="K75" t="n">
        <v>4</v>
      </c>
      <c r="L75" t="n">
        <v>2</v>
      </c>
      <c r="M75" s="236" t="n">
        <v>0.3</v>
      </c>
      <c r="N75" t="inlineStr">
        <is>
          <t>Brand familiarity (current): Marriott_family</t>
        </is>
      </c>
      <c r="O75" s="236" t="n">
        <v>2.5</v>
      </c>
      <c r="P75" s="236" t="n">
        <v>2.8</v>
      </c>
      <c r="Q75" s="237" t="inlineStr">
        <is>
          <t>C — Opportunistic</t>
        </is>
      </c>
      <c r="R75" s="226" t="n">
        <v>0.02</v>
      </c>
      <c r="S75" s="226" t="n">
        <v>0.09724000000000002</v>
      </c>
      <c r="T75" s="226" t="n">
        <v>0.28625</v>
      </c>
      <c r="U75" s="226" t="n">
        <v>0.4145</v>
      </c>
      <c r="V75" s="226" t="n">
        <v>0.5</v>
      </c>
      <c r="W75" s="227" t="n">
        <v>0</v>
      </c>
      <c r="X75" s="227" t="n">
        <v>0</v>
      </c>
      <c r="Y75" s="227" t="n">
        <v>0</v>
      </c>
      <c r="Z75" s="227" t="n">
        <v>0</v>
      </c>
      <c r="AA75" s="227" t="n">
        <v>0</v>
      </c>
    </row>
    <row r="76">
      <c r="A76" t="inlineStr">
        <is>
          <t>Delta Hotels Phoenix Mesa</t>
        </is>
      </c>
      <c r="B76" t="inlineStr">
        <is>
          <t>Hotel</t>
        </is>
      </c>
      <c r="C76" t="inlineStr">
        <is>
          <t>NO</t>
        </is>
      </c>
      <c r="D76" t="n">
        <v>274</v>
      </c>
      <c r="E76" t="inlineStr"/>
      <c r="F76" t="inlineStr">
        <is>
          <t>No Valet</t>
        </is>
      </c>
      <c r="G76" s="227" t="n">
        <v>0</v>
      </c>
      <c r="H76" t="n">
        <v>4</v>
      </c>
      <c r="I76" t="n">
        <v>1</v>
      </c>
      <c r="J76" t="n">
        <v>2</v>
      </c>
      <c r="K76" t="n">
        <v>4</v>
      </c>
      <c r="L76" t="n">
        <v>2</v>
      </c>
      <c r="M76" s="236" t="n">
        <v>0.3</v>
      </c>
      <c r="N76" t="inlineStr">
        <is>
          <t>Brand familiarity (current): Marriott_family</t>
        </is>
      </c>
      <c r="O76" s="236" t="n">
        <v>2.55</v>
      </c>
      <c r="P76" s="236" t="n">
        <v>2.85</v>
      </c>
      <c r="Q76" s="237" t="inlineStr">
        <is>
          <t>C — Opportunistic</t>
        </is>
      </c>
      <c r="R76" s="226" t="n">
        <v>0.02</v>
      </c>
      <c r="S76" s="226" t="n">
        <v>0.09724000000000002</v>
      </c>
      <c r="T76" s="226" t="n">
        <v>0.28625</v>
      </c>
      <c r="U76" s="226" t="n">
        <v>0.4145</v>
      </c>
      <c r="V76" s="226" t="n">
        <v>0.5</v>
      </c>
      <c r="W76" s="227" t="n">
        <v>0</v>
      </c>
      <c r="X76" s="227" t="n">
        <v>0</v>
      </c>
      <c r="Y76" s="227" t="n">
        <v>0</v>
      </c>
      <c r="Z76" s="227" t="n">
        <v>0</v>
      </c>
      <c r="AA76" s="227" t="n">
        <v>0</v>
      </c>
    </row>
    <row r="77">
      <c r="A77" t="inlineStr">
        <is>
          <t>Courtyard by Marriott Phoenix Mesa</t>
        </is>
      </c>
      <c r="B77" t="inlineStr">
        <is>
          <t>Hotel</t>
        </is>
      </c>
      <c r="C77" t="inlineStr">
        <is>
          <t>NO</t>
        </is>
      </c>
      <c r="D77" t="n">
        <v>149</v>
      </c>
      <c r="E77" t="inlineStr"/>
      <c r="F77" t="inlineStr">
        <is>
          <t>No Valet</t>
        </is>
      </c>
      <c r="G77" s="227" t="n">
        <v>0</v>
      </c>
      <c r="H77" t="n">
        <v>3</v>
      </c>
      <c r="I77" t="n">
        <v>1</v>
      </c>
      <c r="J77" t="n">
        <v>3</v>
      </c>
      <c r="K77" t="n">
        <v>4</v>
      </c>
      <c r="L77" t="n">
        <v>2</v>
      </c>
      <c r="M77" s="236" t="n">
        <v>0.3</v>
      </c>
      <c r="N77" t="inlineStr">
        <is>
          <t>Brand familiarity (current): Marriott_family</t>
        </is>
      </c>
      <c r="O77" s="236" t="n">
        <v>2.5</v>
      </c>
      <c r="P77" s="236" t="n">
        <v>2.8</v>
      </c>
      <c r="Q77" s="237" t="inlineStr">
        <is>
          <t>C — Opportunistic</t>
        </is>
      </c>
      <c r="R77" s="226" t="n">
        <v>0.02</v>
      </c>
      <c r="S77" s="226" t="n">
        <v>0.09724000000000002</v>
      </c>
      <c r="T77" s="226" t="n">
        <v>0.28625</v>
      </c>
      <c r="U77" s="226" t="n">
        <v>0.4145</v>
      </c>
      <c r="V77" s="226" t="n">
        <v>0.5</v>
      </c>
      <c r="W77" s="227" t="n">
        <v>0</v>
      </c>
      <c r="X77" s="227" t="n">
        <v>0</v>
      </c>
      <c r="Y77" s="227" t="n">
        <v>0</v>
      </c>
      <c r="Z77" s="227" t="n">
        <v>0</v>
      </c>
      <c r="AA77" s="227" t="n">
        <v>0</v>
      </c>
    </row>
    <row r="78">
      <c r="A78" t="inlineStr">
        <is>
          <t>Four Points by Sheraton at Phoenix Mesa Gateway Airport</t>
        </is>
      </c>
      <c r="B78" t="inlineStr">
        <is>
          <t>Hotel</t>
        </is>
      </c>
      <c r="C78" t="inlineStr">
        <is>
          <t>NO</t>
        </is>
      </c>
      <c r="D78" t="n">
        <v>134</v>
      </c>
      <c r="E78" t="inlineStr"/>
      <c r="F78" t="inlineStr">
        <is>
          <t>No Valet</t>
        </is>
      </c>
      <c r="G78" s="227" t="n">
        <v>0</v>
      </c>
      <c r="H78" t="n">
        <v>3</v>
      </c>
      <c r="I78" t="n">
        <v>1</v>
      </c>
      <c r="J78" t="n">
        <v>3</v>
      </c>
      <c r="K78" t="n">
        <v>4</v>
      </c>
      <c r="L78" t="n">
        <v>2</v>
      </c>
      <c r="M78" s="236" t="n">
        <v>0.3</v>
      </c>
      <c r="N78" t="inlineStr">
        <is>
          <t>Brand familiarity (current): Marriott_family</t>
        </is>
      </c>
      <c r="O78" s="236" t="n">
        <v>2.5</v>
      </c>
      <c r="P78" s="236" t="n">
        <v>2.8</v>
      </c>
      <c r="Q78" s="237" t="inlineStr">
        <is>
          <t>C — Opportunistic</t>
        </is>
      </c>
      <c r="R78" s="226" t="n">
        <v>0.02</v>
      </c>
      <c r="S78" s="226" t="n">
        <v>0.09724000000000002</v>
      </c>
      <c r="T78" s="226" t="n">
        <v>0.28625</v>
      </c>
      <c r="U78" s="226" t="n">
        <v>0.4145</v>
      </c>
      <c r="V78" s="226" t="n">
        <v>0.5</v>
      </c>
      <c r="W78" s="227" t="n">
        <v>0</v>
      </c>
      <c r="X78" s="227" t="n">
        <v>0</v>
      </c>
      <c r="Y78" s="227" t="n">
        <v>0</v>
      </c>
      <c r="Z78" s="227" t="n">
        <v>0</v>
      </c>
      <c r="AA78" s="227" t="n">
        <v>0</v>
      </c>
    </row>
    <row r="79">
      <c r="A79" t="inlineStr">
        <is>
          <t>DoubleTree by Hilton Phoenix Mesa</t>
        </is>
      </c>
      <c r="B79" t="inlineStr">
        <is>
          <t>Hotel</t>
        </is>
      </c>
      <c r="C79" t="inlineStr">
        <is>
          <t>NO</t>
        </is>
      </c>
      <c r="D79" t="n">
        <v>262</v>
      </c>
      <c r="E79" t="inlineStr"/>
      <c r="F79" t="inlineStr">
        <is>
          <t>No Valet</t>
        </is>
      </c>
      <c r="G79" s="227" t="n">
        <v>0</v>
      </c>
      <c r="H79" t="n">
        <v>4</v>
      </c>
      <c r="I79" t="n">
        <v>1</v>
      </c>
      <c r="J79" t="n">
        <v>3</v>
      </c>
      <c r="K79" t="n">
        <v>4</v>
      </c>
      <c r="L79" t="n">
        <v>2</v>
      </c>
      <c r="M79" s="236" t="n">
        <v>0.15</v>
      </c>
      <c r="N79" t="inlineStr">
        <is>
          <t>Brand familiarity (historical): Hilton_family</t>
        </is>
      </c>
      <c r="O79" s="236" t="n">
        <v>2.75</v>
      </c>
      <c r="P79" s="236" t="n">
        <v>2.9</v>
      </c>
      <c r="Q79" s="237" t="inlineStr">
        <is>
          <t>C — Opportunistic</t>
        </is>
      </c>
      <c r="R79" s="226" t="n">
        <v>0.02</v>
      </c>
      <c r="S79" s="226" t="n">
        <v>0.09724000000000002</v>
      </c>
      <c r="T79" s="226" t="n">
        <v>0.28625</v>
      </c>
      <c r="U79" s="226" t="n">
        <v>0.4145</v>
      </c>
      <c r="V79" s="226" t="n">
        <v>0.5</v>
      </c>
      <c r="W79" s="227" t="n">
        <v>0</v>
      </c>
      <c r="X79" s="227" t="n">
        <v>0</v>
      </c>
      <c r="Y79" s="227" t="n">
        <v>0</v>
      </c>
      <c r="Z79" s="227" t="n">
        <v>0</v>
      </c>
      <c r="AA79" s="227" t="n">
        <v>0</v>
      </c>
    </row>
    <row r="80">
      <c r="A80" t="inlineStr">
        <is>
          <t>Courtyard by Marriott Mesa at Wrigleyville West</t>
        </is>
      </c>
      <c r="B80" t="inlineStr">
        <is>
          <t>Hotel</t>
        </is>
      </c>
      <c r="C80" t="inlineStr">
        <is>
          <t>NO</t>
        </is>
      </c>
      <c r="D80" t="n">
        <v>129</v>
      </c>
      <c r="E80" t="inlineStr"/>
      <c r="F80" t="inlineStr">
        <is>
          <t>No Valet</t>
        </is>
      </c>
      <c r="G80" s="227" t="n">
        <v>0</v>
      </c>
      <c r="H80" t="n">
        <v>3</v>
      </c>
      <c r="I80" t="n">
        <v>1</v>
      </c>
      <c r="J80" t="n">
        <v>3</v>
      </c>
      <c r="K80" t="n">
        <v>4</v>
      </c>
      <c r="L80" t="n">
        <v>2</v>
      </c>
      <c r="M80" s="236" t="n">
        <v>0.3</v>
      </c>
      <c r="N80" t="inlineStr">
        <is>
          <t>Brand familiarity (current): Marriott_family</t>
        </is>
      </c>
      <c r="O80" s="236" t="n">
        <v>2.5</v>
      </c>
      <c r="P80" s="236" t="n">
        <v>2.8</v>
      </c>
      <c r="Q80" s="237" t="inlineStr">
        <is>
          <t>C — Opportunistic</t>
        </is>
      </c>
      <c r="R80" s="226" t="n">
        <v>0.02</v>
      </c>
      <c r="S80" s="226" t="n">
        <v>0.09724000000000002</v>
      </c>
      <c r="T80" s="226" t="n">
        <v>0.28625</v>
      </c>
      <c r="U80" s="226" t="n">
        <v>0.4145</v>
      </c>
      <c r="V80" s="226" t="n">
        <v>0.5</v>
      </c>
      <c r="W80" s="227" t="n">
        <v>0</v>
      </c>
      <c r="X80" s="227" t="n">
        <v>0</v>
      </c>
      <c r="Y80" s="227" t="n">
        <v>0</v>
      </c>
      <c r="Z80" s="227" t="n">
        <v>0</v>
      </c>
      <c r="AA80" s="227" t="n">
        <v>0</v>
      </c>
    </row>
    <row r="81">
      <c r="A81" t="inlineStr">
        <is>
          <t>DoubleTree by Hilton Phoenix Midtown</t>
        </is>
      </c>
      <c r="B81" t="inlineStr">
        <is>
          <t>Hotel</t>
        </is>
      </c>
      <c r="C81" t="inlineStr">
        <is>
          <t>NO</t>
        </is>
      </c>
      <c r="D81" t="n">
        <v>156</v>
      </c>
      <c r="E81" t="inlineStr"/>
      <c r="F81" t="inlineStr"/>
      <c r="G81" s="227" t="n">
        <v>0</v>
      </c>
      <c r="H81" t="n">
        <v>3</v>
      </c>
      <c r="I81" t="n">
        <v>1</v>
      </c>
      <c r="J81" t="n">
        <v>3</v>
      </c>
      <c r="K81" t="n">
        <v>4</v>
      </c>
      <c r="L81" t="n">
        <v>2</v>
      </c>
      <c r="M81" s="236" t="n">
        <v>0.15</v>
      </c>
      <c r="N81" t="inlineStr">
        <is>
          <t>Brand familiarity (historical): Hilton_family</t>
        </is>
      </c>
      <c r="O81" s="236" t="n">
        <v>2.5</v>
      </c>
      <c r="P81" s="236" t="n">
        <v>2.65</v>
      </c>
      <c r="Q81" s="237" t="inlineStr">
        <is>
          <t>C — Opportunistic</t>
        </is>
      </c>
      <c r="R81" s="226" t="n">
        <v>0.02</v>
      </c>
      <c r="S81" s="226" t="n">
        <v>0.09724000000000002</v>
      </c>
      <c r="T81" s="226" t="n">
        <v>0.28625</v>
      </c>
      <c r="U81" s="226" t="n">
        <v>0.4145</v>
      </c>
      <c r="V81" s="226" t="n">
        <v>0.5</v>
      </c>
      <c r="W81" s="227" t="n">
        <v>0</v>
      </c>
      <c r="X81" s="227" t="n">
        <v>0</v>
      </c>
      <c r="Y81" s="227" t="n">
        <v>0</v>
      </c>
      <c r="Z81" s="227" t="n">
        <v>0</v>
      </c>
      <c r="AA81" s="227" t="n">
        <v>0</v>
      </c>
    </row>
    <row r="82">
      <c r="A82" t="inlineStr">
        <is>
          <t>Rise Uptown Hotel</t>
        </is>
      </c>
      <c r="B82" t="inlineStr">
        <is>
          <t>Hotel</t>
        </is>
      </c>
      <c r="C82" t="inlineStr">
        <is>
          <t>NO</t>
        </is>
      </c>
      <c r="D82" t="n">
        <v>0</v>
      </c>
      <c r="E82" t="inlineStr"/>
      <c r="F82" t="inlineStr"/>
      <c r="G82" s="227" t="n">
        <v>0</v>
      </c>
      <c r="H82" t="n">
        <v>2</v>
      </c>
      <c r="I82" t="n">
        <v>1</v>
      </c>
      <c r="J82" t="n">
        <v>2</v>
      </c>
      <c r="K82" t="n">
        <v>4</v>
      </c>
      <c r="L82" t="n">
        <v>2</v>
      </c>
      <c r="M82" s="236" t="n">
        <v>0</v>
      </c>
      <c r="N82" t="inlineStr"/>
      <c r="O82" s="236" t="n">
        <v>2.05</v>
      </c>
      <c r="P82" s="236" t="n">
        <v>2.05</v>
      </c>
      <c r="Q82" s="224" t="inlineStr">
        <is>
          <t>D — Deprioritized</t>
        </is>
      </c>
      <c r="R82" s="226" t="n">
        <v>0</v>
      </c>
      <c r="S82" s="226" t="n">
        <v>0.018</v>
      </c>
      <c r="T82" s="226" t="n">
        <v>0.05500000000000001</v>
      </c>
      <c r="U82" s="226" t="n">
        <v>0.082</v>
      </c>
      <c r="V82" s="226" t="n">
        <v>0.1</v>
      </c>
      <c r="W82" s="227" t="n">
        <v>0</v>
      </c>
      <c r="X82" s="227" t="n">
        <v>0</v>
      </c>
      <c r="Y82" s="227" t="n">
        <v>0</v>
      </c>
      <c r="Z82" s="227" t="n">
        <v>0</v>
      </c>
      <c r="AA82" s="227" t="n">
        <v>0</v>
      </c>
    </row>
    <row r="83">
      <c r="A83" t="inlineStr">
        <is>
          <t>Home2 Suites by Hilton Phoenix Midtown</t>
        </is>
      </c>
      <c r="B83" t="inlineStr">
        <is>
          <t>Hotel</t>
        </is>
      </c>
      <c r="C83" t="inlineStr">
        <is>
          <t>NO</t>
        </is>
      </c>
      <c r="D83" t="n">
        <v>103</v>
      </c>
      <c r="E83" t="inlineStr"/>
      <c r="F83" t="inlineStr"/>
      <c r="G83" s="227" t="n">
        <v>0</v>
      </c>
      <c r="H83" t="n">
        <v>3</v>
      </c>
      <c r="I83" t="n">
        <v>1</v>
      </c>
      <c r="J83" t="n">
        <v>3</v>
      </c>
      <c r="K83" t="n">
        <v>4</v>
      </c>
      <c r="L83" t="n">
        <v>2</v>
      </c>
      <c r="M83" s="236" t="n">
        <v>0.15</v>
      </c>
      <c r="N83" t="inlineStr">
        <is>
          <t>Brand familiarity (historical): Hilton_family</t>
        </is>
      </c>
      <c r="O83" s="236" t="n">
        <v>2.5</v>
      </c>
      <c r="P83" s="236" t="n">
        <v>2.65</v>
      </c>
      <c r="Q83" s="237" t="inlineStr">
        <is>
          <t>C — Opportunistic</t>
        </is>
      </c>
      <c r="R83" s="226" t="n">
        <v>0.02</v>
      </c>
      <c r="S83" s="226" t="n">
        <v>0.09724000000000002</v>
      </c>
      <c r="T83" s="226" t="n">
        <v>0.28625</v>
      </c>
      <c r="U83" s="226" t="n">
        <v>0.4145</v>
      </c>
      <c r="V83" s="226" t="n">
        <v>0.5</v>
      </c>
      <c r="W83" s="227" t="n">
        <v>0</v>
      </c>
      <c r="X83" s="227" t="n">
        <v>0</v>
      </c>
      <c r="Y83" s="227" t="n">
        <v>0</v>
      </c>
      <c r="Z83" s="227" t="n">
        <v>0</v>
      </c>
      <c r="AA83" s="227" t="n">
        <v>0</v>
      </c>
    </row>
    <row r="84">
      <c r="A84" t="inlineStr">
        <is>
          <t>The Clarendon Hotel and Spa</t>
        </is>
      </c>
      <c r="B84" t="inlineStr">
        <is>
          <t>Hotel</t>
        </is>
      </c>
      <c r="C84" t="inlineStr">
        <is>
          <t>NO</t>
        </is>
      </c>
      <c r="D84" t="n">
        <v>105</v>
      </c>
      <c r="E84" t="inlineStr"/>
      <c r="F84" t="inlineStr">
        <is>
          <t>No Valet</t>
        </is>
      </c>
      <c r="G84" s="227" t="n">
        <v>0</v>
      </c>
      <c r="H84" t="n">
        <v>3</v>
      </c>
      <c r="I84" t="n">
        <v>1</v>
      </c>
      <c r="J84" t="n">
        <v>2</v>
      </c>
      <c r="K84" t="n">
        <v>4</v>
      </c>
      <c r="L84" t="n">
        <v>2</v>
      </c>
      <c r="M84" s="236" t="n">
        <v>0</v>
      </c>
      <c r="N84" t="inlineStr"/>
      <c r="O84" s="236" t="n">
        <v>2.3</v>
      </c>
      <c r="P84" s="236" t="n">
        <v>2.3</v>
      </c>
      <c r="Q84" s="224" t="inlineStr">
        <is>
          <t>D — Deprioritized</t>
        </is>
      </c>
      <c r="R84" s="226" t="n">
        <v>0</v>
      </c>
      <c r="S84" s="226" t="n">
        <v>0.018</v>
      </c>
      <c r="T84" s="226" t="n">
        <v>0.05500000000000001</v>
      </c>
      <c r="U84" s="226" t="n">
        <v>0.082</v>
      </c>
      <c r="V84" s="226" t="n">
        <v>0.1</v>
      </c>
      <c r="W84" s="227" t="n">
        <v>0</v>
      </c>
      <c r="X84" s="227" t="n">
        <v>0</v>
      </c>
      <c r="Y84" s="227" t="n">
        <v>0</v>
      </c>
      <c r="Z84" s="227" t="n">
        <v>0</v>
      </c>
      <c r="AA84" s="227" t="n">
        <v>0</v>
      </c>
    </row>
    <row r="85">
      <c r="A85" t="inlineStr">
        <is>
          <t>Fairfield Inn &amp; Suites Phoenix Midtown</t>
        </is>
      </c>
      <c r="B85" t="inlineStr">
        <is>
          <t>Hotel</t>
        </is>
      </c>
      <c r="C85" t="inlineStr">
        <is>
          <t>NO</t>
        </is>
      </c>
      <c r="D85" t="n">
        <v>107</v>
      </c>
      <c r="E85" t="inlineStr"/>
      <c r="F85" t="inlineStr">
        <is>
          <t>No Valet</t>
        </is>
      </c>
      <c r="G85" s="227" t="n">
        <v>0</v>
      </c>
      <c r="H85" t="n">
        <v>3</v>
      </c>
      <c r="I85" t="n">
        <v>1</v>
      </c>
      <c r="J85" t="n">
        <v>2</v>
      </c>
      <c r="K85" t="n">
        <v>4</v>
      </c>
      <c r="L85" t="n">
        <v>2</v>
      </c>
      <c r="M85" s="236" t="n">
        <v>0.3</v>
      </c>
      <c r="N85" t="inlineStr">
        <is>
          <t>Brand familiarity (current): Marriott_family</t>
        </is>
      </c>
      <c r="O85" s="236" t="n">
        <v>2.3</v>
      </c>
      <c r="P85" s="236" t="n">
        <v>2.6</v>
      </c>
      <c r="Q85" s="237" t="inlineStr">
        <is>
          <t>C — Opportunistic</t>
        </is>
      </c>
      <c r="R85" s="226" t="n">
        <v>0.02</v>
      </c>
      <c r="S85" s="226" t="n">
        <v>0.09724000000000002</v>
      </c>
      <c r="T85" s="226" t="n">
        <v>0.28625</v>
      </c>
      <c r="U85" s="226" t="n">
        <v>0.4145</v>
      </c>
      <c r="V85" s="226" t="n">
        <v>0.5</v>
      </c>
      <c r="W85" s="227" t="n">
        <v>0</v>
      </c>
      <c r="X85" s="227" t="n">
        <v>0</v>
      </c>
      <c r="Y85" s="227" t="n">
        <v>0</v>
      </c>
      <c r="Z85" s="227" t="n">
        <v>0</v>
      </c>
      <c r="AA85" s="227" t="n">
        <v>0</v>
      </c>
    </row>
    <row r="86">
      <c r="A86" t="inlineStr">
        <is>
          <t>Hilton Garden Inn Phoenix Midtown</t>
        </is>
      </c>
      <c r="B86" t="inlineStr">
        <is>
          <t>Hotel</t>
        </is>
      </c>
      <c r="C86" t="inlineStr">
        <is>
          <t>NO</t>
        </is>
      </c>
      <c r="D86" t="n">
        <v>156</v>
      </c>
      <c r="E86" t="inlineStr"/>
      <c r="F86" t="inlineStr"/>
      <c r="G86" s="227" t="n">
        <v>0</v>
      </c>
      <c r="H86" t="n">
        <v>3</v>
      </c>
      <c r="I86" t="n">
        <v>1</v>
      </c>
      <c r="J86" t="n">
        <v>3</v>
      </c>
      <c r="K86" t="n">
        <v>4</v>
      </c>
      <c r="L86" t="n">
        <v>2</v>
      </c>
      <c r="M86" s="236" t="n">
        <v>0.15</v>
      </c>
      <c r="N86" t="inlineStr">
        <is>
          <t>Brand familiarity (historical): Hilton_family</t>
        </is>
      </c>
      <c r="O86" s="236" t="n">
        <v>2.5</v>
      </c>
      <c r="P86" s="236" t="n">
        <v>2.65</v>
      </c>
      <c r="Q86" s="237" t="inlineStr">
        <is>
          <t>C — Opportunistic</t>
        </is>
      </c>
      <c r="R86" s="226" t="n">
        <v>0.02</v>
      </c>
      <c r="S86" s="226" t="n">
        <v>0.09724000000000002</v>
      </c>
      <c r="T86" s="226" t="n">
        <v>0.28625</v>
      </c>
      <c r="U86" s="226" t="n">
        <v>0.4145</v>
      </c>
      <c r="V86" s="226" t="n">
        <v>0.5</v>
      </c>
      <c r="W86" s="227" t="n">
        <v>0</v>
      </c>
      <c r="X86" s="227" t="n">
        <v>0</v>
      </c>
      <c r="Y86" s="227" t="n">
        <v>0</v>
      </c>
      <c r="Z86" s="227" t="n">
        <v>0</v>
      </c>
      <c r="AA86" s="227" t="n">
        <v>0</v>
      </c>
    </row>
    <row r="87">
      <c r="A87" t="inlineStr">
        <is>
          <t>JW Marriott Phoenix Desert Ridge Resort &amp; Spa</t>
        </is>
      </c>
      <c r="B87" t="inlineStr">
        <is>
          <t>Hotel</t>
        </is>
      </c>
      <c r="C87" t="inlineStr">
        <is>
          <t>NO</t>
        </is>
      </c>
      <c r="D87" t="n">
        <v>950</v>
      </c>
      <c r="E87" t="inlineStr"/>
      <c r="F87" t="n">
        <v>46</v>
      </c>
      <c r="G87" s="227" t="n">
        <v>4719600</v>
      </c>
      <c r="H87" t="n">
        <v>5</v>
      </c>
      <c r="I87" t="n">
        <v>5</v>
      </c>
      <c r="J87" t="n">
        <v>3</v>
      </c>
      <c r="K87" t="n">
        <v>4</v>
      </c>
      <c r="L87" t="n">
        <v>2</v>
      </c>
      <c r="M87" s="236" t="n">
        <v>0.3</v>
      </c>
      <c r="N87" t="inlineStr">
        <is>
          <t>Brand familiarity (current): Marriott_family</t>
        </is>
      </c>
      <c r="O87" s="236" t="n">
        <v>4</v>
      </c>
      <c r="P87" s="236" t="n">
        <v>4.3</v>
      </c>
      <c r="Q87" s="238" t="inlineStr">
        <is>
          <t>B — Core</t>
        </is>
      </c>
      <c r="R87" s="226" t="n">
        <v>0.08</v>
      </c>
      <c r="S87" s="226" t="n">
        <v>0.22066</v>
      </c>
      <c r="T87" s="226" t="n">
        <v>0.560625</v>
      </c>
      <c r="U87" s="226" t="n">
        <v>0.7867499999999999</v>
      </c>
      <c r="V87" s="226" t="n">
        <v>0.9375</v>
      </c>
      <c r="W87" s="227" t="n">
        <v>377568</v>
      </c>
      <c r="X87" s="227" t="n">
        <v>1041426.936</v>
      </c>
      <c r="Y87" s="227" t="n">
        <v>2645925.75</v>
      </c>
      <c r="Z87" s="227" t="n">
        <v>3713145.3</v>
      </c>
      <c r="AA87" s="227" t="n">
        <v>4424625</v>
      </c>
    </row>
    <row r="88">
      <c r="A88" t="inlineStr">
        <is>
          <t>Marriott's Canyon Villas</t>
        </is>
      </c>
      <c r="B88" t="inlineStr">
        <is>
          <t>Hotel</t>
        </is>
      </c>
      <c r="C88" t="inlineStr">
        <is>
          <t>NO</t>
        </is>
      </c>
      <c r="D88" t="n">
        <v>252</v>
      </c>
      <c r="E88" t="inlineStr"/>
      <c r="F88" t="inlineStr">
        <is>
          <t>No Valet</t>
        </is>
      </c>
      <c r="G88" s="227" t="n">
        <v>0</v>
      </c>
      <c r="H88" t="n">
        <v>4</v>
      </c>
      <c r="I88" t="n">
        <v>1</v>
      </c>
      <c r="J88" t="n">
        <v>3</v>
      </c>
      <c r="K88" t="n">
        <v>4</v>
      </c>
      <c r="L88" t="n">
        <v>2</v>
      </c>
      <c r="M88" s="236" t="n">
        <v>0.3</v>
      </c>
      <c r="N88" t="inlineStr">
        <is>
          <t>Brand familiarity (current): Marriott_family</t>
        </is>
      </c>
      <c r="O88" s="236" t="n">
        <v>2.75</v>
      </c>
      <c r="P88" s="236" t="n">
        <v>3.05</v>
      </c>
      <c r="Q88" s="237" t="inlineStr">
        <is>
          <t>C — Opportunistic</t>
        </is>
      </c>
      <c r="R88" s="226" t="n">
        <v>0.02</v>
      </c>
      <c r="S88" s="226" t="n">
        <v>0.09724000000000002</v>
      </c>
      <c r="T88" s="226" t="n">
        <v>0.28625</v>
      </c>
      <c r="U88" s="226" t="n">
        <v>0.4145</v>
      </c>
      <c r="V88" s="226" t="n">
        <v>0.5</v>
      </c>
      <c r="W88" s="227" t="n">
        <v>0</v>
      </c>
      <c r="X88" s="227" t="n">
        <v>0</v>
      </c>
      <c r="Y88" s="227" t="n">
        <v>0</v>
      </c>
      <c r="Z88" s="227" t="n">
        <v>0</v>
      </c>
      <c r="AA88" s="227" t="n">
        <v>0</v>
      </c>
    </row>
    <row r="89">
      <c r="A89" t="inlineStr">
        <is>
          <t>Fairmont Gold Lounge</t>
        </is>
      </c>
      <c r="B89" t="inlineStr">
        <is>
          <t>Hotel</t>
        </is>
      </c>
      <c r="C89" t="inlineStr">
        <is>
          <t>NO</t>
        </is>
      </c>
      <c r="D89" t="n">
        <v>0</v>
      </c>
      <c r="E89" t="inlineStr"/>
      <c r="F89" t="inlineStr"/>
      <c r="G89" s="227" t="n">
        <v>0</v>
      </c>
      <c r="H89" t="n">
        <v>2</v>
      </c>
      <c r="I89" t="n">
        <v>1</v>
      </c>
      <c r="J89" t="n">
        <v>2</v>
      </c>
      <c r="K89" t="n">
        <v>4</v>
      </c>
      <c r="L89" t="n">
        <v>2</v>
      </c>
      <c r="M89" s="236" t="n">
        <v>0</v>
      </c>
      <c r="N89" t="inlineStr"/>
      <c r="O89" s="236" t="n">
        <v>2.05</v>
      </c>
      <c r="P89" s="236" t="n">
        <v>2.05</v>
      </c>
      <c r="Q89" s="224" t="inlineStr">
        <is>
          <t>D — Deprioritized</t>
        </is>
      </c>
      <c r="R89" s="226" t="n">
        <v>0</v>
      </c>
      <c r="S89" s="226" t="n">
        <v>0.018</v>
      </c>
      <c r="T89" s="226" t="n">
        <v>0.05500000000000001</v>
      </c>
      <c r="U89" s="226" t="n">
        <v>0.082</v>
      </c>
      <c r="V89" s="226" t="n">
        <v>0.1</v>
      </c>
      <c r="W89" s="227" t="n">
        <v>0</v>
      </c>
      <c r="X89" s="227" t="n">
        <v>0</v>
      </c>
      <c r="Y89" s="227" t="n">
        <v>0</v>
      </c>
      <c r="Z89" s="227" t="n">
        <v>0</v>
      </c>
      <c r="AA89" s="227" t="n">
        <v>0</v>
      </c>
    </row>
    <row r="90">
      <c r="A90" t="inlineStr">
        <is>
          <t>AC Hotel Scottsdale North</t>
        </is>
      </c>
      <c r="B90" t="inlineStr">
        <is>
          <t>Hotel</t>
        </is>
      </c>
      <c r="C90" t="inlineStr">
        <is>
          <t>NO</t>
        </is>
      </c>
      <c r="D90" t="n">
        <v>165</v>
      </c>
      <c r="E90" t="inlineStr"/>
      <c r="F90" t="inlineStr">
        <is>
          <t>No Valet</t>
        </is>
      </c>
      <c r="G90" s="227" t="n">
        <v>0</v>
      </c>
      <c r="H90" t="n">
        <v>3</v>
      </c>
      <c r="I90" t="n">
        <v>1</v>
      </c>
      <c r="J90" t="n">
        <v>2</v>
      </c>
      <c r="K90" t="n">
        <v>4</v>
      </c>
      <c r="L90" t="n">
        <v>2</v>
      </c>
      <c r="M90" s="236" t="n">
        <v>0</v>
      </c>
      <c r="N90" t="inlineStr"/>
      <c r="O90" s="236" t="n">
        <v>2.3</v>
      </c>
      <c r="P90" s="236" t="n">
        <v>2.3</v>
      </c>
      <c r="Q90" s="224" t="inlineStr">
        <is>
          <t>D — Deprioritized</t>
        </is>
      </c>
      <c r="R90" s="226" t="n">
        <v>0</v>
      </c>
      <c r="S90" s="226" t="n">
        <v>0.018</v>
      </c>
      <c r="T90" s="226" t="n">
        <v>0.05500000000000001</v>
      </c>
      <c r="U90" s="226" t="n">
        <v>0.082</v>
      </c>
      <c r="V90" s="226" t="n">
        <v>0.1</v>
      </c>
      <c r="W90" s="227" t="n">
        <v>0</v>
      </c>
      <c r="X90" s="227" t="n">
        <v>0</v>
      </c>
      <c r="Y90" s="227" t="n">
        <v>0</v>
      </c>
      <c r="Z90" s="227" t="n">
        <v>0</v>
      </c>
      <c r="AA90" s="227" t="n">
        <v>0</v>
      </c>
    </row>
    <row r="91">
      <c r="A91" t="inlineStr">
        <is>
          <t>Courtyard Scottsdale Old Town</t>
        </is>
      </c>
      <c r="B91" t="inlineStr">
        <is>
          <t>Hotel</t>
        </is>
      </c>
      <c r="C91" t="inlineStr">
        <is>
          <t>NO</t>
        </is>
      </c>
      <c r="D91" t="n">
        <v>180</v>
      </c>
      <c r="E91" t="inlineStr"/>
      <c r="F91" t="inlineStr">
        <is>
          <t>No Valet</t>
        </is>
      </c>
      <c r="G91" s="227" t="n">
        <v>0</v>
      </c>
      <c r="H91" t="n">
        <v>3</v>
      </c>
      <c r="I91" t="n">
        <v>1</v>
      </c>
      <c r="J91" t="n">
        <v>3</v>
      </c>
      <c r="K91" t="n">
        <v>4</v>
      </c>
      <c r="L91" t="n">
        <v>2</v>
      </c>
      <c r="M91" s="236" t="n">
        <v>0</v>
      </c>
      <c r="N91" t="inlineStr"/>
      <c r="O91" s="236" t="n">
        <v>2.5</v>
      </c>
      <c r="P91" s="236" t="n">
        <v>2.5</v>
      </c>
      <c r="Q91" s="237" t="inlineStr">
        <is>
          <t>C — Opportunistic</t>
        </is>
      </c>
      <c r="R91" s="226" t="n">
        <v>0.02</v>
      </c>
      <c r="S91" s="226" t="n">
        <v>0.09724000000000002</v>
      </c>
      <c r="T91" s="226" t="n">
        <v>0.28625</v>
      </c>
      <c r="U91" s="226" t="n">
        <v>0.4145</v>
      </c>
      <c r="V91" s="226" t="n">
        <v>0.5</v>
      </c>
      <c r="W91" s="227" t="n">
        <v>0</v>
      </c>
      <c r="X91" s="227" t="n">
        <v>0</v>
      </c>
      <c r="Y91" s="227" t="n">
        <v>0</v>
      </c>
      <c r="Z91" s="227" t="n">
        <v>0</v>
      </c>
      <c r="AA91" s="227" t="n">
        <v>0</v>
      </c>
    </row>
    <row r="92">
      <c r="A92" t="inlineStr">
        <is>
          <t>Scottsdale Marriott Old Town</t>
        </is>
      </c>
      <c r="B92" t="inlineStr">
        <is>
          <t>Hotel</t>
        </is>
      </c>
      <c r="C92" t="inlineStr">
        <is>
          <t>NO</t>
        </is>
      </c>
      <c r="D92" t="n">
        <v>243</v>
      </c>
      <c r="E92" t="inlineStr"/>
      <c r="F92" t="inlineStr">
        <is>
          <t>No Valet</t>
        </is>
      </c>
      <c r="G92" s="227" t="n">
        <v>0</v>
      </c>
      <c r="H92" t="n">
        <v>3</v>
      </c>
      <c r="I92" t="n">
        <v>1</v>
      </c>
      <c r="J92" t="n">
        <v>3</v>
      </c>
      <c r="K92" t="n">
        <v>4</v>
      </c>
      <c r="L92" t="n">
        <v>2</v>
      </c>
      <c r="M92" s="236" t="n">
        <v>0.3</v>
      </c>
      <c r="N92" t="inlineStr">
        <is>
          <t>Brand familiarity (current): Marriott_family</t>
        </is>
      </c>
      <c r="O92" s="236" t="n">
        <v>2.5</v>
      </c>
      <c r="P92" s="236" t="n">
        <v>2.8</v>
      </c>
      <c r="Q92" s="237" t="inlineStr">
        <is>
          <t>C — Opportunistic</t>
        </is>
      </c>
      <c r="R92" s="226" t="n">
        <v>0.02</v>
      </c>
      <c r="S92" s="226" t="n">
        <v>0.09724000000000002</v>
      </c>
      <c r="T92" s="226" t="n">
        <v>0.28625</v>
      </c>
      <c r="U92" s="226" t="n">
        <v>0.4145</v>
      </c>
      <c r="V92" s="226" t="n">
        <v>0.5</v>
      </c>
      <c r="W92" s="227" t="n">
        <v>0</v>
      </c>
      <c r="X92" s="227" t="n">
        <v>0</v>
      </c>
      <c r="Y92" s="227" t="n">
        <v>0</v>
      </c>
      <c r="Z92" s="227" t="n">
        <v>0</v>
      </c>
      <c r="AA92" s="227" t="n">
        <v>0</v>
      </c>
    </row>
    <row r="93">
      <c r="A93" t="inlineStr">
        <is>
          <t>The Monarch</t>
        </is>
      </c>
      <c r="B93" t="inlineStr">
        <is>
          <t>Hotel</t>
        </is>
      </c>
      <c r="C93" t="inlineStr">
        <is>
          <t>NO</t>
        </is>
      </c>
      <c r="D93" t="n">
        <v>194</v>
      </c>
      <c r="E93" t="inlineStr"/>
      <c r="F93" t="inlineStr">
        <is>
          <t>No Valet</t>
        </is>
      </c>
      <c r="G93" s="227" t="n">
        <v>0</v>
      </c>
      <c r="H93" t="n">
        <v>3</v>
      </c>
      <c r="I93" t="n">
        <v>1</v>
      </c>
      <c r="J93" t="n">
        <v>2</v>
      </c>
      <c r="K93" t="n">
        <v>4</v>
      </c>
      <c r="L93" t="n">
        <v>2</v>
      </c>
      <c r="M93" s="236" t="n">
        <v>0</v>
      </c>
      <c r="N93" t="inlineStr"/>
      <c r="O93" s="236" t="n">
        <v>2.3</v>
      </c>
      <c r="P93" s="236" t="n">
        <v>2.3</v>
      </c>
      <c r="Q93" s="224" t="inlineStr">
        <is>
          <t>D — Deprioritized</t>
        </is>
      </c>
      <c r="R93" s="226" t="n">
        <v>0</v>
      </c>
      <c r="S93" s="226" t="n">
        <v>0.018</v>
      </c>
      <c r="T93" s="226" t="n">
        <v>0.05500000000000001</v>
      </c>
      <c r="U93" s="226" t="n">
        <v>0.082</v>
      </c>
      <c r="V93" s="226" t="n">
        <v>0.1</v>
      </c>
      <c r="W93" s="227" t="n">
        <v>0</v>
      </c>
      <c r="X93" s="227" t="n">
        <v>0</v>
      </c>
      <c r="Y93" s="227" t="n">
        <v>0</v>
      </c>
      <c r="Z93" s="227" t="n">
        <v>0</v>
      </c>
      <c r="AA93" s="227" t="n">
        <v>0</v>
      </c>
    </row>
    <row r="94">
      <c r="A94" t="inlineStr">
        <is>
          <t>Hotel Adeline, Scottsdale, a Tribute Portfolio Hotel</t>
        </is>
      </c>
      <c r="B94" t="inlineStr">
        <is>
          <t>Hotel</t>
        </is>
      </c>
      <c r="C94" t="inlineStr">
        <is>
          <t>NO</t>
        </is>
      </c>
      <c r="D94" t="n">
        <v>213</v>
      </c>
      <c r="E94" t="inlineStr"/>
      <c r="F94" t="inlineStr">
        <is>
          <t>No Valet</t>
        </is>
      </c>
      <c r="G94" s="227" t="n">
        <v>0</v>
      </c>
      <c r="H94" t="n">
        <v>3</v>
      </c>
      <c r="I94" t="n">
        <v>1</v>
      </c>
      <c r="J94" t="n">
        <v>2</v>
      </c>
      <c r="K94" t="n">
        <v>4</v>
      </c>
      <c r="L94" t="n">
        <v>2</v>
      </c>
      <c r="M94" s="236" t="n">
        <v>0.3</v>
      </c>
      <c r="N94" t="inlineStr">
        <is>
          <t>Brand familiarity (current): Marriott_family</t>
        </is>
      </c>
      <c r="O94" s="236" t="n">
        <v>2.3</v>
      </c>
      <c r="P94" s="236" t="n">
        <v>2.6</v>
      </c>
      <c r="Q94" s="237" t="inlineStr">
        <is>
          <t>C — Opportunistic</t>
        </is>
      </c>
      <c r="R94" s="226" t="n">
        <v>0.02</v>
      </c>
      <c r="S94" s="226" t="n">
        <v>0.09724000000000002</v>
      </c>
      <c r="T94" s="226" t="n">
        <v>0.28625</v>
      </c>
      <c r="U94" s="226" t="n">
        <v>0.4145</v>
      </c>
      <c r="V94" s="226" t="n">
        <v>0.5</v>
      </c>
      <c r="W94" s="227" t="n">
        <v>0</v>
      </c>
      <c r="X94" s="227" t="n">
        <v>0</v>
      </c>
      <c r="Y94" s="227" t="n">
        <v>0</v>
      </c>
      <c r="Z94" s="227" t="n">
        <v>0</v>
      </c>
      <c r="AA94" s="227" t="n">
        <v>0</v>
      </c>
    </row>
    <row r="95">
      <c r="A95" t="inlineStr">
        <is>
          <t>Embassy Suites by Hilton Scottsdale Resort</t>
        </is>
      </c>
      <c r="B95" t="inlineStr">
        <is>
          <t>Hotel</t>
        </is>
      </c>
      <c r="C95" t="inlineStr">
        <is>
          <t>NO</t>
        </is>
      </c>
      <c r="D95" t="n">
        <v>312</v>
      </c>
      <c r="E95" t="inlineStr"/>
      <c r="F95" t="inlineStr">
        <is>
          <t>No Valet</t>
        </is>
      </c>
      <c r="G95" s="227" t="n">
        <v>0</v>
      </c>
      <c r="H95" t="n">
        <v>4</v>
      </c>
      <c r="I95" t="n">
        <v>1</v>
      </c>
      <c r="J95" t="n">
        <v>3</v>
      </c>
      <c r="K95" t="n">
        <v>4</v>
      </c>
      <c r="L95" t="n">
        <v>2</v>
      </c>
      <c r="M95" s="236" t="n">
        <v>0.15</v>
      </c>
      <c r="N95" t="inlineStr">
        <is>
          <t>Brand familiarity (historical): Hilton_family</t>
        </is>
      </c>
      <c r="O95" s="236" t="n">
        <v>2.75</v>
      </c>
      <c r="P95" s="236" t="n">
        <v>2.9</v>
      </c>
      <c r="Q95" s="237" t="inlineStr">
        <is>
          <t>C — Opportunistic</t>
        </is>
      </c>
      <c r="R95" s="226" t="n">
        <v>0.02</v>
      </c>
      <c r="S95" s="226" t="n">
        <v>0.09724000000000002</v>
      </c>
      <c r="T95" s="226" t="n">
        <v>0.28625</v>
      </c>
      <c r="U95" s="226" t="n">
        <v>0.4145</v>
      </c>
      <c r="V95" s="226" t="n">
        <v>0.5</v>
      </c>
      <c r="W95" s="227" t="n">
        <v>0</v>
      </c>
      <c r="X95" s="227" t="n">
        <v>0</v>
      </c>
      <c r="Y95" s="227" t="n">
        <v>0</v>
      </c>
      <c r="Z95" s="227" t="n">
        <v>0</v>
      </c>
      <c r="AA95" s="227" t="n">
        <v>0</v>
      </c>
    </row>
    <row r="96">
      <c r="A96" t="inlineStr">
        <is>
          <t>Senna House Hotel Scottsdale, Curio Collection by Hilton</t>
        </is>
      </c>
      <c r="B96" t="inlineStr">
        <is>
          <t>Hotel</t>
        </is>
      </c>
      <c r="C96" t="inlineStr">
        <is>
          <t>NO</t>
        </is>
      </c>
      <c r="D96" t="n">
        <v>169</v>
      </c>
      <c r="E96" t="inlineStr">
        <is>
          <t>Epic</t>
        </is>
      </c>
      <c r="F96" t="n">
        <v>40</v>
      </c>
      <c r="G96" s="227" t="n">
        <v>219023.9999999999</v>
      </c>
      <c r="H96" t="n">
        <v>3</v>
      </c>
      <c r="I96" t="n">
        <v>1</v>
      </c>
      <c r="J96" t="n">
        <v>3</v>
      </c>
      <c r="K96" t="n">
        <v>3</v>
      </c>
      <c r="L96" t="n">
        <v>2</v>
      </c>
      <c r="M96" s="236" t="n">
        <v>0.15</v>
      </c>
      <c r="N96" t="inlineStr">
        <is>
          <t>Brand familiarity (historical): Hilton_family</t>
        </is>
      </c>
      <c r="O96" s="236" t="n">
        <v>2.35</v>
      </c>
      <c r="P96" s="236" t="n">
        <v>2.5</v>
      </c>
      <c r="Q96" s="237" t="inlineStr">
        <is>
          <t>C — Opportunistic</t>
        </is>
      </c>
      <c r="R96" s="226" t="n">
        <v>0.02</v>
      </c>
      <c r="S96" s="226" t="n">
        <v>0.09724000000000002</v>
      </c>
      <c r="T96" s="226" t="n">
        <v>0.28625</v>
      </c>
      <c r="U96" s="226" t="n">
        <v>0.4145</v>
      </c>
      <c r="V96" s="226" t="n">
        <v>0.5</v>
      </c>
      <c r="W96" s="227" t="n">
        <v>4380.479999999999</v>
      </c>
      <c r="X96" s="227" t="n">
        <v>21297.89376</v>
      </c>
      <c r="Y96" s="227" t="n">
        <v>62695.61999999997</v>
      </c>
      <c r="Z96" s="227" t="n">
        <v>90785.44799999996</v>
      </c>
      <c r="AA96" s="227" t="n">
        <v>109512</v>
      </c>
    </row>
    <row r="97">
      <c r="A97" t="inlineStr">
        <is>
          <t>The REMI Scottsdale, Autograph Collection</t>
        </is>
      </c>
      <c r="B97" t="inlineStr">
        <is>
          <t>Hotel</t>
        </is>
      </c>
      <c r="C97" t="inlineStr">
        <is>
          <t>NO</t>
        </is>
      </c>
      <c r="D97" t="n">
        <v>0</v>
      </c>
      <c r="E97" t="inlineStr"/>
      <c r="F97" t="inlineStr">
        <is>
          <t>Valet Only</t>
        </is>
      </c>
      <c r="G97" s="227" t="n">
        <v>0</v>
      </c>
      <c r="H97" t="n">
        <v>2</v>
      </c>
      <c r="I97" t="n">
        <v>1</v>
      </c>
      <c r="J97" t="n">
        <v>3</v>
      </c>
      <c r="K97" t="n">
        <v>4</v>
      </c>
      <c r="L97" t="n">
        <v>2</v>
      </c>
      <c r="M97" s="236" t="n">
        <v>0.3</v>
      </c>
      <c r="N97" t="inlineStr">
        <is>
          <t>Brand familiarity (current): Marriott_family</t>
        </is>
      </c>
      <c r="O97" s="236" t="n">
        <v>2.25</v>
      </c>
      <c r="P97" s="236" t="n">
        <v>2.55</v>
      </c>
      <c r="Q97" s="237" t="inlineStr">
        <is>
          <t>C — Opportunistic</t>
        </is>
      </c>
      <c r="R97" s="226" t="n">
        <v>0.02</v>
      </c>
      <c r="S97" s="226" t="n">
        <v>0.09724000000000002</v>
      </c>
      <c r="T97" s="226" t="n">
        <v>0.28625</v>
      </c>
      <c r="U97" s="226" t="n">
        <v>0.4145</v>
      </c>
      <c r="V97" s="226" t="n">
        <v>0.5</v>
      </c>
      <c r="W97" s="227" t="n">
        <v>0</v>
      </c>
      <c r="X97" s="227" t="n">
        <v>0</v>
      </c>
      <c r="Y97" s="227" t="n">
        <v>0</v>
      </c>
      <c r="Z97" s="227" t="n">
        <v>0</v>
      </c>
      <c r="AA97" s="227" t="n">
        <v>0</v>
      </c>
    </row>
    <row r="98">
      <c r="A98" t="inlineStr">
        <is>
          <t>Caesars Republic Scottsdale, a Hilton Hotel</t>
        </is>
      </c>
      <c r="B98" t="inlineStr">
        <is>
          <t>Hotel</t>
        </is>
      </c>
      <c r="C98" t="inlineStr">
        <is>
          <t>NO</t>
        </is>
      </c>
      <c r="D98" t="n">
        <v>265</v>
      </c>
      <c r="E98" t="inlineStr"/>
      <c r="F98" t="n">
        <v>40</v>
      </c>
      <c r="G98" s="227" t="n">
        <v>343439.9999999999</v>
      </c>
      <c r="H98" t="n">
        <v>4</v>
      </c>
      <c r="I98" t="n">
        <v>2</v>
      </c>
      <c r="J98" t="n">
        <v>3</v>
      </c>
      <c r="K98" t="n">
        <v>4</v>
      </c>
      <c r="L98" t="n">
        <v>2</v>
      </c>
      <c r="M98" s="236" t="n">
        <v>0.15</v>
      </c>
      <c r="N98" t="inlineStr">
        <is>
          <t>Brand familiarity (historical): Hilton_family</t>
        </is>
      </c>
      <c r="O98" s="236" t="n">
        <v>3</v>
      </c>
      <c r="P98" s="236" t="n">
        <v>3.15</v>
      </c>
      <c r="Q98" s="237" t="inlineStr">
        <is>
          <t>C — Opportunistic</t>
        </is>
      </c>
      <c r="R98" s="226" t="n">
        <v>0.02</v>
      </c>
      <c r="S98" s="226" t="n">
        <v>0.09724000000000002</v>
      </c>
      <c r="T98" s="226" t="n">
        <v>0.28625</v>
      </c>
      <c r="U98" s="226" t="n">
        <v>0.4145</v>
      </c>
      <c r="V98" s="226" t="n">
        <v>0.5</v>
      </c>
      <c r="W98" s="227" t="n">
        <v>6868.799999999997</v>
      </c>
      <c r="X98" s="227" t="n">
        <v>33396.1056</v>
      </c>
      <c r="Y98" s="227" t="n">
        <v>98309.69999999997</v>
      </c>
      <c r="Z98" s="227" t="n">
        <v>142355.8799999999</v>
      </c>
      <c r="AA98" s="227" t="n">
        <v>171719.9999999999</v>
      </c>
    </row>
    <row r="99">
      <c r="A99" t="inlineStr">
        <is>
          <t>DoubleTree Resort by Hilton Paradise Valley-Scottsdale</t>
        </is>
      </c>
      <c r="B99" t="inlineStr">
        <is>
          <t>Hotel</t>
        </is>
      </c>
      <c r="C99" t="inlineStr">
        <is>
          <t>NO</t>
        </is>
      </c>
      <c r="D99" t="n">
        <v>378</v>
      </c>
      <c r="E99" t="inlineStr"/>
      <c r="F99" t="n">
        <v>20</v>
      </c>
      <c r="G99" s="227" t="n">
        <v>816480</v>
      </c>
      <c r="H99" t="n">
        <v>4</v>
      </c>
      <c r="I99" t="n">
        <v>3</v>
      </c>
      <c r="J99" t="n">
        <v>3</v>
      </c>
      <c r="K99" t="n">
        <v>4</v>
      </c>
      <c r="L99" t="n">
        <v>2</v>
      </c>
      <c r="M99" s="236" t="n">
        <v>0.15</v>
      </c>
      <c r="N99" t="inlineStr">
        <is>
          <t>Brand familiarity (historical): Hilton_family</t>
        </is>
      </c>
      <c r="O99" s="236" t="n">
        <v>3.25</v>
      </c>
      <c r="P99" s="236" t="n">
        <v>3.4</v>
      </c>
      <c r="Q99" s="237" t="inlineStr">
        <is>
          <t>C — Opportunistic</t>
        </is>
      </c>
      <c r="R99" s="226" t="n">
        <v>0.02</v>
      </c>
      <c r="S99" s="226" t="n">
        <v>0.09724000000000002</v>
      </c>
      <c r="T99" s="226" t="n">
        <v>0.28625</v>
      </c>
      <c r="U99" s="226" t="n">
        <v>0.4145</v>
      </c>
      <c r="V99" s="226" t="n">
        <v>0.5</v>
      </c>
      <c r="W99" s="227" t="n">
        <v>16329.6</v>
      </c>
      <c r="X99" s="227" t="n">
        <v>79394.51520000002</v>
      </c>
      <c r="Y99" s="227" t="n">
        <v>233717.4</v>
      </c>
      <c r="Z99" s="227" t="n">
        <v>338430.96</v>
      </c>
      <c r="AA99" s="227" t="n">
        <v>408240</v>
      </c>
    </row>
    <row r="100">
      <c r="A100" t="inlineStr">
        <is>
          <t>Home2 Suites by Hilton Scottsdale North</t>
        </is>
      </c>
      <c r="B100" t="inlineStr">
        <is>
          <t>Hotel</t>
        </is>
      </c>
      <c r="C100" t="inlineStr">
        <is>
          <t>NO</t>
        </is>
      </c>
      <c r="D100" t="n">
        <v>130</v>
      </c>
      <c r="E100" t="inlineStr"/>
      <c r="F100" t="inlineStr"/>
      <c r="G100" s="227" t="n">
        <v>0</v>
      </c>
      <c r="H100" t="n">
        <v>3</v>
      </c>
      <c r="I100" t="n">
        <v>1</v>
      </c>
      <c r="J100" t="n">
        <v>3</v>
      </c>
      <c r="K100" t="n">
        <v>4</v>
      </c>
      <c r="L100" t="n">
        <v>2</v>
      </c>
      <c r="M100" s="236" t="n">
        <v>0.15</v>
      </c>
      <c r="N100" t="inlineStr">
        <is>
          <t>Brand familiarity (historical): Hilton_family</t>
        </is>
      </c>
      <c r="O100" s="236" t="n">
        <v>2.5</v>
      </c>
      <c r="P100" s="236" t="n">
        <v>2.65</v>
      </c>
      <c r="Q100" s="237" t="inlineStr">
        <is>
          <t>C — Opportunistic</t>
        </is>
      </c>
      <c r="R100" s="226" t="n">
        <v>0.02</v>
      </c>
      <c r="S100" s="226" t="n">
        <v>0.09724000000000002</v>
      </c>
      <c r="T100" s="226" t="n">
        <v>0.28625</v>
      </c>
      <c r="U100" s="226" t="n">
        <v>0.4145</v>
      </c>
      <c r="V100" s="226" t="n">
        <v>0.5</v>
      </c>
      <c r="W100" s="227" t="n">
        <v>0</v>
      </c>
      <c r="X100" s="227" t="n">
        <v>0</v>
      </c>
      <c r="Y100" s="227" t="n">
        <v>0</v>
      </c>
      <c r="Z100" s="227" t="n">
        <v>0</v>
      </c>
      <c r="AA100" s="227" t="n">
        <v>0</v>
      </c>
    </row>
    <row r="101">
      <c r="A101" t="inlineStr">
        <is>
          <t>Courtyard Scottsdale North</t>
        </is>
      </c>
      <c r="B101" t="inlineStr">
        <is>
          <t>Hotel</t>
        </is>
      </c>
      <c r="C101" t="inlineStr">
        <is>
          <t>NO</t>
        </is>
      </c>
      <c r="D101" t="n">
        <v>153</v>
      </c>
      <c r="E101" t="inlineStr"/>
      <c r="F101" t="inlineStr">
        <is>
          <t>No Valet</t>
        </is>
      </c>
      <c r="G101" s="227" t="n">
        <v>0</v>
      </c>
      <c r="H101" t="n">
        <v>3</v>
      </c>
      <c r="I101" t="n">
        <v>1</v>
      </c>
      <c r="J101" t="n">
        <v>3</v>
      </c>
      <c r="K101" t="n">
        <v>4</v>
      </c>
      <c r="L101" t="n">
        <v>2</v>
      </c>
      <c r="M101" s="236" t="n">
        <v>0</v>
      </c>
      <c r="N101" t="inlineStr"/>
      <c r="O101" s="236" t="n">
        <v>2.5</v>
      </c>
      <c r="P101" s="236" t="n">
        <v>2.5</v>
      </c>
      <c r="Q101" s="237" t="inlineStr">
        <is>
          <t>C — Opportunistic</t>
        </is>
      </c>
      <c r="R101" s="226" t="n">
        <v>0.02</v>
      </c>
      <c r="S101" s="226" t="n">
        <v>0.09724000000000002</v>
      </c>
      <c r="T101" s="226" t="n">
        <v>0.28625</v>
      </c>
      <c r="U101" s="226" t="n">
        <v>0.4145</v>
      </c>
      <c r="V101" s="226" t="n">
        <v>0.5</v>
      </c>
      <c r="W101" s="227" t="n">
        <v>0</v>
      </c>
      <c r="X101" s="227" t="n">
        <v>0</v>
      </c>
      <c r="Y101" s="227" t="n">
        <v>0</v>
      </c>
      <c r="Z101" s="227" t="n">
        <v>0</v>
      </c>
      <c r="AA101" s="227" t="n">
        <v>0</v>
      </c>
    </row>
    <row r="102">
      <c r="A102" t="inlineStr">
        <is>
          <t>Cambria Hotel Phoenix - North Scottsdale</t>
        </is>
      </c>
      <c r="B102" t="inlineStr">
        <is>
          <t>Hotel</t>
        </is>
      </c>
      <c r="C102" t="inlineStr">
        <is>
          <t>NO</t>
        </is>
      </c>
      <c r="D102" t="n">
        <v>130</v>
      </c>
      <c r="E102" t="inlineStr"/>
      <c r="F102" t="inlineStr">
        <is>
          <t>No Valet</t>
        </is>
      </c>
      <c r="G102" s="227" t="n">
        <v>0</v>
      </c>
      <c r="H102" t="n">
        <v>3</v>
      </c>
      <c r="I102" t="n">
        <v>1</v>
      </c>
      <c r="J102" t="n">
        <v>2</v>
      </c>
      <c r="K102" t="n">
        <v>4</v>
      </c>
      <c r="L102" t="n">
        <v>2</v>
      </c>
      <c r="M102" s="236" t="n">
        <v>0</v>
      </c>
      <c r="N102" t="inlineStr"/>
      <c r="O102" s="236" t="n">
        <v>2.3</v>
      </c>
      <c r="P102" s="236" t="n">
        <v>2.3</v>
      </c>
      <c r="Q102" s="224" t="inlineStr">
        <is>
          <t>D — Deprioritized</t>
        </is>
      </c>
      <c r="R102" s="226" t="n">
        <v>0</v>
      </c>
      <c r="S102" s="226" t="n">
        <v>0.018</v>
      </c>
      <c r="T102" s="226" t="n">
        <v>0.05500000000000001</v>
      </c>
      <c r="U102" s="226" t="n">
        <v>0.082</v>
      </c>
      <c r="V102" s="226" t="n">
        <v>0.1</v>
      </c>
      <c r="W102" s="227" t="n">
        <v>0</v>
      </c>
      <c r="X102" s="227" t="n">
        <v>0</v>
      </c>
      <c r="Y102" s="227" t="n">
        <v>0</v>
      </c>
      <c r="Z102" s="227" t="n">
        <v>0</v>
      </c>
      <c r="AA102" s="227" t="n">
        <v>0</v>
      </c>
    </row>
    <row r="103">
      <c r="A103" t="inlineStr">
        <is>
          <t>Great Wolf Lodge Water Park | Arizona</t>
        </is>
      </c>
      <c r="B103" t="inlineStr">
        <is>
          <t>Hotel</t>
        </is>
      </c>
      <c r="C103" t="inlineStr">
        <is>
          <t>NO</t>
        </is>
      </c>
      <c r="D103" t="n">
        <v>0</v>
      </c>
      <c r="E103" t="inlineStr"/>
      <c r="F103" t="inlineStr">
        <is>
          <t>No Valet</t>
        </is>
      </c>
      <c r="G103" s="227" t="n">
        <v>0</v>
      </c>
      <c r="H103" t="n">
        <v>2</v>
      </c>
      <c r="I103" t="n">
        <v>1</v>
      </c>
      <c r="J103" t="n">
        <v>2</v>
      </c>
      <c r="K103" t="n">
        <v>4</v>
      </c>
      <c r="L103" t="n">
        <v>2</v>
      </c>
      <c r="M103" s="236" t="n">
        <v>0</v>
      </c>
      <c r="N103" t="inlineStr"/>
      <c r="O103" s="236" t="n">
        <v>2.05</v>
      </c>
      <c r="P103" s="236" t="n">
        <v>2.05</v>
      </c>
      <c r="Q103" s="224" t="inlineStr">
        <is>
          <t>D — Deprioritized</t>
        </is>
      </c>
      <c r="R103" s="226" t="n">
        <v>0</v>
      </c>
      <c r="S103" s="226" t="n">
        <v>0.018</v>
      </c>
      <c r="T103" s="226" t="n">
        <v>0.05500000000000001</v>
      </c>
      <c r="U103" s="226" t="n">
        <v>0.082</v>
      </c>
      <c r="V103" s="226" t="n">
        <v>0.1</v>
      </c>
      <c r="W103" s="227" t="n">
        <v>0</v>
      </c>
      <c r="X103" s="227" t="n">
        <v>0</v>
      </c>
      <c r="Y103" s="227" t="n">
        <v>0</v>
      </c>
      <c r="Z103" s="227" t="n">
        <v>0</v>
      </c>
      <c r="AA103" s="227" t="n">
        <v>0</v>
      </c>
    </row>
    <row r="104">
      <c r="A104" t="inlineStr">
        <is>
          <t>Residence Inn Scottsdale North</t>
        </is>
      </c>
      <c r="B104" t="inlineStr">
        <is>
          <t>Hotel</t>
        </is>
      </c>
      <c r="C104" t="inlineStr">
        <is>
          <t>NO</t>
        </is>
      </c>
      <c r="D104" t="n">
        <v>120</v>
      </c>
      <c r="E104" t="inlineStr"/>
      <c r="F104" t="inlineStr">
        <is>
          <t>No Valet</t>
        </is>
      </c>
      <c r="G104" s="227" t="n">
        <v>0</v>
      </c>
      <c r="H104" t="n">
        <v>3</v>
      </c>
      <c r="I104" t="n">
        <v>1</v>
      </c>
      <c r="J104" t="n">
        <v>3</v>
      </c>
      <c r="K104" t="n">
        <v>4</v>
      </c>
      <c r="L104" t="n">
        <v>2</v>
      </c>
      <c r="M104" s="236" t="n">
        <v>0.3</v>
      </c>
      <c r="N104" t="inlineStr">
        <is>
          <t>Brand familiarity (current): Marriott_family</t>
        </is>
      </c>
      <c r="O104" s="236" t="n">
        <v>2.5</v>
      </c>
      <c r="P104" s="236" t="n">
        <v>2.8</v>
      </c>
      <c r="Q104" s="237" t="inlineStr">
        <is>
          <t>C — Opportunistic</t>
        </is>
      </c>
      <c r="R104" s="226" t="n">
        <v>0.02</v>
      </c>
      <c r="S104" s="226" t="n">
        <v>0.09724000000000002</v>
      </c>
      <c r="T104" s="226" t="n">
        <v>0.28625</v>
      </c>
      <c r="U104" s="226" t="n">
        <v>0.4145</v>
      </c>
      <c r="V104" s="226" t="n">
        <v>0.5</v>
      </c>
      <c r="W104" s="227" t="n">
        <v>0</v>
      </c>
      <c r="X104" s="227" t="n">
        <v>0</v>
      </c>
      <c r="Y104" s="227" t="n">
        <v>0</v>
      </c>
      <c r="Z104" s="227" t="n">
        <v>0</v>
      </c>
      <c r="AA104" s="227" t="n">
        <v>0</v>
      </c>
    </row>
    <row r="105">
      <c r="A105" t="inlineStr">
        <is>
          <t>Orange Tree Resort</t>
        </is>
      </c>
      <c r="B105" t="inlineStr">
        <is>
          <t>Hotel</t>
        </is>
      </c>
      <c r="C105" t="inlineStr">
        <is>
          <t>NO</t>
        </is>
      </c>
      <c r="D105" t="n">
        <v>0</v>
      </c>
      <c r="E105" t="inlineStr"/>
      <c r="F105" t="inlineStr">
        <is>
          <t>No Valet</t>
        </is>
      </c>
      <c r="G105" s="227" t="n">
        <v>0</v>
      </c>
      <c r="H105" t="n">
        <v>2</v>
      </c>
      <c r="I105" t="n">
        <v>1</v>
      </c>
      <c r="J105" t="n">
        <v>2</v>
      </c>
      <c r="K105" t="n">
        <v>4</v>
      </c>
      <c r="L105" t="n">
        <v>2</v>
      </c>
      <c r="M105" s="236" t="n">
        <v>0</v>
      </c>
      <c r="N105" t="inlineStr"/>
      <c r="O105" s="236" t="n">
        <v>2.05</v>
      </c>
      <c r="P105" s="236" t="n">
        <v>2.05</v>
      </c>
      <c r="Q105" s="224" t="inlineStr">
        <is>
          <t>D — Deprioritized</t>
        </is>
      </c>
      <c r="R105" s="226" t="n">
        <v>0</v>
      </c>
      <c r="S105" s="226" t="n">
        <v>0.018</v>
      </c>
      <c r="T105" s="226" t="n">
        <v>0.05500000000000001</v>
      </c>
      <c r="U105" s="226" t="n">
        <v>0.082</v>
      </c>
      <c r="V105" s="226" t="n">
        <v>0.1</v>
      </c>
      <c r="W105" s="227" t="n">
        <v>0</v>
      </c>
      <c r="X105" s="227" t="n">
        <v>0</v>
      </c>
      <c r="Y105" s="227" t="n">
        <v>0</v>
      </c>
      <c r="Z105" s="227" t="n">
        <v>0</v>
      </c>
      <c r="AA105" s="227" t="n">
        <v>0</v>
      </c>
    </row>
    <row r="106">
      <c r="A106" t="inlineStr">
        <is>
          <t>The Westin Kierland Resort &amp; Spa</t>
        </is>
      </c>
      <c r="B106" t="inlineStr">
        <is>
          <t>Hotel</t>
        </is>
      </c>
      <c r="C106" t="inlineStr">
        <is>
          <t>NO</t>
        </is>
      </c>
      <c r="D106" t="n">
        <v>735</v>
      </c>
      <c r="E106" t="inlineStr"/>
      <c r="F106" t="n">
        <v>40</v>
      </c>
      <c r="G106" s="227" t="n">
        <v>3175200</v>
      </c>
      <c r="H106" t="n">
        <v>5</v>
      </c>
      <c r="I106" t="n">
        <v>5</v>
      </c>
      <c r="J106" t="n">
        <v>3</v>
      </c>
      <c r="K106" t="n">
        <v>4</v>
      </c>
      <c r="L106" t="n">
        <v>2</v>
      </c>
      <c r="M106" s="236" t="n">
        <v>0.3</v>
      </c>
      <c r="N106" t="inlineStr">
        <is>
          <t>Brand familiarity (current): Marriott_family</t>
        </is>
      </c>
      <c r="O106" s="236" t="n">
        <v>4</v>
      </c>
      <c r="P106" s="236" t="n">
        <v>4.3</v>
      </c>
      <c r="Q106" s="238" t="inlineStr">
        <is>
          <t>B — Core</t>
        </is>
      </c>
      <c r="R106" s="226" t="n">
        <v>0.08</v>
      </c>
      <c r="S106" s="226" t="n">
        <v>0.22066</v>
      </c>
      <c r="T106" s="226" t="n">
        <v>0.560625</v>
      </c>
      <c r="U106" s="226" t="n">
        <v>0.7867499999999999</v>
      </c>
      <c r="V106" s="226" t="n">
        <v>0.9375</v>
      </c>
      <c r="W106" s="227" t="n">
        <v>254016</v>
      </c>
      <c r="X106" s="227" t="n">
        <v>700639.6320000001</v>
      </c>
      <c r="Y106" s="227" t="n">
        <v>1780096.5</v>
      </c>
      <c r="Z106" s="227" t="n">
        <v>2498088.6</v>
      </c>
      <c r="AA106" s="227" t="n">
        <v>2976750</v>
      </c>
    </row>
    <row r="107">
      <c r="A107" t="inlineStr">
        <is>
          <t>Fairmont Scottsdale Princess</t>
        </is>
      </c>
      <c r="B107" t="inlineStr">
        <is>
          <t>Hotel</t>
        </is>
      </c>
      <c r="C107" t="inlineStr">
        <is>
          <t>NO</t>
        </is>
      </c>
      <c r="D107" t="n">
        <v>750</v>
      </c>
      <c r="E107" t="inlineStr"/>
      <c r="F107" t="n">
        <v>40</v>
      </c>
      <c r="G107" s="227" t="n">
        <v>972000</v>
      </c>
      <c r="H107" t="n">
        <v>5</v>
      </c>
      <c r="I107" t="n">
        <v>3</v>
      </c>
      <c r="J107" t="n">
        <v>2</v>
      </c>
      <c r="K107" t="n">
        <v>4</v>
      </c>
      <c r="L107" t="n">
        <v>2</v>
      </c>
      <c r="M107" s="236" t="n">
        <v>0</v>
      </c>
      <c r="N107" t="inlineStr"/>
      <c r="O107" s="236" t="n">
        <v>3.3</v>
      </c>
      <c r="P107" s="236" t="n">
        <v>3.3</v>
      </c>
      <c r="Q107" s="237" t="inlineStr">
        <is>
          <t>C — Opportunistic</t>
        </is>
      </c>
      <c r="R107" s="226" t="n">
        <v>0.02</v>
      </c>
      <c r="S107" s="226" t="n">
        <v>0.09724000000000002</v>
      </c>
      <c r="T107" s="226" t="n">
        <v>0.28625</v>
      </c>
      <c r="U107" s="226" t="n">
        <v>0.4145</v>
      </c>
      <c r="V107" s="226" t="n">
        <v>0.5</v>
      </c>
      <c r="W107" s="227" t="n">
        <v>19440</v>
      </c>
      <c r="X107" s="227" t="n">
        <v>94517.28000000001</v>
      </c>
      <c r="Y107" s="227" t="n">
        <v>278235</v>
      </c>
      <c r="Z107" s="227" t="n">
        <v>402894</v>
      </c>
      <c r="AA107" s="227" t="n">
        <v>486000</v>
      </c>
    </row>
    <row r="108">
      <c r="A108" t="inlineStr">
        <is>
          <t>Grand Hyatt Scottsdale Resort</t>
        </is>
      </c>
      <c r="B108" t="inlineStr">
        <is>
          <t>Hotel</t>
        </is>
      </c>
      <c r="C108" t="inlineStr">
        <is>
          <t>NO</t>
        </is>
      </c>
      <c r="D108" t="n">
        <v>496</v>
      </c>
      <c r="E108" t="inlineStr"/>
      <c r="F108" t="inlineStr">
        <is>
          <t>Has Valet</t>
        </is>
      </c>
      <c r="G108" s="227" t="n">
        <v>1607040</v>
      </c>
      <c r="H108" t="n">
        <v>4</v>
      </c>
      <c r="I108" t="n">
        <v>4</v>
      </c>
      <c r="J108" t="n">
        <v>3</v>
      </c>
      <c r="K108" t="n">
        <v>4</v>
      </c>
      <c r="L108" t="n">
        <v>2</v>
      </c>
      <c r="M108" s="236" t="n">
        <v>0</v>
      </c>
      <c r="N108" t="inlineStr"/>
      <c r="O108" s="236" t="n">
        <v>3.5</v>
      </c>
      <c r="P108" s="236" t="n">
        <v>3.5</v>
      </c>
      <c r="Q108" s="238" t="inlineStr">
        <is>
          <t>B — Core</t>
        </is>
      </c>
      <c r="R108" s="226" t="n">
        <v>0.08</v>
      </c>
      <c r="S108" s="226" t="n">
        <v>0.22066</v>
      </c>
      <c r="T108" s="226" t="n">
        <v>0.560625</v>
      </c>
      <c r="U108" s="226" t="n">
        <v>0.7867499999999999</v>
      </c>
      <c r="V108" s="226" t="n">
        <v>0.9375</v>
      </c>
      <c r="W108" s="227" t="n">
        <v>128563.2</v>
      </c>
      <c r="X108" s="227" t="n">
        <v>354609.4464</v>
      </c>
      <c r="Y108" s="227" t="n">
        <v>900946.8</v>
      </c>
      <c r="Z108" s="227" t="n">
        <v>1264338.72</v>
      </c>
      <c r="AA108" s="227" t="n">
        <v>1506600</v>
      </c>
    </row>
    <row r="109">
      <c r="A109" t="inlineStr">
        <is>
          <t>The Global Ambassador</t>
        </is>
      </c>
      <c r="B109" t="inlineStr">
        <is>
          <t>Hotel</t>
        </is>
      </c>
      <c r="C109" t="inlineStr">
        <is>
          <t>NO</t>
        </is>
      </c>
      <c r="D109" t="n">
        <v>141</v>
      </c>
      <c r="E109" t="inlineStr"/>
      <c r="F109" t="n">
        <v>35</v>
      </c>
      <c r="G109" s="227" t="n">
        <v>159894</v>
      </c>
      <c r="H109" t="n">
        <v>3</v>
      </c>
      <c r="I109" t="n">
        <v>1</v>
      </c>
      <c r="J109" t="n">
        <v>2</v>
      </c>
      <c r="K109" t="n">
        <v>4</v>
      </c>
      <c r="L109" t="n">
        <v>2</v>
      </c>
      <c r="M109" s="236" t="n">
        <v>0</v>
      </c>
      <c r="N109" t="inlineStr"/>
      <c r="O109" s="236" t="n">
        <v>2.3</v>
      </c>
      <c r="P109" s="236" t="n">
        <v>2.3</v>
      </c>
      <c r="Q109" s="224" t="inlineStr">
        <is>
          <t>D — Deprioritized</t>
        </is>
      </c>
      <c r="R109" s="226" t="n">
        <v>0</v>
      </c>
      <c r="S109" s="226" t="n">
        <v>0.018</v>
      </c>
      <c r="T109" s="226" t="n">
        <v>0.05500000000000001</v>
      </c>
      <c r="U109" s="226" t="n">
        <v>0.082</v>
      </c>
      <c r="V109" s="226" t="n">
        <v>0.1</v>
      </c>
      <c r="W109" s="227" t="n">
        <v>0</v>
      </c>
      <c r="X109" s="227" t="n">
        <v>2878.092</v>
      </c>
      <c r="Y109" s="227" t="n">
        <v>8794.170000000002</v>
      </c>
      <c r="Z109" s="227" t="n">
        <v>13111.308</v>
      </c>
      <c r="AA109" s="227" t="n">
        <v>15989.4</v>
      </c>
    </row>
    <row r="110">
      <c r="A110" t="inlineStr">
        <is>
          <t>SpringHill Suites Scottsdale North</t>
        </is>
      </c>
      <c r="B110" t="inlineStr">
        <is>
          <t>Hotel</t>
        </is>
      </c>
      <c r="C110" t="inlineStr">
        <is>
          <t>NO</t>
        </is>
      </c>
      <c r="D110" t="n">
        <v>121</v>
      </c>
      <c r="E110" t="inlineStr"/>
      <c r="F110" t="inlineStr">
        <is>
          <t>No Valet</t>
        </is>
      </c>
      <c r="G110" s="227" t="n">
        <v>0</v>
      </c>
      <c r="H110" t="n">
        <v>3</v>
      </c>
      <c r="I110" t="n">
        <v>1</v>
      </c>
      <c r="J110" t="n">
        <v>2</v>
      </c>
      <c r="K110" t="n">
        <v>4</v>
      </c>
      <c r="L110" t="n">
        <v>2</v>
      </c>
      <c r="M110" s="236" t="n">
        <v>0.3</v>
      </c>
      <c r="N110" t="inlineStr">
        <is>
          <t>Brand familiarity (current): Marriott_family</t>
        </is>
      </c>
      <c r="O110" s="236" t="n">
        <v>2.3</v>
      </c>
      <c r="P110" s="236" t="n">
        <v>2.6</v>
      </c>
      <c r="Q110" s="237" t="inlineStr">
        <is>
          <t>C — Opportunistic</t>
        </is>
      </c>
      <c r="R110" s="226" t="n">
        <v>0.02</v>
      </c>
      <c r="S110" s="226" t="n">
        <v>0.09724000000000002</v>
      </c>
      <c r="T110" s="226" t="n">
        <v>0.28625</v>
      </c>
      <c r="U110" s="226" t="n">
        <v>0.4145</v>
      </c>
      <c r="V110" s="226" t="n">
        <v>0.5</v>
      </c>
      <c r="W110" s="227" t="n">
        <v>0</v>
      </c>
      <c r="X110" s="227" t="n">
        <v>0</v>
      </c>
      <c r="Y110" s="227" t="n">
        <v>0</v>
      </c>
      <c r="Z110" s="227" t="n">
        <v>0</v>
      </c>
      <c r="AA110" s="227" t="n">
        <v>0</v>
      </c>
    </row>
    <row r="111">
      <c r="A111" t="inlineStr">
        <is>
          <t>SpringHill Suites Phoenix Scottsdale</t>
        </is>
      </c>
      <c r="B111" t="inlineStr">
        <is>
          <t>Hotel</t>
        </is>
      </c>
      <c r="C111" t="inlineStr">
        <is>
          <t>NO</t>
        </is>
      </c>
      <c r="D111" t="n">
        <v>0</v>
      </c>
      <c r="E111" t="inlineStr"/>
      <c r="F111" t="inlineStr"/>
      <c r="G111" s="227" t="n">
        <v>0</v>
      </c>
      <c r="H111" t="n">
        <v>2</v>
      </c>
      <c r="I111" t="n">
        <v>1</v>
      </c>
      <c r="J111" t="n">
        <v>2</v>
      </c>
      <c r="K111" t="n">
        <v>4</v>
      </c>
      <c r="L111" t="n">
        <v>2</v>
      </c>
      <c r="M111" s="236" t="n">
        <v>0.3</v>
      </c>
      <c r="N111" t="inlineStr">
        <is>
          <t>Brand familiarity (current): Marriott_family</t>
        </is>
      </c>
      <c r="O111" s="236" t="n">
        <v>2.05</v>
      </c>
      <c r="P111" s="236" t="n">
        <v>2.35</v>
      </c>
      <c r="Q111" s="224" t="inlineStr">
        <is>
          <t>D — Deprioritized</t>
        </is>
      </c>
      <c r="R111" s="226" t="n">
        <v>0</v>
      </c>
      <c r="S111" s="226" t="n">
        <v>0.018</v>
      </c>
      <c r="T111" s="226" t="n">
        <v>0.05500000000000001</v>
      </c>
      <c r="U111" s="226" t="n">
        <v>0.082</v>
      </c>
      <c r="V111" s="226" t="n">
        <v>0.1</v>
      </c>
      <c r="W111" s="227" t="n">
        <v>0</v>
      </c>
      <c r="X111" s="227" t="n">
        <v>0</v>
      </c>
      <c r="Y111" s="227" t="n">
        <v>0</v>
      </c>
      <c r="Z111" s="227" t="n">
        <v>0</v>
      </c>
      <c r="AA111" s="227" t="n">
        <v>0</v>
      </c>
    </row>
    <row r="112">
      <c r="A112" t="inlineStr">
        <is>
          <t>Hilton Garden Inn Scottsdale Old Town</t>
        </is>
      </c>
      <c r="B112" t="inlineStr">
        <is>
          <t>Hotel</t>
        </is>
      </c>
      <c r="C112" t="inlineStr">
        <is>
          <t>NO</t>
        </is>
      </c>
      <c r="D112" t="n">
        <v>199</v>
      </c>
      <c r="E112" t="inlineStr"/>
      <c r="F112" t="inlineStr"/>
      <c r="G112" s="227" t="n">
        <v>0</v>
      </c>
      <c r="H112" t="n">
        <v>3</v>
      </c>
      <c r="I112" t="n">
        <v>1</v>
      </c>
      <c r="J112" t="n">
        <v>3</v>
      </c>
      <c r="K112" t="n">
        <v>4</v>
      </c>
      <c r="L112" t="n">
        <v>2</v>
      </c>
      <c r="M112" s="236" t="n">
        <v>0.15</v>
      </c>
      <c r="N112" t="inlineStr">
        <is>
          <t>Brand familiarity (historical): Hilton_family</t>
        </is>
      </c>
      <c r="O112" s="236" t="n">
        <v>2.5</v>
      </c>
      <c r="P112" s="236" t="n">
        <v>2.65</v>
      </c>
      <c r="Q112" s="237" t="inlineStr">
        <is>
          <t>C — Opportunistic</t>
        </is>
      </c>
      <c r="R112" s="226" t="n">
        <v>0.02</v>
      </c>
      <c r="S112" s="226" t="n">
        <v>0.09724000000000002</v>
      </c>
      <c r="T112" s="226" t="n">
        <v>0.28625</v>
      </c>
      <c r="U112" s="226" t="n">
        <v>0.4145</v>
      </c>
      <c r="V112" s="226" t="n">
        <v>0.5</v>
      </c>
      <c r="W112" s="227" t="n">
        <v>0</v>
      </c>
      <c r="X112" s="227" t="n">
        <v>0</v>
      </c>
      <c r="Y112" s="227" t="n">
        <v>0</v>
      </c>
      <c r="Z112" s="227" t="n">
        <v>0</v>
      </c>
      <c r="AA112" s="227" t="n">
        <v>0</v>
      </c>
    </row>
    <row r="113">
      <c r="A113" t="inlineStr">
        <is>
          <t>The Scott Resort &amp; Spa</t>
        </is>
      </c>
      <c r="B113" t="inlineStr">
        <is>
          <t>Hotel</t>
        </is>
      </c>
      <c r="C113" t="inlineStr">
        <is>
          <t>NO</t>
        </is>
      </c>
      <c r="D113" t="n">
        <v>204</v>
      </c>
      <c r="E113" t="inlineStr"/>
      <c r="F113" t="inlineStr">
        <is>
          <t>No Valet</t>
        </is>
      </c>
      <c r="G113" s="227" t="n">
        <v>0</v>
      </c>
      <c r="H113" t="n">
        <v>3</v>
      </c>
      <c r="I113" t="n">
        <v>1</v>
      </c>
      <c r="J113" t="n">
        <v>2</v>
      </c>
      <c r="K113" t="n">
        <v>4</v>
      </c>
      <c r="L113" t="n">
        <v>2</v>
      </c>
      <c r="M113" s="236" t="n">
        <v>0</v>
      </c>
      <c r="N113" t="inlineStr"/>
      <c r="O113" s="236" t="n">
        <v>2.3</v>
      </c>
      <c r="P113" s="236" t="n">
        <v>2.3</v>
      </c>
      <c r="Q113" s="224" t="inlineStr">
        <is>
          <t>D — Deprioritized</t>
        </is>
      </c>
      <c r="R113" s="226" t="n">
        <v>0</v>
      </c>
      <c r="S113" s="226" t="n">
        <v>0.018</v>
      </c>
      <c r="T113" s="226" t="n">
        <v>0.05500000000000001</v>
      </c>
      <c r="U113" s="226" t="n">
        <v>0.082</v>
      </c>
      <c r="V113" s="226" t="n">
        <v>0.1</v>
      </c>
      <c r="W113" s="227" t="n">
        <v>0</v>
      </c>
      <c r="X113" s="227" t="n">
        <v>0</v>
      </c>
      <c r="Y113" s="227" t="n">
        <v>0</v>
      </c>
      <c r="Z113" s="227" t="n">
        <v>0</v>
      </c>
      <c r="AA113" s="227" t="n">
        <v>0</v>
      </c>
    </row>
    <row r="114">
      <c r="A114" t="inlineStr">
        <is>
          <t>Hyatt Place Scottsdale - North</t>
        </is>
      </c>
      <c r="B114" t="inlineStr">
        <is>
          <t>Hotel</t>
        </is>
      </c>
      <c r="C114" t="inlineStr">
        <is>
          <t>NO</t>
        </is>
      </c>
      <c r="D114" t="n">
        <v>136</v>
      </c>
      <c r="E114" t="inlineStr"/>
      <c r="F114" t="inlineStr">
        <is>
          <t>No Valet</t>
        </is>
      </c>
      <c r="G114" s="227" t="n">
        <v>0</v>
      </c>
      <c r="H114" t="n">
        <v>3</v>
      </c>
      <c r="I114" t="n">
        <v>1</v>
      </c>
      <c r="J114" t="n">
        <v>3</v>
      </c>
      <c r="K114" t="n">
        <v>4</v>
      </c>
      <c r="L114" t="n">
        <v>2</v>
      </c>
      <c r="M114" s="236" t="n">
        <v>0</v>
      </c>
      <c r="N114" t="inlineStr"/>
      <c r="O114" s="236" t="n">
        <v>2.5</v>
      </c>
      <c r="P114" s="236" t="n">
        <v>2.5</v>
      </c>
      <c r="Q114" s="237" t="inlineStr">
        <is>
          <t>C — Opportunistic</t>
        </is>
      </c>
      <c r="R114" s="226" t="n">
        <v>0.02</v>
      </c>
      <c r="S114" s="226" t="n">
        <v>0.09724000000000002</v>
      </c>
      <c r="T114" s="226" t="n">
        <v>0.28625</v>
      </c>
      <c r="U114" s="226" t="n">
        <v>0.4145</v>
      </c>
      <c r="V114" s="226" t="n">
        <v>0.5</v>
      </c>
      <c r="W114" s="227" t="n">
        <v>0</v>
      </c>
      <c r="X114" s="227" t="n">
        <v>0</v>
      </c>
      <c r="Y114" s="227" t="n">
        <v>0</v>
      </c>
      <c r="Z114" s="227" t="n">
        <v>0</v>
      </c>
      <c r="AA114" s="227" t="n">
        <v>0</v>
      </c>
    </row>
    <row r="115">
      <c r="A115" t="inlineStr">
        <is>
          <t>The McCormick Scottsdale</t>
        </is>
      </c>
      <c r="B115" t="inlineStr">
        <is>
          <t>Hotel</t>
        </is>
      </c>
      <c r="C115" t="inlineStr">
        <is>
          <t>NO</t>
        </is>
      </c>
      <c r="D115" t="n">
        <v>125</v>
      </c>
      <c r="E115" t="inlineStr"/>
      <c r="F115" t="inlineStr">
        <is>
          <t>No Valet</t>
        </is>
      </c>
      <c r="G115" s="227" t="n">
        <v>0</v>
      </c>
      <c r="H115" t="n">
        <v>3</v>
      </c>
      <c r="I115" t="n">
        <v>1</v>
      </c>
      <c r="J115" t="n">
        <v>2</v>
      </c>
      <c r="K115" t="n">
        <v>4</v>
      </c>
      <c r="L115" t="n">
        <v>2</v>
      </c>
      <c r="M115" s="236" t="n">
        <v>0</v>
      </c>
      <c r="N115" t="inlineStr"/>
      <c r="O115" s="236" t="n">
        <v>2.3</v>
      </c>
      <c r="P115" s="236" t="n">
        <v>2.3</v>
      </c>
      <c r="Q115" s="224" t="inlineStr">
        <is>
          <t>D — Deprioritized</t>
        </is>
      </c>
      <c r="R115" s="226" t="n">
        <v>0</v>
      </c>
      <c r="S115" s="226" t="n">
        <v>0.018</v>
      </c>
      <c r="T115" s="226" t="n">
        <v>0.05500000000000001</v>
      </c>
      <c r="U115" s="226" t="n">
        <v>0.082</v>
      </c>
      <c r="V115" s="226" t="n">
        <v>0.1</v>
      </c>
      <c r="W115" s="227" t="n">
        <v>0</v>
      </c>
      <c r="X115" s="227" t="n">
        <v>0</v>
      </c>
      <c r="Y115" s="227" t="n">
        <v>0</v>
      </c>
      <c r="Z115" s="227" t="n">
        <v>0</v>
      </c>
      <c r="AA115" s="227" t="n">
        <v>0</v>
      </c>
    </row>
    <row r="116">
      <c r="A116" t="inlineStr">
        <is>
          <t>Element Scottsdale at SkySong</t>
        </is>
      </c>
      <c r="B116" t="inlineStr">
        <is>
          <t>Hotel</t>
        </is>
      </c>
      <c r="C116" t="inlineStr">
        <is>
          <t>NO</t>
        </is>
      </c>
      <c r="D116" t="n">
        <v>157</v>
      </c>
      <c r="E116" t="inlineStr"/>
      <c r="F116" t="inlineStr">
        <is>
          <t>No Valet</t>
        </is>
      </c>
      <c r="G116" s="227" t="n">
        <v>0</v>
      </c>
      <c r="H116" t="n">
        <v>3</v>
      </c>
      <c r="I116" t="n">
        <v>1</v>
      </c>
      <c r="J116" t="n">
        <v>2</v>
      </c>
      <c r="K116" t="n">
        <v>4</v>
      </c>
      <c r="L116" t="n">
        <v>2</v>
      </c>
      <c r="M116" s="236" t="n">
        <v>0</v>
      </c>
      <c r="N116" t="inlineStr"/>
      <c r="O116" s="236" t="n">
        <v>2.3</v>
      </c>
      <c r="P116" s="236" t="n">
        <v>2.3</v>
      </c>
      <c r="Q116" s="224" t="inlineStr">
        <is>
          <t>D — Deprioritized</t>
        </is>
      </c>
      <c r="R116" s="226" t="n">
        <v>0</v>
      </c>
      <c r="S116" s="226" t="n">
        <v>0.018</v>
      </c>
      <c r="T116" s="226" t="n">
        <v>0.05500000000000001</v>
      </c>
      <c r="U116" s="226" t="n">
        <v>0.082</v>
      </c>
      <c r="V116" s="226" t="n">
        <v>0.1</v>
      </c>
      <c r="W116" s="227" t="n">
        <v>0</v>
      </c>
      <c r="X116" s="227" t="n">
        <v>0</v>
      </c>
      <c r="Y116" s="227" t="n">
        <v>0</v>
      </c>
      <c r="Z116" s="227" t="n">
        <v>0</v>
      </c>
      <c r="AA116" s="227" t="n">
        <v>0</v>
      </c>
    </row>
    <row r="117">
      <c r="A117" t="inlineStr">
        <is>
          <t>ADERO Scottsdale Resort, Autograph Collection</t>
        </is>
      </c>
      <c r="B117" t="inlineStr">
        <is>
          <t>Hotel</t>
        </is>
      </c>
      <c r="C117" t="inlineStr">
        <is>
          <t>NO</t>
        </is>
      </c>
      <c r="D117" t="n">
        <v>177</v>
      </c>
      <c r="E117" t="inlineStr"/>
      <c r="F117" t="n">
        <v>25</v>
      </c>
      <c r="G117" s="227" t="n">
        <v>477900</v>
      </c>
      <c r="H117" t="n">
        <v>3</v>
      </c>
      <c r="I117" t="n">
        <v>2</v>
      </c>
      <c r="J117" t="n">
        <v>3</v>
      </c>
      <c r="K117" t="n">
        <v>4</v>
      </c>
      <c r="L117" t="n">
        <v>2</v>
      </c>
      <c r="M117" s="236" t="n">
        <v>0.3</v>
      </c>
      <c r="N117" t="inlineStr">
        <is>
          <t>Brand familiarity (current): Marriott_family</t>
        </is>
      </c>
      <c r="O117" s="236" t="n">
        <v>2.75</v>
      </c>
      <c r="P117" s="236" t="n">
        <v>3.05</v>
      </c>
      <c r="Q117" s="237" t="inlineStr">
        <is>
          <t>C — Opportunistic</t>
        </is>
      </c>
      <c r="R117" s="226" t="n">
        <v>0.02</v>
      </c>
      <c r="S117" s="226" t="n">
        <v>0.09724000000000002</v>
      </c>
      <c r="T117" s="226" t="n">
        <v>0.28625</v>
      </c>
      <c r="U117" s="226" t="n">
        <v>0.4145</v>
      </c>
      <c r="V117" s="226" t="n">
        <v>0.5</v>
      </c>
      <c r="W117" s="227" t="n">
        <v>9558</v>
      </c>
      <c r="X117" s="227" t="n">
        <v>46470.99600000001</v>
      </c>
      <c r="Y117" s="227" t="n">
        <v>136798.875</v>
      </c>
      <c r="Z117" s="227" t="n">
        <v>198089.55</v>
      </c>
      <c r="AA117" s="227" t="n">
        <v>238950</v>
      </c>
    </row>
    <row r="118">
      <c r="A118" t="inlineStr">
        <is>
          <t>Best Western Plus Sundial</t>
        </is>
      </c>
      <c r="B118" t="inlineStr">
        <is>
          <t>Hotel</t>
        </is>
      </c>
      <c r="C118" t="inlineStr">
        <is>
          <t>NO</t>
        </is>
      </c>
      <c r="D118" t="n">
        <v>54</v>
      </c>
      <c r="E118" t="inlineStr"/>
      <c r="F118" t="inlineStr">
        <is>
          <t>No Valet</t>
        </is>
      </c>
      <c r="G118" s="227" t="n">
        <v>0</v>
      </c>
      <c r="H118" t="n">
        <v>2</v>
      </c>
      <c r="I118" t="n">
        <v>1</v>
      </c>
      <c r="J118" t="n">
        <v>2</v>
      </c>
      <c r="K118" t="n">
        <v>4</v>
      </c>
      <c r="L118" t="n">
        <v>2</v>
      </c>
      <c r="M118" s="236" t="n">
        <v>0</v>
      </c>
      <c r="N118" t="inlineStr"/>
      <c r="O118" s="236" t="n">
        <v>2.05</v>
      </c>
      <c r="P118" s="236" t="n">
        <v>2.05</v>
      </c>
      <c r="Q118" s="224" t="inlineStr">
        <is>
          <t>D — Deprioritized</t>
        </is>
      </c>
      <c r="R118" s="226" t="n">
        <v>0</v>
      </c>
      <c r="S118" s="226" t="n">
        <v>0.018</v>
      </c>
      <c r="T118" s="226" t="n">
        <v>0.05500000000000001</v>
      </c>
      <c r="U118" s="226" t="n">
        <v>0.082</v>
      </c>
      <c r="V118" s="226" t="n">
        <v>0.1</v>
      </c>
      <c r="W118" s="227" t="n">
        <v>0</v>
      </c>
      <c r="X118" s="227" t="n">
        <v>0</v>
      </c>
      <c r="Y118" s="227" t="n">
        <v>0</v>
      </c>
      <c r="Z118" s="227" t="n">
        <v>0</v>
      </c>
      <c r="AA118" s="227" t="n">
        <v>0</v>
      </c>
    </row>
    <row r="119">
      <c r="A119" t="inlineStr">
        <is>
          <t>JW Marriott Scottsdale Camelback Inn Resort &amp; Spa</t>
        </is>
      </c>
      <c r="B119" t="inlineStr">
        <is>
          <t>Hotel</t>
        </is>
      </c>
      <c r="C119" t="inlineStr">
        <is>
          <t>NO</t>
        </is>
      </c>
      <c r="D119" t="n">
        <v>453</v>
      </c>
      <c r="E119" t="inlineStr"/>
      <c r="F119" t="inlineStr">
        <is>
          <t>Has Valet</t>
        </is>
      </c>
      <c r="G119" s="227" t="n">
        <v>1467720</v>
      </c>
      <c r="H119" t="n">
        <v>4</v>
      </c>
      <c r="I119" t="n">
        <v>3</v>
      </c>
      <c r="J119" t="n">
        <v>3</v>
      </c>
      <c r="K119" t="n">
        <v>4</v>
      </c>
      <c r="L119" t="n">
        <v>2</v>
      </c>
      <c r="M119" s="236" t="n">
        <v>0.3</v>
      </c>
      <c r="N119" t="inlineStr">
        <is>
          <t>Brand familiarity (current): Marriott_family</t>
        </is>
      </c>
      <c r="O119" s="236" t="n">
        <v>3.25</v>
      </c>
      <c r="P119" s="236" t="n">
        <v>3.55</v>
      </c>
      <c r="Q119" s="238" t="inlineStr">
        <is>
          <t>B — Core</t>
        </is>
      </c>
      <c r="R119" s="226" t="n">
        <v>0.08</v>
      </c>
      <c r="S119" s="226" t="n">
        <v>0.22066</v>
      </c>
      <c r="T119" s="226" t="n">
        <v>0.560625</v>
      </c>
      <c r="U119" s="226" t="n">
        <v>0.7867499999999999</v>
      </c>
      <c r="V119" s="226" t="n">
        <v>0.9375</v>
      </c>
      <c r="W119" s="227" t="n">
        <v>117417.6</v>
      </c>
      <c r="X119" s="227" t="n">
        <v>323867.0952</v>
      </c>
      <c r="Y119" s="227" t="n">
        <v>822840.525</v>
      </c>
      <c r="Z119" s="227" t="n">
        <v>1154728.71</v>
      </c>
      <c r="AA119" s="227" t="n">
        <v>1375987.5</v>
      </c>
    </row>
    <row r="120">
      <c r="A120" t="inlineStr">
        <is>
          <t>The Hermosa Inn</t>
        </is>
      </c>
      <c r="B120" t="inlineStr">
        <is>
          <t>Hotel</t>
        </is>
      </c>
      <c r="C120" t="inlineStr">
        <is>
          <t>NO</t>
        </is>
      </c>
      <c r="D120" t="n">
        <v>43</v>
      </c>
      <c r="E120" t="inlineStr"/>
      <c r="F120" t="inlineStr"/>
      <c r="G120" s="227" t="n">
        <v>0</v>
      </c>
      <c r="H120" t="n">
        <v>2</v>
      </c>
      <c r="I120" t="n">
        <v>1</v>
      </c>
      <c r="J120" t="n">
        <v>2</v>
      </c>
      <c r="K120" t="n">
        <v>4</v>
      </c>
      <c r="L120" t="n">
        <v>2</v>
      </c>
      <c r="M120" s="236" t="n">
        <v>0</v>
      </c>
      <c r="N120" t="inlineStr"/>
      <c r="O120" s="236" t="n">
        <v>2.05</v>
      </c>
      <c r="P120" s="236" t="n">
        <v>2.05</v>
      </c>
      <c r="Q120" s="224" t="inlineStr">
        <is>
          <t>D — Deprioritized</t>
        </is>
      </c>
      <c r="R120" s="226" t="n">
        <v>0</v>
      </c>
      <c r="S120" s="226" t="n">
        <v>0.018</v>
      </c>
      <c r="T120" s="226" t="n">
        <v>0.05500000000000001</v>
      </c>
      <c r="U120" s="226" t="n">
        <v>0.082</v>
      </c>
      <c r="V120" s="226" t="n">
        <v>0.1</v>
      </c>
      <c r="W120" s="227" t="n">
        <v>0</v>
      </c>
      <c r="X120" s="227" t="n">
        <v>0</v>
      </c>
      <c r="Y120" s="227" t="n">
        <v>0</v>
      </c>
      <c r="Z120" s="227" t="n">
        <v>0</v>
      </c>
      <c r="AA120" s="227" t="n">
        <v>0</v>
      </c>
    </row>
    <row r="121">
      <c r="A121" t="inlineStr">
        <is>
          <t>Holiday Inn Club Vacations Scottsdale Resort</t>
        </is>
      </c>
      <c r="B121" t="inlineStr">
        <is>
          <t>Hotel</t>
        </is>
      </c>
      <c r="C121" t="inlineStr">
        <is>
          <t>NO</t>
        </is>
      </c>
      <c r="D121" t="n">
        <v>213</v>
      </c>
      <c r="E121" t="inlineStr"/>
      <c r="F121" t="inlineStr">
        <is>
          <t>No Valet</t>
        </is>
      </c>
      <c r="G121" s="227" t="n">
        <v>0</v>
      </c>
      <c r="H121" t="n">
        <v>3</v>
      </c>
      <c r="I121" t="n">
        <v>1</v>
      </c>
      <c r="J121" t="n">
        <v>3</v>
      </c>
      <c r="K121" t="n">
        <v>4</v>
      </c>
      <c r="L121" t="n">
        <v>2</v>
      </c>
      <c r="M121" s="236" t="n">
        <v>0</v>
      </c>
      <c r="N121" t="inlineStr"/>
      <c r="O121" s="236" t="n">
        <v>2.5</v>
      </c>
      <c r="P121" s="236" t="n">
        <v>2.5</v>
      </c>
      <c r="Q121" s="237" t="inlineStr">
        <is>
          <t>C — Opportunistic</t>
        </is>
      </c>
      <c r="R121" s="226" t="n">
        <v>0.02</v>
      </c>
      <c r="S121" s="226" t="n">
        <v>0.09724000000000002</v>
      </c>
      <c r="T121" s="226" t="n">
        <v>0.28625</v>
      </c>
      <c r="U121" s="226" t="n">
        <v>0.4145</v>
      </c>
      <c r="V121" s="226" t="n">
        <v>0.5</v>
      </c>
      <c r="W121" s="227" t="n">
        <v>0</v>
      </c>
      <c r="X121" s="227" t="n">
        <v>0</v>
      </c>
      <c r="Y121" s="227" t="n">
        <v>0</v>
      </c>
      <c r="Z121" s="227" t="n">
        <v>0</v>
      </c>
      <c r="AA121" s="227" t="n">
        <v>0</v>
      </c>
    </row>
    <row r="122">
      <c r="A122" t="inlineStr">
        <is>
          <t>The Phoenician, a Luxury Collection Resort, Scottsdale</t>
        </is>
      </c>
      <c r="B122" t="inlineStr">
        <is>
          <t>Hotel</t>
        </is>
      </c>
      <c r="C122" t="inlineStr">
        <is>
          <t>NO</t>
        </is>
      </c>
      <c r="D122" t="n">
        <v>119</v>
      </c>
      <c r="E122" t="inlineStr"/>
      <c r="F122" t="n">
        <v>46</v>
      </c>
      <c r="G122" s="227" t="n">
        <v>591191.9999999999</v>
      </c>
      <c r="H122" t="n">
        <v>3</v>
      </c>
      <c r="I122" t="n">
        <v>2</v>
      </c>
      <c r="J122" t="n">
        <v>2</v>
      </c>
      <c r="K122" t="n">
        <v>4</v>
      </c>
      <c r="L122" t="n">
        <v>2</v>
      </c>
      <c r="M122" s="236" t="n">
        <v>0</v>
      </c>
      <c r="N122" t="inlineStr"/>
      <c r="O122" s="236" t="n">
        <v>2.55</v>
      </c>
      <c r="P122" s="236" t="n">
        <v>2.55</v>
      </c>
      <c r="Q122" s="237" t="inlineStr">
        <is>
          <t>C — Opportunistic</t>
        </is>
      </c>
      <c r="R122" s="226" t="n">
        <v>0.02</v>
      </c>
      <c r="S122" s="226" t="n">
        <v>0.09724000000000002</v>
      </c>
      <c r="T122" s="226" t="n">
        <v>0.28625</v>
      </c>
      <c r="U122" s="226" t="n">
        <v>0.4145</v>
      </c>
      <c r="V122" s="226" t="n">
        <v>0.5</v>
      </c>
      <c r="W122" s="227" t="n">
        <v>11823.84</v>
      </c>
      <c r="X122" s="227" t="n">
        <v>57487.51008</v>
      </c>
      <c r="Y122" s="227" t="n">
        <v>169228.71</v>
      </c>
      <c r="Z122" s="227" t="n">
        <v>245049.0839999999</v>
      </c>
      <c r="AA122" s="227" t="n">
        <v>295595.9999999999</v>
      </c>
    </row>
    <row r="123">
      <c r="A123" t="inlineStr">
        <is>
          <t>Omni Scottsdale Resort &amp; Spa at Montelucia</t>
        </is>
      </c>
      <c r="B123" t="inlineStr">
        <is>
          <t>Hotel</t>
        </is>
      </c>
      <c r="C123" t="inlineStr">
        <is>
          <t>NO</t>
        </is>
      </c>
      <c r="D123" t="n">
        <v>293</v>
      </c>
      <c r="E123" t="inlineStr"/>
      <c r="F123" t="n">
        <v>35</v>
      </c>
      <c r="G123" s="227" t="n">
        <v>1107540</v>
      </c>
      <c r="H123" t="n">
        <v>4</v>
      </c>
      <c r="I123" t="n">
        <v>3</v>
      </c>
      <c r="J123" t="n">
        <v>2</v>
      </c>
      <c r="K123" t="n">
        <v>4</v>
      </c>
      <c r="L123" t="n">
        <v>2</v>
      </c>
      <c r="M123" s="236" t="n">
        <v>0</v>
      </c>
      <c r="N123" t="inlineStr"/>
      <c r="O123" s="236" t="n">
        <v>3.05</v>
      </c>
      <c r="P123" s="236" t="n">
        <v>3.05</v>
      </c>
      <c r="Q123" s="237" t="inlineStr">
        <is>
          <t>C — Opportunistic</t>
        </is>
      </c>
      <c r="R123" s="226" t="n">
        <v>0.02</v>
      </c>
      <c r="S123" s="226" t="n">
        <v>0.09724000000000002</v>
      </c>
      <c r="T123" s="226" t="n">
        <v>0.28625</v>
      </c>
      <c r="U123" s="226" t="n">
        <v>0.4145</v>
      </c>
      <c r="V123" s="226" t="n">
        <v>0.5</v>
      </c>
      <c r="W123" s="227" t="n">
        <v>22150.8</v>
      </c>
      <c r="X123" s="227" t="n">
        <v>107697.1896</v>
      </c>
      <c r="Y123" s="227" t="n">
        <v>317033.325</v>
      </c>
      <c r="Z123" s="227" t="n">
        <v>459075.33</v>
      </c>
      <c r="AA123" s="227" t="n">
        <v>553770</v>
      </c>
    </row>
    <row r="124">
      <c r="A124" t="inlineStr">
        <is>
          <t>Hilton Vacation Club Scottsdale Villa Mirage</t>
        </is>
      </c>
      <c r="B124" t="inlineStr">
        <is>
          <t>Hotel</t>
        </is>
      </c>
      <c r="C124" t="inlineStr">
        <is>
          <t>NO</t>
        </is>
      </c>
      <c r="D124" t="n">
        <v>224</v>
      </c>
      <c r="E124" t="inlineStr"/>
      <c r="F124" t="inlineStr">
        <is>
          <t>No Valet</t>
        </is>
      </c>
      <c r="G124" s="227" t="n">
        <v>0</v>
      </c>
      <c r="H124" t="n">
        <v>3</v>
      </c>
      <c r="I124" t="n">
        <v>1</v>
      </c>
      <c r="J124" t="n">
        <v>3</v>
      </c>
      <c r="K124" t="n">
        <v>4</v>
      </c>
      <c r="L124" t="n">
        <v>2</v>
      </c>
      <c r="M124" s="236" t="n">
        <v>0.15</v>
      </c>
      <c r="N124" t="inlineStr">
        <is>
          <t>Brand familiarity (historical): Hilton_family</t>
        </is>
      </c>
      <c r="O124" s="236" t="n">
        <v>2.5</v>
      </c>
      <c r="P124" s="236" t="n">
        <v>2.65</v>
      </c>
      <c r="Q124" s="237" t="inlineStr">
        <is>
          <t>C — Opportunistic</t>
        </is>
      </c>
      <c r="R124" s="226" t="n">
        <v>0.02</v>
      </c>
      <c r="S124" s="226" t="n">
        <v>0.09724000000000002</v>
      </c>
      <c r="T124" s="226" t="n">
        <v>0.28625</v>
      </c>
      <c r="U124" s="226" t="n">
        <v>0.4145</v>
      </c>
      <c r="V124" s="226" t="n">
        <v>0.5</v>
      </c>
      <c r="W124" s="227" t="n">
        <v>0</v>
      </c>
      <c r="X124" s="227" t="n">
        <v>0</v>
      </c>
      <c r="Y124" s="227" t="n">
        <v>0</v>
      </c>
      <c r="Z124" s="227" t="n">
        <v>0</v>
      </c>
      <c r="AA124" s="227" t="n">
        <v>0</v>
      </c>
    </row>
    <row r="125">
      <c r="A125" t="inlineStr">
        <is>
          <t>Hotel Valley Ho</t>
        </is>
      </c>
      <c r="B125" t="inlineStr">
        <is>
          <t>Hotel</t>
        </is>
      </c>
      <c r="C125" t="inlineStr">
        <is>
          <t>NO</t>
        </is>
      </c>
      <c r="D125" t="n">
        <v>241</v>
      </c>
      <c r="E125" t="inlineStr"/>
      <c r="F125" t="n">
        <v>28</v>
      </c>
      <c r="G125" s="227" t="n">
        <v>218635.2</v>
      </c>
      <c r="H125" t="n">
        <v>3</v>
      </c>
      <c r="I125" t="n">
        <v>1</v>
      </c>
      <c r="J125" t="n">
        <v>2</v>
      </c>
      <c r="K125" t="n">
        <v>4</v>
      </c>
      <c r="L125" t="n">
        <v>2</v>
      </c>
      <c r="M125" s="236" t="n">
        <v>0</v>
      </c>
      <c r="N125" t="inlineStr"/>
      <c r="O125" s="236" t="n">
        <v>2.3</v>
      </c>
      <c r="P125" s="236" t="n">
        <v>2.3</v>
      </c>
      <c r="Q125" s="224" t="inlineStr">
        <is>
          <t>D — Deprioritized</t>
        </is>
      </c>
      <c r="R125" s="226" t="n">
        <v>0</v>
      </c>
      <c r="S125" s="226" t="n">
        <v>0.018</v>
      </c>
      <c r="T125" s="226" t="n">
        <v>0.05500000000000001</v>
      </c>
      <c r="U125" s="226" t="n">
        <v>0.082</v>
      </c>
      <c r="V125" s="226" t="n">
        <v>0.1</v>
      </c>
      <c r="W125" s="227" t="n">
        <v>0</v>
      </c>
      <c r="X125" s="227" t="n">
        <v>3935.4336</v>
      </c>
      <c r="Y125" s="227" t="n">
        <v>12024.936</v>
      </c>
      <c r="Z125" s="227" t="n">
        <v>17928.0864</v>
      </c>
      <c r="AA125" s="227" t="n">
        <v>21863.52</v>
      </c>
    </row>
    <row r="126">
      <c r="A126" t="inlineStr">
        <is>
          <t>Scottsdale Marriott at McDowell Mountains</t>
        </is>
      </c>
      <c r="B126" t="inlineStr">
        <is>
          <t>Hotel</t>
        </is>
      </c>
      <c r="C126" t="inlineStr">
        <is>
          <t>NO</t>
        </is>
      </c>
      <c r="D126" t="n">
        <v>266</v>
      </c>
      <c r="E126" t="inlineStr"/>
      <c r="F126" t="n">
        <v>30</v>
      </c>
      <c r="G126" s="227" t="n">
        <v>258552</v>
      </c>
      <c r="H126" t="n">
        <v>4</v>
      </c>
      <c r="I126" t="n">
        <v>2</v>
      </c>
      <c r="J126" t="n">
        <v>3</v>
      </c>
      <c r="K126" t="n">
        <v>4</v>
      </c>
      <c r="L126" t="n">
        <v>2</v>
      </c>
      <c r="M126" s="236" t="n">
        <v>0.3</v>
      </c>
      <c r="N126" t="inlineStr">
        <is>
          <t>Brand familiarity (current): Marriott_family</t>
        </is>
      </c>
      <c r="O126" s="236" t="n">
        <v>3</v>
      </c>
      <c r="P126" s="236" t="n">
        <v>3.3</v>
      </c>
      <c r="Q126" s="237" t="inlineStr">
        <is>
          <t>C — Opportunistic</t>
        </is>
      </c>
      <c r="R126" s="226" t="n">
        <v>0.02</v>
      </c>
      <c r="S126" s="226" t="n">
        <v>0.09724000000000002</v>
      </c>
      <c r="T126" s="226" t="n">
        <v>0.28625</v>
      </c>
      <c r="U126" s="226" t="n">
        <v>0.4145</v>
      </c>
      <c r="V126" s="226" t="n">
        <v>0.5</v>
      </c>
      <c r="W126" s="227" t="n">
        <v>5171.04</v>
      </c>
      <c r="X126" s="227" t="n">
        <v>25141.59648</v>
      </c>
      <c r="Y126" s="227" t="n">
        <v>74010.50999999999</v>
      </c>
      <c r="Z126" s="227" t="n">
        <v>107169.804</v>
      </c>
      <c r="AA126" s="227" t="n">
        <v>129276</v>
      </c>
    </row>
    <row r="127">
      <c r="A127" t="inlineStr">
        <is>
          <t>Hilton Scottsdale Resort &amp; Villas</t>
        </is>
      </c>
      <c r="B127" t="inlineStr">
        <is>
          <t>Hotel</t>
        </is>
      </c>
      <c r="C127" t="inlineStr">
        <is>
          <t>NO</t>
        </is>
      </c>
      <c r="D127" t="n">
        <v>235</v>
      </c>
      <c r="E127" t="inlineStr"/>
      <c r="F127" t="inlineStr">
        <is>
          <t>No Valet</t>
        </is>
      </c>
      <c r="G127" s="227" t="n">
        <v>0</v>
      </c>
      <c r="H127" t="n">
        <v>3</v>
      </c>
      <c r="I127" t="n">
        <v>1</v>
      </c>
      <c r="J127" t="n">
        <v>3</v>
      </c>
      <c r="K127" t="n">
        <v>4</v>
      </c>
      <c r="L127" t="n">
        <v>2</v>
      </c>
      <c r="M127" s="236" t="n">
        <v>0.15</v>
      </c>
      <c r="N127" t="inlineStr">
        <is>
          <t>Brand familiarity (historical): Hilton_family</t>
        </is>
      </c>
      <c r="O127" s="236" t="n">
        <v>2.5</v>
      </c>
      <c r="P127" s="236" t="n">
        <v>2.65</v>
      </c>
      <c r="Q127" s="237" t="inlineStr">
        <is>
          <t>C — Opportunistic</t>
        </is>
      </c>
      <c r="R127" s="226" t="n">
        <v>0.02</v>
      </c>
      <c r="S127" s="226" t="n">
        <v>0.09724000000000002</v>
      </c>
      <c r="T127" s="226" t="n">
        <v>0.28625</v>
      </c>
      <c r="U127" s="226" t="n">
        <v>0.4145</v>
      </c>
      <c r="V127" s="226" t="n">
        <v>0.5</v>
      </c>
      <c r="W127" s="227" t="n">
        <v>0</v>
      </c>
      <c r="X127" s="227" t="n">
        <v>0</v>
      </c>
      <c r="Y127" s="227" t="n">
        <v>0</v>
      </c>
      <c r="Z127" s="227" t="n">
        <v>0</v>
      </c>
      <c r="AA127" s="227" t="n">
        <v>0</v>
      </c>
    </row>
    <row r="128">
      <c r="A128" t="inlineStr">
        <is>
          <t>Hyatt House Scottsdale/Old Town</t>
        </is>
      </c>
      <c r="B128" t="inlineStr">
        <is>
          <t>Hotel</t>
        </is>
      </c>
      <c r="C128" t="inlineStr">
        <is>
          <t>NO</t>
        </is>
      </c>
      <c r="D128" t="n">
        <v>164</v>
      </c>
      <c r="E128" t="inlineStr"/>
      <c r="F128" t="inlineStr"/>
      <c r="G128" s="227" t="n">
        <v>0</v>
      </c>
      <c r="H128" t="n">
        <v>3</v>
      </c>
      <c r="I128" t="n">
        <v>1</v>
      </c>
      <c r="J128" t="n">
        <v>3</v>
      </c>
      <c r="K128" t="n">
        <v>4</v>
      </c>
      <c r="L128" t="n">
        <v>2</v>
      </c>
      <c r="M128" s="236" t="n">
        <v>0</v>
      </c>
      <c r="N128" t="inlineStr"/>
      <c r="O128" s="236" t="n">
        <v>2.5</v>
      </c>
      <c r="P128" s="236" t="n">
        <v>2.5</v>
      </c>
      <c r="Q128" s="237" t="inlineStr">
        <is>
          <t>C — Opportunistic</t>
        </is>
      </c>
      <c r="R128" s="226" t="n">
        <v>0.02</v>
      </c>
      <c r="S128" s="226" t="n">
        <v>0.09724000000000002</v>
      </c>
      <c r="T128" s="226" t="n">
        <v>0.28625</v>
      </c>
      <c r="U128" s="226" t="n">
        <v>0.4145</v>
      </c>
      <c r="V128" s="226" t="n">
        <v>0.5</v>
      </c>
      <c r="W128" s="227" t="n">
        <v>0</v>
      </c>
      <c r="X128" s="227" t="n">
        <v>0</v>
      </c>
      <c r="Y128" s="227" t="n">
        <v>0</v>
      </c>
      <c r="Z128" s="227" t="n">
        <v>0</v>
      </c>
      <c r="AA128" s="227" t="n">
        <v>0</v>
      </c>
    </row>
    <row r="129">
      <c r="A129" t="inlineStr">
        <is>
          <t>Hilton Vacation Club Scottsdale Links Resort</t>
        </is>
      </c>
      <c r="B129" t="inlineStr">
        <is>
          <t>Hotel</t>
        </is>
      </c>
      <c r="C129" t="inlineStr">
        <is>
          <t>NO</t>
        </is>
      </c>
      <c r="D129" t="n">
        <v>228</v>
      </c>
      <c r="E129" t="inlineStr"/>
      <c r="F129" t="inlineStr"/>
      <c r="G129" s="227" t="n">
        <v>0</v>
      </c>
      <c r="H129" t="n">
        <v>3</v>
      </c>
      <c r="I129" t="n">
        <v>1</v>
      </c>
      <c r="J129" t="n">
        <v>3</v>
      </c>
      <c r="K129" t="n">
        <v>4</v>
      </c>
      <c r="L129" t="n">
        <v>2</v>
      </c>
      <c r="M129" s="236" t="n">
        <v>0.15</v>
      </c>
      <c r="N129" t="inlineStr">
        <is>
          <t>Brand familiarity (historical): Hilton_family</t>
        </is>
      </c>
      <c r="O129" s="236" t="n">
        <v>2.5</v>
      </c>
      <c r="P129" s="236" t="n">
        <v>2.65</v>
      </c>
      <c r="Q129" s="237" t="inlineStr">
        <is>
          <t>C — Opportunistic</t>
        </is>
      </c>
      <c r="R129" s="226" t="n">
        <v>0.02</v>
      </c>
      <c r="S129" s="226" t="n">
        <v>0.09724000000000002</v>
      </c>
      <c r="T129" s="226" t="n">
        <v>0.28625</v>
      </c>
      <c r="U129" s="226" t="n">
        <v>0.4145</v>
      </c>
      <c r="V129" s="226" t="n">
        <v>0.5</v>
      </c>
      <c r="W129" s="227" t="n">
        <v>0</v>
      </c>
      <c r="X129" s="227" t="n">
        <v>0</v>
      </c>
      <c r="Y129" s="227" t="n">
        <v>0</v>
      </c>
      <c r="Z129" s="227" t="n">
        <v>0</v>
      </c>
      <c r="AA129" s="227" t="n">
        <v>0</v>
      </c>
    </row>
    <row r="130">
      <c r="A130" t="inlineStr">
        <is>
          <t>W Scottsdale</t>
        </is>
      </c>
      <c r="B130" t="inlineStr">
        <is>
          <t>Hotel</t>
        </is>
      </c>
      <c r="C130" t="inlineStr">
        <is>
          <t>NO</t>
        </is>
      </c>
      <c r="D130" t="n">
        <v>241</v>
      </c>
      <c r="E130" t="inlineStr"/>
      <c r="F130" t="n">
        <v>57</v>
      </c>
      <c r="G130" s="227" t="n">
        <v>445078.8</v>
      </c>
      <c r="H130" t="n">
        <v>3</v>
      </c>
      <c r="I130" t="n">
        <v>2</v>
      </c>
      <c r="J130" t="n">
        <v>2</v>
      </c>
      <c r="K130" t="n">
        <v>4</v>
      </c>
      <c r="L130" t="n">
        <v>2</v>
      </c>
      <c r="M130" s="236" t="n">
        <v>0</v>
      </c>
      <c r="N130" t="inlineStr"/>
      <c r="O130" s="236" t="n">
        <v>2.55</v>
      </c>
      <c r="P130" s="236" t="n">
        <v>2.55</v>
      </c>
      <c r="Q130" s="237" t="inlineStr">
        <is>
          <t>C — Opportunistic</t>
        </is>
      </c>
      <c r="R130" s="226" t="n">
        <v>0.02</v>
      </c>
      <c r="S130" s="226" t="n">
        <v>0.09724000000000002</v>
      </c>
      <c r="T130" s="226" t="n">
        <v>0.28625</v>
      </c>
      <c r="U130" s="226" t="n">
        <v>0.4145</v>
      </c>
      <c r="V130" s="226" t="n">
        <v>0.5</v>
      </c>
      <c r="W130" s="227" t="n">
        <v>8901.575999999999</v>
      </c>
      <c r="X130" s="227" t="n">
        <v>43279.46251200001</v>
      </c>
      <c r="Y130" s="227" t="n">
        <v>127403.8065</v>
      </c>
      <c r="Z130" s="227" t="n">
        <v>184485.1626</v>
      </c>
      <c r="AA130" s="227" t="n">
        <v>222539.4</v>
      </c>
    </row>
    <row r="131">
      <c r="A131" t="inlineStr">
        <is>
          <t>Royal Palms Resort and Spa -The Unbound Collection by Hyatt</t>
        </is>
      </c>
      <c r="B131" t="inlineStr">
        <is>
          <t>Hotel</t>
        </is>
      </c>
      <c r="C131" t="inlineStr">
        <is>
          <t>NO</t>
        </is>
      </c>
      <c r="D131" t="n">
        <v>119</v>
      </c>
      <c r="E131" t="inlineStr"/>
      <c r="F131" t="inlineStr">
        <is>
          <t>Has Valet</t>
        </is>
      </c>
      <c r="G131" s="227" t="n">
        <v>385559.9999999999</v>
      </c>
      <c r="H131" t="n">
        <v>3</v>
      </c>
      <c r="I131" t="n">
        <v>2</v>
      </c>
      <c r="J131" t="n">
        <v>3</v>
      </c>
      <c r="K131" t="n">
        <v>4</v>
      </c>
      <c r="L131" t="n">
        <v>2</v>
      </c>
      <c r="M131" s="236" t="n">
        <v>0</v>
      </c>
      <c r="N131" t="inlineStr"/>
      <c r="O131" s="236" t="n">
        <v>2.75</v>
      </c>
      <c r="P131" s="236" t="n">
        <v>2.75</v>
      </c>
      <c r="Q131" s="237" t="inlineStr">
        <is>
          <t>C — Opportunistic</t>
        </is>
      </c>
      <c r="R131" s="226" t="n">
        <v>0.02</v>
      </c>
      <c r="S131" s="226" t="n">
        <v>0.09724000000000002</v>
      </c>
      <c r="T131" s="226" t="n">
        <v>0.28625</v>
      </c>
      <c r="U131" s="226" t="n">
        <v>0.4145</v>
      </c>
      <c r="V131" s="226" t="n">
        <v>0.5</v>
      </c>
      <c r="W131" s="227" t="n">
        <v>7711.199999999998</v>
      </c>
      <c r="X131" s="227" t="n">
        <v>37491.8544</v>
      </c>
      <c r="Y131" s="227" t="n">
        <v>110366.55</v>
      </c>
      <c r="Z131" s="227" t="n">
        <v>159814.6199999999</v>
      </c>
      <c r="AA131" s="227" t="n">
        <v>192779.9999999999</v>
      </c>
    </row>
    <row r="132">
      <c r="A132" t="inlineStr">
        <is>
          <t>Talking Stick Resort Hotel</t>
        </is>
      </c>
      <c r="B132" t="inlineStr">
        <is>
          <t>Hotel</t>
        </is>
      </c>
      <c r="C132" t="inlineStr">
        <is>
          <t>NO</t>
        </is>
      </c>
      <c r="D132" t="n">
        <v>496</v>
      </c>
      <c r="E132" t="inlineStr"/>
      <c r="F132" t="inlineStr"/>
      <c r="G132" s="227" t="n">
        <v>0</v>
      </c>
      <c r="H132" t="n">
        <v>4</v>
      </c>
      <c r="I132" t="n">
        <v>1</v>
      </c>
      <c r="J132" t="n">
        <v>2</v>
      </c>
      <c r="K132" t="n">
        <v>4</v>
      </c>
      <c r="L132" t="n">
        <v>2</v>
      </c>
      <c r="M132" s="236" t="n">
        <v>0</v>
      </c>
      <c r="N132" t="inlineStr"/>
      <c r="O132" s="236" t="n">
        <v>2.55</v>
      </c>
      <c r="P132" s="236" t="n">
        <v>2.55</v>
      </c>
      <c r="Q132" s="237" t="inlineStr">
        <is>
          <t>C — Opportunistic</t>
        </is>
      </c>
      <c r="R132" s="226" t="n">
        <v>0.02</v>
      </c>
      <c r="S132" s="226" t="n">
        <v>0.09724000000000002</v>
      </c>
      <c r="T132" s="226" t="n">
        <v>0.28625</v>
      </c>
      <c r="U132" s="226" t="n">
        <v>0.4145</v>
      </c>
      <c r="V132" s="226" t="n">
        <v>0.5</v>
      </c>
      <c r="W132" s="227" t="n">
        <v>0</v>
      </c>
      <c r="X132" s="227" t="n">
        <v>0</v>
      </c>
      <c r="Y132" s="227" t="n">
        <v>0</v>
      </c>
      <c r="Z132" s="227" t="n">
        <v>0</v>
      </c>
      <c r="AA132" s="227" t="n">
        <v>0</v>
      </c>
    </row>
    <row r="133">
      <c r="A133" t="inlineStr">
        <is>
          <t>Sanctuary Camelback Mountain Resort &amp; Spa</t>
        </is>
      </c>
      <c r="B133" t="inlineStr">
        <is>
          <t>Hotel</t>
        </is>
      </c>
      <c r="C133" t="inlineStr">
        <is>
          <t>NO</t>
        </is>
      </c>
      <c r="D133" t="n">
        <v>110</v>
      </c>
      <c r="E133" t="inlineStr"/>
      <c r="F133" t="inlineStr"/>
      <c r="G133" s="227" t="n">
        <v>0</v>
      </c>
      <c r="H133" t="n">
        <v>3</v>
      </c>
      <c r="I133" t="n">
        <v>1</v>
      </c>
      <c r="J133" t="n">
        <v>2</v>
      </c>
      <c r="K133" t="n">
        <v>4</v>
      </c>
      <c r="L133" t="n">
        <v>2</v>
      </c>
      <c r="M133" s="236" t="n">
        <v>0</v>
      </c>
      <c r="N133" t="inlineStr"/>
      <c r="O133" s="236" t="n">
        <v>2.3</v>
      </c>
      <c r="P133" s="236" t="n">
        <v>2.3</v>
      </c>
      <c r="Q133" s="224" t="inlineStr">
        <is>
          <t>D — Deprioritized</t>
        </is>
      </c>
      <c r="R133" s="226" t="n">
        <v>0</v>
      </c>
      <c r="S133" s="226" t="n">
        <v>0.018</v>
      </c>
      <c r="T133" s="226" t="n">
        <v>0.05500000000000001</v>
      </c>
      <c r="U133" s="226" t="n">
        <v>0.082</v>
      </c>
      <c r="V133" s="226" t="n">
        <v>0.1</v>
      </c>
      <c r="W133" s="227" t="n">
        <v>0</v>
      </c>
      <c r="X133" s="227" t="n">
        <v>0</v>
      </c>
      <c r="Y133" s="227" t="n">
        <v>0</v>
      </c>
      <c r="Z133" s="227" t="n">
        <v>0</v>
      </c>
      <c r="AA133" s="227" t="n">
        <v>0</v>
      </c>
    </row>
    <row r="134">
      <c r="A134" t="inlineStr">
        <is>
          <t>Canopy by Hilton Scottsdale Old Town</t>
        </is>
      </c>
      <c r="B134" t="inlineStr">
        <is>
          <t>Hotel</t>
        </is>
      </c>
      <c r="C134" t="inlineStr">
        <is>
          <t>NO</t>
        </is>
      </c>
      <c r="D134" t="n">
        <v>177</v>
      </c>
      <c r="E134" t="inlineStr"/>
      <c r="F134" t="inlineStr">
        <is>
          <t>No Valet</t>
        </is>
      </c>
      <c r="G134" s="227" t="n">
        <v>0</v>
      </c>
      <c r="H134" t="n">
        <v>3</v>
      </c>
      <c r="I134" t="n">
        <v>1</v>
      </c>
      <c r="J134" t="n">
        <v>3</v>
      </c>
      <c r="K134" t="n">
        <v>4</v>
      </c>
      <c r="L134" t="n">
        <v>2</v>
      </c>
      <c r="M134" s="236" t="n">
        <v>0.15</v>
      </c>
      <c r="N134" t="inlineStr">
        <is>
          <t>Brand familiarity (historical): Hilton_family</t>
        </is>
      </c>
      <c r="O134" s="236" t="n">
        <v>2.5</v>
      </c>
      <c r="P134" s="236" t="n">
        <v>2.65</v>
      </c>
      <c r="Q134" s="237" t="inlineStr">
        <is>
          <t>C — Opportunistic</t>
        </is>
      </c>
      <c r="R134" s="226" t="n">
        <v>0.02</v>
      </c>
      <c r="S134" s="226" t="n">
        <v>0.09724000000000002</v>
      </c>
      <c r="T134" s="226" t="n">
        <v>0.28625</v>
      </c>
      <c r="U134" s="226" t="n">
        <v>0.4145</v>
      </c>
      <c r="V134" s="226" t="n">
        <v>0.5</v>
      </c>
      <c r="W134" s="227" t="n">
        <v>0</v>
      </c>
      <c r="X134" s="227" t="n">
        <v>0</v>
      </c>
      <c r="Y134" s="227" t="n">
        <v>0</v>
      </c>
      <c r="Z134" s="227" t="n">
        <v>0</v>
      </c>
      <c r="AA134" s="227" t="n">
        <v>0</v>
      </c>
    </row>
    <row r="135">
      <c r="A135" t="inlineStr">
        <is>
          <t>The Scottsdale Resort and Spa, Curio Collection by Hilton</t>
        </is>
      </c>
      <c r="B135" t="inlineStr">
        <is>
          <t>Hotel</t>
        </is>
      </c>
      <c r="C135" t="inlineStr">
        <is>
          <t>NO</t>
        </is>
      </c>
      <c r="D135" t="n">
        <v>278</v>
      </c>
      <c r="E135" t="inlineStr"/>
      <c r="F135" t="n">
        <v>35</v>
      </c>
      <c r="G135" s="227" t="n">
        <v>1050840</v>
      </c>
      <c r="H135" t="n">
        <v>4</v>
      </c>
      <c r="I135" t="n">
        <v>3</v>
      </c>
      <c r="J135" t="n">
        <v>3</v>
      </c>
      <c r="K135" t="n">
        <v>4</v>
      </c>
      <c r="L135" t="n">
        <v>2</v>
      </c>
      <c r="M135" s="236" t="n">
        <v>0.15</v>
      </c>
      <c r="N135" t="inlineStr">
        <is>
          <t>Brand familiarity (historical): Hilton_family</t>
        </is>
      </c>
      <c r="O135" s="236" t="n">
        <v>3.25</v>
      </c>
      <c r="P135" s="236" t="n">
        <v>3.4</v>
      </c>
      <c r="Q135" s="237" t="inlineStr">
        <is>
          <t>C — Opportunistic</t>
        </is>
      </c>
      <c r="R135" s="226" t="n">
        <v>0.02</v>
      </c>
      <c r="S135" s="226" t="n">
        <v>0.09724000000000002</v>
      </c>
      <c r="T135" s="226" t="n">
        <v>0.28625</v>
      </c>
      <c r="U135" s="226" t="n">
        <v>0.4145</v>
      </c>
      <c r="V135" s="226" t="n">
        <v>0.5</v>
      </c>
      <c r="W135" s="227" t="n">
        <v>21016.8</v>
      </c>
      <c r="X135" s="227" t="n">
        <v>102183.6816</v>
      </c>
      <c r="Y135" s="227" t="n">
        <v>300802.95</v>
      </c>
      <c r="Z135" s="227" t="n">
        <v>435573.18</v>
      </c>
      <c r="AA135" s="227" t="n">
        <v>525420</v>
      </c>
    </row>
    <row r="136">
      <c r="A136" t="inlineStr">
        <is>
          <t>Tru by Hilton Scottsdale Salt River</t>
        </is>
      </c>
      <c r="B136" t="inlineStr">
        <is>
          <t>Hotel</t>
        </is>
      </c>
      <c r="C136" t="inlineStr">
        <is>
          <t>NO</t>
        </is>
      </c>
      <c r="D136" t="n">
        <v>81</v>
      </c>
      <c r="E136" t="inlineStr"/>
      <c r="F136" t="inlineStr">
        <is>
          <t>No Valet</t>
        </is>
      </c>
      <c r="G136" s="227" t="n">
        <v>0</v>
      </c>
      <c r="H136" t="n">
        <v>2</v>
      </c>
      <c r="I136" t="n">
        <v>1</v>
      </c>
      <c r="J136" t="n">
        <v>3</v>
      </c>
      <c r="K136" t="n">
        <v>4</v>
      </c>
      <c r="L136" t="n">
        <v>2</v>
      </c>
      <c r="M136" s="236" t="n">
        <v>0.15</v>
      </c>
      <c r="N136" t="inlineStr">
        <is>
          <t>Brand familiarity (historical): Hilton_family</t>
        </is>
      </c>
      <c r="O136" s="236" t="n">
        <v>2.25</v>
      </c>
      <c r="P136" s="236" t="n">
        <v>2.4</v>
      </c>
      <c r="Q136" s="224" t="inlineStr">
        <is>
          <t>D — Deprioritized</t>
        </is>
      </c>
      <c r="R136" s="226" t="n">
        <v>0</v>
      </c>
      <c r="S136" s="226" t="n">
        <v>0.018</v>
      </c>
      <c r="T136" s="226" t="n">
        <v>0.05500000000000001</v>
      </c>
      <c r="U136" s="226" t="n">
        <v>0.082</v>
      </c>
      <c r="V136" s="226" t="n">
        <v>0.1</v>
      </c>
      <c r="W136" s="227" t="n">
        <v>0</v>
      </c>
      <c r="X136" s="227" t="n">
        <v>0</v>
      </c>
      <c r="Y136" s="227" t="n">
        <v>0</v>
      </c>
      <c r="Z136" s="227" t="n">
        <v>0</v>
      </c>
      <c r="AA136" s="227" t="n">
        <v>0</v>
      </c>
    </row>
    <row r="137">
      <c r="A137" t="inlineStr">
        <is>
          <t>Home2 Suites by Hilton Scottsdale Salt River</t>
        </is>
      </c>
      <c r="B137" t="inlineStr">
        <is>
          <t>Hotel</t>
        </is>
      </c>
      <c r="C137" t="inlineStr">
        <is>
          <t>NO</t>
        </is>
      </c>
      <c r="D137" t="n">
        <v>0</v>
      </c>
      <c r="E137" t="inlineStr"/>
      <c r="F137" t="inlineStr"/>
      <c r="G137" s="227" t="n">
        <v>0</v>
      </c>
      <c r="H137" t="n">
        <v>2</v>
      </c>
      <c r="I137" t="n">
        <v>1</v>
      </c>
      <c r="J137" t="n">
        <v>3</v>
      </c>
      <c r="K137" t="n">
        <v>4</v>
      </c>
      <c r="L137" t="n">
        <v>2</v>
      </c>
      <c r="M137" s="236" t="n">
        <v>0.15</v>
      </c>
      <c r="N137" t="inlineStr">
        <is>
          <t>Brand familiarity (historical): Hilton_family</t>
        </is>
      </c>
      <c r="O137" s="236" t="n">
        <v>2.25</v>
      </c>
      <c r="P137" s="236" t="n">
        <v>2.4</v>
      </c>
      <c r="Q137" s="224" t="inlineStr">
        <is>
          <t>D — Deprioritized</t>
        </is>
      </c>
      <c r="R137" s="226" t="n">
        <v>0</v>
      </c>
      <c r="S137" s="226" t="n">
        <v>0.018</v>
      </c>
      <c r="T137" s="226" t="n">
        <v>0.05500000000000001</v>
      </c>
      <c r="U137" s="226" t="n">
        <v>0.082</v>
      </c>
      <c r="V137" s="226" t="n">
        <v>0.1</v>
      </c>
      <c r="W137" s="227" t="n">
        <v>0</v>
      </c>
      <c r="X137" s="227" t="n">
        <v>0</v>
      </c>
      <c r="Y137" s="227" t="n">
        <v>0</v>
      </c>
      <c r="Z137" s="227" t="n">
        <v>0</v>
      </c>
      <c r="AA137" s="227" t="n">
        <v>0</v>
      </c>
    </row>
    <row r="138">
      <c r="A138" t="inlineStr">
        <is>
          <t>Mountain Shadows Resort Scottsdale</t>
        </is>
      </c>
      <c r="B138" t="inlineStr">
        <is>
          <t>Hotel</t>
        </is>
      </c>
      <c r="C138" t="inlineStr">
        <is>
          <t>NO</t>
        </is>
      </c>
      <c r="D138" t="n">
        <v>217</v>
      </c>
      <c r="E138" t="inlineStr"/>
      <c r="F138" t="inlineStr">
        <is>
          <t>No Valet</t>
        </is>
      </c>
      <c r="G138" s="227" t="n">
        <v>0</v>
      </c>
      <c r="H138" t="n">
        <v>3</v>
      </c>
      <c r="I138" t="n">
        <v>1</v>
      </c>
      <c r="J138" t="n">
        <v>2</v>
      </c>
      <c r="K138" t="n">
        <v>4</v>
      </c>
      <c r="L138" t="n">
        <v>2</v>
      </c>
      <c r="M138" s="236" t="n">
        <v>0</v>
      </c>
      <c r="N138" t="inlineStr"/>
      <c r="O138" s="236" t="n">
        <v>2.3</v>
      </c>
      <c r="P138" s="236" t="n">
        <v>2.3</v>
      </c>
      <c r="Q138" s="224" t="inlineStr">
        <is>
          <t>D — Deprioritized</t>
        </is>
      </c>
      <c r="R138" s="226" t="n">
        <v>0</v>
      </c>
      <c r="S138" s="226" t="n">
        <v>0.018</v>
      </c>
      <c r="T138" s="226" t="n">
        <v>0.05500000000000001</v>
      </c>
      <c r="U138" s="226" t="n">
        <v>0.082</v>
      </c>
      <c r="V138" s="226" t="n">
        <v>0.1</v>
      </c>
      <c r="W138" s="227" t="n">
        <v>0</v>
      </c>
      <c r="X138" s="227" t="n">
        <v>0</v>
      </c>
      <c r="Y138" s="227" t="n">
        <v>0</v>
      </c>
      <c r="Z138" s="227" t="n">
        <v>0</v>
      </c>
      <c r="AA138" s="227" t="n">
        <v>0</v>
      </c>
    </row>
    <row r="139">
      <c r="A139" t="inlineStr">
        <is>
          <t>Hilton Garden Inn Scottsdale North/Perimeter Center</t>
        </is>
      </c>
      <c r="B139" t="inlineStr">
        <is>
          <t>Hotel</t>
        </is>
      </c>
      <c r="C139" t="inlineStr">
        <is>
          <t>NO</t>
        </is>
      </c>
      <c r="D139" t="n">
        <v>122</v>
      </c>
      <c r="E139" t="inlineStr"/>
      <c r="F139" t="inlineStr"/>
      <c r="G139" s="227" t="n">
        <v>0</v>
      </c>
      <c r="H139" t="n">
        <v>3</v>
      </c>
      <c r="I139" t="n">
        <v>1</v>
      </c>
      <c r="J139" t="n">
        <v>3</v>
      </c>
      <c r="K139" t="n">
        <v>4</v>
      </c>
      <c r="L139" t="n">
        <v>2</v>
      </c>
      <c r="M139" s="236" t="n">
        <v>0.15</v>
      </c>
      <c r="N139" t="inlineStr">
        <is>
          <t>Brand familiarity (historical): Hilton_family</t>
        </is>
      </c>
      <c r="O139" s="236" t="n">
        <v>2.5</v>
      </c>
      <c r="P139" s="236" t="n">
        <v>2.65</v>
      </c>
      <c r="Q139" s="237" t="inlineStr">
        <is>
          <t>C — Opportunistic</t>
        </is>
      </c>
      <c r="R139" s="226" t="n">
        <v>0.02</v>
      </c>
      <c r="S139" s="226" t="n">
        <v>0.09724000000000002</v>
      </c>
      <c r="T139" s="226" t="n">
        <v>0.28625</v>
      </c>
      <c r="U139" s="226" t="n">
        <v>0.4145</v>
      </c>
      <c r="V139" s="226" t="n">
        <v>0.5</v>
      </c>
      <c r="W139" s="227" t="n">
        <v>0</v>
      </c>
      <c r="X139" s="227" t="n">
        <v>0</v>
      </c>
      <c r="Y139" s="227" t="n">
        <v>0</v>
      </c>
      <c r="Z139" s="227" t="n">
        <v>0</v>
      </c>
      <c r="AA139" s="227" t="n">
        <v>0</v>
      </c>
    </row>
    <row r="140">
      <c r="A140" t="inlineStr">
        <is>
          <t>Aloft Scottsdale</t>
        </is>
      </c>
      <c r="B140" t="inlineStr">
        <is>
          <t>Hotel</t>
        </is>
      </c>
      <c r="C140" t="inlineStr">
        <is>
          <t>NO</t>
        </is>
      </c>
      <c r="D140" t="n">
        <v>126</v>
      </c>
      <c r="E140" t="inlineStr"/>
      <c r="F140" t="inlineStr">
        <is>
          <t>No Valet</t>
        </is>
      </c>
      <c r="G140" s="227" t="n">
        <v>0</v>
      </c>
      <c r="H140" t="n">
        <v>3</v>
      </c>
      <c r="I140" t="n">
        <v>1</v>
      </c>
      <c r="J140" t="n">
        <v>2</v>
      </c>
      <c r="K140" t="n">
        <v>4</v>
      </c>
      <c r="L140" t="n">
        <v>2</v>
      </c>
      <c r="M140" s="236" t="n">
        <v>0.3</v>
      </c>
      <c r="N140" t="inlineStr">
        <is>
          <t>Brand familiarity (current): Marriott_family</t>
        </is>
      </c>
      <c r="O140" s="236" t="n">
        <v>2.3</v>
      </c>
      <c r="P140" s="236" t="n">
        <v>2.6</v>
      </c>
      <c r="Q140" s="237" t="inlineStr">
        <is>
          <t>C — Opportunistic</t>
        </is>
      </c>
      <c r="R140" s="226" t="n">
        <v>0.02</v>
      </c>
      <c r="S140" s="226" t="n">
        <v>0.09724000000000002</v>
      </c>
      <c r="T140" s="226" t="n">
        <v>0.28625</v>
      </c>
      <c r="U140" s="226" t="n">
        <v>0.4145</v>
      </c>
      <c r="V140" s="226" t="n">
        <v>0.5</v>
      </c>
      <c r="W140" s="227" t="n">
        <v>0</v>
      </c>
      <c r="X140" s="227" t="n">
        <v>0</v>
      </c>
      <c r="Y140" s="227" t="n">
        <v>0</v>
      </c>
      <c r="Z140" s="227" t="n">
        <v>0</v>
      </c>
      <c r="AA140" s="227" t="n">
        <v>0</v>
      </c>
    </row>
    <row r="141">
      <c r="A141" t="inlineStr">
        <is>
          <t>Andaz Scottsdale Resort &amp; Bungalows</t>
        </is>
      </c>
      <c r="B141" t="inlineStr">
        <is>
          <t>Hotel</t>
        </is>
      </c>
      <c r="C141" t="inlineStr">
        <is>
          <t>NO</t>
        </is>
      </c>
      <c r="D141" t="n">
        <v>185</v>
      </c>
      <c r="E141" t="inlineStr"/>
      <c r="F141" t="n">
        <v>35</v>
      </c>
      <c r="G141" s="227" t="n">
        <v>699300</v>
      </c>
      <c r="H141" t="n">
        <v>3</v>
      </c>
      <c r="I141" t="n">
        <v>2</v>
      </c>
      <c r="J141" t="n">
        <v>2</v>
      </c>
      <c r="K141" t="n">
        <v>4</v>
      </c>
      <c r="L141" t="n">
        <v>2</v>
      </c>
      <c r="M141" s="236" t="n">
        <v>0</v>
      </c>
      <c r="N141" t="inlineStr"/>
      <c r="O141" s="236" t="n">
        <v>2.55</v>
      </c>
      <c r="P141" s="236" t="n">
        <v>2.55</v>
      </c>
      <c r="Q141" s="237" t="inlineStr">
        <is>
          <t>C — Opportunistic</t>
        </is>
      </c>
      <c r="R141" s="226" t="n">
        <v>0.02</v>
      </c>
      <c r="S141" s="226" t="n">
        <v>0.09724000000000002</v>
      </c>
      <c r="T141" s="226" t="n">
        <v>0.28625</v>
      </c>
      <c r="U141" s="226" t="n">
        <v>0.4145</v>
      </c>
      <c r="V141" s="226" t="n">
        <v>0.5</v>
      </c>
      <c r="W141" s="227" t="n">
        <v>13986</v>
      </c>
      <c r="X141" s="227" t="n">
        <v>67999.93200000002</v>
      </c>
      <c r="Y141" s="227" t="n">
        <v>200174.625</v>
      </c>
      <c r="Z141" s="227" t="n">
        <v>289859.85</v>
      </c>
      <c r="AA141" s="227" t="n">
        <v>349650</v>
      </c>
    </row>
    <row r="142">
      <c r="A142" t="inlineStr">
        <is>
          <t>Sonesta Suites Scottsdale Gainey Ranch</t>
        </is>
      </c>
      <c r="B142" t="inlineStr">
        <is>
          <t>Hotel</t>
        </is>
      </c>
      <c r="C142" t="inlineStr">
        <is>
          <t>NO</t>
        </is>
      </c>
      <c r="D142" t="n">
        <v>164</v>
      </c>
      <c r="E142" t="inlineStr"/>
      <c r="F142" t="inlineStr"/>
      <c r="G142" s="227" t="n">
        <v>0</v>
      </c>
      <c r="H142" t="n">
        <v>3</v>
      </c>
      <c r="I142" t="n">
        <v>1</v>
      </c>
      <c r="J142" t="n">
        <v>2</v>
      </c>
      <c r="K142" t="n">
        <v>4</v>
      </c>
      <c r="L142" t="n">
        <v>2</v>
      </c>
      <c r="M142" s="236" t="n">
        <v>0</v>
      </c>
      <c r="N142" t="inlineStr"/>
      <c r="O142" s="236" t="n">
        <v>2.3</v>
      </c>
      <c r="P142" s="236" t="n">
        <v>2.3</v>
      </c>
      <c r="Q142" s="224" t="inlineStr">
        <is>
          <t>D — Deprioritized</t>
        </is>
      </c>
      <c r="R142" s="226" t="n">
        <v>0</v>
      </c>
      <c r="S142" s="226" t="n">
        <v>0.018</v>
      </c>
      <c r="T142" s="226" t="n">
        <v>0.05500000000000001</v>
      </c>
      <c r="U142" s="226" t="n">
        <v>0.082</v>
      </c>
      <c r="V142" s="226" t="n">
        <v>0.1</v>
      </c>
      <c r="W142" s="227" t="n">
        <v>0</v>
      </c>
      <c r="X142" s="227" t="n">
        <v>0</v>
      </c>
      <c r="Y142" s="227" t="n">
        <v>0</v>
      </c>
      <c r="Z142" s="227" t="n">
        <v>0</v>
      </c>
      <c r="AA142" s="227" t="n">
        <v>0</v>
      </c>
    </row>
    <row r="143">
      <c r="A143" t="inlineStr">
        <is>
          <t>The Scottsdale Plaza Resort &amp; Villas</t>
        </is>
      </c>
      <c r="B143" t="inlineStr">
        <is>
          <t>Hotel</t>
        </is>
      </c>
      <c r="C143" t="inlineStr">
        <is>
          <t>NO</t>
        </is>
      </c>
      <c r="D143" t="n">
        <v>404</v>
      </c>
      <c r="E143" t="inlineStr"/>
      <c r="F143" t="inlineStr">
        <is>
          <t>No Valet</t>
        </is>
      </c>
      <c r="G143" s="227" t="n">
        <v>0</v>
      </c>
      <c r="H143" t="n">
        <v>4</v>
      </c>
      <c r="I143" t="n">
        <v>1</v>
      </c>
      <c r="J143" t="n">
        <v>2</v>
      </c>
      <c r="K143" t="n">
        <v>4</v>
      </c>
      <c r="L143" t="n">
        <v>2</v>
      </c>
      <c r="M143" s="236" t="n">
        <v>0</v>
      </c>
      <c r="N143" t="inlineStr"/>
      <c r="O143" s="236" t="n">
        <v>2.55</v>
      </c>
      <c r="P143" s="236" t="n">
        <v>2.55</v>
      </c>
      <c r="Q143" s="237" t="inlineStr">
        <is>
          <t>C — Opportunistic</t>
        </is>
      </c>
      <c r="R143" s="226" t="n">
        <v>0.02</v>
      </c>
      <c r="S143" s="226" t="n">
        <v>0.09724000000000002</v>
      </c>
      <c r="T143" s="226" t="n">
        <v>0.28625</v>
      </c>
      <c r="U143" s="226" t="n">
        <v>0.4145</v>
      </c>
      <c r="V143" s="226" t="n">
        <v>0.5</v>
      </c>
      <c r="W143" s="227" t="n">
        <v>0</v>
      </c>
      <c r="X143" s="227" t="n">
        <v>0</v>
      </c>
      <c r="Y143" s="227" t="n">
        <v>0</v>
      </c>
      <c r="Z143" s="227" t="n">
        <v>0</v>
      </c>
      <c r="AA143" s="227" t="n">
        <v>0</v>
      </c>
    </row>
    <row r="144">
      <c r="A144" t="inlineStr">
        <is>
          <t>Holiday Inn &amp; Suites Scottsdale North - Airpark by IHG</t>
        </is>
      </c>
      <c r="B144" t="inlineStr">
        <is>
          <t>Hotel</t>
        </is>
      </c>
      <c r="C144" t="inlineStr">
        <is>
          <t>NO</t>
        </is>
      </c>
      <c r="D144" t="n">
        <v>117</v>
      </c>
      <c r="E144" t="inlineStr"/>
      <c r="F144" t="inlineStr">
        <is>
          <t>No Valet</t>
        </is>
      </c>
      <c r="G144" s="227" t="n">
        <v>0</v>
      </c>
      <c r="H144" t="n">
        <v>3</v>
      </c>
      <c r="I144" t="n">
        <v>1</v>
      </c>
      <c r="J144" t="n">
        <v>3</v>
      </c>
      <c r="K144" t="n">
        <v>4</v>
      </c>
      <c r="L144" t="n">
        <v>2</v>
      </c>
      <c r="M144" s="236" t="n">
        <v>0</v>
      </c>
      <c r="N144" t="inlineStr"/>
      <c r="O144" s="236" t="n">
        <v>2.5</v>
      </c>
      <c r="P144" s="236" t="n">
        <v>2.5</v>
      </c>
      <c r="Q144" s="237" t="inlineStr">
        <is>
          <t>C — Opportunistic</t>
        </is>
      </c>
      <c r="R144" s="226" t="n">
        <v>0.02</v>
      </c>
      <c r="S144" s="226" t="n">
        <v>0.09724000000000002</v>
      </c>
      <c r="T144" s="226" t="n">
        <v>0.28625</v>
      </c>
      <c r="U144" s="226" t="n">
        <v>0.4145</v>
      </c>
      <c r="V144" s="226" t="n">
        <v>0.5</v>
      </c>
      <c r="W144" s="227" t="n">
        <v>0</v>
      </c>
      <c r="X144" s="227" t="n">
        <v>0</v>
      </c>
      <c r="Y144" s="227" t="n">
        <v>0</v>
      </c>
      <c r="Z144" s="227" t="n">
        <v>0</v>
      </c>
      <c r="AA144" s="227" t="n">
        <v>0</v>
      </c>
    </row>
    <row r="145">
      <c r="A145" t="inlineStr">
        <is>
          <t>Residence Inn Scottsdale Salt River</t>
        </is>
      </c>
      <c r="B145" t="inlineStr">
        <is>
          <t>Hotel</t>
        </is>
      </c>
      <c r="C145" t="inlineStr">
        <is>
          <t>NO</t>
        </is>
      </c>
      <c r="D145" t="n">
        <v>111</v>
      </c>
      <c r="E145" t="inlineStr"/>
      <c r="F145" t="inlineStr">
        <is>
          <t>No Valet</t>
        </is>
      </c>
      <c r="G145" s="227" t="n">
        <v>0</v>
      </c>
      <c r="H145" t="n">
        <v>3</v>
      </c>
      <c r="I145" t="n">
        <v>1</v>
      </c>
      <c r="J145" t="n">
        <v>3</v>
      </c>
      <c r="K145" t="n">
        <v>4</v>
      </c>
      <c r="L145" t="n">
        <v>2</v>
      </c>
      <c r="M145" s="236" t="n">
        <v>0.3</v>
      </c>
      <c r="N145" t="inlineStr">
        <is>
          <t>Brand familiarity (current): Marriott_family</t>
        </is>
      </c>
      <c r="O145" s="236" t="n">
        <v>2.5</v>
      </c>
      <c r="P145" s="236" t="n">
        <v>2.8</v>
      </c>
      <c r="Q145" s="237" t="inlineStr">
        <is>
          <t>C — Opportunistic</t>
        </is>
      </c>
      <c r="R145" s="226" t="n">
        <v>0.02</v>
      </c>
      <c r="S145" s="226" t="n">
        <v>0.09724000000000002</v>
      </c>
      <c r="T145" s="226" t="n">
        <v>0.28625</v>
      </c>
      <c r="U145" s="226" t="n">
        <v>0.4145</v>
      </c>
      <c r="V145" s="226" t="n">
        <v>0.5</v>
      </c>
      <c r="W145" s="227" t="n">
        <v>0</v>
      </c>
      <c r="X145" s="227" t="n">
        <v>0</v>
      </c>
      <c r="Y145" s="227" t="n">
        <v>0</v>
      </c>
      <c r="Z145" s="227" t="n">
        <v>0</v>
      </c>
      <c r="AA145" s="227" t="n">
        <v>0</v>
      </c>
    </row>
    <row r="146">
      <c r="A146" t="inlineStr">
        <is>
          <t>Hilton North Scottsdale at Cavasson</t>
        </is>
      </c>
      <c r="B146" t="inlineStr">
        <is>
          <t>Hotel</t>
        </is>
      </c>
      <c r="C146" t="inlineStr">
        <is>
          <t>NO</t>
        </is>
      </c>
      <c r="D146" t="n">
        <v>237</v>
      </c>
      <c r="E146" t="inlineStr"/>
      <c r="F146" t="inlineStr">
        <is>
          <t>No Valet</t>
        </is>
      </c>
      <c r="G146" s="227" t="n">
        <v>0</v>
      </c>
      <c r="H146" t="n">
        <v>3</v>
      </c>
      <c r="I146" t="n">
        <v>1</v>
      </c>
      <c r="J146" t="n">
        <v>3</v>
      </c>
      <c r="K146" t="n">
        <v>4</v>
      </c>
      <c r="L146" t="n">
        <v>2</v>
      </c>
      <c r="M146" s="236" t="n">
        <v>0.15</v>
      </c>
      <c r="N146" t="inlineStr">
        <is>
          <t>Brand familiarity (historical): Hilton_family</t>
        </is>
      </c>
      <c r="O146" s="236" t="n">
        <v>2.5</v>
      </c>
      <c r="P146" s="236" t="n">
        <v>2.65</v>
      </c>
      <c r="Q146" s="237" t="inlineStr">
        <is>
          <t>C — Opportunistic</t>
        </is>
      </c>
      <c r="R146" s="226" t="n">
        <v>0.02</v>
      </c>
      <c r="S146" s="226" t="n">
        <v>0.09724000000000002</v>
      </c>
      <c r="T146" s="226" t="n">
        <v>0.28625</v>
      </c>
      <c r="U146" s="226" t="n">
        <v>0.4145</v>
      </c>
      <c r="V146" s="226" t="n">
        <v>0.5</v>
      </c>
      <c r="W146" s="227" t="n">
        <v>0</v>
      </c>
      <c r="X146" s="227" t="n">
        <v>0</v>
      </c>
      <c r="Y146" s="227" t="n">
        <v>0</v>
      </c>
      <c r="Z146" s="227" t="n">
        <v>0</v>
      </c>
      <c r="AA146" s="227" t="n">
        <v>0</v>
      </c>
    </row>
    <row r="147">
      <c r="A147" t="inlineStr">
        <is>
          <t>Sonesta ES Suites Scottsdale Paradise Valley</t>
        </is>
      </c>
      <c r="B147" t="inlineStr">
        <is>
          <t>Hotel</t>
        </is>
      </c>
      <c r="C147" t="inlineStr">
        <is>
          <t>NO</t>
        </is>
      </c>
      <c r="D147" t="n">
        <v>122</v>
      </c>
      <c r="E147" t="inlineStr"/>
      <c r="F147" t="inlineStr">
        <is>
          <t>No Valet</t>
        </is>
      </c>
      <c r="G147" s="227" t="n">
        <v>0</v>
      </c>
      <c r="H147" t="n">
        <v>3</v>
      </c>
      <c r="I147" t="n">
        <v>1</v>
      </c>
      <c r="J147" t="n">
        <v>2</v>
      </c>
      <c r="K147" t="n">
        <v>4</v>
      </c>
      <c r="L147" t="n">
        <v>2</v>
      </c>
      <c r="M147" s="236" t="n">
        <v>0</v>
      </c>
      <c r="N147" t="inlineStr"/>
      <c r="O147" s="236" t="n">
        <v>2.3</v>
      </c>
      <c r="P147" s="236" t="n">
        <v>2.3</v>
      </c>
      <c r="Q147" s="224" t="inlineStr">
        <is>
          <t>D — Deprioritized</t>
        </is>
      </c>
      <c r="R147" s="226" t="n">
        <v>0</v>
      </c>
      <c r="S147" s="226" t="n">
        <v>0.018</v>
      </c>
      <c r="T147" s="226" t="n">
        <v>0.05500000000000001</v>
      </c>
      <c r="U147" s="226" t="n">
        <v>0.082</v>
      </c>
      <c r="V147" s="226" t="n">
        <v>0.1</v>
      </c>
      <c r="W147" s="227" t="n">
        <v>0</v>
      </c>
      <c r="X147" s="227" t="n">
        <v>0</v>
      </c>
      <c r="Y147" s="227" t="n">
        <v>0</v>
      </c>
      <c r="Z147" s="227" t="n">
        <v>0</v>
      </c>
      <c r="AA147" s="227" t="n">
        <v>0</v>
      </c>
    </row>
    <row r="148">
      <c r="A148" t="inlineStr">
        <is>
          <t>Home2 Suites by Hilton Scottsdale Old Town</t>
        </is>
      </c>
      <c r="B148" t="inlineStr">
        <is>
          <t>Hotel</t>
        </is>
      </c>
      <c r="C148" t="inlineStr">
        <is>
          <t>NO</t>
        </is>
      </c>
      <c r="D148" t="n">
        <v>169</v>
      </c>
      <c r="E148" t="inlineStr"/>
      <c r="F148" t="inlineStr">
        <is>
          <t>No Valet</t>
        </is>
      </c>
      <c r="G148" s="227" t="n">
        <v>0</v>
      </c>
      <c r="H148" t="n">
        <v>3</v>
      </c>
      <c r="I148" t="n">
        <v>1</v>
      </c>
      <c r="J148" t="n">
        <v>3</v>
      </c>
      <c r="K148" t="n">
        <v>4</v>
      </c>
      <c r="L148" t="n">
        <v>2</v>
      </c>
      <c r="M148" s="236" t="n">
        <v>0.15</v>
      </c>
      <c r="N148" t="inlineStr">
        <is>
          <t>Brand familiarity (historical): Hilton_family</t>
        </is>
      </c>
      <c r="O148" s="236" t="n">
        <v>2.5</v>
      </c>
      <c r="P148" s="236" t="n">
        <v>2.65</v>
      </c>
      <c r="Q148" s="237" t="inlineStr">
        <is>
          <t>C — Opportunistic</t>
        </is>
      </c>
      <c r="R148" s="226" t="n">
        <v>0.02</v>
      </c>
      <c r="S148" s="226" t="n">
        <v>0.09724000000000002</v>
      </c>
      <c r="T148" s="226" t="n">
        <v>0.28625</v>
      </c>
      <c r="U148" s="226" t="n">
        <v>0.4145</v>
      </c>
      <c r="V148" s="226" t="n">
        <v>0.5</v>
      </c>
      <c r="W148" s="227" t="n">
        <v>0</v>
      </c>
      <c r="X148" s="227" t="n">
        <v>0</v>
      </c>
      <c r="Y148" s="227" t="n">
        <v>0</v>
      </c>
      <c r="Z148" s="227" t="n">
        <v>0</v>
      </c>
      <c r="AA148" s="227" t="n">
        <v>0</v>
      </c>
    </row>
    <row r="149">
      <c r="A149" t="inlineStr">
        <is>
          <t>AC Hotel Phoenix Tempe/Downtown</t>
        </is>
      </c>
      <c r="B149" t="inlineStr">
        <is>
          <t>Hotel</t>
        </is>
      </c>
      <c r="C149" t="inlineStr">
        <is>
          <t>NO</t>
        </is>
      </c>
      <c r="D149" t="n">
        <v>159</v>
      </c>
      <c r="E149" t="inlineStr"/>
      <c r="F149" t="inlineStr">
        <is>
          <t>No Valet</t>
        </is>
      </c>
      <c r="G149" s="227" t="n">
        <v>0</v>
      </c>
      <c r="H149" t="n">
        <v>3</v>
      </c>
      <c r="I149" t="n">
        <v>1</v>
      </c>
      <c r="J149" t="n">
        <v>2</v>
      </c>
      <c r="K149" t="n">
        <v>4</v>
      </c>
      <c r="L149" t="n">
        <v>2</v>
      </c>
      <c r="M149" s="236" t="n">
        <v>0</v>
      </c>
      <c r="N149" t="inlineStr"/>
      <c r="O149" s="236" t="n">
        <v>2.3</v>
      </c>
      <c r="P149" s="236" t="n">
        <v>2.3</v>
      </c>
      <c r="Q149" s="224" t="inlineStr">
        <is>
          <t>D — Deprioritized</t>
        </is>
      </c>
      <c r="R149" s="226" t="n">
        <v>0</v>
      </c>
      <c r="S149" s="226" t="n">
        <v>0.018</v>
      </c>
      <c r="T149" s="226" t="n">
        <v>0.05500000000000001</v>
      </c>
      <c r="U149" s="226" t="n">
        <v>0.082</v>
      </c>
      <c r="V149" s="226" t="n">
        <v>0.1</v>
      </c>
      <c r="W149" s="227" t="n">
        <v>0</v>
      </c>
      <c r="X149" s="227" t="n">
        <v>0</v>
      </c>
      <c r="Y149" s="227" t="n">
        <v>0</v>
      </c>
      <c r="Z149" s="227" t="n">
        <v>0</v>
      </c>
      <c r="AA149" s="227" t="n">
        <v>0</v>
      </c>
    </row>
    <row r="150">
      <c r="A150" t="inlineStr">
        <is>
          <t>Marriott Phoenix Resort Tempe at The Buttes</t>
        </is>
      </c>
      <c r="B150" t="inlineStr">
        <is>
          <t>Hotel</t>
        </is>
      </c>
      <c r="C150" t="inlineStr">
        <is>
          <t>NO</t>
        </is>
      </c>
      <c r="D150" t="n">
        <v>353</v>
      </c>
      <c r="E150" t="inlineStr"/>
      <c r="F150" t="n">
        <v>15</v>
      </c>
      <c r="G150" s="227" t="n">
        <v>571859.9999999999</v>
      </c>
      <c r="H150" t="n">
        <v>4</v>
      </c>
      <c r="I150" t="n">
        <v>2</v>
      </c>
      <c r="J150" t="n">
        <v>3</v>
      </c>
      <c r="K150" t="n">
        <v>4</v>
      </c>
      <c r="L150" t="n">
        <v>2</v>
      </c>
      <c r="M150" s="236" t="n">
        <v>0.3</v>
      </c>
      <c r="N150" t="inlineStr">
        <is>
          <t>Brand familiarity (current): Marriott_family</t>
        </is>
      </c>
      <c r="O150" s="236" t="n">
        <v>3</v>
      </c>
      <c r="P150" s="236" t="n">
        <v>3.3</v>
      </c>
      <c r="Q150" s="237" t="inlineStr">
        <is>
          <t>C — Opportunistic</t>
        </is>
      </c>
      <c r="R150" s="226" t="n">
        <v>0.02</v>
      </c>
      <c r="S150" s="226" t="n">
        <v>0.09724000000000002</v>
      </c>
      <c r="T150" s="226" t="n">
        <v>0.28625</v>
      </c>
      <c r="U150" s="226" t="n">
        <v>0.4145</v>
      </c>
      <c r="V150" s="226" t="n">
        <v>0.5</v>
      </c>
      <c r="W150" s="227" t="n">
        <v>11437.2</v>
      </c>
      <c r="X150" s="227" t="n">
        <v>55607.6664</v>
      </c>
      <c r="Y150" s="227" t="n">
        <v>163694.925</v>
      </c>
      <c r="Z150" s="227" t="n">
        <v>237035.9699999999</v>
      </c>
      <c r="AA150" s="227" t="n">
        <v>285929.9999999999</v>
      </c>
    </row>
    <row r="151">
      <c r="A151" t="inlineStr">
        <is>
          <t>Tempe Mission Palms, a Destination by Hyatt Hotel</t>
        </is>
      </c>
      <c r="B151" t="inlineStr">
        <is>
          <t>Hotel</t>
        </is>
      </c>
      <c r="C151" t="inlineStr">
        <is>
          <t>NO</t>
        </is>
      </c>
      <c r="D151" t="n">
        <v>303</v>
      </c>
      <c r="E151" t="inlineStr"/>
      <c r="F151" t="n">
        <v>25</v>
      </c>
      <c r="G151" s="227" t="n">
        <v>245430</v>
      </c>
      <c r="H151" t="n">
        <v>4</v>
      </c>
      <c r="I151" t="n">
        <v>1</v>
      </c>
      <c r="J151" t="n">
        <v>3</v>
      </c>
      <c r="K151" t="n">
        <v>4</v>
      </c>
      <c r="L151" t="n">
        <v>2</v>
      </c>
      <c r="M151" s="236" t="n">
        <v>0</v>
      </c>
      <c r="N151" t="inlineStr"/>
      <c r="O151" s="236" t="n">
        <v>2.75</v>
      </c>
      <c r="P151" s="236" t="n">
        <v>2.75</v>
      </c>
      <c r="Q151" s="237" t="inlineStr">
        <is>
          <t>C — Opportunistic</t>
        </is>
      </c>
      <c r="R151" s="226" t="n">
        <v>0.02</v>
      </c>
      <c r="S151" s="226" t="n">
        <v>0.09724000000000002</v>
      </c>
      <c r="T151" s="226" t="n">
        <v>0.28625</v>
      </c>
      <c r="U151" s="226" t="n">
        <v>0.4145</v>
      </c>
      <c r="V151" s="226" t="n">
        <v>0.5</v>
      </c>
      <c r="W151" s="227" t="n">
        <v>4908.6</v>
      </c>
      <c r="X151" s="227" t="n">
        <v>23865.6132</v>
      </c>
      <c r="Y151" s="227" t="n">
        <v>70254.33749999999</v>
      </c>
      <c r="Z151" s="227" t="n">
        <v>101730.735</v>
      </c>
      <c r="AA151" s="227" t="n">
        <v>122715</v>
      </c>
    </row>
    <row r="152">
      <c r="A152" t="inlineStr">
        <is>
          <t>Moxy Phoenix Tempe/ASU Area</t>
        </is>
      </c>
      <c r="B152" t="inlineStr">
        <is>
          <t>Hotel</t>
        </is>
      </c>
      <c r="C152" t="inlineStr">
        <is>
          <t>NO</t>
        </is>
      </c>
      <c r="D152" t="n">
        <v>186</v>
      </c>
      <c r="E152" t="inlineStr"/>
      <c r="F152" t="inlineStr">
        <is>
          <t>No Valet</t>
        </is>
      </c>
      <c r="G152" s="227" t="n">
        <v>0</v>
      </c>
      <c r="H152" t="n">
        <v>3</v>
      </c>
      <c r="I152" t="n">
        <v>1</v>
      </c>
      <c r="J152" t="n">
        <v>2</v>
      </c>
      <c r="K152" t="n">
        <v>4</v>
      </c>
      <c r="L152" t="n">
        <v>2</v>
      </c>
      <c r="M152" s="236" t="n">
        <v>0</v>
      </c>
      <c r="N152" t="inlineStr"/>
      <c r="O152" s="236" t="n">
        <v>2.3</v>
      </c>
      <c r="P152" s="236" t="n">
        <v>2.3</v>
      </c>
      <c r="Q152" s="224" t="inlineStr">
        <is>
          <t>D — Deprioritized</t>
        </is>
      </c>
      <c r="R152" s="226" t="n">
        <v>0</v>
      </c>
      <c r="S152" s="226" t="n">
        <v>0.018</v>
      </c>
      <c r="T152" s="226" t="n">
        <v>0.05500000000000001</v>
      </c>
      <c r="U152" s="226" t="n">
        <v>0.082</v>
      </c>
      <c r="V152" s="226" t="n">
        <v>0.1</v>
      </c>
      <c r="W152" s="227" t="n">
        <v>0</v>
      </c>
      <c r="X152" s="227" t="n">
        <v>0</v>
      </c>
      <c r="Y152" s="227" t="n">
        <v>0</v>
      </c>
      <c r="Z152" s="227" t="n">
        <v>0</v>
      </c>
      <c r="AA152" s="227" t="n">
        <v>0</v>
      </c>
    </row>
    <row r="153">
      <c r="A153" t="inlineStr">
        <is>
          <t>Hyatt Place Tempe / Phoenix / University</t>
        </is>
      </c>
      <c r="B153" t="inlineStr">
        <is>
          <t>Hotel</t>
        </is>
      </c>
      <c r="C153" t="inlineStr">
        <is>
          <t>NO</t>
        </is>
      </c>
      <c r="D153" t="n">
        <v>154</v>
      </c>
      <c r="E153" t="inlineStr"/>
      <c r="F153" t="inlineStr">
        <is>
          <t>No Valet</t>
        </is>
      </c>
      <c r="G153" s="227" t="n">
        <v>0</v>
      </c>
      <c r="H153" t="n">
        <v>3</v>
      </c>
      <c r="I153" t="n">
        <v>1</v>
      </c>
      <c r="J153" t="n">
        <v>3</v>
      </c>
      <c r="K153" t="n">
        <v>4</v>
      </c>
      <c r="L153" t="n">
        <v>2</v>
      </c>
      <c r="M153" s="236" t="n">
        <v>0</v>
      </c>
      <c r="N153" t="inlineStr"/>
      <c r="O153" s="236" t="n">
        <v>2.5</v>
      </c>
      <c r="P153" s="236" t="n">
        <v>2.5</v>
      </c>
      <c r="Q153" s="237" t="inlineStr">
        <is>
          <t>C — Opportunistic</t>
        </is>
      </c>
      <c r="R153" s="226" t="n">
        <v>0.02</v>
      </c>
      <c r="S153" s="226" t="n">
        <v>0.09724000000000002</v>
      </c>
      <c r="T153" s="226" t="n">
        <v>0.28625</v>
      </c>
      <c r="U153" s="226" t="n">
        <v>0.4145</v>
      </c>
      <c r="V153" s="226" t="n">
        <v>0.5</v>
      </c>
      <c r="W153" s="227" t="n">
        <v>0</v>
      </c>
      <c r="X153" s="227" t="n">
        <v>0</v>
      </c>
      <c r="Y153" s="227" t="n">
        <v>0</v>
      </c>
      <c r="Z153" s="227" t="n">
        <v>0</v>
      </c>
      <c r="AA153" s="227" t="n">
        <v>0</v>
      </c>
    </row>
    <row r="154">
      <c r="A154" t="inlineStr">
        <is>
          <t>Graduate by Hilton Tempe</t>
        </is>
      </c>
      <c r="B154" t="inlineStr">
        <is>
          <t>Hotel</t>
        </is>
      </c>
      <c r="C154" t="inlineStr">
        <is>
          <t>NO</t>
        </is>
      </c>
      <c r="D154" t="n">
        <v>140</v>
      </c>
      <c r="E154" t="inlineStr"/>
      <c r="F154" t="inlineStr">
        <is>
          <t>No Valet</t>
        </is>
      </c>
      <c r="G154" s="227" t="n">
        <v>0</v>
      </c>
      <c r="H154" t="n">
        <v>3</v>
      </c>
      <c r="I154" t="n">
        <v>1</v>
      </c>
      <c r="J154" t="n">
        <v>3</v>
      </c>
      <c r="K154" t="n">
        <v>4</v>
      </c>
      <c r="L154" t="n">
        <v>2</v>
      </c>
      <c r="M154" s="236" t="n">
        <v>0.15</v>
      </c>
      <c r="N154" t="inlineStr">
        <is>
          <t>Brand familiarity (historical): Hilton_family</t>
        </is>
      </c>
      <c r="O154" s="236" t="n">
        <v>2.5</v>
      </c>
      <c r="P154" s="236" t="n">
        <v>2.65</v>
      </c>
      <c r="Q154" s="237" t="inlineStr">
        <is>
          <t>C — Opportunistic</t>
        </is>
      </c>
      <c r="R154" s="226" t="n">
        <v>0.02</v>
      </c>
      <c r="S154" s="226" t="n">
        <v>0.09724000000000002</v>
      </c>
      <c r="T154" s="226" t="n">
        <v>0.28625</v>
      </c>
      <c r="U154" s="226" t="n">
        <v>0.4145</v>
      </c>
      <c r="V154" s="226" t="n">
        <v>0.5</v>
      </c>
      <c r="W154" s="227" t="n">
        <v>0</v>
      </c>
      <c r="X154" s="227" t="n">
        <v>0</v>
      </c>
      <c r="Y154" s="227" t="n">
        <v>0</v>
      </c>
      <c r="Z154" s="227" t="n">
        <v>0</v>
      </c>
      <c r="AA154" s="227" t="n">
        <v>0</v>
      </c>
    </row>
    <row r="155">
      <c r="A155" t="inlineStr">
        <is>
          <t>OMNI Tempe Hotel At ASU</t>
        </is>
      </c>
      <c r="B155" t="inlineStr">
        <is>
          <t>Hotel</t>
        </is>
      </c>
      <c r="C155" t="inlineStr">
        <is>
          <t>NO</t>
        </is>
      </c>
      <c r="D155" t="n">
        <v>330</v>
      </c>
      <c r="E155" t="inlineStr"/>
      <c r="F155" t="n">
        <v>39</v>
      </c>
      <c r="G155" s="227" t="n">
        <v>416988</v>
      </c>
      <c r="H155" t="n">
        <v>4</v>
      </c>
      <c r="I155" t="n">
        <v>2</v>
      </c>
      <c r="J155" t="n">
        <v>2</v>
      </c>
      <c r="K155" t="n">
        <v>4</v>
      </c>
      <c r="L155" t="n">
        <v>2</v>
      </c>
      <c r="M155" s="236" t="n">
        <v>0</v>
      </c>
      <c r="N155" t="inlineStr"/>
      <c r="O155" s="236" t="n">
        <v>2.8</v>
      </c>
      <c r="P155" s="236" t="n">
        <v>2.8</v>
      </c>
      <c r="Q155" s="237" t="inlineStr">
        <is>
          <t>C — Opportunistic</t>
        </is>
      </c>
      <c r="R155" s="226" t="n">
        <v>0.02</v>
      </c>
      <c r="S155" s="226" t="n">
        <v>0.09724000000000002</v>
      </c>
      <c r="T155" s="226" t="n">
        <v>0.28625</v>
      </c>
      <c r="U155" s="226" t="n">
        <v>0.4145</v>
      </c>
      <c r="V155" s="226" t="n">
        <v>0.5</v>
      </c>
      <c r="W155" s="227" t="n">
        <v>8339.76</v>
      </c>
      <c r="X155" s="227" t="n">
        <v>40547.91312000001</v>
      </c>
      <c r="Y155" s="227" t="n">
        <v>119362.815</v>
      </c>
      <c r="Z155" s="227" t="n">
        <v>172841.526</v>
      </c>
      <c r="AA155" s="227" t="n">
        <v>208494</v>
      </c>
    </row>
    <row r="156">
      <c r="A156" t="inlineStr">
        <is>
          <t>DoubleTree by Hilton Hotel Phoenix Tempe</t>
        </is>
      </c>
      <c r="B156" t="inlineStr">
        <is>
          <t>Hotel</t>
        </is>
      </c>
      <c r="C156" t="inlineStr">
        <is>
          <t>NO</t>
        </is>
      </c>
      <c r="D156" t="n">
        <v>270</v>
      </c>
      <c r="E156" t="inlineStr"/>
      <c r="F156" t="inlineStr">
        <is>
          <t>No Valet</t>
        </is>
      </c>
      <c r="G156" s="227" t="n">
        <v>0</v>
      </c>
      <c r="H156" t="n">
        <v>4</v>
      </c>
      <c r="I156" t="n">
        <v>1</v>
      </c>
      <c r="J156" t="n">
        <v>3</v>
      </c>
      <c r="K156" t="n">
        <v>4</v>
      </c>
      <c r="L156" t="n">
        <v>2</v>
      </c>
      <c r="M156" s="236" t="n">
        <v>0.15</v>
      </c>
      <c r="N156" t="inlineStr">
        <is>
          <t>Brand familiarity (historical): Hilton_family</t>
        </is>
      </c>
      <c r="O156" s="236" t="n">
        <v>2.75</v>
      </c>
      <c r="P156" s="236" t="n">
        <v>2.9</v>
      </c>
      <c r="Q156" s="237" t="inlineStr">
        <is>
          <t>C — Opportunistic</t>
        </is>
      </c>
      <c r="R156" s="226" t="n">
        <v>0.02</v>
      </c>
      <c r="S156" s="226" t="n">
        <v>0.09724000000000002</v>
      </c>
      <c r="T156" s="226" t="n">
        <v>0.28625</v>
      </c>
      <c r="U156" s="226" t="n">
        <v>0.4145</v>
      </c>
      <c r="V156" s="226" t="n">
        <v>0.5</v>
      </c>
      <c r="W156" s="227" t="n">
        <v>0</v>
      </c>
      <c r="X156" s="227" t="n">
        <v>0</v>
      </c>
      <c r="Y156" s="227" t="n">
        <v>0</v>
      </c>
      <c r="Z156" s="227" t="n">
        <v>0</v>
      </c>
      <c r="AA156" s="227" t="n">
        <v>0</v>
      </c>
    </row>
    <row r="157">
      <c r="A157" t="inlineStr">
        <is>
          <t>Canopy by Hilton Tempe Downtown</t>
        </is>
      </c>
      <c r="B157" t="inlineStr">
        <is>
          <t>Hotel</t>
        </is>
      </c>
      <c r="C157" t="inlineStr">
        <is>
          <t>NO</t>
        </is>
      </c>
      <c r="D157" t="n">
        <v>198</v>
      </c>
      <c r="E157" t="inlineStr"/>
      <c r="F157" t="n">
        <v>39</v>
      </c>
      <c r="G157" s="227" t="n">
        <v>416988</v>
      </c>
      <c r="H157" t="n">
        <v>3</v>
      </c>
      <c r="I157" t="n">
        <v>2</v>
      </c>
      <c r="J157" t="n">
        <v>3</v>
      </c>
      <c r="K157" t="n">
        <v>4</v>
      </c>
      <c r="L157" t="n">
        <v>2</v>
      </c>
      <c r="M157" s="236" t="n">
        <v>0.15</v>
      </c>
      <c r="N157" t="inlineStr">
        <is>
          <t>Brand familiarity (historical): Hilton_family</t>
        </is>
      </c>
      <c r="O157" s="236" t="n">
        <v>2.75</v>
      </c>
      <c r="P157" s="236" t="n">
        <v>2.9</v>
      </c>
      <c r="Q157" s="237" t="inlineStr">
        <is>
          <t>C — Opportunistic</t>
        </is>
      </c>
      <c r="R157" s="226" t="n">
        <v>0.02</v>
      </c>
      <c r="S157" s="226" t="n">
        <v>0.09724000000000002</v>
      </c>
      <c r="T157" s="226" t="n">
        <v>0.28625</v>
      </c>
      <c r="U157" s="226" t="n">
        <v>0.4145</v>
      </c>
      <c r="V157" s="226" t="n">
        <v>0.5</v>
      </c>
      <c r="W157" s="227" t="n">
        <v>8339.76</v>
      </c>
      <c r="X157" s="227" t="n">
        <v>40547.91312000001</v>
      </c>
      <c r="Y157" s="227" t="n">
        <v>119362.815</v>
      </c>
      <c r="Z157" s="227" t="n">
        <v>172841.526</v>
      </c>
      <c r="AA157" s="227" t="n">
        <v>208494</v>
      </c>
    </row>
    <row r="158">
      <c r="A158" t="inlineStr">
        <is>
          <t>Aloft Tempe</t>
        </is>
      </c>
      <c r="B158" t="inlineStr">
        <is>
          <t>Hotel</t>
        </is>
      </c>
      <c r="C158" t="inlineStr">
        <is>
          <t>NO</t>
        </is>
      </c>
      <c r="D158" t="n">
        <v>136</v>
      </c>
      <c r="E158" t="inlineStr"/>
      <c r="F158" t="inlineStr">
        <is>
          <t>No Valet</t>
        </is>
      </c>
      <c r="G158" s="227" t="n">
        <v>0</v>
      </c>
      <c r="H158" t="n">
        <v>3</v>
      </c>
      <c r="I158" t="n">
        <v>1</v>
      </c>
      <c r="J158" t="n">
        <v>2</v>
      </c>
      <c r="K158" t="n">
        <v>4</v>
      </c>
      <c r="L158" t="n">
        <v>2</v>
      </c>
      <c r="M158" s="236" t="n">
        <v>0.3</v>
      </c>
      <c r="N158" t="inlineStr">
        <is>
          <t>Brand familiarity (current): Marriott_family</t>
        </is>
      </c>
      <c r="O158" s="236" t="n">
        <v>2.3</v>
      </c>
      <c r="P158" s="236" t="n">
        <v>2.6</v>
      </c>
      <c r="Q158" s="237" t="inlineStr">
        <is>
          <t>C — Opportunistic</t>
        </is>
      </c>
      <c r="R158" s="226" t="n">
        <v>0.02</v>
      </c>
      <c r="S158" s="226" t="n">
        <v>0.09724000000000002</v>
      </c>
      <c r="T158" s="226" t="n">
        <v>0.28625</v>
      </c>
      <c r="U158" s="226" t="n">
        <v>0.4145</v>
      </c>
      <c r="V158" s="226" t="n">
        <v>0.5</v>
      </c>
      <c r="W158" s="227" t="n">
        <v>0</v>
      </c>
      <c r="X158" s="227" t="n">
        <v>0</v>
      </c>
      <c r="Y158" s="227" t="n">
        <v>0</v>
      </c>
      <c r="Z158" s="227" t="n">
        <v>0</v>
      </c>
      <c r="AA158" s="227" t="n">
        <v>0</v>
      </c>
    </row>
    <row r="159">
      <c r="A159" t="inlineStr">
        <is>
          <t>Hyatt Place Tempe/Phoenix Airport</t>
        </is>
      </c>
      <c r="B159" t="inlineStr">
        <is>
          <t>Hotel</t>
        </is>
      </c>
      <c r="C159" t="inlineStr">
        <is>
          <t>NO</t>
        </is>
      </c>
      <c r="D159" t="n">
        <v>123</v>
      </c>
      <c r="E159" t="inlineStr"/>
      <c r="F159" t="inlineStr"/>
      <c r="G159" s="227" t="n">
        <v>0</v>
      </c>
      <c r="H159" t="n">
        <v>3</v>
      </c>
      <c r="I159" t="n">
        <v>1</v>
      </c>
      <c r="J159" t="n">
        <v>3</v>
      </c>
      <c r="K159" t="n">
        <v>4</v>
      </c>
      <c r="L159" t="n">
        <v>2</v>
      </c>
      <c r="M159" s="236" t="n">
        <v>0</v>
      </c>
      <c r="N159" t="inlineStr"/>
      <c r="O159" s="236" t="n">
        <v>2.5</v>
      </c>
      <c r="P159" s="236" t="n">
        <v>2.5</v>
      </c>
      <c r="Q159" s="237" t="inlineStr">
        <is>
          <t>C — Opportunistic</t>
        </is>
      </c>
      <c r="R159" s="226" t="n">
        <v>0.02</v>
      </c>
      <c r="S159" s="226" t="n">
        <v>0.09724000000000002</v>
      </c>
      <c r="T159" s="226" t="n">
        <v>0.28625</v>
      </c>
      <c r="U159" s="226" t="n">
        <v>0.4145</v>
      </c>
      <c r="V159" s="226" t="n">
        <v>0.5</v>
      </c>
      <c r="W159" s="227" t="n">
        <v>0</v>
      </c>
      <c r="X159" s="227" t="n">
        <v>0</v>
      </c>
      <c r="Y159" s="227" t="n">
        <v>0</v>
      </c>
      <c r="Z159" s="227" t="n">
        <v>0</v>
      </c>
      <c r="AA159" s="227" t="n">
        <v>0</v>
      </c>
    </row>
    <row r="160">
      <c r="A160" t="inlineStr">
        <is>
          <t>The Westin Tempe</t>
        </is>
      </c>
      <c r="B160" t="inlineStr">
        <is>
          <t>Hotel</t>
        </is>
      </c>
      <c r="C160" t="inlineStr">
        <is>
          <t>NO</t>
        </is>
      </c>
      <c r="D160" t="n">
        <v>290</v>
      </c>
      <c r="E160" t="inlineStr"/>
      <c r="F160" t="n">
        <v>42</v>
      </c>
      <c r="G160" s="227" t="n">
        <v>394631.9999999999</v>
      </c>
      <c r="H160" t="n">
        <v>4</v>
      </c>
      <c r="I160" t="n">
        <v>2</v>
      </c>
      <c r="J160" t="n">
        <v>3</v>
      </c>
      <c r="K160" t="n">
        <v>4</v>
      </c>
      <c r="L160" t="n">
        <v>2</v>
      </c>
      <c r="M160" s="236" t="n">
        <v>0.3</v>
      </c>
      <c r="N160" t="inlineStr">
        <is>
          <t>Brand familiarity (current): Marriott_family</t>
        </is>
      </c>
      <c r="O160" s="236" t="n">
        <v>3</v>
      </c>
      <c r="P160" s="236" t="n">
        <v>3.3</v>
      </c>
      <c r="Q160" s="237" t="inlineStr">
        <is>
          <t>C — Opportunistic</t>
        </is>
      </c>
      <c r="R160" s="226" t="n">
        <v>0.02</v>
      </c>
      <c r="S160" s="226" t="n">
        <v>0.09724000000000002</v>
      </c>
      <c r="T160" s="226" t="n">
        <v>0.28625</v>
      </c>
      <c r="U160" s="226" t="n">
        <v>0.4145</v>
      </c>
      <c r="V160" s="226" t="n">
        <v>0.5</v>
      </c>
      <c r="W160" s="227" t="n">
        <v>7892.639999999998</v>
      </c>
      <c r="X160" s="227" t="n">
        <v>38374.01568</v>
      </c>
      <c r="Y160" s="227" t="n">
        <v>112963.41</v>
      </c>
      <c r="Z160" s="227" t="n">
        <v>163574.9639999999</v>
      </c>
      <c r="AA160" s="227" t="n">
        <v>197315.9999999999</v>
      </c>
    </row>
    <row r="161">
      <c r="A161" t="inlineStr">
        <is>
          <t>Residence Inn Tempe Downtown/University</t>
        </is>
      </c>
      <c r="B161" t="inlineStr">
        <is>
          <t>Hotel</t>
        </is>
      </c>
      <c r="C161" t="inlineStr">
        <is>
          <t>NO</t>
        </is>
      </c>
      <c r="D161" t="n">
        <v>173</v>
      </c>
      <c r="E161" t="inlineStr"/>
      <c r="F161" t="inlineStr">
        <is>
          <t>No Valet</t>
        </is>
      </c>
      <c r="G161" s="227" t="n">
        <v>0</v>
      </c>
      <c r="H161" t="n">
        <v>3</v>
      </c>
      <c r="I161" t="n">
        <v>1</v>
      </c>
      <c r="J161" t="n">
        <v>3</v>
      </c>
      <c r="K161" t="n">
        <v>4</v>
      </c>
      <c r="L161" t="n">
        <v>2</v>
      </c>
      <c r="M161" s="236" t="n">
        <v>0.3</v>
      </c>
      <c r="N161" t="inlineStr">
        <is>
          <t>Brand familiarity (current): Marriott_family</t>
        </is>
      </c>
      <c r="O161" s="236" t="n">
        <v>2.5</v>
      </c>
      <c r="P161" s="236" t="n">
        <v>2.8</v>
      </c>
      <c r="Q161" s="237" t="inlineStr">
        <is>
          <t>C — Opportunistic</t>
        </is>
      </c>
      <c r="R161" s="226" t="n">
        <v>0.02</v>
      </c>
      <c r="S161" s="226" t="n">
        <v>0.09724000000000002</v>
      </c>
      <c r="T161" s="226" t="n">
        <v>0.28625</v>
      </c>
      <c r="U161" s="226" t="n">
        <v>0.4145</v>
      </c>
      <c r="V161" s="226" t="n">
        <v>0.5</v>
      </c>
      <c r="W161" s="227" t="n">
        <v>0</v>
      </c>
      <c r="X161" s="227" t="n">
        <v>0</v>
      </c>
      <c r="Y161" s="227" t="n">
        <v>0</v>
      </c>
      <c r="Z161" s="227" t="n">
        <v>0</v>
      </c>
      <c r="AA161" s="227" t="n">
        <v>0</v>
      </c>
    </row>
    <row r="162">
      <c r="A162" t="inlineStr">
        <is>
          <t>Homewood Suites By Hilton Phoenix Tempe ASU Area</t>
        </is>
      </c>
      <c r="B162" t="inlineStr">
        <is>
          <t>Hotel</t>
        </is>
      </c>
      <c r="C162" t="inlineStr">
        <is>
          <t>NO</t>
        </is>
      </c>
      <c r="D162" t="n">
        <v>121</v>
      </c>
      <c r="E162" t="inlineStr"/>
      <c r="F162" t="inlineStr">
        <is>
          <t>No Valet</t>
        </is>
      </c>
      <c r="G162" s="227" t="n">
        <v>0</v>
      </c>
      <c r="H162" t="n">
        <v>3</v>
      </c>
      <c r="I162" t="n">
        <v>1</v>
      </c>
      <c r="J162" t="n">
        <v>3</v>
      </c>
      <c r="K162" t="n">
        <v>4</v>
      </c>
      <c r="L162" t="n">
        <v>2</v>
      </c>
      <c r="M162" s="236" t="n">
        <v>0.15</v>
      </c>
      <c r="N162" t="inlineStr">
        <is>
          <t>Brand familiarity (historical): Hilton_family</t>
        </is>
      </c>
      <c r="O162" s="236" t="n">
        <v>2.5</v>
      </c>
      <c r="P162" s="236" t="n">
        <v>2.65</v>
      </c>
      <c r="Q162" s="237" t="inlineStr">
        <is>
          <t>C — Opportunistic</t>
        </is>
      </c>
      <c r="R162" s="226" t="n">
        <v>0.02</v>
      </c>
      <c r="S162" s="226" t="n">
        <v>0.09724000000000002</v>
      </c>
      <c r="T162" s="226" t="n">
        <v>0.28625</v>
      </c>
      <c r="U162" s="226" t="n">
        <v>0.4145</v>
      </c>
      <c r="V162" s="226" t="n">
        <v>0.5</v>
      </c>
      <c r="W162" s="227" t="n">
        <v>0</v>
      </c>
      <c r="X162" s="227" t="n">
        <v>0</v>
      </c>
      <c r="Y162" s="227" t="n">
        <v>0</v>
      </c>
      <c r="Z162" s="227" t="n">
        <v>0</v>
      </c>
      <c r="AA162" s="227" t="n">
        <v>0</v>
      </c>
    </row>
    <row r="163">
      <c r="A163" t="inlineStr">
        <is>
          <t>Hilton Garden Inn Phoenix/Tempe ASU Area</t>
        </is>
      </c>
      <c r="B163" t="inlineStr">
        <is>
          <t>Hotel</t>
        </is>
      </c>
      <c r="C163" t="inlineStr">
        <is>
          <t>NO</t>
        </is>
      </c>
      <c r="D163" t="n">
        <v>120</v>
      </c>
      <c r="E163" t="inlineStr"/>
      <c r="F163" t="inlineStr">
        <is>
          <t>No Valet</t>
        </is>
      </c>
      <c r="G163" s="227" t="n">
        <v>0</v>
      </c>
      <c r="H163" t="n">
        <v>3</v>
      </c>
      <c r="I163" t="n">
        <v>1</v>
      </c>
      <c r="J163" t="n">
        <v>3</v>
      </c>
      <c r="K163" t="n">
        <v>4</v>
      </c>
      <c r="L163" t="n">
        <v>2</v>
      </c>
      <c r="M163" s="236" t="n">
        <v>0.15</v>
      </c>
      <c r="N163" t="inlineStr">
        <is>
          <t>Brand familiarity (historical): Hilton_family</t>
        </is>
      </c>
      <c r="O163" s="236" t="n">
        <v>2.5</v>
      </c>
      <c r="P163" s="236" t="n">
        <v>2.65</v>
      </c>
      <c r="Q163" s="237" t="inlineStr">
        <is>
          <t>C — Opportunistic</t>
        </is>
      </c>
      <c r="R163" s="226" t="n">
        <v>0.02</v>
      </c>
      <c r="S163" s="226" t="n">
        <v>0.09724000000000002</v>
      </c>
      <c r="T163" s="226" t="n">
        <v>0.28625</v>
      </c>
      <c r="U163" s="226" t="n">
        <v>0.4145</v>
      </c>
      <c r="V163" s="226" t="n">
        <v>0.5</v>
      </c>
      <c r="W163" s="227" t="n">
        <v>0</v>
      </c>
      <c r="X163" s="227" t="n">
        <v>0</v>
      </c>
      <c r="Y163" s="227" t="n">
        <v>0</v>
      </c>
      <c r="Z163" s="227" t="n">
        <v>0</v>
      </c>
      <c r="AA163" s="227" t="n">
        <v>0</v>
      </c>
    </row>
    <row r="164">
      <c r="A164" t="inlineStr">
        <is>
          <t>Fairfield by Marriott Inn &amp; Suites Tempe</t>
        </is>
      </c>
      <c r="B164" t="inlineStr">
        <is>
          <t>Hotel</t>
        </is>
      </c>
      <c r="C164" t="inlineStr">
        <is>
          <t>NO</t>
        </is>
      </c>
      <c r="D164" t="n">
        <v>83</v>
      </c>
      <c r="E164" t="inlineStr"/>
      <c r="F164" t="inlineStr">
        <is>
          <t>No Valet</t>
        </is>
      </c>
      <c r="G164" s="227" t="n">
        <v>0</v>
      </c>
      <c r="H164" t="n">
        <v>2</v>
      </c>
      <c r="I164" t="n">
        <v>1</v>
      </c>
      <c r="J164" t="n">
        <v>3</v>
      </c>
      <c r="K164" t="n">
        <v>4</v>
      </c>
      <c r="L164" t="n">
        <v>2</v>
      </c>
      <c r="M164" s="236" t="n">
        <v>0.3</v>
      </c>
      <c r="N164" t="inlineStr">
        <is>
          <t>Brand familiarity (current): Marriott_family</t>
        </is>
      </c>
      <c r="O164" s="236" t="n">
        <v>2.25</v>
      </c>
      <c r="P164" s="236" t="n">
        <v>2.55</v>
      </c>
      <c r="Q164" s="237" t="inlineStr">
        <is>
          <t>C — Opportunistic</t>
        </is>
      </c>
      <c r="R164" s="226" t="n">
        <v>0.02</v>
      </c>
      <c r="S164" s="226" t="n">
        <v>0.09724000000000002</v>
      </c>
      <c r="T164" s="226" t="n">
        <v>0.28625</v>
      </c>
      <c r="U164" s="226" t="n">
        <v>0.4145</v>
      </c>
      <c r="V164" s="226" t="n">
        <v>0.5</v>
      </c>
      <c r="W164" s="227" t="n">
        <v>0</v>
      </c>
      <c r="X164" s="227" t="n">
        <v>0</v>
      </c>
      <c r="Y164" s="227" t="n">
        <v>0</v>
      </c>
      <c r="Z164" s="227" t="n">
        <v>0</v>
      </c>
      <c r="AA164" s="227" t="n">
        <v>0</v>
      </c>
    </row>
    <row r="165">
      <c r="A165" t="inlineStr">
        <is>
          <t>Sheraton Desert Oasis Villas, Scottsdale</t>
        </is>
      </c>
      <c r="B165" t="inlineStr">
        <is>
          <t>Hotel</t>
        </is>
      </c>
      <c r="C165" t="inlineStr">
        <is>
          <t>NO</t>
        </is>
      </c>
      <c r="D165" t="n">
        <v>0</v>
      </c>
      <c r="E165" t="inlineStr"/>
      <c r="F165" t="inlineStr">
        <is>
          <t>No Valet</t>
        </is>
      </c>
      <c r="G165" s="227" t="n">
        <v>0</v>
      </c>
      <c r="H165" t="n">
        <v>2</v>
      </c>
      <c r="I165" t="n">
        <v>1</v>
      </c>
      <c r="J165" t="n">
        <v>3</v>
      </c>
      <c r="K165" t="n">
        <v>4</v>
      </c>
      <c r="L165" t="n">
        <v>2</v>
      </c>
      <c r="M165" s="236" t="n">
        <v>0.3</v>
      </c>
      <c r="N165" t="inlineStr">
        <is>
          <t>Brand familiarity (current): Marriott_family</t>
        </is>
      </c>
      <c r="O165" s="236" t="n">
        <v>2.25</v>
      </c>
      <c r="P165" s="236" t="n">
        <v>2.55</v>
      </c>
      <c r="Q165" s="237" t="inlineStr">
        <is>
          <t>C — Opportunistic</t>
        </is>
      </c>
      <c r="R165" s="226" t="n">
        <v>0.02</v>
      </c>
      <c r="S165" s="226" t="n">
        <v>0.09724000000000002</v>
      </c>
      <c r="T165" s="226" t="n">
        <v>0.28625</v>
      </c>
      <c r="U165" s="226" t="n">
        <v>0.4145</v>
      </c>
      <c r="V165" s="226" t="n">
        <v>0.5</v>
      </c>
      <c r="W165" s="227" t="n">
        <v>0</v>
      </c>
      <c r="X165" s="227" t="n">
        <v>0</v>
      </c>
      <c r="Y165" s="227" t="n">
        <v>0</v>
      </c>
      <c r="Z165" s="227" t="n">
        <v>0</v>
      </c>
      <c r="AA165" s="227" t="n">
        <v>0</v>
      </c>
    </row>
    <row r="166">
      <c r="A166" t="inlineStr">
        <is>
          <t>Holiday Inn Express &amp; Suites Phoenix – Midtown</t>
        </is>
      </c>
      <c r="B166" t="inlineStr">
        <is>
          <t>Hotel</t>
        </is>
      </c>
      <c r="C166" t="inlineStr">
        <is>
          <t>NO</t>
        </is>
      </c>
      <c r="D166" t="n">
        <v>0</v>
      </c>
      <c r="E166" t="inlineStr"/>
      <c r="F166" t="inlineStr">
        <is>
          <t>No Valet</t>
        </is>
      </c>
      <c r="G166" s="227" t="n">
        <v>0</v>
      </c>
      <c r="H166" t="n">
        <v>2</v>
      </c>
      <c r="I166" t="n">
        <v>1</v>
      </c>
      <c r="J166" t="n">
        <v>3</v>
      </c>
      <c r="K166" t="n">
        <v>4</v>
      </c>
      <c r="L166" t="n">
        <v>2</v>
      </c>
      <c r="M166" s="236" t="n">
        <v>0</v>
      </c>
      <c r="N166" t="inlineStr"/>
      <c r="O166" s="236" t="n">
        <v>2.25</v>
      </c>
      <c r="P166" s="236" t="n">
        <v>2.25</v>
      </c>
      <c r="Q166" s="224" t="inlineStr">
        <is>
          <t>D — Deprioritized</t>
        </is>
      </c>
      <c r="R166" s="226" t="n">
        <v>0</v>
      </c>
      <c r="S166" s="226" t="n">
        <v>0.018</v>
      </c>
      <c r="T166" s="226" t="n">
        <v>0.05500000000000001</v>
      </c>
      <c r="U166" s="226" t="n">
        <v>0.082</v>
      </c>
      <c r="V166" s="226" t="n">
        <v>0.1</v>
      </c>
      <c r="W166" s="227" t="n">
        <v>0</v>
      </c>
      <c r="X166" s="227" t="n">
        <v>0</v>
      </c>
      <c r="Y166" s="227" t="n">
        <v>0</v>
      </c>
      <c r="Z166" s="227" t="n">
        <v>0</v>
      </c>
      <c r="AA166" s="227" t="n">
        <v>0</v>
      </c>
    </row>
    <row r="167">
      <c r="A167" t="inlineStr">
        <is>
          <t>Hyatt Place Phoenix-North</t>
        </is>
      </c>
      <c r="B167" t="inlineStr">
        <is>
          <t>Hotel</t>
        </is>
      </c>
      <c r="C167" t="inlineStr">
        <is>
          <t>NO</t>
        </is>
      </c>
      <c r="D167" t="n">
        <v>127</v>
      </c>
      <c r="E167" t="inlineStr"/>
      <c r="F167" t="inlineStr">
        <is>
          <t>No Valet</t>
        </is>
      </c>
      <c r="G167" s="227" t="n">
        <v>0</v>
      </c>
      <c r="H167" t="n">
        <v>3</v>
      </c>
      <c r="I167" t="n">
        <v>1</v>
      </c>
      <c r="J167" t="n">
        <v>3</v>
      </c>
      <c r="K167" t="n">
        <v>4</v>
      </c>
      <c r="L167" t="n">
        <v>2</v>
      </c>
      <c r="M167" s="236" t="n">
        <v>0</v>
      </c>
      <c r="N167" t="inlineStr"/>
      <c r="O167" s="236" t="n">
        <v>2.5</v>
      </c>
      <c r="P167" s="236" t="n">
        <v>2.5</v>
      </c>
      <c r="Q167" s="237" t="inlineStr">
        <is>
          <t>C — Opportunistic</t>
        </is>
      </c>
      <c r="R167" s="226" t="n">
        <v>0.02</v>
      </c>
      <c r="S167" s="226" t="n">
        <v>0.09724000000000002</v>
      </c>
      <c r="T167" s="226" t="n">
        <v>0.28625</v>
      </c>
      <c r="U167" s="226" t="n">
        <v>0.4145</v>
      </c>
      <c r="V167" s="226" t="n">
        <v>0.5</v>
      </c>
      <c r="W167" s="227" t="n">
        <v>0</v>
      </c>
      <c r="X167" s="227" t="n">
        <v>0</v>
      </c>
      <c r="Y167" s="227" t="n">
        <v>0</v>
      </c>
      <c r="Z167" s="227" t="n">
        <v>0</v>
      </c>
      <c r="AA167" s="227" t="n">
        <v>0</v>
      </c>
    </row>
    <row r="168">
      <c r="A168" t="inlineStr">
        <is>
          <t>TownePlace Suites Phoenix North</t>
        </is>
      </c>
      <c r="B168" t="inlineStr">
        <is>
          <t>Hotel</t>
        </is>
      </c>
      <c r="C168" t="inlineStr">
        <is>
          <t>NO</t>
        </is>
      </c>
      <c r="D168" t="n">
        <v>0</v>
      </c>
      <c r="E168" t="inlineStr"/>
      <c r="F168" t="inlineStr">
        <is>
          <t>No Valet</t>
        </is>
      </c>
      <c r="G168" s="227" t="n">
        <v>0</v>
      </c>
      <c r="H168" t="n">
        <v>2</v>
      </c>
      <c r="I168" t="n">
        <v>1</v>
      </c>
      <c r="J168" t="n">
        <v>2</v>
      </c>
      <c r="K168" t="n">
        <v>4</v>
      </c>
      <c r="L168" t="n">
        <v>2</v>
      </c>
      <c r="M168" s="236" t="n">
        <v>0.3</v>
      </c>
      <c r="N168" t="inlineStr">
        <is>
          <t>Brand familiarity (current): Marriott_family</t>
        </is>
      </c>
      <c r="O168" s="236" t="n">
        <v>2.05</v>
      </c>
      <c r="P168" s="236" t="n">
        <v>2.35</v>
      </c>
      <c r="Q168" s="224" t="inlineStr">
        <is>
          <t>D — Deprioritized</t>
        </is>
      </c>
      <c r="R168" s="226" t="n">
        <v>0</v>
      </c>
      <c r="S168" s="226" t="n">
        <v>0.018</v>
      </c>
      <c r="T168" s="226" t="n">
        <v>0.05500000000000001</v>
      </c>
      <c r="U168" s="226" t="n">
        <v>0.082</v>
      </c>
      <c r="V168" s="226" t="n">
        <v>0.1</v>
      </c>
      <c r="W168" s="227" t="n">
        <v>0</v>
      </c>
      <c r="X168" s="227" t="n">
        <v>0</v>
      </c>
      <c r="Y168" s="227" t="n">
        <v>0</v>
      </c>
      <c r="Z168" s="227" t="n">
        <v>0</v>
      </c>
      <c r="AA168" s="227" t="n">
        <v>0</v>
      </c>
    </row>
    <row r="169">
      <c r="A169" t="inlineStr">
        <is>
          <t>SpringHill Suites by Marriott Phoenix North</t>
        </is>
      </c>
      <c r="B169" t="inlineStr">
        <is>
          <t>Hotel</t>
        </is>
      </c>
      <c r="C169" t="inlineStr">
        <is>
          <t>NO</t>
        </is>
      </c>
      <c r="D169" t="n">
        <v>0</v>
      </c>
      <c r="E169" t="inlineStr"/>
      <c r="F169" t="inlineStr">
        <is>
          <t>No Valet</t>
        </is>
      </c>
      <c r="G169" s="227" t="n">
        <v>0</v>
      </c>
      <c r="H169" t="n">
        <v>2</v>
      </c>
      <c r="I169" t="n">
        <v>1</v>
      </c>
      <c r="J169" t="n">
        <v>3</v>
      </c>
      <c r="K169" t="n">
        <v>4</v>
      </c>
      <c r="L169" t="n">
        <v>2</v>
      </c>
      <c r="M169" s="236" t="n">
        <v>0.3</v>
      </c>
      <c r="N169" t="inlineStr">
        <is>
          <t>Brand familiarity (current): Marriott_family</t>
        </is>
      </c>
      <c r="O169" s="236" t="n">
        <v>2.25</v>
      </c>
      <c r="P169" s="236" t="n">
        <v>2.55</v>
      </c>
      <c r="Q169" s="237" t="inlineStr">
        <is>
          <t>C — Opportunistic</t>
        </is>
      </c>
      <c r="R169" s="226" t="n">
        <v>0.02</v>
      </c>
      <c r="S169" s="226" t="n">
        <v>0.09724000000000002</v>
      </c>
      <c r="T169" s="226" t="n">
        <v>0.28625</v>
      </c>
      <c r="U169" s="226" t="n">
        <v>0.4145</v>
      </c>
      <c r="V169" s="226" t="n">
        <v>0.5</v>
      </c>
      <c r="W169" s="227" t="n">
        <v>0</v>
      </c>
      <c r="X169" s="227" t="n">
        <v>0</v>
      </c>
      <c r="Y169" s="227" t="n">
        <v>0</v>
      </c>
      <c r="Z169" s="227" t="n">
        <v>0</v>
      </c>
      <c r="AA169" s="227" t="n">
        <v>0</v>
      </c>
    </row>
    <row r="170">
      <c r="A170" t="inlineStr">
        <is>
          <t>DoubleTree by Hilton Hotel Phoenix North</t>
        </is>
      </c>
      <c r="B170" t="inlineStr">
        <is>
          <t>Hotel</t>
        </is>
      </c>
      <c r="C170" t="inlineStr">
        <is>
          <t>NO</t>
        </is>
      </c>
      <c r="D170" t="n">
        <v>0</v>
      </c>
      <c r="E170" t="inlineStr"/>
      <c r="F170" t="inlineStr">
        <is>
          <t>No Valet</t>
        </is>
      </c>
      <c r="G170" s="227" t="n">
        <v>0</v>
      </c>
      <c r="H170" t="n">
        <v>2</v>
      </c>
      <c r="I170" t="n">
        <v>1</v>
      </c>
      <c r="J170" t="n">
        <v>3</v>
      </c>
      <c r="K170" t="n">
        <v>4</v>
      </c>
      <c r="L170" t="n">
        <v>2</v>
      </c>
      <c r="M170" s="236" t="n">
        <v>0.15</v>
      </c>
      <c r="N170" t="inlineStr">
        <is>
          <t>Brand familiarity (historical): Hilton_family</t>
        </is>
      </c>
      <c r="O170" s="236" t="n">
        <v>2.25</v>
      </c>
      <c r="P170" s="236" t="n">
        <v>2.4</v>
      </c>
      <c r="Q170" s="224" t="inlineStr">
        <is>
          <t>D — Deprioritized</t>
        </is>
      </c>
      <c r="R170" s="226" t="n">
        <v>0</v>
      </c>
      <c r="S170" s="226" t="n">
        <v>0.018</v>
      </c>
      <c r="T170" s="226" t="n">
        <v>0.05500000000000001</v>
      </c>
      <c r="U170" s="226" t="n">
        <v>0.082</v>
      </c>
      <c r="V170" s="226" t="n">
        <v>0.1</v>
      </c>
      <c r="W170" s="227" t="n">
        <v>0</v>
      </c>
      <c r="X170" s="227" t="n">
        <v>0</v>
      </c>
      <c r="Y170" s="227" t="n">
        <v>0</v>
      </c>
      <c r="Z170" s="227" t="n">
        <v>0</v>
      </c>
      <c r="AA170" s="227" t="n">
        <v>0</v>
      </c>
    </row>
    <row r="171">
      <c r="A171" t="inlineStr">
        <is>
          <t>Courtyard Phoenix North</t>
        </is>
      </c>
      <c r="B171" t="inlineStr">
        <is>
          <t>Hotel</t>
        </is>
      </c>
      <c r="C171" t="inlineStr">
        <is>
          <t>NO</t>
        </is>
      </c>
      <c r="D171" t="n">
        <v>0</v>
      </c>
      <c r="E171" t="inlineStr"/>
      <c r="F171" t="inlineStr">
        <is>
          <t>No Valet</t>
        </is>
      </c>
      <c r="G171" s="227" t="n">
        <v>0</v>
      </c>
      <c r="H171" t="n">
        <v>2</v>
      </c>
      <c r="I171" t="n">
        <v>1</v>
      </c>
      <c r="J171" t="n">
        <v>3</v>
      </c>
      <c r="K171" t="n">
        <v>4</v>
      </c>
      <c r="L171" t="n">
        <v>2</v>
      </c>
      <c r="M171" s="236" t="n">
        <v>0</v>
      </c>
      <c r="N171" t="inlineStr"/>
      <c r="O171" s="236" t="n">
        <v>2.25</v>
      </c>
      <c r="P171" s="236" t="n">
        <v>2.25</v>
      </c>
      <c r="Q171" s="224" t="inlineStr">
        <is>
          <t>D — Deprioritized</t>
        </is>
      </c>
      <c r="R171" s="226" t="n">
        <v>0</v>
      </c>
      <c r="S171" s="226" t="n">
        <v>0.018</v>
      </c>
      <c r="T171" s="226" t="n">
        <v>0.05500000000000001</v>
      </c>
      <c r="U171" s="226" t="n">
        <v>0.082</v>
      </c>
      <c r="V171" s="226" t="n">
        <v>0.1</v>
      </c>
      <c r="W171" s="227" t="n">
        <v>0</v>
      </c>
      <c r="X171" s="227" t="n">
        <v>0</v>
      </c>
      <c r="Y171" s="227" t="n">
        <v>0</v>
      </c>
      <c r="Z171" s="227" t="n">
        <v>0</v>
      </c>
      <c r="AA171" s="227" t="n">
        <v>0</v>
      </c>
    </row>
    <row r="172">
      <c r="A172" t="inlineStr">
        <is>
          <t>Hampton Inn and Suites by Hilton Phoenix North</t>
        </is>
      </c>
      <c r="B172" t="inlineStr">
        <is>
          <t>Hotel</t>
        </is>
      </c>
      <c r="C172" t="inlineStr">
        <is>
          <t>NO</t>
        </is>
      </c>
      <c r="D172" t="n">
        <v>0</v>
      </c>
      <c r="E172" t="inlineStr"/>
      <c r="F172" t="inlineStr"/>
      <c r="G172" s="227" t="n">
        <v>0</v>
      </c>
      <c r="H172" t="n">
        <v>2</v>
      </c>
      <c r="I172" t="n">
        <v>1</v>
      </c>
      <c r="J172" t="n">
        <v>3</v>
      </c>
      <c r="K172" t="n">
        <v>4</v>
      </c>
      <c r="L172" t="n">
        <v>2</v>
      </c>
      <c r="M172" s="236" t="n">
        <v>0.15</v>
      </c>
      <c r="N172" t="inlineStr">
        <is>
          <t>Brand familiarity (historical): Hilton_family</t>
        </is>
      </c>
      <c r="O172" s="236" t="n">
        <v>2.25</v>
      </c>
      <c r="P172" s="236" t="n">
        <v>2.4</v>
      </c>
      <c r="Q172" s="224" t="inlineStr">
        <is>
          <t>D — Deprioritized</t>
        </is>
      </c>
      <c r="R172" s="226" t="n">
        <v>0</v>
      </c>
      <c r="S172" s="226" t="n">
        <v>0.018</v>
      </c>
      <c r="T172" s="226" t="n">
        <v>0.05500000000000001</v>
      </c>
      <c r="U172" s="226" t="n">
        <v>0.082</v>
      </c>
      <c r="V172" s="226" t="n">
        <v>0.1</v>
      </c>
      <c r="W172" s="227" t="n">
        <v>0</v>
      </c>
      <c r="X172" s="227" t="n">
        <v>0</v>
      </c>
      <c r="Y172" s="227" t="n">
        <v>0</v>
      </c>
      <c r="Z172" s="227" t="n">
        <v>0</v>
      </c>
      <c r="AA172" s="227" t="n">
        <v>0</v>
      </c>
    </row>
    <row r="173">
      <c r="A173" t="inlineStr">
        <is>
          <t>Four Points by Sheraton Phoenix North</t>
        </is>
      </c>
      <c r="B173" t="inlineStr">
        <is>
          <t>Hotel</t>
        </is>
      </c>
      <c r="C173" t="inlineStr">
        <is>
          <t>NO</t>
        </is>
      </c>
      <c r="D173" t="n">
        <v>0</v>
      </c>
      <c r="E173" t="inlineStr"/>
      <c r="F173" t="inlineStr"/>
      <c r="G173" s="227" t="n">
        <v>0</v>
      </c>
      <c r="H173" t="n">
        <v>2</v>
      </c>
      <c r="I173" t="n">
        <v>1</v>
      </c>
      <c r="J173" t="n">
        <v>3</v>
      </c>
      <c r="K173" t="n">
        <v>4</v>
      </c>
      <c r="L173" t="n">
        <v>2</v>
      </c>
      <c r="M173" s="236" t="n">
        <v>0.3</v>
      </c>
      <c r="N173" t="inlineStr">
        <is>
          <t>Brand familiarity (current): Marriott_family</t>
        </is>
      </c>
      <c r="O173" s="236" t="n">
        <v>2.25</v>
      </c>
      <c r="P173" s="236" t="n">
        <v>2.55</v>
      </c>
      <c r="Q173" s="237" t="inlineStr">
        <is>
          <t>C — Opportunistic</t>
        </is>
      </c>
      <c r="R173" s="226" t="n">
        <v>0.02</v>
      </c>
      <c r="S173" s="226" t="n">
        <v>0.09724000000000002</v>
      </c>
      <c r="T173" s="226" t="n">
        <v>0.28625</v>
      </c>
      <c r="U173" s="226" t="n">
        <v>0.4145</v>
      </c>
      <c r="V173" s="226" t="n">
        <v>0.5</v>
      </c>
      <c r="W173" s="227" t="n">
        <v>0</v>
      </c>
      <c r="X173" s="227" t="n">
        <v>0</v>
      </c>
      <c r="Y173" s="227" t="n">
        <v>0</v>
      </c>
      <c r="Z173" s="227" t="n">
        <v>0</v>
      </c>
      <c r="AA173" s="227" t="n">
        <v>0</v>
      </c>
    </row>
    <row r="174">
      <c r="A174" t="inlineStr">
        <is>
          <t>Staybridge Suites Phoenix – Biltmore Area</t>
        </is>
      </c>
      <c r="B174" t="inlineStr">
        <is>
          <t>Hotel</t>
        </is>
      </c>
      <c r="C174" t="inlineStr">
        <is>
          <t>NO</t>
        </is>
      </c>
      <c r="D174" t="n">
        <v>0</v>
      </c>
      <c r="E174" t="inlineStr"/>
      <c r="F174" t="inlineStr">
        <is>
          <t>No Valet</t>
        </is>
      </c>
      <c r="G174" s="227" t="n">
        <v>0</v>
      </c>
      <c r="H174" t="n">
        <v>2</v>
      </c>
      <c r="I174" t="n">
        <v>1</v>
      </c>
      <c r="J174" t="n">
        <v>2</v>
      </c>
      <c r="K174" t="n">
        <v>4</v>
      </c>
      <c r="L174" t="n">
        <v>2</v>
      </c>
      <c r="M174" s="236" t="n">
        <v>0</v>
      </c>
      <c r="N174" t="inlineStr"/>
      <c r="O174" s="236" t="n">
        <v>2.05</v>
      </c>
      <c r="P174" s="236" t="n">
        <v>2.05</v>
      </c>
      <c r="Q174" s="224" t="inlineStr">
        <is>
          <t>D — Deprioritized</t>
        </is>
      </c>
      <c r="R174" s="226" t="n">
        <v>0</v>
      </c>
      <c r="S174" s="226" t="n">
        <v>0.018</v>
      </c>
      <c r="T174" s="226" t="n">
        <v>0.05500000000000001</v>
      </c>
      <c r="U174" s="226" t="n">
        <v>0.082</v>
      </c>
      <c r="V174" s="226" t="n">
        <v>0.1</v>
      </c>
      <c r="W174" s="227" t="n">
        <v>0</v>
      </c>
      <c r="X174" s="227" t="n">
        <v>0</v>
      </c>
      <c r="Y174" s="227" t="n">
        <v>0</v>
      </c>
      <c r="Z174" s="227" t="n">
        <v>0</v>
      </c>
      <c r="AA174" s="227" t="n">
        <v>0</v>
      </c>
    </row>
    <row r="175">
      <c r="A175" t="inlineStr">
        <is>
          <t>Element Phoenix Biltmore</t>
        </is>
      </c>
      <c r="B175" t="inlineStr">
        <is>
          <t>Hotel</t>
        </is>
      </c>
      <c r="C175" t="inlineStr">
        <is>
          <t>NO</t>
        </is>
      </c>
      <c r="D175" t="n">
        <v>0</v>
      </c>
      <c r="E175" t="inlineStr"/>
      <c r="F175" t="inlineStr"/>
      <c r="G175" s="227" t="n">
        <v>0</v>
      </c>
      <c r="H175" t="n">
        <v>2</v>
      </c>
      <c r="I175" t="n">
        <v>1</v>
      </c>
      <c r="J175" t="n">
        <v>2</v>
      </c>
      <c r="K175" t="n">
        <v>4</v>
      </c>
      <c r="L175" t="n">
        <v>2</v>
      </c>
      <c r="M175" s="236" t="n">
        <v>0</v>
      </c>
      <c r="N175" t="inlineStr"/>
      <c r="O175" s="236" t="n">
        <v>2.05</v>
      </c>
      <c r="P175" s="236" t="n">
        <v>2.05</v>
      </c>
      <c r="Q175" s="224" t="inlineStr">
        <is>
          <t>D — Deprioritized</t>
        </is>
      </c>
      <c r="R175" s="226" t="n">
        <v>0</v>
      </c>
      <c r="S175" s="226" t="n">
        <v>0.018</v>
      </c>
      <c r="T175" s="226" t="n">
        <v>0.05500000000000001</v>
      </c>
      <c r="U175" s="226" t="n">
        <v>0.082</v>
      </c>
      <c r="V175" s="226" t="n">
        <v>0.1</v>
      </c>
      <c r="W175" s="227" t="n">
        <v>0</v>
      </c>
      <c r="X175" s="227" t="n">
        <v>0</v>
      </c>
      <c r="Y175" s="227" t="n">
        <v>0</v>
      </c>
      <c r="Z175" s="227" t="n">
        <v>0</v>
      </c>
      <c r="AA175" s="227" t="n">
        <v>0</v>
      </c>
    </row>
    <row r="176">
      <c r="A176" t="inlineStr">
        <is>
          <t>Aloft Phoenix-Airport</t>
        </is>
      </c>
      <c r="B176" t="inlineStr">
        <is>
          <t>Hotel</t>
        </is>
      </c>
      <c r="C176" t="inlineStr">
        <is>
          <t>NO</t>
        </is>
      </c>
      <c r="D176" t="n">
        <v>0</v>
      </c>
      <c r="E176" t="inlineStr"/>
      <c r="F176" t="inlineStr">
        <is>
          <t>No Valet</t>
        </is>
      </c>
      <c r="G176" s="227" t="n">
        <v>0</v>
      </c>
      <c r="H176" t="n">
        <v>2</v>
      </c>
      <c r="I176" t="n">
        <v>1</v>
      </c>
      <c r="J176" t="n">
        <v>2</v>
      </c>
      <c r="K176" t="n">
        <v>4</v>
      </c>
      <c r="L176" t="n">
        <v>2</v>
      </c>
      <c r="M176" s="236" t="n">
        <v>0.3</v>
      </c>
      <c r="N176" t="inlineStr">
        <is>
          <t>Brand familiarity (current): Marriott_family</t>
        </is>
      </c>
      <c r="O176" s="236" t="n">
        <v>2.05</v>
      </c>
      <c r="P176" s="236" t="n">
        <v>2.35</v>
      </c>
      <c r="Q176" s="224" t="inlineStr">
        <is>
          <t>D — Deprioritized</t>
        </is>
      </c>
      <c r="R176" s="226" t="n">
        <v>0</v>
      </c>
      <c r="S176" s="226" t="n">
        <v>0.018</v>
      </c>
      <c r="T176" s="226" t="n">
        <v>0.05500000000000001</v>
      </c>
      <c r="U176" s="226" t="n">
        <v>0.082</v>
      </c>
      <c r="V176" s="226" t="n">
        <v>0.1</v>
      </c>
      <c r="W176" s="227" t="n">
        <v>0</v>
      </c>
      <c r="X176" s="227" t="n">
        <v>0</v>
      </c>
      <c r="Y176" s="227" t="n">
        <v>0</v>
      </c>
      <c r="Z176" s="227" t="n">
        <v>0</v>
      </c>
      <c r="AA176" s="227" t="n">
        <v>0</v>
      </c>
    </row>
    <row r="177">
      <c r="A177" t="inlineStr">
        <is>
          <t>Crowne Plaza Phoenix Airport PHX</t>
        </is>
      </c>
      <c r="B177" t="inlineStr">
        <is>
          <t>Hotel</t>
        </is>
      </c>
      <c r="C177" t="inlineStr">
        <is>
          <t>NO</t>
        </is>
      </c>
      <c r="D177" t="n">
        <v>0</v>
      </c>
      <c r="E177" t="inlineStr"/>
      <c r="F177" t="inlineStr">
        <is>
          <t>No Valet</t>
        </is>
      </c>
      <c r="G177" s="227" t="n">
        <v>0</v>
      </c>
      <c r="H177" t="n">
        <v>2</v>
      </c>
      <c r="I177" t="n">
        <v>1</v>
      </c>
      <c r="J177" t="n">
        <v>3</v>
      </c>
      <c r="K177" t="n">
        <v>4</v>
      </c>
      <c r="L177" t="n">
        <v>2</v>
      </c>
      <c r="M177" s="236" t="n">
        <v>0</v>
      </c>
      <c r="N177" t="inlineStr"/>
      <c r="O177" s="236" t="n">
        <v>2.25</v>
      </c>
      <c r="P177" s="236" t="n">
        <v>2.25</v>
      </c>
      <c r="Q177" s="224" t="inlineStr">
        <is>
          <t>D — Deprioritized</t>
        </is>
      </c>
      <c r="R177" s="226" t="n">
        <v>0</v>
      </c>
      <c r="S177" s="226" t="n">
        <v>0.018</v>
      </c>
      <c r="T177" s="226" t="n">
        <v>0.05500000000000001</v>
      </c>
      <c r="U177" s="226" t="n">
        <v>0.082</v>
      </c>
      <c r="V177" s="226" t="n">
        <v>0.1</v>
      </c>
      <c r="W177" s="227" t="n">
        <v>0</v>
      </c>
      <c r="X177" s="227" t="n">
        <v>0</v>
      </c>
      <c r="Y177" s="227" t="n">
        <v>0</v>
      </c>
      <c r="Z177" s="227" t="n">
        <v>0</v>
      </c>
      <c r="AA177" s="227" t="n">
        <v>0</v>
      </c>
    </row>
    <row r="178">
      <c r="A178" t="inlineStr">
        <is>
          <t>Holiday Inn &amp; Suites Phoenix Airport North</t>
        </is>
      </c>
      <c r="B178" t="inlineStr">
        <is>
          <t>Hotel</t>
        </is>
      </c>
      <c r="C178" t="inlineStr">
        <is>
          <t>NO</t>
        </is>
      </c>
      <c r="D178" t="n">
        <v>0</v>
      </c>
      <c r="E178" t="inlineStr"/>
      <c r="F178" t="inlineStr">
        <is>
          <t>No Valet</t>
        </is>
      </c>
      <c r="G178" s="227" t="n">
        <v>0</v>
      </c>
      <c r="H178" t="n">
        <v>2</v>
      </c>
      <c r="I178" t="n">
        <v>1</v>
      </c>
      <c r="J178" t="n">
        <v>3</v>
      </c>
      <c r="K178" t="n">
        <v>4</v>
      </c>
      <c r="L178" t="n">
        <v>2</v>
      </c>
      <c r="M178" s="236" t="n">
        <v>0</v>
      </c>
      <c r="N178" t="inlineStr"/>
      <c r="O178" s="236" t="n">
        <v>2.25</v>
      </c>
      <c r="P178" s="236" t="n">
        <v>2.25</v>
      </c>
      <c r="Q178" s="224" t="inlineStr">
        <is>
          <t>D — Deprioritized</t>
        </is>
      </c>
      <c r="R178" s="226" t="n">
        <v>0</v>
      </c>
      <c r="S178" s="226" t="n">
        <v>0.018</v>
      </c>
      <c r="T178" s="226" t="n">
        <v>0.05500000000000001</v>
      </c>
      <c r="U178" s="226" t="n">
        <v>0.082</v>
      </c>
      <c r="V178" s="226" t="n">
        <v>0.1</v>
      </c>
      <c r="W178" s="227" t="n">
        <v>0</v>
      </c>
      <c r="X178" s="227" t="n">
        <v>0</v>
      </c>
      <c r="Y178" s="227" t="n">
        <v>0</v>
      </c>
      <c r="Z178" s="227" t="n">
        <v>0</v>
      </c>
      <c r="AA178" s="227" t="n">
        <v>0</v>
      </c>
    </row>
    <row r="179">
      <c r="A179" t="inlineStr">
        <is>
          <t>Hampton Inn Phoenix-Airport North</t>
        </is>
      </c>
      <c r="B179" t="inlineStr">
        <is>
          <t>Hotel</t>
        </is>
      </c>
      <c r="C179" t="inlineStr">
        <is>
          <t>NO</t>
        </is>
      </c>
      <c r="D179" t="n">
        <v>0</v>
      </c>
      <c r="E179" t="inlineStr"/>
      <c r="F179" t="inlineStr">
        <is>
          <t>No Valet</t>
        </is>
      </c>
      <c r="G179" s="227" t="n">
        <v>0</v>
      </c>
      <c r="H179" t="n">
        <v>2</v>
      </c>
      <c r="I179" t="n">
        <v>1</v>
      </c>
      <c r="J179" t="n">
        <v>3</v>
      </c>
      <c r="K179" t="n">
        <v>4</v>
      </c>
      <c r="L179" t="n">
        <v>2</v>
      </c>
      <c r="M179" s="236" t="n">
        <v>0.15</v>
      </c>
      <c r="N179" t="inlineStr">
        <is>
          <t>Brand familiarity (historical): Hilton_family</t>
        </is>
      </c>
      <c r="O179" s="236" t="n">
        <v>2.25</v>
      </c>
      <c r="P179" s="236" t="n">
        <v>2.4</v>
      </c>
      <c r="Q179" s="224" t="inlineStr">
        <is>
          <t>D — Deprioritized</t>
        </is>
      </c>
      <c r="R179" s="226" t="n">
        <v>0</v>
      </c>
      <c r="S179" s="226" t="n">
        <v>0.018</v>
      </c>
      <c r="T179" s="226" t="n">
        <v>0.05500000000000001</v>
      </c>
      <c r="U179" s="226" t="n">
        <v>0.082</v>
      </c>
      <c r="V179" s="226" t="n">
        <v>0.1</v>
      </c>
      <c r="W179" s="227" t="n">
        <v>0</v>
      </c>
      <c r="X179" s="227" t="n">
        <v>0</v>
      </c>
      <c r="Y179" s="227" t="n">
        <v>0</v>
      </c>
      <c r="Z179" s="227" t="n">
        <v>0</v>
      </c>
      <c r="AA179" s="227" t="n">
        <v>0</v>
      </c>
    </row>
    <row r="180">
      <c r="A180" t="inlineStr">
        <is>
          <t>Country Inn &amp; Suites By Radisson, Phoenix Airport</t>
        </is>
      </c>
      <c r="B180" t="inlineStr">
        <is>
          <t>Hotel</t>
        </is>
      </c>
      <c r="C180" t="inlineStr">
        <is>
          <t>NO</t>
        </is>
      </c>
      <c r="D180" t="n">
        <v>0</v>
      </c>
      <c r="E180" t="inlineStr"/>
      <c r="F180" t="inlineStr"/>
      <c r="G180" s="227" t="n">
        <v>0</v>
      </c>
      <c r="H180" t="n">
        <v>2</v>
      </c>
      <c r="I180" t="n">
        <v>1</v>
      </c>
      <c r="J180" t="n">
        <v>2</v>
      </c>
      <c r="K180" t="n">
        <v>4</v>
      </c>
      <c r="L180" t="n">
        <v>2</v>
      </c>
      <c r="M180" s="236" t="n">
        <v>0</v>
      </c>
      <c r="N180" t="inlineStr"/>
      <c r="O180" s="236" t="n">
        <v>2.05</v>
      </c>
      <c r="P180" s="236" t="n">
        <v>2.05</v>
      </c>
      <c r="Q180" s="224" t="inlineStr">
        <is>
          <t>D — Deprioritized</t>
        </is>
      </c>
      <c r="R180" s="226" t="n">
        <v>0</v>
      </c>
      <c r="S180" s="226" t="n">
        <v>0.018</v>
      </c>
      <c r="T180" s="226" t="n">
        <v>0.05500000000000001</v>
      </c>
      <c r="U180" s="226" t="n">
        <v>0.082</v>
      </c>
      <c r="V180" s="226" t="n">
        <v>0.1</v>
      </c>
      <c r="W180" s="227" t="n">
        <v>0</v>
      </c>
      <c r="X180" s="227" t="n">
        <v>0</v>
      </c>
      <c r="Y180" s="227" t="n">
        <v>0</v>
      </c>
      <c r="Z180" s="227" t="n">
        <v>0</v>
      </c>
      <c r="AA180" s="227" t="n">
        <v>0</v>
      </c>
    </row>
    <row r="181">
      <c r="A181" t="inlineStr">
        <is>
          <t>Radisson Hotel Phoenix Airport</t>
        </is>
      </c>
      <c r="B181" t="inlineStr">
        <is>
          <t>Hotel</t>
        </is>
      </c>
      <c r="C181" t="inlineStr">
        <is>
          <t>NO</t>
        </is>
      </c>
      <c r="D181" t="n">
        <v>0</v>
      </c>
      <c r="E181" t="inlineStr"/>
      <c r="F181" t="inlineStr"/>
      <c r="G181" s="227" t="n">
        <v>0</v>
      </c>
      <c r="H181" t="n">
        <v>2</v>
      </c>
      <c r="I181" t="n">
        <v>1</v>
      </c>
      <c r="J181" t="n">
        <v>2</v>
      </c>
      <c r="K181" t="n">
        <v>4</v>
      </c>
      <c r="L181" t="n">
        <v>2</v>
      </c>
      <c r="M181" s="236" t="n">
        <v>0</v>
      </c>
      <c r="N181" t="inlineStr"/>
      <c r="O181" s="236" t="n">
        <v>2.05</v>
      </c>
      <c r="P181" s="236" t="n">
        <v>2.05</v>
      </c>
      <c r="Q181" s="224" t="inlineStr">
        <is>
          <t>D — Deprioritized</t>
        </is>
      </c>
      <c r="R181" s="226" t="n">
        <v>0</v>
      </c>
      <c r="S181" s="226" t="n">
        <v>0.018</v>
      </c>
      <c r="T181" s="226" t="n">
        <v>0.05500000000000001</v>
      </c>
      <c r="U181" s="226" t="n">
        <v>0.082</v>
      </c>
      <c r="V181" s="226" t="n">
        <v>0.1</v>
      </c>
      <c r="W181" s="227" t="n">
        <v>0</v>
      </c>
      <c r="X181" s="227" t="n">
        <v>0</v>
      </c>
      <c r="Y181" s="227" t="n">
        <v>0</v>
      </c>
      <c r="Z181" s="227" t="n">
        <v>0</v>
      </c>
      <c r="AA181" s="227" t="n">
        <v>0</v>
      </c>
    </row>
    <row r="182">
      <c r="A182" t="inlineStr">
        <is>
          <t>Residence Inn Phoenix Airport</t>
        </is>
      </c>
      <c r="B182" t="inlineStr">
        <is>
          <t>Hotel</t>
        </is>
      </c>
      <c r="C182" t="inlineStr">
        <is>
          <t>NO</t>
        </is>
      </c>
      <c r="D182" t="n">
        <v>0</v>
      </c>
      <c r="E182" t="inlineStr"/>
      <c r="F182" t="inlineStr"/>
      <c r="G182" s="227" t="n">
        <v>0</v>
      </c>
      <c r="H182" t="n">
        <v>2</v>
      </c>
      <c r="I182" t="n">
        <v>1</v>
      </c>
      <c r="J182" t="n">
        <v>3</v>
      </c>
      <c r="K182" t="n">
        <v>4</v>
      </c>
      <c r="L182" t="n">
        <v>2</v>
      </c>
      <c r="M182" s="236" t="n">
        <v>0.3</v>
      </c>
      <c r="N182" t="inlineStr">
        <is>
          <t>Brand familiarity (current): Marriott_family</t>
        </is>
      </c>
      <c r="O182" s="236" t="n">
        <v>2.25</v>
      </c>
      <c r="P182" s="236" t="n">
        <v>2.55</v>
      </c>
      <c r="Q182" s="237" t="inlineStr">
        <is>
          <t>C — Opportunistic</t>
        </is>
      </c>
      <c r="R182" s="226" t="n">
        <v>0.02</v>
      </c>
      <c r="S182" s="226" t="n">
        <v>0.09724000000000002</v>
      </c>
      <c r="T182" s="226" t="n">
        <v>0.28625</v>
      </c>
      <c r="U182" s="226" t="n">
        <v>0.4145</v>
      </c>
      <c r="V182" s="226" t="n">
        <v>0.5</v>
      </c>
      <c r="W182" s="227" t="n">
        <v>0</v>
      </c>
      <c r="X182" s="227" t="n">
        <v>0</v>
      </c>
      <c r="Y182" s="227" t="n">
        <v>0</v>
      </c>
      <c r="Z182" s="227" t="n">
        <v>0</v>
      </c>
      <c r="AA182" s="227" t="n">
        <v>0</v>
      </c>
    </row>
    <row r="183">
      <c r="A183" t="inlineStr">
        <is>
          <t>Home2 Suites by Hilton Phoenix Airport North</t>
        </is>
      </c>
      <c r="B183" t="inlineStr">
        <is>
          <t>Hotel</t>
        </is>
      </c>
      <c r="C183" t="inlineStr">
        <is>
          <t>NO</t>
        </is>
      </c>
      <c r="D183" t="n">
        <v>0</v>
      </c>
      <c r="E183" t="inlineStr"/>
      <c r="F183" t="inlineStr"/>
      <c r="G183" s="227" t="n">
        <v>0</v>
      </c>
      <c r="H183" t="n">
        <v>2</v>
      </c>
      <c r="I183" t="n">
        <v>1</v>
      </c>
      <c r="J183" t="n">
        <v>3</v>
      </c>
      <c r="K183" t="n">
        <v>4</v>
      </c>
      <c r="L183" t="n">
        <v>2</v>
      </c>
      <c r="M183" s="236" t="n">
        <v>0.15</v>
      </c>
      <c r="N183" t="inlineStr">
        <is>
          <t>Brand familiarity (historical): Hilton_family</t>
        </is>
      </c>
      <c r="O183" s="236" t="n">
        <v>2.25</v>
      </c>
      <c r="P183" s="236" t="n">
        <v>2.4</v>
      </c>
      <c r="Q183" s="224" t="inlineStr">
        <is>
          <t>D — Deprioritized</t>
        </is>
      </c>
      <c r="R183" s="226" t="n">
        <v>0</v>
      </c>
      <c r="S183" s="226" t="n">
        <v>0.018</v>
      </c>
      <c r="T183" s="226" t="n">
        <v>0.05500000000000001</v>
      </c>
      <c r="U183" s="226" t="n">
        <v>0.082</v>
      </c>
      <c r="V183" s="226" t="n">
        <v>0.1</v>
      </c>
      <c r="W183" s="227" t="n">
        <v>0</v>
      </c>
      <c r="X183" s="227" t="n">
        <v>0</v>
      </c>
      <c r="Y183" s="227" t="n">
        <v>0</v>
      </c>
      <c r="Z183" s="227" t="n">
        <v>0</v>
      </c>
      <c r="AA183" s="227" t="n">
        <v>0</v>
      </c>
    </row>
    <row r="184">
      <c r="A184" t="inlineStr">
        <is>
          <t>Homewood Suites by Hilton Phoenix Airport South</t>
        </is>
      </c>
      <c r="B184" t="inlineStr">
        <is>
          <t>Hotel</t>
        </is>
      </c>
      <c r="C184" t="inlineStr">
        <is>
          <t>NO</t>
        </is>
      </c>
      <c r="D184" t="n">
        <v>0</v>
      </c>
      <c r="E184" t="inlineStr"/>
      <c r="F184" t="inlineStr"/>
      <c r="G184" s="227" t="n">
        <v>0</v>
      </c>
      <c r="H184" t="n">
        <v>2</v>
      </c>
      <c r="I184" t="n">
        <v>1</v>
      </c>
      <c r="J184" t="n">
        <v>3</v>
      </c>
      <c r="K184" t="n">
        <v>4</v>
      </c>
      <c r="L184" t="n">
        <v>2</v>
      </c>
      <c r="M184" s="236" t="n">
        <v>0.15</v>
      </c>
      <c r="N184" t="inlineStr">
        <is>
          <t>Brand familiarity (historical): Hilton_family</t>
        </is>
      </c>
      <c r="O184" s="236" t="n">
        <v>2.25</v>
      </c>
      <c r="P184" s="236" t="n">
        <v>2.4</v>
      </c>
      <c r="Q184" s="224" t="inlineStr">
        <is>
          <t>D — Deprioritized</t>
        </is>
      </c>
      <c r="R184" s="226" t="n">
        <v>0</v>
      </c>
      <c r="S184" s="226" t="n">
        <v>0.018</v>
      </c>
      <c r="T184" s="226" t="n">
        <v>0.05500000000000001</v>
      </c>
      <c r="U184" s="226" t="n">
        <v>0.082</v>
      </c>
      <c r="V184" s="226" t="n">
        <v>0.1</v>
      </c>
      <c r="W184" s="227" t="n">
        <v>0</v>
      </c>
      <c r="X184" s="227" t="n">
        <v>0</v>
      </c>
      <c r="Y184" s="227" t="n">
        <v>0</v>
      </c>
      <c r="Z184" s="227" t="n">
        <v>0</v>
      </c>
      <c r="AA184" s="227" t="n">
        <v>0</v>
      </c>
    </row>
    <row r="185">
      <c r="A185" t="inlineStr">
        <is>
          <t>Holiday Inn Express &amp; Suites Phoenix Airport</t>
        </is>
      </c>
      <c r="B185" t="inlineStr">
        <is>
          <t>Hotel</t>
        </is>
      </c>
      <c r="C185" t="inlineStr">
        <is>
          <t>NO</t>
        </is>
      </c>
      <c r="D185" t="n">
        <v>0</v>
      </c>
      <c r="E185" t="inlineStr"/>
      <c r="F185" t="inlineStr"/>
      <c r="G185" s="227" t="n">
        <v>0</v>
      </c>
      <c r="H185" t="n">
        <v>2</v>
      </c>
      <c r="I185" t="n">
        <v>1</v>
      </c>
      <c r="J185" t="n">
        <v>3</v>
      </c>
      <c r="K185" t="n">
        <v>4</v>
      </c>
      <c r="L185" t="n">
        <v>2</v>
      </c>
      <c r="M185" s="236" t="n">
        <v>0</v>
      </c>
      <c r="N185" t="inlineStr"/>
      <c r="O185" s="236" t="n">
        <v>2.25</v>
      </c>
      <c r="P185" s="236" t="n">
        <v>2.25</v>
      </c>
      <c r="Q185" s="224" t="inlineStr">
        <is>
          <t>D — Deprioritized</t>
        </is>
      </c>
      <c r="R185" s="226" t="n">
        <v>0</v>
      </c>
      <c r="S185" s="226" t="n">
        <v>0.018</v>
      </c>
      <c r="T185" s="226" t="n">
        <v>0.05500000000000001</v>
      </c>
      <c r="U185" s="226" t="n">
        <v>0.082</v>
      </c>
      <c r="V185" s="226" t="n">
        <v>0.1</v>
      </c>
      <c r="W185" s="227" t="n">
        <v>0</v>
      </c>
      <c r="X185" s="227" t="n">
        <v>0</v>
      </c>
      <c r="Y185" s="227" t="n">
        <v>0</v>
      </c>
      <c r="Z185" s="227" t="n">
        <v>0</v>
      </c>
      <c r="AA185" s="227" t="n">
        <v>0</v>
      </c>
    </row>
    <row r="186">
      <c r="A186" t="inlineStr">
        <is>
          <t>Holiday Inn Hotel &amp; Suites Phoenix Airport</t>
        </is>
      </c>
      <c r="B186" t="inlineStr">
        <is>
          <t>Hotel</t>
        </is>
      </c>
      <c r="C186" t="inlineStr">
        <is>
          <t>NO</t>
        </is>
      </c>
      <c r="D186" t="n">
        <v>0</v>
      </c>
      <c r="E186" t="inlineStr"/>
      <c r="F186" t="inlineStr"/>
      <c r="G186" s="227" t="n">
        <v>0</v>
      </c>
      <c r="H186" t="n">
        <v>2</v>
      </c>
      <c r="I186" t="n">
        <v>1</v>
      </c>
      <c r="J186" t="n">
        <v>3</v>
      </c>
      <c r="K186" t="n">
        <v>4</v>
      </c>
      <c r="L186" t="n">
        <v>2</v>
      </c>
      <c r="M186" s="236" t="n">
        <v>0</v>
      </c>
      <c r="N186" t="inlineStr"/>
      <c r="O186" s="236" t="n">
        <v>2.25</v>
      </c>
      <c r="P186" s="236" t="n">
        <v>2.25</v>
      </c>
      <c r="Q186" s="224" t="inlineStr">
        <is>
          <t>D — Deprioritized</t>
        </is>
      </c>
      <c r="R186" s="226" t="n">
        <v>0</v>
      </c>
      <c r="S186" s="226" t="n">
        <v>0.018</v>
      </c>
      <c r="T186" s="226" t="n">
        <v>0.05500000000000001</v>
      </c>
      <c r="U186" s="226" t="n">
        <v>0.082</v>
      </c>
      <c r="V186" s="226" t="n">
        <v>0.1</v>
      </c>
      <c r="W186" s="227" t="n">
        <v>0</v>
      </c>
      <c r="X186" s="227" t="n">
        <v>0</v>
      </c>
      <c r="Y186" s="227" t="n">
        <v>0</v>
      </c>
      <c r="Z186" s="227" t="n">
        <v>0</v>
      </c>
      <c r="AA186" s="227" t="n">
        <v>0</v>
      </c>
    </row>
    <row r="187">
      <c r="A187" t="inlineStr">
        <is>
          <t>TownePlace Suites by Marriott Phoenix Airport</t>
        </is>
      </c>
      <c r="B187" t="inlineStr">
        <is>
          <t>Hotel</t>
        </is>
      </c>
      <c r="C187" t="inlineStr">
        <is>
          <t>NO</t>
        </is>
      </c>
      <c r="D187" t="n">
        <v>0</v>
      </c>
      <c r="E187" t="inlineStr"/>
      <c r="F187" t="inlineStr"/>
      <c r="G187" s="227" t="n">
        <v>0</v>
      </c>
      <c r="H187" t="n">
        <v>2</v>
      </c>
      <c r="I187" t="n">
        <v>1</v>
      </c>
      <c r="J187" t="n">
        <v>3</v>
      </c>
      <c r="K187" t="n">
        <v>4</v>
      </c>
      <c r="L187" t="n">
        <v>2</v>
      </c>
      <c r="M187" s="236" t="n">
        <v>0.3</v>
      </c>
      <c r="N187" t="inlineStr">
        <is>
          <t>Brand familiarity (current): Marriott_family</t>
        </is>
      </c>
      <c r="O187" s="236" t="n">
        <v>2.25</v>
      </c>
      <c r="P187" s="236" t="n">
        <v>2.55</v>
      </c>
      <c r="Q187" s="237" t="inlineStr">
        <is>
          <t>C — Opportunistic</t>
        </is>
      </c>
      <c r="R187" s="226" t="n">
        <v>0.02</v>
      </c>
      <c r="S187" s="226" t="n">
        <v>0.09724000000000002</v>
      </c>
      <c r="T187" s="226" t="n">
        <v>0.28625</v>
      </c>
      <c r="U187" s="226" t="n">
        <v>0.4145</v>
      </c>
      <c r="V187" s="226" t="n">
        <v>0.5</v>
      </c>
      <c r="W187" s="227" t="n">
        <v>0</v>
      </c>
      <c r="X187" s="227" t="n">
        <v>0</v>
      </c>
      <c r="Y187" s="227" t="n">
        <v>0</v>
      </c>
      <c r="Z187" s="227" t="n">
        <v>0</v>
      </c>
      <c r="AA187" s="227" t="n">
        <v>0</v>
      </c>
    </row>
    <row r="188">
      <c r="A188" t="inlineStr">
        <is>
          <t>Aloft Glendale at Westgate</t>
        </is>
      </c>
      <c r="B188" t="inlineStr">
        <is>
          <t>Hotel</t>
        </is>
      </c>
      <c r="C188" t="inlineStr">
        <is>
          <t>NO</t>
        </is>
      </c>
      <c r="D188" t="n">
        <v>0</v>
      </c>
      <c r="E188" t="inlineStr"/>
      <c r="F188" t="inlineStr"/>
      <c r="G188" s="227" t="n">
        <v>0</v>
      </c>
      <c r="H188" t="n">
        <v>2</v>
      </c>
      <c r="I188" t="n">
        <v>1</v>
      </c>
      <c r="J188" t="n">
        <v>2</v>
      </c>
      <c r="K188" t="n">
        <v>4</v>
      </c>
      <c r="L188" t="n">
        <v>2</v>
      </c>
      <c r="M188" s="236" t="n">
        <v>0.3</v>
      </c>
      <c r="N188" t="inlineStr">
        <is>
          <t>Brand familiarity (current): Marriott_family</t>
        </is>
      </c>
      <c r="O188" s="236" t="n">
        <v>2.05</v>
      </c>
      <c r="P188" s="236" t="n">
        <v>2.35</v>
      </c>
      <c r="Q188" s="224" t="inlineStr">
        <is>
          <t>D — Deprioritized</t>
        </is>
      </c>
      <c r="R188" s="226" t="n">
        <v>0</v>
      </c>
      <c r="S188" s="226" t="n">
        <v>0.018</v>
      </c>
      <c r="T188" s="226" t="n">
        <v>0.05500000000000001</v>
      </c>
      <c r="U188" s="226" t="n">
        <v>0.082</v>
      </c>
      <c r="V188" s="226" t="n">
        <v>0.1</v>
      </c>
      <c r="W188" s="227" t="n">
        <v>0</v>
      </c>
      <c r="X188" s="227" t="n">
        <v>0</v>
      </c>
      <c r="Y188" s="227" t="n">
        <v>0</v>
      </c>
      <c r="Z188" s="227" t="n">
        <v>0</v>
      </c>
      <c r="AA188" s="227" t="n">
        <v>0</v>
      </c>
    </row>
    <row r="189">
      <c r="A189" t="inlineStr">
        <is>
          <t>MOXY Glendale</t>
        </is>
      </c>
      <c r="B189" t="inlineStr">
        <is>
          <t>Hotel</t>
        </is>
      </c>
      <c r="C189" t="inlineStr">
        <is>
          <t>NO</t>
        </is>
      </c>
      <c r="D189" t="n">
        <v>0</v>
      </c>
      <c r="E189" t="inlineStr"/>
      <c r="F189" t="inlineStr"/>
      <c r="G189" s="227" t="n">
        <v>0</v>
      </c>
      <c r="H189" t="n">
        <v>2</v>
      </c>
      <c r="I189" t="n">
        <v>1</v>
      </c>
      <c r="J189" t="n">
        <v>2</v>
      </c>
      <c r="K189" t="n">
        <v>4</v>
      </c>
      <c r="L189" t="n">
        <v>2</v>
      </c>
      <c r="M189" s="236" t="n">
        <v>0</v>
      </c>
      <c r="N189" t="inlineStr"/>
      <c r="O189" s="236" t="n">
        <v>2.05</v>
      </c>
      <c r="P189" s="236" t="n">
        <v>2.05</v>
      </c>
      <c r="Q189" s="224" t="inlineStr">
        <is>
          <t>D — Deprioritized</t>
        </is>
      </c>
      <c r="R189" s="226" t="n">
        <v>0</v>
      </c>
      <c r="S189" s="226" t="n">
        <v>0.018</v>
      </c>
      <c r="T189" s="226" t="n">
        <v>0.05500000000000001</v>
      </c>
      <c r="U189" s="226" t="n">
        <v>0.082</v>
      </c>
      <c r="V189" s="226" t="n">
        <v>0.1</v>
      </c>
      <c r="W189" s="227" t="n">
        <v>0</v>
      </c>
      <c r="X189" s="227" t="n">
        <v>0</v>
      </c>
      <c r="Y189" s="227" t="n">
        <v>0</v>
      </c>
      <c r="Z189" s="227" t="n">
        <v>0</v>
      </c>
      <c r="AA189" s="227" t="n">
        <v>0</v>
      </c>
    </row>
    <row r="190">
      <c r="A190" t="inlineStr">
        <is>
          <t>Holiday Inn Express Phoenix West – Tolleson</t>
        </is>
      </c>
      <c r="B190" t="inlineStr">
        <is>
          <t>Hotel</t>
        </is>
      </c>
      <c r="C190" t="inlineStr">
        <is>
          <t>NO</t>
        </is>
      </c>
      <c r="D190" t="n">
        <v>0</v>
      </c>
      <c r="E190" t="inlineStr"/>
      <c r="F190" t="inlineStr"/>
      <c r="G190" s="227" t="n">
        <v>0</v>
      </c>
      <c r="H190" t="n">
        <v>2</v>
      </c>
      <c r="I190" t="n">
        <v>1</v>
      </c>
      <c r="J190" t="n">
        <v>3</v>
      </c>
      <c r="K190" t="n">
        <v>4</v>
      </c>
      <c r="L190" t="n">
        <v>2</v>
      </c>
      <c r="M190" s="236" t="n">
        <v>0</v>
      </c>
      <c r="N190" t="inlineStr"/>
      <c r="O190" s="236" t="n">
        <v>2.25</v>
      </c>
      <c r="P190" s="236" t="n">
        <v>2.25</v>
      </c>
      <c r="Q190" s="224" t="inlineStr">
        <is>
          <t>D — Deprioritized</t>
        </is>
      </c>
      <c r="R190" s="226" t="n">
        <v>0</v>
      </c>
      <c r="S190" s="226" t="n">
        <v>0.018</v>
      </c>
      <c r="T190" s="226" t="n">
        <v>0.05500000000000001</v>
      </c>
      <c r="U190" s="226" t="n">
        <v>0.082</v>
      </c>
      <c r="V190" s="226" t="n">
        <v>0.1</v>
      </c>
      <c r="W190" s="227" t="n">
        <v>0</v>
      </c>
      <c r="X190" s="227" t="n">
        <v>0</v>
      </c>
      <c r="Y190" s="227" t="n">
        <v>0</v>
      </c>
      <c r="Z190" s="227" t="n">
        <v>0</v>
      </c>
      <c r="AA190" s="227" t="n">
        <v>0</v>
      </c>
    </row>
    <row r="191">
      <c r="A191" t="inlineStr">
        <is>
          <t>Fairfield Inn &amp; Suites Phoenix West/Tolleson</t>
        </is>
      </c>
      <c r="B191" t="inlineStr">
        <is>
          <t>Hotel</t>
        </is>
      </c>
      <c r="C191" t="inlineStr">
        <is>
          <t>NO</t>
        </is>
      </c>
      <c r="D191" t="n">
        <v>0</v>
      </c>
      <c r="E191" t="inlineStr"/>
      <c r="F191" t="inlineStr"/>
      <c r="G191" s="227" t="n">
        <v>0</v>
      </c>
      <c r="H191" t="n">
        <v>2</v>
      </c>
      <c r="I191" t="n">
        <v>1</v>
      </c>
      <c r="J191" t="n">
        <v>2</v>
      </c>
      <c r="K191" t="n">
        <v>4</v>
      </c>
      <c r="L191" t="n">
        <v>2</v>
      </c>
      <c r="M191" s="236" t="n">
        <v>0.3</v>
      </c>
      <c r="N191" t="inlineStr">
        <is>
          <t>Brand familiarity (current): Marriott_family</t>
        </is>
      </c>
      <c r="O191" s="236" t="n">
        <v>2.05</v>
      </c>
      <c r="P191" s="236" t="n">
        <v>2.35</v>
      </c>
      <c r="Q191" s="224" t="inlineStr">
        <is>
          <t>D — Deprioritized</t>
        </is>
      </c>
      <c r="R191" s="226" t="n">
        <v>0</v>
      </c>
      <c r="S191" s="226" t="n">
        <v>0.018</v>
      </c>
      <c r="T191" s="226" t="n">
        <v>0.05500000000000001</v>
      </c>
      <c r="U191" s="226" t="n">
        <v>0.082</v>
      </c>
      <c r="V191" s="226" t="n">
        <v>0.1</v>
      </c>
      <c r="W191" s="227" t="n">
        <v>0</v>
      </c>
      <c r="X191" s="227" t="n">
        <v>0</v>
      </c>
      <c r="Y191" s="227" t="n">
        <v>0</v>
      </c>
      <c r="Z191" s="227" t="n">
        <v>0</v>
      </c>
      <c r="AA191" s="227" t="n">
        <v>0</v>
      </c>
    </row>
    <row r="192">
      <c r="A192" t="inlineStr">
        <is>
          <t>Four Points by Sheraton Phoenix West/Avondale</t>
        </is>
      </c>
      <c r="B192" t="inlineStr">
        <is>
          <t>Hotel</t>
        </is>
      </c>
      <c r="C192" t="inlineStr">
        <is>
          <t>NO</t>
        </is>
      </c>
      <c r="D192" t="n">
        <v>0</v>
      </c>
      <c r="E192" t="inlineStr"/>
      <c r="F192" t="inlineStr"/>
      <c r="G192" s="227" t="n">
        <v>0</v>
      </c>
      <c r="H192" t="n">
        <v>2</v>
      </c>
      <c r="I192" t="n">
        <v>1</v>
      </c>
      <c r="J192" t="n">
        <v>3</v>
      </c>
      <c r="K192" t="n">
        <v>4</v>
      </c>
      <c r="L192" t="n">
        <v>2</v>
      </c>
      <c r="M192" s="236" t="n">
        <v>0.3</v>
      </c>
      <c r="N192" t="inlineStr">
        <is>
          <t>Brand familiarity (current): Marriott_family</t>
        </is>
      </c>
      <c r="O192" s="236" t="n">
        <v>2.25</v>
      </c>
      <c r="P192" s="236" t="n">
        <v>2.55</v>
      </c>
      <c r="Q192" s="237" t="inlineStr">
        <is>
          <t>C — Opportunistic</t>
        </is>
      </c>
      <c r="R192" s="226" t="n">
        <v>0.02</v>
      </c>
      <c r="S192" s="226" t="n">
        <v>0.09724000000000002</v>
      </c>
      <c r="T192" s="226" t="n">
        <v>0.28625</v>
      </c>
      <c r="U192" s="226" t="n">
        <v>0.4145</v>
      </c>
      <c r="V192" s="226" t="n">
        <v>0.5</v>
      </c>
      <c r="W192" s="227" t="n">
        <v>0</v>
      </c>
      <c r="X192" s="227" t="n">
        <v>0</v>
      </c>
      <c r="Y192" s="227" t="n">
        <v>0</v>
      </c>
      <c r="Z192" s="227" t="n">
        <v>0</v>
      </c>
      <c r="AA192" s="227" t="n">
        <v>0</v>
      </c>
    </row>
    <row r="193">
      <c r="A193" t="inlineStr">
        <is>
          <t>Residence Inn Phoenix West/Avondale</t>
        </is>
      </c>
      <c r="B193" t="inlineStr">
        <is>
          <t>Hotel</t>
        </is>
      </c>
      <c r="C193" t="inlineStr">
        <is>
          <t>NO</t>
        </is>
      </c>
      <c r="D193" t="n">
        <v>0</v>
      </c>
      <c r="E193" t="inlineStr"/>
      <c r="F193" t="inlineStr"/>
      <c r="G193" s="227" t="n">
        <v>0</v>
      </c>
      <c r="H193" t="n">
        <v>2</v>
      </c>
      <c r="I193" t="n">
        <v>1</v>
      </c>
      <c r="J193" t="n">
        <v>3</v>
      </c>
      <c r="K193" t="n">
        <v>4</v>
      </c>
      <c r="L193" t="n">
        <v>2</v>
      </c>
      <c r="M193" s="236" t="n">
        <v>0.3</v>
      </c>
      <c r="N193" t="inlineStr">
        <is>
          <t>Brand familiarity (current): Marriott_family</t>
        </is>
      </c>
      <c r="O193" s="236" t="n">
        <v>2.25</v>
      </c>
      <c r="P193" s="236" t="n">
        <v>2.55</v>
      </c>
      <c r="Q193" s="237" t="inlineStr">
        <is>
          <t>C — Opportunistic</t>
        </is>
      </c>
      <c r="R193" s="226" t="n">
        <v>0.02</v>
      </c>
      <c r="S193" s="226" t="n">
        <v>0.09724000000000002</v>
      </c>
      <c r="T193" s="226" t="n">
        <v>0.28625</v>
      </c>
      <c r="U193" s="226" t="n">
        <v>0.4145</v>
      </c>
      <c r="V193" s="226" t="n">
        <v>0.5</v>
      </c>
      <c r="W193" s="227" t="n">
        <v>0</v>
      </c>
      <c r="X193" s="227" t="n">
        <v>0</v>
      </c>
      <c r="Y193" s="227" t="n">
        <v>0</v>
      </c>
      <c r="Z193" s="227" t="n">
        <v>0</v>
      </c>
      <c r="AA193" s="227" t="n">
        <v>0</v>
      </c>
    </row>
    <row r="194">
      <c r="A194" t="inlineStr">
        <is>
          <t>Courtyard Phoenix West Avondale</t>
        </is>
      </c>
      <c r="B194" t="inlineStr">
        <is>
          <t>Hotel</t>
        </is>
      </c>
      <c r="C194" t="inlineStr">
        <is>
          <t>NO</t>
        </is>
      </c>
      <c r="D194" t="n">
        <v>0</v>
      </c>
      <c r="E194" t="inlineStr"/>
      <c r="F194" t="inlineStr"/>
      <c r="G194" s="227" t="n">
        <v>0</v>
      </c>
      <c r="H194" t="n">
        <v>2</v>
      </c>
      <c r="I194" t="n">
        <v>1</v>
      </c>
      <c r="J194" t="n">
        <v>3</v>
      </c>
      <c r="K194" t="n">
        <v>4</v>
      </c>
      <c r="L194" t="n">
        <v>2</v>
      </c>
      <c r="M194" s="236" t="n">
        <v>0</v>
      </c>
      <c r="N194" t="inlineStr"/>
      <c r="O194" s="236" t="n">
        <v>2.25</v>
      </c>
      <c r="P194" s="236" t="n">
        <v>2.25</v>
      </c>
      <c r="Q194" s="224" t="inlineStr">
        <is>
          <t>D — Deprioritized</t>
        </is>
      </c>
      <c r="R194" s="226" t="n">
        <v>0</v>
      </c>
      <c r="S194" s="226" t="n">
        <v>0.018</v>
      </c>
      <c r="T194" s="226" t="n">
        <v>0.05500000000000001</v>
      </c>
      <c r="U194" s="226" t="n">
        <v>0.082</v>
      </c>
      <c r="V194" s="226" t="n">
        <v>0.1</v>
      </c>
      <c r="W194" s="227" t="n">
        <v>0</v>
      </c>
      <c r="X194" s="227" t="n">
        <v>0</v>
      </c>
      <c r="Y194" s="227" t="n">
        <v>0</v>
      </c>
      <c r="Z194" s="227" t="n">
        <v>0</v>
      </c>
      <c r="AA194" s="227" t="n">
        <v>0</v>
      </c>
    </row>
    <row r="195">
      <c r="A195" t="inlineStr">
        <is>
          <t>Home2 Suites by Hilton Phoenix Avondale</t>
        </is>
      </c>
      <c r="B195" t="inlineStr">
        <is>
          <t>Hotel</t>
        </is>
      </c>
      <c r="C195" t="inlineStr">
        <is>
          <t>NO</t>
        </is>
      </c>
      <c r="D195" t="n">
        <v>0</v>
      </c>
      <c r="E195" t="inlineStr"/>
      <c r="F195" t="inlineStr"/>
      <c r="G195" s="227" t="n">
        <v>0</v>
      </c>
      <c r="H195" t="n">
        <v>2</v>
      </c>
      <c r="I195" t="n">
        <v>1</v>
      </c>
      <c r="J195" t="n">
        <v>3</v>
      </c>
      <c r="K195" t="n">
        <v>4</v>
      </c>
      <c r="L195" t="n">
        <v>2</v>
      </c>
      <c r="M195" s="236" t="n">
        <v>0.15</v>
      </c>
      <c r="N195" t="inlineStr">
        <is>
          <t>Brand familiarity (historical): Hilton_family</t>
        </is>
      </c>
      <c r="O195" s="236" t="n">
        <v>2.25</v>
      </c>
      <c r="P195" s="236" t="n">
        <v>2.4</v>
      </c>
      <c r="Q195" s="224" t="inlineStr">
        <is>
          <t>D — Deprioritized</t>
        </is>
      </c>
      <c r="R195" s="226" t="n">
        <v>0</v>
      </c>
      <c r="S195" s="226" t="n">
        <v>0.018</v>
      </c>
      <c r="T195" s="226" t="n">
        <v>0.05500000000000001</v>
      </c>
      <c r="U195" s="226" t="n">
        <v>0.082</v>
      </c>
      <c r="V195" s="226" t="n">
        <v>0.1</v>
      </c>
      <c r="W195" s="227" t="n">
        <v>0</v>
      </c>
      <c r="X195" s="227" t="n">
        <v>0</v>
      </c>
      <c r="Y195" s="227" t="n">
        <v>0</v>
      </c>
      <c r="Z195" s="227" t="n">
        <v>0</v>
      </c>
      <c r="AA195" s="227" t="n">
        <v>0</v>
      </c>
    </row>
    <row r="196">
      <c r="A196" t="inlineStr">
        <is>
          <t>Hilton Garden Inn Phoenix/Avondale</t>
        </is>
      </c>
      <c r="B196" t="inlineStr">
        <is>
          <t>Hotel</t>
        </is>
      </c>
      <c r="C196" t="inlineStr">
        <is>
          <t>NO</t>
        </is>
      </c>
      <c r="D196" t="n">
        <v>0</v>
      </c>
      <c r="E196" t="inlineStr"/>
      <c r="F196" t="inlineStr"/>
      <c r="G196" s="227" t="n">
        <v>0</v>
      </c>
      <c r="H196" t="n">
        <v>2</v>
      </c>
      <c r="I196" t="n">
        <v>1</v>
      </c>
      <c r="J196" t="n">
        <v>3</v>
      </c>
      <c r="K196" t="n">
        <v>4</v>
      </c>
      <c r="L196" t="n">
        <v>2</v>
      </c>
      <c r="M196" s="236" t="n">
        <v>0.15</v>
      </c>
      <c r="N196" t="inlineStr">
        <is>
          <t>Brand familiarity (historical): Hilton_family</t>
        </is>
      </c>
      <c r="O196" s="236" t="n">
        <v>2.25</v>
      </c>
      <c r="P196" s="236" t="n">
        <v>2.4</v>
      </c>
      <c r="Q196" s="224" t="inlineStr">
        <is>
          <t>D — Deprioritized</t>
        </is>
      </c>
      <c r="R196" s="226" t="n">
        <v>0</v>
      </c>
      <c r="S196" s="226" t="n">
        <v>0.018</v>
      </c>
      <c r="T196" s="226" t="n">
        <v>0.05500000000000001</v>
      </c>
      <c r="U196" s="226" t="n">
        <v>0.082</v>
      </c>
      <c r="V196" s="226" t="n">
        <v>0.1</v>
      </c>
      <c r="W196" s="227" t="n">
        <v>0</v>
      </c>
      <c r="X196" s="227" t="n">
        <v>0</v>
      </c>
      <c r="Y196" s="227" t="n">
        <v>0</v>
      </c>
      <c r="Z196" s="227" t="n">
        <v>0</v>
      </c>
      <c r="AA196" s="227" t="n">
        <v>0</v>
      </c>
    </row>
    <row r="197">
      <c r="A197" t="inlineStr">
        <is>
          <t>SpringHill Suites Phoenix West/Avondale</t>
        </is>
      </c>
      <c r="B197" t="inlineStr">
        <is>
          <t>Hotel</t>
        </is>
      </c>
      <c r="C197" t="inlineStr">
        <is>
          <t>NO</t>
        </is>
      </c>
      <c r="D197" t="n">
        <v>0</v>
      </c>
      <c r="E197" t="inlineStr"/>
      <c r="F197" t="inlineStr"/>
      <c r="G197" s="227" t="n">
        <v>0</v>
      </c>
      <c r="H197" t="n">
        <v>2</v>
      </c>
      <c r="I197" t="n">
        <v>1</v>
      </c>
      <c r="J197" t="n">
        <v>2</v>
      </c>
      <c r="K197" t="n">
        <v>4</v>
      </c>
      <c r="L197" t="n">
        <v>2</v>
      </c>
      <c r="M197" s="236" t="n">
        <v>0.3</v>
      </c>
      <c r="N197" t="inlineStr">
        <is>
          <t>Brand familiarity (current): Marriott_family</t>
        </is>
      </c>
      <c r="O197" s="236" t="n">
        <v>2.05</v>
      </c>
      <c r="P197" s="236" t="n">
        <v>2.35</v>
      </c>
      <c r="Q197" s="224" t="inlineStr">
        <is>
          <t>D — Deprioritized</t>
        </is>
      </c>
      <c r="R197" s="226" t="n">
        <v>0</v>
      </c>
      <c r="S197" s="226" t="n">
        <v>0.018</v>
      </c>
      <c r="T197" s="226" t="n">
        <v>0.05500000000000001</v>
      </c>
      <c r="U197" s="226" t="n">
        <v>0.082</v>
      </c>
      <c r="V197" s="226" t="n">
        <v>0.1</v>
      </c>
      <c r="W197" s="227" t="n">
        <v>0</v>
      </c>
      <c r="X197" s="227" t="n">
        <v>0</v>
      </c>
      <c r="Y197" s="227" t="n">
        <v>0</v>
      </c>
      <c r="Z197" s="227" t="n">
        <v>0</v>
      </c>
      <c r="AA197" s="227" t="n">
        <v>0</v>
      </c>
    </row>
    <row r="198">
      <c r="A198" t="inlineStr">
        <is>
          <t>Holiday Inn Glendale – Stadium &amp; Ent Dist</t>
        </is>
      </c>
      <c r="B198" t="inlineStr">
        <is>
          <t>Hotel</t>
        </is>
      </c>
      <c r="C198" t="inlineStr">
        <is>
          <t>NO</t>
        </is>
      </c>
      <c r="D198" t="n">
        <v>0</v>
      </c>
      <c r="E198" t="inlineStr"/>
      <c r="F198" t="inlineStr"/>
      <c r="G198" s="227" t="n">
        <v>0</v>
      </c>
      <c r="H198" t="n">
        <v>2</v>
      </c>
      <c r="I198" t="n">
        <v>1</v>
      </c>
      <c r="J198" t="n">
        <v>3</v>
      </c>
      <c r="K198" t="n">
        <v>4</v>
      </c>
      <c r="L198" t="n">
        <v>2</v>
      </c>
      <c r="M198" s="236" t="n">
        <v>0</v>
      </c>
      <c r="N198" t="inlineStr"/>
      <c r="O198" s="236" t="n">
        <v>2.25</v>
      </c>
      <c r="P198" s="236" t="n">
        <v>2.25</v>
      </c>
      <c r="Q198" s="224" t="inlineStr">
        <is>
          <t>D — Deprioritized</t>
        </is>
      </c>
      <c r="R198" s="226" t="n">
        <v>0</v>
      </c>
      <c r="S198" s="226" t="n">
        <v>0.018</v>
      </c>
      <c r="T198" s="226" t="n">
        <v>0.05500000000000001</v>
      </c>
      <c r="U198" s="226" t="n">
        <v>0.082</v>
      </c>
      <c r="V198" s="226" t="n">
        <v>0.1</v>
      </c>
      <c r="W198" s="227" t="n">
        <v>0</v>
      </c>
      <c r="X198" s="227" t="n">
        <v>0</v>
      </c>
      <c r="Y198" s="227" t="n">
        <v>0</v>
      </c>
      <c r="Z198" s="227" t="n">
        <v>0</v>
      </c>
      <c r="AA198" s="227" t="n">
        <v>0</v>
      </c>
    </row>
    <row r="199">
      <c r="A199" t="inlineStr">
        <is>
          <t>Comfort Suites Glendale – State Farm Stadium Area</t>
        </is>
      </c>
      <c r="B199" t="inlineStr">
        <is>
          <t>Hotel</t>
        </is>
      </c>
      <c r="C199" t="inlineStr">
        <is>
          <t>NO</t>
        </is>
      </c>
      <c r="D199" t="n">
        <v>0</v>
      </c>
      <c r="E199" t="inlineStr"/>
      <c r="F199" t="inlineStr"/>
      <c r="G199" s="227" t="n">
        <v>0</v>
      </c>
      <c r="H199" t="n">
        <v>2</v>
      </c>
      <c r="I199" t="n">
        <v>1</v>
      </c>
      <c r="J199" t="n">
        <v>2</v>
      </c>
      <c r="K199" t="n">
        <v>4</v>
      </c>
      <c r="L199" t="n">
        <v>2</v>
      </c>
      <c r="M199" s="236" t="n">
        <v>0</v>
      </c>
      <c r="N199" t="inlineStr"/>
      <c r="O199" s="236" t="n">
        <v>2.05</v>
      </c>
      <c r="P199" s="236" t="n">
        <v>2.05</v>
      </c>
      <c r="Q199" s="224" t="inlineStr">
        <is>
          <t>D — Deprioritized</t>
        </is>
      </c>
      <c r="R199" s="226" t="n">
        <v>0</v>
      </c>
      <c r="S199" s="226" t="n">
        <v>0.018</v>
      </c>
      <c r="T199" s="226" t="n">
        <v>0.05500000000000001</v>
      </c>
      <c r="U199" s="226" t="n">
        <v>0.082</v>
      </c>
      <c r="V199" s="226" t="n">
        <v>0.1</v>
      </c>
      <c r="W199" s="227" t="n">
        <v>0</v>
      </c>
      <c r="X199" s="227" t="n">
        <v>0</v>
      </c>
      <c r="Y199" s="227" t="n">
        <v>0</v>
      </c>
      <c r="Z199" s="227" t="n">
        <v>0</v>
      </c>
      <c r="AA199" s="227" t="n">
        <v>0</v>
      </c>
    </row>
    <row r="200">
      <c r="A200" t="inlineStr">
        <is>
          <t>Hyatt Place Phoenix Mesa</t>
        </is>
      </c>
      <c r="B200" t="inlineStr">
        <is>
          <t>Hotel</t>
        </is>
      </c>
      <c r="C200" t="inlineStr">
        <is>
          <t>NO</t>
        </is>
      </c>
      <c r="D200" t="n">
        <v>0</v>
      </c>
      <c r="E200" t="inlineStr"/>
      <c r="F200" t="inlineStr"/>
      <c r="G200" s="227" t="n">
        <v>0</v>
      </c>
      <c r="H200" t="n">
        <v>2</v>
      </c>
      <c r="I200" t="n">
        <v>1</v>
      </c>
      <c r="J200" t="n">
        <v>3</v>
      </c>
      <c r="K200" t="n">
        <v>4</v>
      </c>
      <c r="L200" t="n">
        <v>2</v>
      </c>
      <c r="M200" s="236" t="n">
        <v>0</v>
      </c>
      <c r="N200" t="inlineStr"/>
      <c r="O200" s="236" t="n">
        <v>2.25</v>
      </c>
      <c r="P200" s="236" t="n">
        <v>2.25</v>
      </c>
      <c r="Q200" s="224" t="inlineStr">
        <is>
          <t>D — Deprioritized</t>
        </is>
      </c>
      <c r="R200" s="226" t="n">
        <v>0</v>
      </c>
      <c r="S200" s="226" t="n">
        <v>0.018</v>
      </c>
      <c r="T200" s="226" t="n">
        <v>0.05500000000000001</v>
      </c>
      <c r="U200" s="226" t="n">
        <v>0.082</v>
      </c>
      <c r="V200" s="226" t="n">
        <v>0.1</v>
      </c>
      <c r="W200" s="227" t="n">
        <v>0</v>
      </c>
      <c r="X200" s="227" t="n">
        <v>0</v>
      </c>
      <c r="Y200" s="227" t="n">
        <v>0</v>
      </c>
      <c r="Z200" s="227" t="n">
        <v>0</v>
      </c>
      <c r="AA200" s="227" t="n">
        <v>0</v>
      </c>
    </row>
    <row r="201">
      <c r="A201" t="inlineStr">
        <is>
          <t>Holiday Inn Phoenix-Mesa/Chandler</t>
        </is>
      </c>
      <c r="B201" t="inlineStr">
        <is>
          <t>Hotel</t>
        </is>
      </c>
      <c r="C201" t="inlineStr">
        <is>
          <t>NO</t>
        </is>
      </c>
      <c r="D201" t="n">
        <v>0</v>
      </c>
      <c r="E201" t="inlineStr"/>
      <c r="F201" t="inlineStr"/>
      <c r="G201" s="227" t="n">
        <v>0</v>
      </c>
      <c r="H201" t="n">
        <v>2</v>
      </c>
      <c r="I201" t="n">
        <v>1</v>
      </c>
      <c r="J201" t="n">
        <v>3</v>
      </c>
      <c r="K201" t="n">
        <v>4</v>
      </c>
      <c r="L201" t="n">
        <v>2</v>
      </c>
      <c r="M201" s="236" t="n">
        <v>0</v>
      </c>
      <c r="N201" t="inlineStr"/>
      <c r="O201" s="236" t="n">
        <v>2.25</v>
      </c>
      <c r="P201" s="236" t="n">
        <v>2.25</v>
      </c>
      <c r="Q201" s="224" t="inlineStr">
        <is>
          <t>D — Deprioritized</t>
        </is>
      </c>
      <c r="R201" s="226" t="n">
        <v>0</v>
      </c>
      <c r="S201" s="226" t="n">
        <v>0.018</v>
      </c>
      <c r="T201" s="226" t="n">
        <v>0.05500000000000001</v>
      </c>
      <c r="U201" s="226" t="n">
        <v>0.082</v>
      </c>
      <c r="V201" s="226" t="n">
        <v>0.1</v>
      </c>
      <c r="W201" s="227" t="n">
        <v>0</v>
      </c>
      <c r="X201" s="227" t="n">
        <v>0</v>
      </c>
      <c r="Y201" s="227" t="n">
        <v>0</v>
      </c>
      <c r="Z201" s="227" t="n">
        <v>0</v>
      </c>
      <c r="AA201" s="227" t="n">
        <v>0</v>
      </c>
    </row>
    <row r="202">
      <c r="A202" t="inlineStr">
        <is>
          <t>La Quinta Inn &amp; Suites by Wyndham Phoenix Mesa West</t>
        </is>
      </c>
      <c r="B202" t="inlineStr">
        <is>
          <t>Hotel</t>
        </is>
      </c>
      <c r="C202" t="inlineStr">
        <is>
          <t>NO</t>
        </is>
      </c>
      <c r="D202" t="n">
        <v>0</v>
      </c>
      <c r="E202" t="inlineStr"/>
      <c r="F202" t="inlineStr"/>
      <c r="G202" s="227" t="n">
        <v>0</v>
      </c>
      <c r="H202" t="n">
        <v>2</v>
      </c>
      <c r="I202" t="n">
        <v>1</v>
      </c>
      <c r="J202" t="n">
        <v>3</v>
      </c>
      <c r="K202" t="n">
        <v>4</v>
      </c>
      <c r="L202" t="n">
        <v>2</v>
      </c>
      <c r="M202" s="236" t="n">
        <v>0</v>
      </c>
      <c r="N202" t="inlineStr"/>
      <c r="O202" s="236" t="n">
        <v>2.25</v>
      </c>
      <c r="P202" s="236" t="n">
        <v>2.25</v>
      </c>
      <c r="Q202" s="224" t="inlineStr">
        <is>
          <t>D — Deprioritized</t>
        </is>
      </c>
      <c r="R202" s="226" t="n">
        <v>0</v>
      </c>
      <c r="S202" s="226" t="n">
        <v>0.018</v>
      </c>
      <c r="T202" s="226" t="n">
        <v>0.05500000000000001</v>
      </c>
      <c r="U202" s="226" t="n">
        <v>0.082</v>
      </c>
      <c r="V202" s="226" t="n">
        <v>0.1</v>
      </c>
      <c r="W202" s="227" t="n">
        <v>0</v>
      </c>
      <c r="X202" s="227" t="n">
        <v>0</v>
      </c>
      <c r="Y202" s="227" t="n">
        <v>0</v>
      </c>
      <c r="Z202" s="227" t="n">
        <v>0</v>
      </c>
      <c r="AA202" s="227" t="n">
        <v>0</v>
      </c>
    </row>
    <row r="203">
      <c r="A203" t="inlineStr">
        <is>
          <t>Holiday Inn Express &amp; Suites Phoenix – Mesa West</t>
        </is>
      </c>
      <c r="B203" t="inlineStr">
        <is>
          <t>Hotel</t>
        </is>
      </c>
      <c r="C203" t="inlineStr">
        <is>
          <t>NO</t>
        </is>
      </c>
      <c r="D203" t="n">
        <v>0</v>
      </c>
      <c r="E203" t="inlineStr"/>
      <c r="F203" t="inlineStr"/>
      <c r="G203" s="227" t="n">
        <v>0</v>
      </c>
      <c r="H203" t="n">
        <v>2</v>
      </c>
      <c r="I203" t="n">
        <v>1</v>
      </c>
      <c r="J203" t="n">
        <v>3</v>
      </c>
      <c r="K203" t="n">
        <v>4</v>
      </c>
      <c r="L203" t="n">
        <v>2</v>
      </c>
      <c r="M203" s="236" t="n">
        <v>0</v>
      </c>
      <c r="N203" t="inlineStr"/>
      <c r="O203" s="236" t="n">
        <v>2.25</v>
      </c>
      <c r="P203" s="236" t="n">
        <v>2.25</v>
      </c>
      <c r="Q203" s="224" t="inlineStr">
        <is>
          <t>D — Deprioritized</t>
        </is>
      </c>
      <c r="R203" s="226" t="n">
        <v>0</v>
      </c>
      <c r="S203" s="226" t="n">
        <v>0.018</v>
      </c>
      <c r="T203" s="226" t="n">
        <v>0.05500000000000001</v>
      </c>
      <c r="U203" s="226" t="n">
        <v>0.082</v>
      </c>
      <c r="V203" s="226" t="n">
        <v>0.1</v>
      </c>
      <c r="W203" s="227" t="n">
        <v>0</v>
      </c>
      <c r="X203" s="227" t="n">
        <v>0</v>
      </c>
      <c r="Y203" s="227" t="n">
        <v>0</v>
      </c>
      <c r="Z203" s="227" t="n">
        <v>0</v>
      </c>
      <c r="AA203" s="227" t="n">
        <v>0</v>
      </c>
    </row>
    <row r="204">
      <c r="A204" t="inlineStr">
        <is>
          <t>Best Western Plus Chandler Hotel &amp; Suites</t>
        </is>
      </c>
      <c r="B204" t="inlineStr">
        <is>
          <t>Hotel</t>
        </is>
      </c>
      <c r="C204" t="inlineStr">
        <is>
          <t>NO</t>
        </is>
      </c>
      <c r="D204" t="n">
        <v>0</v>
      </c>
      <c r="E204" t="inlineStr"/>
      <c r="F204" t="inlineStr"/>
      <c r="G204" s="227" t="n">
        <v>0</v>
      </c>
      <c r="H204" t="n">
        <v>2</v>
      </c>
      <c r="I204" t="n">
        <v>1</v>
      </c>
      <c r="J204" t="n">
        <v>2</v>
      </c>
      <c r="K204" t="n">
        <v>4</v>
      </c>
      <c r="L204" t="n">
        <v>2</v>
      </c>
      <c r="M204" s="236" t="n">
        <v>0</v>
      </c>
      <c r="N204" t="inlineStr"/>
      <c r="O204" s="236" t="n">
        <v>2.05</v>
      </c>
      <c r="P204" s="236" t="n">
        <v>2.05</v>
      </c>
      <c r="Q204" s="224" t="inlineStr">
        <is>
          <t>D — Deprioritized</t>
        </is>
      </c>
      <c r="R204" s="226" t="n">
        <v>0</v>
      </c>
      <c r="S204" s="226" t="n">
        <v>0.018</v>
      </c>
      <c r="T204" s="226" t="n">
        <v>0.05500000000000001</v>
      </c>
      <c r="U204" s="226" t="n">
        <v>0.082</v>
      </c>
      <c r="V204" s="226" t="n">
        <v>0.1</v>
      </c>
      <c r="W204" s="227" t="n">
        <v>0</v>
      </c>
      <c r="X204" s="227" t="n">
        <v>0</v>
      </c>
      <c r="Y204" s="227" t="n">
        <v>0</v>
      </c>
      <c r="Z204" s="227" t="n">
        <v>0</v>
      </c>
      <c r="AA204" s="227" t="n">
        <v>0</v>
      </c>
    </row>
    <row r="205">
      <c r="A205" t="inlineStr">
        <is>
          <t>La Quinta Inns &amp; Suites Chandler</t>
        </is>
      </c>
      <c r="B205" t="inlineStr">
        <is>
          <t>Hotel</t>
        </is>
      </c>
      <c r="C205" t="inlineStr">
        <is>
          <t>NO</t>
        </is>
      </c>
      <c r="D205" t="n">
        <v>0</v>
      </c>
      <c r="E205" t="inlineStr"/>
      <c r="F205" t="inlineStr"/>
      <c r="G205" s="227" t="n">
        <v>0</v>
      </c>
      <c r="H205" t="n">
        <v>2</v>
      </c>
      <c r="I205" t="n">
        <v>1</v>
      </c>
      <c r="J205" t="n">
        <v>2</v>
      </c>
      <c r="K205" t="n">
        <v>4</v>
      </c>
      <c r="L205" t="n">
        <v>2</v>
      </c>
      <c r="M205" s="236" t="n">
        <v>0</v>
      </c>
      <c r="N205" t="inlineStr"/>
      <c r="O205" s="236" t="n">
        <v>2.05</v>
      </c>
      <c r="P205" s="236" t="n">
        <v>2.05</v>
      </c>
      <c r="Q205" s="224" t="inlineStr">
        <is>
          <t>D — Deprioritized</t>
        </is>
      </c>
      <c r="R205" s="226" t="n">
        <v>0</v>
      </c>
      <c r="S205" s="226" t="n">
        <v>0.018</v>
      </c>
      <c r="T205" s="226" t="n">
        <v>0.05500000000000001</v>
      </c>
      <c r="U205" s="226" t="n">
        <v>0.082</v>
      </c>
      <c r="V205" s="226" t="n">
        <v>0.1</v>
      </c>
      <c r="W205" s="227" t="n">
        <v>0</v>
      </c>
      <c r="X205" s="227" t="n">
        <v>0</v>
      </c>
      <c r="Y205" s="227" t="n">
        <v>0</v>
      </c>
      <c r="Z205" s="227" t="n">
        <v>0</v>
      </c>
      <c r="AA205" s="227" t="n">
        <v>0</v>
      </c>
    </row>
    <row r="206">
      <c r="A206" t="inlineStr">
        <is>
          <t>Holiday Inn Express Phoenix – Chandler West</t>
        </is>
      </c>
      <c r="B206" t="inlineStr">
        <is>
          <t>Hotel</t>
        </is>
      </c>
      <c r="C206" t="inlineStr">
        <is>
          <t>NO</t>
        </is>
      </c>
      <c r="D206" t="n">
        <v>0</v>
      </c>
      <c r="E206" t="inlineStr"/>
      <c r="F206" t="inlineStr"/>
      <c r="G206" s="227" t="n">
        <v>0</v>
      </c>
      <c r="H206" t="n">
        <v>2</v>
      </c>
      <c r="I206" t="n">
        <v>1</v>
      </c>
      <c r="J206" t="n">
        <v>3</v>
      </c>
      <c r="K206" t="n">
        <v>4</v>
      </c>
      <c r="L206" t="n">
        <v>2</v>
      </c>
      <c r="M206" s="236" t="n">
        <v>0</v>
      </c>
      <c r="N206" t="inlineStr"/>
      <c r="O206" s="236" t="n">
        <v>2.25</v>
      </c>
      <c r="P206" s="236" t="n">
        <v>2.25</v>
      </c>
      <c r="Q206" s="224" t="inlineStr">
        <is>
          <t>D — Deprioritized</t>
        </is>
      </c>
      <c r="R206" s="226" t="n">
        <v>0</v>
      </c>
      <c r="S206" s="226" t="n">
        <v>0.018</v>
      </c>
      <c r="T206" s="226" t="n">
        <v>0.05500000000000001</v>
      </c>
      <c r="U206" s="226" t="n">
        <v>0.082</v>
      </c>
      <c r="V206" s="226" t="n">
        <v>0.1</v>
      </c>
      <c r="W206" s="227" t="n">
        <v>0</v>
      </c>
      <c r="X206" s="227" t="n">
        <v>0</v>
      </c>
      <c r="Y206" s="227" t="n">
        <v>0</v>
      </c>
      <c r="Z206" s="227" t="n">
        <v>0</v>
      </c>
      <c r="AA206" s="227" t="n">
        <v>0</v>
      </c>
    </row>
    <row r="207">
      <c r="A207" t="inlineStr">
        <is>
          <t>Drury Plaza Hotel Phoenix Tempe</t>
        </is>
      </c>
      <c r="B207" t="inlineStr">
        <is>
          <t>Hotel</t>
        </is>
      </c>
      <c r="C207" t="inlineStr">
        <is>
          <t>NO</t>
        </is>
      </c>
      <c r="D207" t="n">
        <v>0</v>
      </c>
      <c r="E207" t="inlineStr"/>
      <c r="F207" t="inlineStr"/>
      <c r="G207" s="227" t="n">
        <v>0</v>
      </c>
      <c r="H207" t="n">
        <v>2</v>
      </c>
      <c r="I207" t="n">
        <v>1</v>
      </c>
      <c r="J207" t="n">
        <v>2</v>
      </c>
      <c r="K207" t="n">
        <v>4</v>
      </c>
      <c r="L207" t="n">
        <v>2</v>
      </c>
      <c r="M207" s="236" t="n">
        <v>0</v>
      </c>
      <c r="N207" t="inlineStr"/>
      <c r="O207" s="236" t="n">
        <v>2.05</v>
      </c>
      <c r="P207" s="236" t="n">
        <v>2.05</v>
      </c>
      <c r="Q207" s="224" t="inlineStr">
        <is>
          <t>D — Deprioritized</t>
        </is>
      </c>
      <c r="R207" s="226" t="n">
        <v>0</v>
      </c>
      <c r="S207" s="226" t="n">
        <v>0.018</v>
      </c>
      <c r="T207" s="226" t="n">
        <v>0.05500000000000001</v>
      </c>
      <c r="U207" s="226" t="n">
        <v>0.082</v>
      </c>
      <c r="V207" s="226" t="n">
        <v>0.1</v>
      </c>
      <c r="W207" s="227" t="n">
        <v>0</v>
      </c>
      <c r="X207" s="227" t="n">
        <v>0</v>
      </c>
      <c r="Y207" s="227" t="n">
        <v>0</v>
      </c>
      <c r="Z207" s="227" t="n">
        <v>0</v>
      </c>
      <c r="AA207" s="227" t="n">
        <v>0</v>
      </c>
    </row>
    <row r="208">
      <c r="A208" t="inlineStr">
        <is>
          <t>Drury Inn &amp; Suites Phoenix Airport</t>
        </is>
      </c>
      <c r="B208" t="inlineStr">
        <is>
          <t>Hotel</t>
        </is>
      </c>
      <c r="C208" t="inlineStr">
        <is>
          <t>NO</t>
        </is>
      </c>
      <c r="D208" t="n">
        <v>0</v>
      </c>
      <c r="E208" t="inlineStr"/>
      <c r="F208" t="inlineStr"/>
      <c r="G208" s="227" t="n">
        <v>0</v>
      </c>
      <c r="H208" t="n">
        <v>2</v>
      </c>
      <c r="I208" t="n">
        <v>1</v>
      </c>
      <c r="J208" t="n">
        <v>2</v>
      </c>
      <c r="K208" t="n">
        <v>4</v>
      </c>
      <c r="L208" t="n">
        <v>2</v>
      </c>
      <c r="M208" s="236" t="n">
        <v>0</v>
      </c>
      <c r="N208" t="inlineStr"/>
      <c r="O208" s="236" t="n">
        <v>2.05</v>
      </c>
      <c r="P208" s="236" t="n">
        <v>2.05</v>
      </c>
      <c r="Q208" s="224" t="inlineStr">
        <is>
          <t>D — Deprioritized</t>
        </is>
      </c>
      <c r="R208" s="226" t="n">
        <v>0</v>
      </c>
      <c r="S208" s="226" t="n">
        <v>0.018</v>
      </c>
      <c r="T208" s="226" t="n">
        <v>0.05500000000000001</v>
      </c>
      <c r="U208" s="226" t="n">
        <v>0.082</v>
      </c>
      <c r="V208" s="226" t="n">
        <v>0.1</v>
      </c>
      <c r="W208" s="227" t="n">
        <v>0</v>
      </c>
      <c r="X208" s="227" t="n">
        <v>0</v>
      </c>
      <c r="Y208" s="227" t="n">
        <v>0</v>
      </c>
      <c r="Z208" s="227" t="n">
        <v>0</v>
      </c>
      <c r="AA208" s="227" t="n">
        <v>0</v>
      </c>
    </row>
    <row r="209">
      <c r="A209" t="inlineStr">
        <is>
          <t>Drury Inn &amp; Suites Phoenix Chandler</t>
        </is>
      </c>
      <c r="B209" t="inlineStr">
        <is>
          <t>Hotel</t>
        </is>
      </c>
      <c r="C209" t="inlineStr">
        <is>
          <t>NO</t>
        </is>
      </c>
      <c r="D209" t="n">
        <v>0</v>
      </c>
      <c r="E209" t="inlineStr"/>
      <c r="F209" t="inlineStr"/>
      <c r="G209" s="227" t="n">
        <v>0</v>
      </c>
      <c r="H209" t="n">
        <v>2</v>
      </c>
      <c r="I209" t="n">
        <v>1</v>
      </c>
      <c r="J209" t="n">
        <v>2</v>
      </c>
      <c r="K209" t="n">
        <v>4</v>
      </c>
      <c r="L209" t="n">
        <v>2</v>
      </c>
      <c r="M209" s="236" t="n">
        <v>0</v>
      </c>
      <c r="N209" t="inlineStr"/>
      <c r="O209" s="236" t="n">
        <v>2.05</v>
      </c>
      <c r="P209" s="236" t="n">
        <v>2.05</v>
      </c>
      <c r="Q209" s="224" t="inlineStr">
        <is>
          <t>D — Deprioritized</t>
        </is>
      </c>
      <c r="R209" s="226" t="n">
        <v>0</v>
      </c>
      <c r="S209" s="226" t="n">
        <v>0.018</v>
      </c>
      <c r="T209" s="226" t="n">
        <v>0.05500000000000001</v>
      </c>
      <c r="U209" s="226" t="n">
        <v>0.082</v>
      </c>
      <c r="V209" s="226" t="n">
        <v>0.1</v>
      </c>
      <c r="W209" s="227" t="n">
        <v>0</v>
      </c>
      <c r="X209" s="227" t="n">
        <v>0</v>
      </c>
      <c r="Y209" s="227" t="n">
        <v>0</v>
      </c>
      <c r="Z209" s="227" t="n">
        <v>0</v>
      </c>
      <c r="AA209" s="227" t="n">
        <v>0</v>
      </c>
    </row>
    <row r="210">
      <c r="A210" t="inlineStr">
        <is>
          <t>Wyndham Phoenix Airport/Tempe</t>
        </is>
      </c>
      <c r="B210" t="inlineStr">
        <is>
          <t>Hotel</t>
        </is>
      </c>
      <c r="C210" t="inlineStr">
        <is>
          <t>NO</t>
        </is>
      </c>
      <c r="D210" t="n">
        <v>0</v>
      </c>
      <c r="E210" t="inlineStr"/>
      <c r="F210" t="inlineStr"/>
      <c r="G210" s="227" t="n">
        <v>0</v>
      </c>
      <c r="H210" t="n">
        <v>2</v>
      </c>
      <c r="I210" t="n">
        <v>1</v>
      </c>
      <c r="J210" t="n">
        <v>3</v>
      </c>
      <c r="K210" t="n">
        <v>4</v>
      </c>
      <c r="L210" t="n">
        <v>2</v>
      </c>
      <c r="M210" s="236" t="n">
        <v>0</v>
      </c>
      <c r="N210" t="inlineStr"/>
      <c r="O210" s="236" t="n">
        <v>2.25</v>
      </c>
      <c r="P210" s="236" t="n">
        <v>2.25</v>
      </c>
      <c r="Q210" s="224" t="inlineStr">
        <is>
          <t>D — Deprioritized</t>
        </is>
      </c>
      <c r="R210" s="226" t="n">
        <v>0</v>
      </c>
      <c r="S210" s="226" t="n">
        <v>0.018</v>
      </c>
      <c r="T210" s="226" t="n">
        <v>0.05500000000000001</v>
      </c>
      <c r="U210" s="226" t="n">
        <v>0.082</v>
      </c>
      <c r="V210" s="226" t="n">
        <v>0.1</v>
      </c>
      <c r="W210" s="227" t="n">
        <v>0</v>
      </c>
      <c r="X210" s="227" t="n">
        <v>0</v>
      </c>
      <c r="Y210" s="227" t="n">
        <v>0</v>
      </c>
      <c r="Z210" s="227" t="n">
        <v>0</v>
      </c>
      <c r="AA210" s="227" t="n">
        <v>0</v>
      </c>
    </row>
    <row r="211">
      <c r="A211" t="inlineStr">
        <is>
          <t>Vīb Hotel by Best Western Phoenix-Tempe</t>
        </is>
      </c>
      <c r="B211" t="inlineStr">
        <is>
          <t>Hotel</t>
        </is>
      </c>
      <c r="C211" t="inlineStr">
        <is>
          <t>NO</t>
        </is>
      </c>
      <c r="D211" t="n">
        <v>0</v>
      </c>
      <c r="E211" t="inlineStr"/>
      <c r="F211" t="inlineStr"/>
      <c r="G211" s="227" t="n">
        <v>0</v>
      </c>
      <c r="H211" t="n">
        <v>2</v>
      </c>
      <c r="I211" t="n">
        <v>1</v>
      </c>
      <c r="J211" t="n">
        <v>2</v>
      </c>
      <c r="K211" t="n">
        <v>4</v>
      </c>
      <c r="L211" t="n">
        <v>2</v>
      </c>
      <c r="M211" s="236" t="n">
        <v>0</v>
      </c>
      <c r="N211" t="inlineStr"/>
      <c r="O211" s="236" t="n">
        <v>2.05</v>
      </c>
      <c r="P211" s="236" t="n">
        <v>2.05</v>
      </c>
      <c r="Q211" s="224" t="inlineStr">
        <is>
          <t>D — Deprioritized</t>
        </is>
      </c>
      <c r="R211" s="226" t="n">
        <v>0</v>
      </c>
      <c r="S211" s="226" t="n">
        <v>0.018</v>
      </c>
      <c r="T211" s="226" t="n">
        <v>0.05500000000000001</v>
      </c>
      <c r="U211" s="226" t="n">
        <v>0.082</v>
      </c>
      <c r="V211" s="226" t="n">
        <v>0.1</v>
      </c>
      <c r="W211" s="227" t="n">
        <v>0</v>
      </c>
      <c r="X211" s="227" t="n">
        <v>0</v>
      </c>
      <c r="Y211" s="227" t="n">
        <v>0</v>
      </c>
      <c r="Z211" s="227" t="n">
        <v>0</v>
      </c>
      <c r="AA211" s="227" t="n">
        <v>0</v>
      </c>
    </row>
    <row r="212">
      <c r="A212" t="inlineStr">
        <is>
          <t>Hotel Tempe at Arizona Mills Mall</t>
        </is>
      </c>
      <c r="B212" t="inlineStr">
        <is>
          <t>Hotel</t>
        </is>
      </c>
      <c r="C212" t="inlineStr">
        <is>
          <t>NO</t>
        </is>
      </c>
      <c r="D212" t="n">
        <v>0</v>
      </c>
      <c r="E212" t="inlineStr"/>
      <c r="F212" t="inlineStr"/>
      <c r="G212" s="227" t="n">
        <v>0</v>
      </c>
      <c r="H212" t="n">
        <v>2</v>
      </c>
      <c r="I212" t="n">
        <v>1</v>
      </c>
      <c r="J212" t="n">
        <v>2</v>
      </c>
      <c r="K212" t="n">
        <v>4</v>
      </c>
      <c r="L212" t="n">
        <v>2</v>
      </c>
      <c r="M212" s="236" t="n">
        <v>0</v>
      </c>
      <c r="N212" t="inlineStr"/>
      <c r="O212" s="236" t="n">
        <v>2.05</v>
      </c>
      <c r="P212" s="236" t="n">
        <v>2.05</v>
      </c>
      <c r="Q212" s="224" t="inlineStr">
        <is>
          <t>D — Deprioritized</t>
        </is>
      </c>
      <c r="R212" s="226" t="n">
        <v>0</v>
      </c>
      <c r="S212" s="226" t="n">
        <v>0.018</v>
      </c>
      <c r="T212" s="226" t="n">
        <v>0.05500000000000001</v>
      </c>
      <c r="U212" s="226" t="n">
        <v>0.082</v>
      </c>
      <c r="V212" s="226" t="n">
        <v>0.1</v>
      </c>
      <c r="W212" s="227" t="n">
        <v>0</v>
      </c>
      <c r="X212" s="227" t="n">
        <v>0</v>
      </c>
      <c r="Y212" s="227" t="n">
        <v>0</v>
      </c>
      <c r="Z212" s="227" t="n">
        <v>0</v>
      </c>
      <c r="AA212" s="227" t="n">
        <v>0</v>
      </c>
    </row>
    <row r="213">
      <c r="A213" t="inlineStr">
        <is>
          <t>Staybridge Suites Tempe – Rio Salado Parkway</t>
        </is>
      </c>
      <c r="B213" t="inlineStr">
        <is>
          <t>Hotel</t>
        </is>
      </c>
      <c r="C213" t="inlineStr">
        <is>
          <t>NO</t>
        </is>
      </c>
      <c r="D213" t="n">
        <v>0</v>
      </c>
      <c r="E213" t="inlineStr"/>
      <c r="F213" t="inlineStr"/>
      <c r="G213" s="227" t="n">
        <v>0</v>
      </c>
      <c r="H213" t="n">
        <v>2</v>
      </c>
      <c r="I213" t="n">
        <v>1</v>
      </c>
      <c r="J213" t="n">
        <v>2</v>
      </c>
      <c r="K213" t="n">
        <v>4</v>
      </c>
      <c r="L213" t="n">
        <v>2</v>
      </c>
      <c r="M213" s="236" t="n">
        <v>0</v>
      </c>
      <c r="N213" t="inlineStr"/>
      <c r="O213" s="236" t="n">
        <v>2.05</v>
      </c>
      <c r="P213" s="236" t="n">
        <v>2.05</v>
      </c>
      <c r="Q213" s="224" t="inlineStr">
        <is>
          <t>D — Deprioritized</t>
        </is>
      </c>
      <c r="R213" s="226" t="n">
        <v>0</v>
      </c>
      <c r="S213" s="226" t="n">
        <v>0.018</v>
      </c>
      <c r="T213" s="226" t="n">
        <v>0.05500000000000001</v>
      </c>
      <c r="U213" s="226" t="n">
        <v>0.082</v>
      </c>
      <c r="V213" s="226" t="n">
        <v>0.1</v>
      </c>
      <c r="W213" s="227" t="n">
        <v>0</v>
      </c>
      <c r="X213" s="227" t="n">
        <v>0</v>
      </c>
      <c r="Y213" s="227" t="n">
        <v>0</v>
      </c>
      <c r="Z213" s="227" t="n">
        <v>0</v>
      </c>
      <c r="AA213" s="227" t="n">
        <v>0</v>
      </c>
    </row>
    <row r="214">
      <c r="A214" t="inlineStr">
        <is>
          <t>Home2 Suites by Hilton Phoenix Tempe, University Research Park</t>
        </is>
      </c>
      <c r="B214" t="inlineStr">
        <is>
          <t>Hotel</t>
        </is>
      </c>
      <c r="C214" t="inlineStr">
        <is>
          <t>NO</t>
        </is>
      </c>
      <c r="D214" t="n">
        <v>0</v>
      </c>
      <c r="E214" t="inlineStr"/>
      <c r="F214" t="inlineStr"/>
      <c r="G214" s="227" t="n">
        <v>0</v>
      </c>
      <c r="H214" t="n">
        <v>2</v>
      </c>
      <c r="I214" t="n">
        <v>1</v>
      </c>
      <c r="J214" t="n">
        <v>3</v>
      </c>
      <c r="K214" t="n">
        <v>4</v>
      </c>
      <c r="L214" t="n">
        <v>2</v>
      </c>
      <c r="M214" s="236" t="n">
        <v>0.15</v>
      </c>
      <c r="N214" t="inlineStr">
        <is>
          <t>Brand familiarity (historical): Hilton_family</t>
        </is>
      </c>
      <c r="O214" s="236" t="n">
        <v>2.25</v>
      </c>
      <c r="P214" s="236" t="n">
        <v>2.4</v>
      </c>
      <c r="Q214" s="224" t="inlineStr">
        <is>
          <t>D — Deprioritized</t>
        </is>
      </c>
      <c r="R214" s="226" t="n">
        <v>0</v>
      </c>
      <c r="S214" s="226" t="n">
        <v>0.018</v>
      </c>
      <c r="T214" s="226" t="n">
        <v>0.05500000000000001</v>
      </c>
      <c r="U214" s="226" t="n">
        <v>0.082</v>
      </c>
      <c r="V214" s="226" t="n">
        <v>0.1</v>
      </c>
      <c r="W214" s="227" t="n">
        <v>0</v>
      </c>
      <c r="X214" s="227" t="n">
        <v>0</v>
      </c>
      <c r="Y214" s="227" t="n">
        <v>0</v>
      </c>
      <c r="Z214" s="227" t="n">
        <v>0</v>
      </c>
      <c r="AA214" s="227" t="n">
        <v>0</v>
      </c>
    </row>
    <row r="215">
      <c r="A215" t="inlineStr">
        <is>
          <t>Hilton Garden Inn Phoenix Tempe University Research Park</t>
        </is>
      </c>
      <c r="B215" t="inlineStr">
        <is>
          <t>Hotel</t>
        </is>
      </c>
      <c r="C215" t="inlineStr">
        <is>
          <t>NO</t>
        </is>
      </c>
      <c r="D215" t="n">
        <v>0</v>
      </c>
      <c r="E215" t="inlineStr"/>
      <c r="F215" t="inlineStr"/>
      <c r="G215" s="227" t="n">
        <v>0</v>
      </c>
      <c r="H215" t="n">
        <v>2</v>
      </c>
      <c r="I215" t="n">
        <v>1</v>
      </c>
      <c r="J215" t="n">
        <v>3</v>
      </c>
      <c r="K215" t="n">
        <v>4</v>
      </c>
      <c r="L215" t="n">
        <v>2</v>
      </c>
      <c r="M215" s="236" t="n">
        <v>0.15</v>
      </c>
      <c r="N215" t="inlineStr">
        <is>
          <t>Brand familiarity (historical): Hilton_family</t>
        </is>
      </c>
      <c r="O215" s="236" t="n">
        <v>2.25</v>
      </c>
      <c r="P215" s="236" t="n">
        <v>2.4</v>
      </c>
      <c r="Q215" s="224" t="inlineStr">
        <is>
          <t>D — Deprioritized</t>
        </is>
      </c>
      <c r="R215" s="226" t="n">
        <v>0</v>
      </c>
      <c r="S215" s="226" t="n">
        <v>0.018</v>
      </c>
      <c r="T215" s="226" t="n">
        <v>0.05500000000000001</v>
      </c>
      <c r="U215" s="226" t="n">
        <v>0.082</v>
      </c>
      <c r="V215" s="226" t="n">
        <v>0.1</v>
      </c>
      <c r="W215" s="227" t="n">
        <v>0</v>
      </c>
      <c r="X215" s="227" t="n">
        <v>0</v>
      </c>
      <c r="Y215" s="227" t="n">
        <v>0</v>
      </c>
      <c r="Z215" s="227" t="n">
        <v>0</v>
      </c>
      <c r="AA215" s="227" t="n">
        <v>0</v>
      </c>
    </row>
    <row r="216">
      <c r="A216" t="inlineStr">
        <is>
          <t>Thunderbird Executive Inn &amp; Conference Center</t>
        </is>
      </c>
      <c r="B216" t="inlineStr">
        <is>
          <t>Hotel</t>
        </is>
      </c>
      <c r="C216" t="inlineStr">
        <is>
          <t>NO</t>
        </is>
      </c>
      <c r="D216" t="n">
        <v>0</v>
      </c>
      <c r="E216" t="inlineStr"/>
      <c r="F216" t="inlineStr"/>
      <c r="G216" s="227" t="n">
        <v>0</v>
      </c>
      <c r="H216" t="n">
        <v>2</v>
      </c>
      <c r="I216" t="n">
        <v>1</v>
      </c>
      <c r="J216" t="n">
        <v>2</v>
      </c>
      <c r="K216" t="n">
        <v>4</v>
      </c>
      <c r="L216" t="n">
        <v>2</v>
      </c>
      <c r="M216" s="236" t="n">
        <v>0</v>
      </c>
      <c r="N216" t="inlineStr"/>
      <c r="O216" s="236" t="n">
        <v>2.05</v>
      </c>
      <c r="P216" s="236" t="n">
        <v>2.05</v>
      </c>
      <c r="Q216" s="224" t="inlineStr">
        <is>
          <t>D — Deprioritized</t>
        </is>
      </c>
      <c r="R216" s="226" t="n">
        <v>0</v>
      </c>
      <c r="S216" s="226" t="n">
        <v>0.018</v>
      </c>
      <c r="T216" s="226" t="n">
        <v>0.05500000000000001</v>
      </c>
      <c r="U216" s="226" t="n">
        <v>0.082</v>
      </c>
      <c r="V216" s="226" t="n">
        <v>0.1</v>
      </c>
      <c r="W216" s="227" t="n">
        <v>0</v>
      </c>
      <c r="X216" s="227" t="n">
        <v>0</v>
      </c>
      <c r="Y216" s="227" t="n">
        <v>0</v>
      </c>
      <c r="Z216" s="227" t="n">
        <v>0</v>
      </c>
      <c r="AA216" s="227" t="n">
        <v>0</v>
      </c>
    </row>
    <row r="217">
      <c r="A217" t="inlineStr">
        <is>
          <t>Best Western Plus Tempe By The Mall</t>
        </is>
      </c>
      <c r="B217" t="inlineStr">
        <is>
          <t>Hotel</t>
        </is>
      </c>
      <c r="C217" t="inlineStr">
        <is>
          <t>NO</t>
        </is>
      </c>
      <c r="D217" t="n">
        <v>0</v>
      </c>
      <c r="E217" t="inlineStr"/>
      <c r="F217" t="inlineStr"/>
      <c r="G217" s="227" t="n">
        <v>0</v>
      </c>
      <c r="H217" t="n">
        <v>2</v>
      </c>
      <c r="I217" t="n">
        <v>1</v>
      </c>
      <c r="J217" t="n">
        <v>2</v>
      </c>
      <c r="K217" t="n">
        <v>4</v>
      </c>
      <c r="L217" t="n">
        <v>2</v>
      </c>
      <c r="M217" s="236" t="n">
        <v>0</v>
      </c>
      <c r="N217" t="inlineStr"/>
      <c r="O217" s="236" t="n">
        <v>2.05</v>
      </c>
      <c r="P217" s="236" t="n">
        <v>2.05</v>
      </c>
      <c r="Q217" s="224" t="inlineStr">
        <is>
          <t>D — Deprioritized</t>
        </is>
      </c>
      <c r="R217" s="226" t="n">
        <v>0</v>
      </c>
      <c r="S217" s="226" t="n">
        <v>0.018</v>
      </c>
      <c r="T217" s="226" t="n">
        <v>0.05500000000000001</v>
      </c>
      <c r="U217" s="226" t="n">
        <v>0.082</v>
      </c>
      <c r="V217" s="226" t="n">
        <v>0.1</v>
      </c>
      <c r="W217" s="227" t="n">
        <v>0</v>
      </c>
      <c r="X217" s="227" t="n">
        <v>0</v>
      </c>
      <c r="Y217" s="227" t="n">
        <v>0</v>
      </c>
      <c r="Z217" s="227" t="n">
        <v>0</v>
      </c>
      <c r="AA217" s="227" t="n">
        <v>0</v>
      </c>
    </row>
    <row r="218">
      <c r="A218" t="inlineStr">
        <is>
          <t>DoubleTree Hotel Phoenix Tempe</t>
        </is>
      </c>
      <c r="B218" t="inlineStr">
        <is>
          <t>Hotel</t>
        </is>
      </c>
      <c r="C218" t="inlineStr">
        <is>
          <t>NO</t>
        </is>
      </c>
      <c r="D218" t="n">
        <v>0</v>
      </c>
      <c r="E218" t="inlineStr"/>
      <c r="F218" t="inlineStr"/>
      <c r="G218" s="227" t="n">
        <v>0</v>
      </c>
      <c r="H218" t="n">
        <v>2</v>
      </c>
      <c r="I218" t="n">
        <v>1</v>
      </c>
      <c r="J218" t="n">
        <v>3</v>
      </c>
      <c r="K218" t="n">
        <v>4</v>
      </c>
      <c r="L218" t="n">
        <v>2</v>
      </c>
      <c r="M218" s="236" t="n">
        <v>0.15</v>
      </c>
      <c r="N218" t="inlineStr">
        <is>
          <t>Brand familiarity (historical): Hilton_family</t>
        </is>
      </c>
      <c r="O218" s="236" t="n">
        <v>2.25</v>
      </c>
      <c r="P218" s="236" t="n">
        <v>2.4</v>
      </c>
      <c r="Q218" s="224" t="inlineStr">
        <is>
          <t>D — Deprioritized</t>
        </is>
      </c>
      <c r="R218" s="226" t="n">
        <v>0</v>
      </c>
      <c r="S218" s="226" t="n">
        <v>0.018</v>
      </c>
      <c r="T218" s="226" t="n">
        <v>0.05500000000000001</v>
      </c>
      <c r="U218" s="226" t="n">
        <v>0.082</v>
      </c>
      <c r="V218" s="226" t="n">
        <v>0.1</v>
      </c>
      <c r="W218" s="227" t="n">
        <v>0</v>
      </c>
      <c r="X218" s="227" t="n">
        <v>0</v>
      </c>
      <c r="Y218" s="227" t="n">
        <v>0</v>
      </c>
      <c r="Z218" s="227" t="n">
        <v>0</v>
      </c>
      <c r="AA218" s="227" t="n">
        <v>0</v>
      </c>
    </row>
    <row r="219">
      <c r="A219" t="inlineStr">
        <is>
          <t>Kasa Tempe Near ASU</t>
        </is>
      </c>
      <c r="B219" t="inlineStr">
        <is>
          <t>Hotel</t>
        </is>
      </c>
      <c r="C219" t="inlineStr">
        <is>
          <t>NO</t>
        </is>
      </c>
      <c r="D219" t="n">
        <v>0</v>
      </c>
      <c r="E219" t="inlineStr"/>
      <c r="F219" t="inlineStr"/>
      <c r="G219" s="227" t="n">
        <v>0</v>
      </c>
      <c r="H219" t="n">
        <v>2</v>
      </c>
      <c r="I219" t="n">
        <v>1</v>
      </c>
      <c r="J219" t="n">
        <v>2</v>
      </c>
      <c r="K219" t="n">
        <v>4</v>
      </c>
      <c r="L219" t="n">
        <v>2</v>
      </c>
      <c r="M219" s="236" t="n">
        <v>0</v>
      </c>
      <c r="N219" t="inlineStr"/>
      <c r="O219" s="236" t="n">
        <v>2.05</v>
      </c>
      <c r="P219" s="236" t="n">
        <v>2.05</v>
      </c>
      <c r="Q219" s="224" t="inlineStr">
        <is>
          <t>D — Deprioritized</t>
        </is>
      </c>
      <c r="R219" s="226" t="n">
        <v>0</v>
      </c>
      <c r="S219" s="226" t="n">
        <v>0.018</v>
      </c>
      <c r="T219" s="226" t="n">
        <v>0.05500000000000001</v>
      </c>
      <c r="U219" s="226" t="n">
        <v>0.082</v>
      </c>
      <c r="V219" s="226" t="n">
        <v>0.1</v>
      </c>
      <c r="W219" s="227" t="n">
        <v>0</v>
      </c>
      <c r="X219" s="227" t="n">
        <v>0</v>
      </c>
      <c r="Y219" s="227" t="n">
        <v>0</v>
      </c>
      <c r="Z219" s="227" t="n">
        <v>0</v>
      </c>
      <c r="AA219" s="227" t="n">
        <v>0</v>
      </c>
    </row>
    <row r="220">
      <c r="A220" t="inlineStr">
        <is>
          <t>Residence Inn Tempe</t>
        </is>
      </c>
      <c r="B220" t="inlineStr">
        <is>
          <t>Hotel</t>
        </is>
      </c>
      <c r="C220" t="inlineStr">
        <is>
          <t>NO</t>
        </is>
      </c>
      <c r="D220" t="n">
        <v>0</v>
      </c>
      <c r="E220" t="inlineStr"/>
      <c r="F220" t="inlineStr"/>
      <c r="G220" s="227" t="n">
        <v>0</v>
      </c>
      <c r="H220" t="n">
        <v>2</v>
      </c>
      <c r="I220" t="n">
        <v>1</v>
      </c>
      <c r="J220" t="n">
        <v>3</v>
      </c>
      <c r="K220" t="n">
        <v>4</v>
      </c>
      <c r="L220" t="n">
        <v>2</v>
      </c>
      <c r="M220" s="236" t="n">
        <v>0.3</v>
      </c>
      <c r="N220" t="inlineStr">
        <is>
          <t>Brand familiarity (current): Marriott_family</t>
        </is>
      </c>
      <c r="O220" s="236" t="n">
        <v>2.25</v>
      </c>
      <c r="P220" s="236" t="n">
        <v>2.55</v>
      </c>
      <c r="Q220" s="237" t="inlineStr">
        <is>
          <t>C — Opportunistic</t>
        </is>
      </c>
      <c r="R220" s="226" t="n">
        <v>0.02</v>
      </c>
      <c r="S220" s="226" t="n">
        <v>0.09724000000000002</v>
      </c>
      <c r="T220" s="226" t="n">
        <v>0.28625</v>
      </c>
      <c r="U220" s="226" t="n">
        <v>0.4145</v>
      </c>
      <c r="V220" s="226" t="n">
        <v>0.5</v>
      </c>
      <c r="W220" s="227" t="n">
        <v>0</v>
      </c>
      <c r="X220" s="227" t="n">
        <v>0</v>
      </c>
      <c r="Y220" s="227" t="n">
        <v>0</v>
      </c>
      <c r="Z220" s="227" t="n">
        <v>0</v>
      </c>
      <c r="AA220" s="227" t="n">
        <v>0</v>
      </c>
    </row>
    <row r="221">
      <c r="A221" t="inlineStr">
        <is>
          <t>Aiden by Best Western @ Scottsdale North</t>
        </is>
      </c>
      <c r="B221" t="inlineStr">
        <is>
          <t>Hotel</t>
        </is>
      </c>
      <c r="C221" t="inlineStr">
        <is>
          <t>NO</t>
        </is>
      </c>
      <c r="D221" t="n">
        <v>0</v>
      </c>
      <c r="E221" t="inlineStr"/>
      <c r="F221" t="inlineStr"/>
      <c r="G221" s="227" t="n">
        <v>0</v>
      </c>
      <c r="H221" t="n">
        <v>2</v>
      </c>
      <c r="I221" t="n">
        <v>1</v>
      </c>
      <c r="J221" t="n">
        <v>2</v>
      </c>
      <c r="K221" t="n">
        <v>4</v>
      </c>
      <c r="L221" t="n">
        <v>2</v>
      </c>
      <c r="M221" s="236" t="n">
        <v>0</v>
      </c>
      <c r="N221" t="inlineStr"/>
      <c r="O221" s="236" t="n">
        <v>2.05</v>
      </c>
      <c r="P221" s="236" t="n">
        <v>2.05</v>
      </c>
      <c r="Q221" s="224" t="inlineStr">
        <is>
          <t>D — Deprioritized</t>
        </is>
      </c>
      <c r="R221" s="226" t="n">
        <v>0</v>
      </c>
      <c r="S221" s="226" t="n">
        <v>0.018</v>
      </c>
      <c r="T221" s="226" t="n">
        <v>0.05500000000000001</v>
      </c>
      <c r="U221" s="226" t="n">
        <v>0.082</v>
      </c>
      <c r="V221" s="226" t="n">
        <v>0.1</v>
      </c>
      <c r="W221" s="227" t="n">
        <v>0</v>
      </c>
      <c r="X221" s="227" t="n">
        <v>0</v>
      </c>
      <c r="Y221" s="227" t="n">
        <v>0</v>
      </c>
      <c r="Z221" s="227" t="n">
        <v>0</v>
      </c>
      <c r="AA221" s="227" t="n">
        <v>0</v>
      </c>
    </row>
    <row r="222">
      <c r="A222" t="inlineStr">
        <is>
          <t>Holiday Inn Express Scottsdale North</t>
        </is>
      </c>
      <c r="B222" t="inlineStr">
        <is>
          <t>Hotel</t>
        </is>
      </c>
      <c r="C222" t="inlineStr">
        <is>
          <t>NO</t>
        </is>
      </c>
      <c r="D222" t="n">
        <v>0</v>
      </c>
      <c r="E222" t="inlineStr"/>
      <c r="F222" t="inlineStr"/>
      <c r="G222" s="227" t="n">
        <v>0</v>
      </c>
      <c r="H222" t="n">
        <v>2</v>
      </c>
      <c r="I222" t="n">
        <v>1</v>
      </c>
      <c r="J222" t="n">
        <v>3</v>
      </c>
      <c r="K222" t="n">
        <v>4</v>
      </c>
      <c r="L222" t="n">
        <v>2</v>
      </c>
      <c r="M222" s="236" t="n">
        <v>0</v>
      </c>
      <c r="N222" t="inlineStr"/>
      <c r="O222" s="236" t="n">
        <v>2.25</v>
      </c>
      <c r="P222" s="236" t="n">
        <v>2.25</v>
      </c>
      <c r="Q222" s="224" t="inlineStr">
        <is>
          <t>D — Deprioritized</t>
        </is>
      </c>
      <c r="R222" s="226" t="n">
        <v>0</v>
      </c>
      <c r="S222" s="226" t="n">
        <v>0.018</v>
      </c>
      <c r="T222" s="226" t="n">
        <v>0.05500000000000001</v>
      </c>
      <c r="U222" s="226" t="n">
        <v>0.082</v>
      </c>
      <c r="V222" s="226" t="n">
        <v>0.1</v>
      </c>
      <c r="W222" s="227" t="n">
        <v>0</v>
      </c>
      <c r="X222" s="227" t="n">
        <v>0</v>
      </c>
      <c r="Y222" s="227" t="n">
        <v>0</v>
      </c>
      <c r="Z222" s="227" t="n">
        <v>0</v>
      </c>
      <c r="AA222" s="227" t="n">
        <v>0</v>
      </c>
    </row>
    <row r="223">
      <c r="A223" t="inlineStr">
        <is>
          <t>Staybridge Suites Scottsdale – Talking Stick</t>
        </is>
      </c>
      <c r="B223" t="inlineStr">
        <is>
          <t>Hotel</t>
        </is>
      </c>
      <c r="C223" t="inlineStr">
        <is>
          <t>NO</t>
        </is>
      </c>
      <c r="D223" t="n">
        <v>0</v>
      </c>
      <c r="E223" t="inlineStr"/>
      <c r="F223" t="inlineStr"/>
      <c r="G223" s="227" t="n">
        <v>0</v>
      </c>
      <c r="H223" t="n">
        <v>2</v>
      </c>
      <c r="I223" t="n">
        <v>1</v>
      </c>
      <c r="J223" t="n">
        <v>2</v>
      </c>
      <c r="K223" t="n">
        <v>4</v>
      </c>
      <c r="L223" t="n">
        <v>2</v>
      </c>
      <c r="M223" s="236" t="n">
        <v>0</v>
      </c>
      <c r="N223" t="inlineStr"/>
      <c r="O223" s="236" t="n">
        <v>2.05</v>
      </c>
      <c r="P223" s="236" t="n">
        <v>2.05</v>
      </c>
      <c r="Q223" s="224" t="inlineStr">
        <is>
          <t>D — Deprioritized</t>
        </is>
      </c>
      <c r="R223" s="226" t="n">
        <v>0</v>
      </c>
      <c r="S223" s="226" t="n">
        <v>0.018</v>
      </c>
      <c r="T223" s="226" t="n">
        <v>0.05500000000000001</v>
      </c>
      <c r="U223" s="226" t="n">
        <v>0.082</v>
      </c>
      <c r="V223" s="226" t="n">
        <v>0.1</v>
      </c>
      <c r="W223" s="227" t="n">
        <v>0</v>
      </c>
      <c r="X223" s="227" t="n">
        <v>0</v>
      </c>
      <c r="Y223" s="227" t="n">
        <v>0</v>
      </c>
      <c r="Z223" s="227" t="n">
        <v>0</v>
      </c>
      <c r="AA223" s="227" t="n">
        <v>0</v>
      </c>
    </row>
    <row r="224">
      <c r="A224" t="inlineStr">
        <is>
          <t>Kasa Scottsdale North Phoenix</t>
        </is>
      </c>
      <c r="B224" t="inlineStr">
        <is>
          <t>Hotel</t>
        </is>
      </c>
      <c r="C224" t="inlineStr">
        <is>
          <t>NO</t>
        </is>
      </c>
      <c r="D224" t="n">
        <v>0</v>
      </c>
      <c r="E224" t="inlineStr"/>
      <c r="F224" t="inlineStr"/>
      <c r="G224" s="227" t="n">
        <v>0</v>
      </c>
      <c r="H224" t="n">
        <v>2</v>
      </c>
      <c r="I224" t="n">
        <v>1</v>
      </c>
      <c r="J224" t="n">
        <v>2</v>
      </c>
      <c r="K224" t="n">
        <v>4</v>
      </c>
      <c r="L224" t="n">
        <v>2</v>
      </c>
      <c r="M224" s="236" t="n">
        <v>0</v>
      </c>
      <c r="N224" t="inlineStr"/>
      <c r="O224" s="236" t="n">
        <v>2.05</v>
      </c>
      <c r="P224" s="236" t="n">
        <v>2.05</v>
      </c>
      <c r="Q224" s="224" t="inlineStr">
        <is>
          <t>D — Deprioritized</t>
        </is>
      </c>
      <c r="R224" s="226" t="n">
        <v>0</v>
      </c>
      <c r="S224" s="226" t="n">
        <v>0.018</v>
      </c>
      <c r="T224" s="226" t="n">
        <v>0.05500000000000001</v>
      </c>
      <c r="U224" s="226" t="n">
        <v>0.082</v>
      </c>
      <c r="V224" s="226" t="n">
        <v>0.1</v>
      </c>
      <c r="W224" s="227" t="n">
        <v>0</v>
      </c>
      <c r="X224" s="227" t="n">
        <v>0</v>
      </c>
      <c r="Y224" s="227" t="n">
        <v>0</v>
      </c>
      <c r="Z224" s="227" t="n">
        <v>0</v>
      </c>
      <c r="AA224" s="227" t="n">
        <v>0</v>
      </c>
    </row>
    <row r="225">
      <c r="A225" t="inlineStr">
        <is>
          <t>Kasa Scottsdale Quarter Phoenix</t>
        </is>
      </c>
      <c r="B225" t="inlineStr">
        <is>
          <t>Hotel</t>
        </is>
      </c>
      <c r="C225" t="inlineStr">
        <is>
          <t>NO</t>
        </is>
      </c>
      <c r="D225" t="n">
        <v>0</v>
      </c>
      <c r="E225" t="inlineStr"/>
      <c r="F225" t="inlineStr"/>
      <c r="G225" s="227" t="n">
        <v>0</v>
      </c>
      <c r="H225" t="n">
        <v>2</v>
      </c>
      <c r="I225" t="n">
        <v>1</v>
      </c>
      <c r="J225" t="n">
        <v>2</v>
      </c>
      <c r="K225" t="n">
        <v>4</v>
      </c>
      <c r="L225" t="n">
        <v>2</v>
      </c>
      <c r="M225" s="236" t="n">
        <v>0</v>
      </c>
      <c r="N225" t="inlineStr"/>
      <c r="O225" s="236" t="n">
        <v>2.05</v>
      </c>
      <c r="P225" s="236" t="n">
        <v>2.05</v>
      </c>
      <c r="Q225" s="224" t="inlineStr">
        <is>
          <t>D — Deprioritized</t>
        </is>
      </c>
      <c r="R225" s="226" t="n">
        <v>0</v>
      </c>
      <c r="S225" s="226" t="n">
        <v>0.018</v>
      </c>
      <c r="T225" s="226" t="n">
        <v>0.05500000000000001</v>
      </c>
      <c r="U225" s="226" t="n">
        <v>0.082</v>
      </c>
      <c r="V225" s="226" t="n">
        <v>0.1</v>
      </c>
      <c r="W225" s="227" t="n">
        <v>0</v>
      </c>
      <c r="X225" s="227" t="n">
        <v>0</v>
      </c>
      <c r="Y225" s="227" t="n">
        <v>0</v>
      </c>
      <c r="Z225" s="227" t="n">
        <v>0</v>
      </c>
      <c r="AA225" s="227" t="n">
        <v>0</v>
      </c>
    </row>
    <row r="226">
      <c r="A226" t="inlineStr">
        <is>
          <t>AC Hotels by Marriott Scottsdale North</t>
        </is>
      </c>
      <c r="B226" t="inlineStr">
        <is>
          <t>Hotel</t>
        </is>
      </c>
      <c r="C226" t="inlineStr">
        <is>
          <t>NO</t>
        </is>
      </c>
      <c r="D226" t="n">
        <v>0</v>
      </c>
      <c r="E226" t="inlineStr"/>
      <c r="F226" t="inlineStr"/>
      <c r="G226" s="227" t="n">
        <v>0</v>
      </c>
      <c r="H226" t="n">
        <v>2</v>
      </c>
      <c r="I226" t="n">
        <v>1</v>
      </c>
      <c r="J226" t="n">
        <v>3</v>
      </c>
      <c r="K226" t="n">
        <v>4</v>
      </c>
      <c r="L226" t="n">
        <v>2</v>
      </c>
      <c r="M226" s="236" t="n">
        <v>0.3</v>
      </c>
      <c r="N226" t="inlineStr">
        <is>
          <t>Brand familiarity (current): Marriott_family</t>
        </is>
      </c>
      <c r="O226" s="236" t="n">
        <v>2.25</v>
      </c>
      <c r="P226" s="236" t="n">
        <v>2.55</v>
      </c>
      <c r="Q226" s="237" t="inlineStr">
        <is>
          <t>C — Opportunistic</t>
        </is>
      </c>
      <c r="R226" s="226" t="n">
        <v>0.02</v>
      </c>
      <c r="S226" s="226" t="n">
        <v>0.09724000000000002</v>
      </c>
      <c r="T226" s="226" t="n">
        <v>0.28625</v>
      </c>
      <c r="U226" s="226" t="n">
        <v>0.4145</v>
      </c>
      <c r="V226" s="226" t="n">
        <v>0.5</v>
      </c>
      <c r="W226" s="227" t="n">
        <v>0</v>
      </c>
      <c r="X226" s="227" t="n">
        <v>0</v>
      </c>
      <c r="Y226" s="227" t="n">
        <v>0</v>
      </c>
      <c r="Z226" s="227" t="n">
        <v>0</v>
      </c>
      <c r="AA226" s="227" t="n">
        <v>0</v>
      </c>
    </row>
    <row r="227">
      <c r="A227" t="inlineStr">
        <is>
          <t>AC Hotel Scottsdale Old Town</t>
        </is>
      </c>
      <c r="B227" t="inlineStr">
        <is>
          <t>Hotel</t>
        </is>
      </c>
      <c r="C227" t="inlineStr">
        <is>
          <t>NO</t>
        </is>
      </c>
      <c r="D227" t="n">
        <v>0</v>
      </c>
      <c r="E227" t="inlineStr"/>
      <c r="F227" t="inlineStr"/>
      <c r="G227" s="227" t="n">
        <v>0</v>
      </c>
      <c r="H227" t="n">
        <v>2</v>
      </c>
      <c r="I227" t="n">
        <v>1</v>
      </c>
      <c r="J227" t="n">
        <v>2</v>
      </c>
      <c r="K227" t="n">
        <v>4</v>
      </c>
      <c r="L227" t="n">
        <v>2</v>
      </c>
      <c r="M227" s="236" t="n">
        <v>0</v>
      </c>
      <c r="N227" t="inlineStr"/>
      <c r="O227" s="236" t="n">
        <v>2.05</v>
      </c>
      <c r="P227" s="236" t="n">
        <v>2.05</v>
      </c>
      <c r="Q227" s="224" t="inlineStr">
        <is>
          <t>D — Deprioritized</t>
        </is>
      </c>
      <c r="R227" s="226" t="n">
        <v>0</v>
      </c>
      <c r="S227" s="226" t="n">
        <v>0.018</v>
      </c>
      <c r="T227" s="226" t="n">
        <v>0.05500000000000001</v>
      </c>
      <c r="U227" s="226" t="n">
        <v>0.082</v>
      </c>
      <c r="V227" s="226" t="n">
        <v>0.1</v>
      </c>
      <c r="W227" s="227" t="n">
        <v>0</v>
      </c>
      <c r="X227" s="227" t="n">
        <v>0</v>
      </c>
      <c r="Y227" s="227" t="n">
        <v>0</v>
      </c>
      <c r="Z227" s="227" t="n">
        <v>0</v>
      </c>
      <c r="AA227" s="227" t="n">
        <v>0</v>
      </c>
    </row>
    <row r="228">
      <c r="A228" t="inlineStr">
        <is>
          <t>REVERB by Hard Rock Scottsdale</t>
        </is>
      </c>
      <c r="B228" t="inlineStr">
        <is>
          <t>Hotel</t>
        </is>
      </c>
      <c r="C228" t="inlineStr">
        <is>
          <t>NO</t>
        </is>
      </c>
      <c r="D228" t="n">
        <v>0</v>
      </c>
      <c r="E228" t="inlineStr"/>
      <c r="F228" t="inlineStr"/>
      <c r="G228" s="227" t="n">
        <v>0</v>
      </c>
      <c r="H228" t="n">
        <v>2</v>
      </c>
      <c r="I228" t="n">
        <v>1</v>
      </c>
      <c r="J228" t="n">
        <v>2</v>
      </c>
      <c r="K228" t="n">
        <v>4</v>
      </c>
      <c r="L228" t="n">
        <v>2</v>
      </c>
      <c r="M228" s="236" t="n">
        <v>0</v>
      </c>
      <c r="N228" t="inlineStr"/>
      <c r="O228" s="236" t="n">
        <v>2.05</v>
      </c>
      <c r="P228" s="236" t="n">
        <v>2.05</v>
      </c>
      <c r="Q228" s="224" t="inlineStr">
        <is>
          <t>D — Deprioritized</t>
        </is>
      </c>
      <c r="R228" s="226" t="n">
        <v>0</v>
      </c>
      <c r="S228" s="226" t="n">
        <v>0.018</v>
      </c>
      <c r="T228" s="226" t="n">
        <v>0.05500000000000001</v>
      </c>
      <c r="U228" s="226" t="n">
        <v>0.082</v>
      </c>
      <c r="V228" s="226" t="n">
        <v>0.1</v>
      </c>
      <c r="W228" s="227" t="n">
        <v>0</v>
      </c>
      <c r="X228" s="227" t="n">
        <v>0</v>
      </c>
      <c r="Y228" s="227" t="n">
        <v>0</v>
      </c>
      <c r="Z228" s="227" t="n">
        <v>0</v>
      </c>
      <c r="AA228" s="227" t="n">
        <v>0</v>
      </c>
    </row>
    <row r="229">
      <c r="A229" t="inlineStr">
        <is>
          <t>Hotel Scottsdale, Tapestry Collection by Hilton</t>
        </is>
      </c>
      <c r="B229" t="inlineStr">
        <is>
          <t>Hotel</t>
        </is>
      </c>
      <c r="C229" t="inlineStr">
        <is>
          <t>NO</t>
        </is>
      </c>
      <c r="D229" t="n">
        <v>0</v>
      </c>
      <c r="E229" t="inlineStr"/>
      <c r="F229" t="inlineStr"/>
      <c r="G229" s="227" t="n">
        <v>0</v>
      </c>
      <c r="H229" t="n">
        <v>2</v>
      </c>
      <c r="I229" t="n">
        <v>1</v>
      </c>
      <c r="J229" t="n">
        <v>3</v>
      </c>
      <c r="K229" t="n">
        <v>4</v>
      </c>
      <c r="L229" t="n">
        <v>2</v>
      </c>
      <c r="M229" s="236" t="n">
        <v>0.15</v>
      </c>
      <c r="N229" t="inlineStr">
        <is>
          <t>Brand familiarity (historical): Hilton_family</t>
        </is>
      </c>
      <c r="O229" s="236" t="n">
        <v>2.25</v>
      </c>
      <c r="P229" s="236" t="n">
        <v>2.4</v>
      </c>
      <c r="Q229" s="224" t="inlineStr">
        <is>
          <t>D — Deprioritized</t>
        </is>
      </c>
      <c r="R229" s="226" t="n">
        <v>0</v>
      </c>
      <c r="S229" s="226" t="n">
        <v>0.018</v>
      </c>
      <c r="T229" s="226" t="n">
        <v>0.05500000000000001</v>
      </c>
      <c r="U229" s="226" t="n">
        <v>0.082</v>
      </c>
      <c r="V229" s="226" t="n">
        <v>0.1</v>
      </c>
      <c r="W229" s="227" t="n">
        <v>0</v>
      </c>
      <c r="X229" s="227" t="n">
        <v>0</v>
      </c>
      <c r="Y229" s="227" t="n">
        <v>0</v>
      </c>
      <c r="Z229" s="227" t="n">
        <v>0</v>
      </c>
      <c r="AA229" s="227" t="n">
        <v>0</v>
      </c>
    </row>
    <row r="230">
      <c r="A230" t="inlineStr">
        <is>
          <t>Cambria Hotel &amp; Suites Scottsdale</t>
        </is>
      </c>
      <c r="B230" t="inlineStr">
        <is>
          <t>Hotel</t>
        </is>
      </c>
      <c r="C230" t="inlineStr">
        <is>
          <t>NO</t>
        </is>
      </c>
      <c r="D230" t="n">
        <v>0</v>
      </c>
      <c r="E230" t="inlineStr"/>
      <c r="F230" t="inlineStr"/>
      <c r="G230" s="227" t="n">
        <v>0</v>
      </c>
      <c r="H230" t="n">
        <v>2</v>
      </c>
      <c r="I230" t="n">
        <v>1</v>
      </c>
      <c r="J230" t="n">
        <v>2</v>
      </c>
      <c r="K230" t="n">
        <v>4</v>
      </c>
      <c r="L230" t="n">
        <v>2</v>
      </c>
      <c r="M230" s="236" t="n">
        <v>0</v>
      </c>
      <c r="N230" t="inlineStr"/>
      <c r="O230" s="236" t="n">
        <v>2.05</v>
      </c>
      <c r="P230" s="236" t="n">
        <v>2.05</v>
      </c>
      <c r="Q230" s="224" t="inlineStr">
        <is>
          <t>D — Deprioritized</t>
        </is>
      </c>
      <c r="R230" s="226" t="n">
        <v>0</v>
      </c>
      <c r="S230" s="226" t="n">
        <v>0.018</v>
      </c>
      <c r="T230" s="226" t="n">
        <v>0.05500000000000001</v>
      </c>
      <c r="U230" s="226" t="n">
        <v>0.082</v>
      </c>
      <c r="V230" s="226" t="n">
        <v>0.1</v>
      </c>
      <c r="W230" s="227" t="n">
        <v>0</v>
      </c>
      <c r="X230" s="227" t="n">
        <v>0</v>
      </c>
      <c r="Y230" s="227" t="n">
        <v>0</v>
      </c>
      <c r="Z230" s="227" t="n">
        <v>0</v>
      </c>
      <c r="AA230" s="227" t="n">
        <v>0</v>
      </c>
    </row>
    <row r="231">
      <c r="A231" t="inlineStr">
        <is>
          <t>Trademark Collection by Wyndham Scottsdale</t>
        </is>
      </c>
      <c r="B231" t="inlineStr">
        <is>
          <t>Hotel</t>
        </is>
      </c>
      <c r="C231" t="inlineStr">
        <is>
          <t>NO</t>
        </is>
      </c>
      <c r="D231" t="n">
        <v>0</v>
      </c>
      <c r="E231" t="inlineStr"/>
      <c r="F231" t="inlineStr"/>
      <c r="G231" s="227" t="n">
        <v>0</v>
      </c>
      <c r="H231" t="n">
        <v>2</v>
      </c>
      <c r="I231" t="n">
        <v>1</v>
      </c>
      <c r="J231" t="n">
        <v>3</v>
      </c>
      <c r="K231" t="n">
        <v>4</v>
      </c>
      <c r="L231" t="n">
        <v>2</v>
      </c>
      <c r="M231" s="236" t="n">
        <v>0.15</v>
      </c>
      <c r="N231" t="inlineStr">
        <is>
          <t>Brand familiarity (historical): Hilton_family</t>
        </is>
      </c>
      <c r="O231" s="236" t="n">
        <v>2.25</v>
      </c>
      <c r="P231" s="236" t="n">
        <v>2.4</v>
      </c>
      <c r="Q231" s="224" t="inlineStr">
        <is>
          <t>D — Deprioritized</t>
        </is>
      </c>
      <c r="R231" s="226" t="n">
        <v>0</v>
      </c>
      <c r="S231" s="226" t="n">
        <v>0.018</v>
      </c>
      <c r="T231" s="226" t="n">
        <v>0.05500000000000001</v>
      </c>
      <c r="U231" s="226" t="n">
        <v>0.082</v>
      </c>
      <c r="V231" s="226" t="n">
        <v>0.1</v>
      </c>
      <c r="W231" s="227" t="n">
        <v>0</v>
      </c>
      <c r="X231" s="227" t="n">
        <v>0</v>
      </c>
      <c r="Y231" s="227" t="n">
        <v>0</v>
      </c>
      <c r="Z231" s="227" t="n">
        <v>0</v>
      </c>
      <c r="AA231" s="227" t="n">
        <v>0</v>
      </c>
    </row>
    <row r="232">
      <c r="A232" t="inlineStr">
        <is>
          <t>Hotel Bixby Scottsdale</t>
        </is>
      </c>
      <c r="B232" t="inlineStr">
        <is>
          <t>Hotel</t>
        </is>
      </c>
      <c r="C232" t="inlineStr">
        <is>
          <t>NO</t>
        </is>
      </c>
      <c r="D232" t="n">
        <v>0</v>
      </c>
      <c r="E232" t="inlineStr"/>
      <c r="F232" t="inlineStr"/>
      <c r="G232" s="227" t="n">
        <v>0</v>
      </c>
      <c r="H232" t="n">
        <v>2</v>
      </c>
      <c r="I232" t="n">
        <v>1</v>
      </c>
      <c r="J232" t="n">
        <v>2</v>
      </c>
      <c r="K232" t="n">
        <v>4</v>
      </c>
      <c r="L232" t="n">
        <v>2</v>
      </c>
      <c r="M232" s="236" t="n">
        <v>0</v>
      </c>
      <c r="N232" t="inlineStr"/>
      <c r="O232" s="236" t="n">
        <v>2.05</v>
      </c>
      <c r="P232" s="236" t="n">
        <v>2.05</v>
      </c>
      <c r="Q232" s="224" t="inlineStr">
        <is>
          <t>D — Deprioritized</t>
        </is>
      </c>
      <c r="R232" s="226" t="n">
        <v>0</v>
      </c>
      <c r="S232" s="226" t="n">
        <v>0.018</v>
      </c>
      <c r="T232" s="226" t="n">
        <v>0.05500000000000001</v>
      </c>
      <c r="U232" s="226" t="n">
        <v>0.082</v>
      </c>
      <c r="V232" s="226" t="n">
        <v>0.1</v>
      </c>
      <c r="W232" s="227" t="n">
        <v>0</v>
      </c>
      <c r="X232" s="227" t="n">
        <v>0</v>
      </c>
      <c r="Y232" s="227" t="n">
        <v>0</v>
      </c>
      <c r="Z232" s="227" t="n">
        <v>0</v>
      </c>
      <c r="AA232" s="227" t="n">
        <v>0</v>
      </c>
    </row>
    <row r="233">
      <c r="A233" t="inlineStr">
        <is>
          <t>Boutique Hotel Paradise Valley</t>
        </is>
      </c>
      <c r="B233" t="inlineStr">
        <is>
          <t>Hotel</t>
        </is>
      </c>
      <c r="C233" t="inlineStr">
        <is>
          <t>NO</t>
        </is>
      </c>
      <c r="D233" t="n">
        <v>0</v>
      </c>
      <c r="E233" t="inlineStr"/>
      <c r="F233" t="inlineStr"/>
      <c r="G233" s="227" t="n">
        <v>0</v>
      </c>
      <c r="H233" t="n">
        <v>2</v>
      </c>
      <c r="I233" t="n">
        <v>1</v>
      </c>
      <c r="J233" t="n">
        <v>2</v>
      </c>
      <c r="K233" t="n">
        <v>4</v>
      </c>
      <c r="L233" t="n">
        <v>2</v>
      </c>
      <c r="M233" s="236" t="n">
        <v>0</v>
      </c>
      <c r="N233" t="inlineStr"/>
      <c r="O233" s="236" t="n">
        <v>2.05</v>
      </c>
      <c r="P233" s="236" t="n">
        <v>2.05</v>
      </c>
      <c r="Q233" s="224" t="inlineStr">
        <is>
          <t>D — Deprioritized</t>
        </is>
      </c>
      <c r="R233" s="226" t="n">
        <v>0</v>
      </c>
      <c r="S233" s="226" t="n">
        <v>0.018</v>
      </c>
      <c r="T233" s="226" t="n">
        <v>0.05500000000000001</v>
      </c>
      <c r="U233" s="226" t="n">
        <v>0.082</v>
      </c>
      <c r="V233" s="226" t="n">
        <v>0.1</v>
      </c>
      <c r="W233" s="227" t="n">
        <v>0</v>
      </c>
      <c r="X233" s="227" t="n">
        <v>0</v>
      </c>
      <c r="Y233" s="227" t="n">
        <v>0</v>
      </c>
      <c r="Z233" s="227" t="n">
        <v>0</v>
      </c>
      <c r="AA233" s="227" t="n">
        <v>0</v>
      </c>
    </row>
    <row r="234">
      <c r="A234" t="inlineStr">
        <is>
          <t>Country Inn &amp; Suites by Radisson, Scottsdale Old Town</t>
        </is>
      </c>
      <c r="B234" t="inlineStr">
        <is>
          <t>Hotel</t>
        </is>
      </c>
      <c r="C234" t="inlineStr">
        <is>
          <t>NO</t>
        </is>
      </c>
      <c r="D234" t="n">
        <v>0</v>
      </c>
      <c r="E234" t="inlineStr"/>
      <c r="F234" t="inlineStr"/>
      <c r="G234" s="227" t="n">
        <v>0</v>
      </c>
      <c r="H234" t="n">
        <v>2</v>
      </c>
      <c r="I234" t="n">
        <v>1</v>
      </c>
      <c r="J234" t="n">
        <v>2</v>
      </c>
      <c r="K234" t="n">
        <v>4</v>
      </c>
      <c r="L234" t="n">
        <v>2</v>
      </c>
      <c r="M234" s="236" t="n">
        <v>0</v>
      </c>
      <c r="N234" t="inlineStr"/>
      <c r="O234" s="236" t="n">
        <v>2.05</v>
      </c>
      <c r="P234" s="236" t="n">
        <v>2.05</v>
      </c>
      <c r="Q234" s="224" t="inlineStr">
        <is>
          <t>D — Deprioritized</t>
        </is>
      </c>
      <c r="R234" s="226" t="n">
        <v>0</v>
      </c>
      <c r="S234" s="226" t="n">
        <v>0.018</v>
      </c>
      <c r="T234" s="226" t="n">
        <v>0.05500000000000001</v>
      </c>
      <c r="U234" s="226" t="n">
        <v>0.082</v>
      </c>
      <c r="V234" s="226" t="n">
        <v>0.1</v>
      </c>
      <c r="W234" s="227" t="n">
        <v>0</v>
      </c>
      <c r="X234" s="227" t="n">
        <v>0</v>
      </c>
      <c r="Y234" s="227" t="n">
        <v>0</v>
      </c>
      <c r="Z234" s="227" t="n">
        <v>0</v>
      </c>
      <c r="AA234" s="227" t="n">
        <v>0</v>
      </c>
    </row>
    <row r="235">
      <c r="A235" t="inlineStr">
        <is>
          <t>Radisson Resort Scottsdale</t>
        </is>
      </c>
      <c r="B235" t="inlineStr">
        <is>
          <t>Hotel</t>
        </is>
      </c>
      <c r="C235" t="inlineStr">
        <is>
          <t>NO</t>
        </is>
      </c>
      <c r="D235" t="n">
        <v>0</v>
      </c>
      <c r="E235" t="inlineStr"/>
      <c r="F235" t="inlineStr"/>
      <c r="G235" s="227" t="n">
        <v>0</v>
      </c>
      <c r="H235" t="n">
        <v>2</v>
      </c>
      <c r="I235" t="n">
        <v>1</v>
      </c>
      <c r="J235" t="n">
        <v>2</v>
      </c>
      <c r="K235" t="n">
        <v>4</v>
      </c>
      <c r="L235" t="n">
        <v>2</v>
      </c>
      <c r="M235" s="236" t="n">
        <v>0</v>
      </c>
      <c r="N235" t="inlineStr"/>
      <c r="O235" s="236" t="n">
        <v>2.05</v>
      </c>
      <c r="P235" s="236" t="n">
        <v>2.05</v>
      </c>
      <c r="Q235" s="224" t="inlineStr">
        <is>
          <t>D — Deprioritized</t>
        </is>
      </c>
      <c r="R235" s="226" t="n">
        <v>0</v>
      </c>
      <c r="S235" s="226" t="n">
        <v>0.018</v>
      </c>
      <c r="T235" s="226" t="n">
        <v>0.05500000000000001</v>
      </c>
      <c r="U235" s="226" t="n">
        <v>0.082</v>
      </c>
      <c r="V235" s="226" t="n">
        <v>0.1</v>
      </c>
      <c r="W235" s="227" t="n">
        <v>0</v>
      </c>
      <c r="X235" s="227" t="n">
        <v>0</v>
      </c>
      <c r="Y235" s="227" t="n">
        <v>0</v>
      </c>
      <c r="Z235" s="227" t="n">
        <v>0</v>
      </c>
      <c r="AA235" s="227" t="n">
        <v>0</v>
      </c>
    </row>
    <row r="236">
      <c r="A236" t="inlineStr">
        <is>
          <t>Hyatt Place Scottsdale/OdySea in the Desert</t>
        </is>
      </c>
      <c r="B236" t="inlineStr">
        <is>
          <t>Hotel</t>
        </is>
      </c>
      <c r="C236" t="inlineStr">
        <is>
          <t>NO</t>
        </is>
      </c>
      <c r="D236" t="n">
        <v>0</v>
      </c>
      <c r="E236" t="inlineStr"/>
      <c r="F236" t="inlineStr"/>
      <c r="G236" s="227" t="n">
        <v>0</v>
      </c>
      <c r="H236" t="n">
        <v>2</v>
      </c>
      <c r="I236" t="n">
        <v>1</v>
      </c>
      <c r="J236" t="n">
        <v>3</v>
      </c>
      <c r="K236" t="n">
        <v>4</v>
      </c>
      <c r="L236" t="n">
        <v>2</v>
      </c>
      <c r="M236" s="236" t="n">
        <v>0</v>
      </c>
      <c r="N236" t="inlineStr"/>
      <c r="O236" s="236" t="n">
        <v>2.25</v>
      </c>
      <c r="P236" s="236" t="n">
        <v>2.25</v>
      </c>
      <c r="Q236" s="224" t="inlineStr">
        <is>
          <t>D — Deprioritized</t>
        </is>
      </c>
      <c r="R236" s="226" t="n">
        <v>0</v>
      </c>
      <c r="S236" s="226" t="n">
        <v>0.018</v>
      </c>
      <c r="T236" s="226" t="n">
        <v>0.05500000000000001</v>
      </c>
      <c r="U236" s="226" t="n">
        <v>0.082</v>
      </c>
      <c r="V236" s="226" t="n">
        <v>0.1</v>
      </c>
      <c r="W236" s="227" t="n">
        <v>0</v>
      </c>
      <c r="X236" s="227" t="n">
        <v>0</v>
      </c>
      <c r="Y236" s="227" t="n">
        <v>0</v>
      </c>
      <c r="Z236" s="227" t="n">
        <v>0</v>
      </c>
      <c r="AA236" s="227" t="n">
        <v>0</v>
      </c>
    </row>
    <row r="237">
      <c r="A237" t="inlineStr">
        <is>
          <t>Bespoke Inn Scottsdale</t>
        </is>
      </c>
      <c r="B237" t="inlineStr">
        <is>
          <t>Hotel</t>
        </is>
      </c>
      <c r="C237" t="inlineStr">
        <is>
          <t>NO</t>
        </is>
      </c>
      <c r="D237" t="n">
        <v>0</v>
      </c>
      <c r="E237" t="inlineStr"/>
      <c r="F237" t="inlineStr"/>
      <c r="G237" s="227" t="n">
        <v>0</v>
      </c>
      <c r="H237" t="n">
        <v>2</v>
      </c>
      <c r="I237" t="n">
        <v>1</v>
      </c>
      <c r="J237" t="n">
        <v>2</v>
      </c>
      <c r="K237" t="n">
        <v>4</v>
      </c>
      <c r="L237" t="n">
        <v>2</v>
      </c>
      <c r="M237" s="236" t="n">
        <v>0</v>
      </c>
      <c r="N237" t="inlineStr"/>
      <c r="O237" s="236" t="n">
        <v>2.05</v>
      </c>
      <c r="P237" s="236" t="n">
        <v>2.05</v>
      </c>
      <c r="Q237" s="224" t="inlineStr">
        <is>
          <t>D — Deprioritized</t>
        </is>
      </c>
      <c r="R237" s="226" t="n">
        <v>0</v>
      </c>
      <c r="S237" s="226" t="n">
        <v>0.018</v>
      </c>
      <c r="T237" s="226" t="n">
        <v>0.05500000000000001</v>
      </c>
      <c r="U237" s="226" t="n">
        <v>0.082</v>
      </c>
      <c r="V237" s="226" t="n">
        <v>0.1</v>
      </c>
      <c r="W237" s="227" t="n">
        <v>0</v>
      </c>
      <c r="X237" s="227" t="n">
        <v>0</v>
      </c>
      <c r="Y237" s="227" t="n">
        <v>0</v>
      </c>
      <c r="Z237" s="227" t="n">
        <v>0</v>
      </c>
      <c r="AA237" s="227" t="n">
        <v>0</v>
      </c>
    </row>
    <row r="238">
      <c r="A238" t="inlineStr">
        <is>
          <t>Winery Suites of Scottsdale</t>
        </is>
      </c>
      <c r="B238" t="inlineStr">
        <is>
          <t>Hotel</t>
        </is>
      </c>
      <c r="C238" t="inlineStr">
        <is>
          <t>NO</t>
        </is>
      </c>
      <c r="D238" t="n">
        <v>0</v>
      </c>
      <c r="E238" t="inlineStr"/>
      <c r="F238" t="inlineStr"/>
      <c r="G238" s="227" t="n">
        <v>0</v>
      </c>
      <c r="H238" t="n">
        <v>2</v>
      </c>
      <c r="I238" t="n">
        <v>1</v>
      </c>
      <c r="J238" t="n">
        <v>2</v>
      </c>
      <c r="K238" t="n">
        <v>4</v>
      </c>
      <c r="L238" t="n">
        <v>2</v>
      </c>
      <c r="M238" s="236" t="n">
        <v>0</v>
      </c>
      <c r="N238" t="inlineStr"/>
      <c r="O238" s="236" t="n">
        <v>2.05</v>
      </c>
      <c r="P238" s="236" t="n">
        <v>2.05</v>
      </c>
      <c r="Q238" s="224" t="inlineStr">
        <is>
          <t>D — Deprioritized</t>
        </is>
      </c>
      <c r="R238" s="226" t="n">
        <v>0</v>
      </c>
      <c r="S238" s="226" t="n">
        <v>0.018</v>
      </c>
      <c r="T238" s="226" t="n">
        <v>0.05500000000000001</v>
      </c>
      <c r="U238" s="226" t="n">
        <v>0.082</v>
      </c>
      <c r="V238" s="226" t="n">
        <v>0.1</v>
      </c>
      <c r="W238" s="227" t="n">
        <v>0</v>
      </c>
      <c r="X238" s="227" t="n">
        <v>0</v>
      </c>
      <c r="Y238" s="227" t="n">
        <v>0</v>
      </c>
      <c r="Z238" s="227" t="n">
        <v>0</v>
      </c>
      <c r="AA238" s="227" t="n">
        <v>0</v>
      </c>
    </row>
    <row r="239">
      <c r="A239" t="inlineStr">
        <is>
          <t>Mint House Scottsdale – Old Town</t>
        </is>
      </c>
      <c r="B239" t="inlineStr">
        <is>
          <t>Hotel</t>
        </is>
      </c>
      <c r="C239" t="inlineStr">
        <is>
          <t>NO</t>
        </is>
      </c>
      <c r="D239" t="n">
        <v>0</v>
      </c>
      <c r="E239" t="inlineStr"/>
      <c r="F239" t="inlineStr"/>
      <c r="G239" s="227" t="n">
        <v>0</v>
      </c>
      <c r="H239" t="n">
        <v>2</v>
      </c>
      <c r="I239" t="n">
        <v>1</v>
      </c>
      <c r="J239" t="n">
        <v>2</v>
      </c>
      <c r="K239" t="n">
        <v>4</v>
      </c>
      <c r="L239" t="n">
        <v>2</v>
      </c>
      <c r="M239" s="236" t="n">
        <v>0</v>
      </c>
      <c r="N239" t="inlineStr"/>
      <c r="O239" s="236" t="n">
        <v>2.05</v>
      </c>
      <c r="P239" s="236" t="n">
        <v>2.05</v>
      </c>
      <c r="Q239" s="224" t="inlineStr">
        <is>
          <t>D — Deprioritized</t>
        </is>
      </c>
      <c r="R239" s="226" t="n">
        <v>0</v>
      </c>
      <c r="S239" s="226" t="n">
        <v>0.018</v>
      </c>
      <c r="T239" s="226" t="n">
        <v>0.05500000000000001</v>
      </c>
      <c r="U239" s="226" t="n">
        <v>0.082</v>
      </c>
      <c r="V239" s="226" t="n">
        <v>0.1</v>
      </c>
      <c r="W239" s="227" t="n">
        <v>0</v>
      </c>
      <c r="X239" s="227" t="n">
        <v>0</v>
      </c>
      <c r="Y239" s="227" t="n">
        <v>0</v>
      </c>
      <c r="Z239" s="227" t="n">
        <v>0</v>
      </c>
      <c r="AA239" s="227" t="n">
        <v>0</v>
      </c>
    </row>
    <row r="240">
      <c r="A240" t="inlineStr">
        <is>
          <t>WorldMark by Wyndham Scottsdale</t>
        </is>
      </c>
      <c r="B240" t="inlineStr">
        <is>
          <t>Hotel</t>
        </is>
      </c>
      <c r="C240" t="inlineStr">
        <is>
          <t>NO</t>
        </is>
      </c>
      <c r="D240" t="n">
        <v>0</v>
      </c>
      <c r="E240" t="inlineStr"/>
      <c r="F240" t="inlineStr"/>
      <c r="G240" s="227" t="n">
        <v>0</v>
      </c>
      <c r="H240" t="n">
        <v>2</v>
      </c>
      <c r="I240" t="n">
        <v>1</v>
      </c>
      <c r="J240" t="n">
        <v>3</v>
      </c>
      <c r="K240" t="n">
        <v>4</v>
      </c>
      <c r="L240" t="n">
        <v>2</v>
      </c>
      <c r="M240" s="236" t="n">
        <v>0</v>
      </c>
      <c r="N240" t="inlineStr"/>
      <c r="O240" s="236" t="n">
        <v>2.25</v>
      </c>
      <c r="P240" s="236" t="n">
        <v>2.25</v>
      </c>
      <c r="Q240" s="224" t="inlineStr">
        <is>
          <t>D — Deprioritized</t>
        </is>
      </c>
      <c r="R240" s="226" t="n">
        <v>0</v>
      </c>
      <c r="S240" s="226" t="n">
        <v>0.018</v>
      </c>
      <c r="T240" s="226" t="n">
        <v>0.05500000000000001</v>
      </c>
      <c r="U240" s="226" t="n">
        <v>0.082</v>
      </c>
      <c r="V240" s="226" t="n">
        <v>0.1</v>
      </c>
      <c r="W240" s="227" t="n">
        <v>0</v>
      </c>
      <c r="X240" s="227" t="n">
        <v>0</v>
      </c>
      <c r="Y240" s="227" t="n">
        <v>0</v>
      </c>
      <c r="Z240" s="227" t="n">
        <v>0</v>
      </c>
      <c r="AA240" s="227" t="n">
        <v>0</v>
      </c>
    </row>
    <row r="241">
      <c r="A241" t="inlineStr">
        <is>
          <t>Pointe Hilton Tapatio Cliffs Resort</t>
        </is>
      </c>
      <c r="B241" t="inlineStr">
        <is>
          <t>Hotel</t>
        </is>
      </c>
      <c r="C241" t="inlineStr">
        <is>
          <t>NO</t>
        </is>
      </c>
      <c r="D241" t="n">
        <v>0</v>
      </c>
      <c r="E241" t="inlineStr"/>
      <c r="F241" t="inlineStr"/>
      <c r="G241" s="227" t="n">
        <v>0</v>
      </c>
      <c r="H241" t="n">
        <v>2</v>
      </c>
      <c r="I241" t="n">
        <v>1</v>
      </c>
      <c r="J241" t="n">
        <v>3</v>
      </c>
      <c r="K241" t="n">
        <v>4</v>
      </c>
      <c r="L241" t="n">
        <v>2</v>
      </c>
      <c r="M241" s="236" t="n">
        <v>0.15</v>
      </c>
      <c r="N241" t="inlineStr">
        <is>
          <t>Brand familiarity (historical): Hilton_family</t>
        </is>
      </c>
      <c r="O241" s="236" t="n">
        <v>2.25</v>
      </c>
      <c r="P241" s="236" t="n">
        <v>2.4</v>
      </c>
      <c r="Q241" s="224" t="inlineStr">
        <is>
          <t>D — Deprioritized</t>
        </is>
      </c>
      <c r="R241" s="226" t="n">
        <v>0</v>
      </c>
      <c r="S241" s="226" t="n">
        <v>0.018</v>
      </c>
      <c r="T241" s="226" t="n">
        <v>0.05500000000000001</v>
      </c>
      <c r="U241" s="226" t="n">
        <v>0.082</v>
      </c>
      <c r="V241" s="226" t="n">
        <v>0.1</v>
      </c>
      <c r="W241" s="227" t="n">
        <v>0</v>
      </c>
      <c r="X241" s="227" t="n">
        <v>0</v>
      </c>
      <c r="Y241" s="227" t="n">
        <v>0</v>
      </c>
      <c r="Z241" s="227" t="n">
        <v>0</v>
      </c>
      <c r="AA241" s="227" t="n">
        <v>0</v>
      </c>
    </row>
    <row r="242">
      <c r="A242" t="inlineStr">
        <is>
          <t>Hilton Phoenix Resort at the Peak</t>
        </is>
      </c>
      <c r="B242" t="inlineStr">
        <is>
          <t>Hotel</t>
        </is>
      </c>
      <c r="C242" t="inlineStr">
        <is>
          <t>NO</t>
        </is>
      </c>
      <c r="D242" t="n">
        <v>0</v>
      </c>
      <c r="E242" t="inlineStr"/>
      <c r="F242" t="inlineStr"/>
      <c r="G242" s="227" t="n">
        <v>0</v>
      </c>
      <c r="H242" t="n">
        <v>2</v>
      </c>
      <c r="I242" t="n">
        <v>1</v>
      </c>
      <c r="J242" t="n">
        <v>3</v>
      </c>
      <c r="K242" t="n">
        <v>4</v>
      </c>
      <c r="L242" t="n">
        <v>2</v>
      </c>
      <c r="M242" s="236" t="n">
        <v>0.15</v>
      </c>
      <c r="N242" t="inlineStr">
        <is>
          <t>Brand familiarity (historical): Hilton_family</t>
        </is>
      </c>
      <c r="O242" s="236" t="n">
        <v>2.25</v>
      </c>
      <c r="P242" s="236" t="n">
        <v>2.4</v>
      </c>
      <c r="Q242" s="224" t="inlineStr">
        <is>
          <t>D — Deprioritized</t>
        </is>
      </c>
      <c r="R242" s="226" t="n">
        <v>0</v>
      </c>
      <c r="S242" s="226" t="n">
        <v>0.018</v>
      </c>
      <c r="T242" s="226" t="n">
        <v>0.05500000000000001</v>
      </c>
      <c r="U242" s="226" t="n">
        <v>0.082</v>
      </c>
      <c r="V242" s="226" t="n">
        <v>0.1</v>
      </c>
      <c r="W242" s="227" t="n">
        <v>0</v>
      </c>
      <c r="X242" s="227" t="n">
        <v>0</v>
      </c>
      <c r="Y242" s="227" t="n">
        <v>0</v>
      </c>
      <c r="Z242" s="227" t="n">
        <v>0</v>
      </c>
      <c r="AA242" s="227" t="n">
        <v>0</v>
      </c>
    </row>
    <row r="243">
      <c r="A243" t="inlineStr">
        <is>
          <t>Kimpton Miralina Resort &amp; Villas</t>
        </is>
      </c>
      <c r="B243" t="inlineStr">
        <is>
          <t>Hotel</t>
        </is>
      </c>
      <c r="C243" t="inlineStr">
        <is>
          <t>NO</t>
        </is>
      </c>
      <c r="D243" t="n">
        <v>0</v>
      </c>
      <c r="E243" t="inlineStr"/>
      <c r="F243" t="inlineStr"/>
      <c r="G243" s="227" t="n">
        <v>0</v>
      </c>
      <c r="H243" t="n">
        <v>2</v>
      </c>
      <c r="I243" t="n">
        <v>1</v>
      </c>
      <c r="J243" t="n">
        <v>3</v>
      </c>
      <c r="K243" t="n">
        <v>4</v>
      </c>
      <c r="L243" t="n">
        <v>2</v>
      </c>
      <c r="M243" s="236" t="n">
        <v>0</v>
      </c>
      <c r="N243" t="inlineStr"/>
      <c r="O243" s="236" t="n">
        <v>2.25</v>
      </c>
      <c r="P243" s="236" t="n">
        <v>2.25</v>
      </c>
      <c r="Q243" s="224" t="inlineStr">
        <is>
          <t>D — Deprioritized</t>
        </is>
      </c>
      <c r="R243" s="226" t="n">
        <v>0</v>
      </c>
      <c r="S243" s="226" t="n">
        <v>0.018</v>
      </c>
      <c r="T243" s="226" t="n">
        <v>0.05500000000000001</v>
      </c>
      <c r="U243" s="226" t="n">
        <v>0.082</v>
      </c>
      <c r="V243" s="226" t="n">
        <v>0.1</v>
      </c>
      <c r="W243" s="227" t="n">
        <v>0</v>
      </c>
      <c r="X243" s="227" t="n">
        <v>0</v>
      </c>
      <c r="Y243" s="227" t="n">
        <v>0</v>
      </c>
      <c r="Z243" s="227" t="n">
        <v>0</v>
      </c>
      <c r="AA243" s="227" t="n">
        <v>0</v>
      </c>
    </row>
    <row r="244">
      <c r="A244" t="inlineStr">
        <is>
          <t>Sheraton Grand at Wild Horse Pass</t>
        </is>
      </c>
      <c r="B244" t="inlineStr">
        <is>
          <t>Hotel</t>
        </is>
      </c>
      <c r="C244" t="inlineStr">
        <is>
          <t>NO</t>
        </is>
      </c>
      <c r="D244" t="n">
        <v>0</v>
      </c>
      <c r="E244" t="inlineStr"/>
      <c r="F244" t="inlineStr"/>
      <c r="G244" s="227" t="n">
        <v>0</v>
      </c>
      <c r="H244" t="n">
        <v>2</v>
      </c>
      <c r="I244" t="n">
        <v>1</v>
      </c>
      <c r="J244" t="n">
        <v>3</v>
      </c>
      <c r="K244" t="n">
        <v>4</v>
      </c>
      <c r="L244" t="n">
        <v>2</v>
      </c>
      <c r="M244" s="236" t="n">
        <v>0.3</v>
      </c>
      <c r="N244" t="inlineStr">
        <is>
          <t>Brand familiarity (current): Marriott_family</t>
        </is>
      </c>
      <c r="O244" s="236" t="n">
        <v>2.25</v>
      </c>
      <c r="P244" s="236" t="n">
        <v>2.55</v>
      </c>
      <c r="Q244" s="237" t="inlineStr">
        <is>
          <t>C — Opportunistic</t>
        </is>
      </c>
      <c r="R244" s="226" t="n">
        <v>0.02</v>
      </c>
      <c r="S244" s="226" t="n">
        <v>0.09724000000000002</v>
      </c>
      <c r="T244" s="226" t="n">
        <v>0.28625</v>
      </c>
      <c r="U244" s="226" t="n">
        <v>0.4145</v>
      </c>
      <c r="V244" s="226" t="n">
        <v>0.5</v>
      </c>
      <c r="W244" s="227" t="n">
        <v>0</v>
      </c>
      <c r="X244" s="227" t="n">
        <v>0</v>
      </c>
      <c r="Y244" s="227" t="n">
        <v>0</v>
      </c>
      <c r="Z244" s="227" t="n">
        <v>0</v>
      </c>
      <c r="AA244" s="227" t="n">
        <v>0</v>
      </c>
    </row>
    <row r="245">
      <c r="A245" t="inlineStr">
        <is>
          <t>Gila River Resorts &amp; Casinos – Vee Quiva</t>
        </is>
      </c>
      <c r="B245" t="inlineStr">
        <is>
          <t>Hotel</t>
        </is>
      </c>
      <c r="C245" t="inlineStr">
        <is>
          <t>NO</t>
        </is>
      </c>
      <c r="D245" t="n">
        <v>0</v>
      </c>
      <c r="E245" t="inlineStr"/>
      <c r="F245" t="inlineStr"/>
      <c r="G245" s="227" t="n">
        <v>0</v>
      </c>
      <c r="H245" t="n">
        <v>2</v>
      </c>
      <c r="I245" t="n">
        <v>1</v>
      </c>
      <c r="J245" t="n">
        <v>2</v>
      </c>
      <c r="K245" t="n">
        <v>4</v>
      </c>
      <c r="L245" t="n">
        <v>2</v>
      </c>
      <c r="M245" s="236" t="n">
        <v>0</v>
      </c>
      <c r="N245" t="inlineStr"/>
      <c r="O245" s="236" t="n">
        <v>2.05</v>
      </c>
      <c r="P245" s="236" t="n">
        <v>2.05</v>
      </c>
      <c r="Q245" s="224" t="inlineStr">
        <is>
          <t>D — Deprioritized</t>
        </is>
      </c>
      <c r="R245" s="226" t="n">
        <v>0</v>
      </c>
      <c r="S245" s="226" t="n">
        <v>0.018</v>
      </c>
      <c r="T245" s="226" t="n">
        <v>0.05500000000000001</v>
      </c>
      <c r="U245" s="226" t="n">
        <v>0.082</v>
      </c>
      <c r="V245" s="226" t="n">
        <v>0.1</v>
      </c>
      <c r="W245" s="227" t="n">
        <v>0</v>
      </c>
      <c r="X245" s="227" t="n">
        <v>0</v>
      </c>
      <c r="Y245" s="227" t="n">
        <v>0</v>
      </c>
      <c r="Z245" s="227" t="n">
        <v>0</v>
      </c>
      <c r="AA245" s="227" t="n">
        <v>0</v>
      </c>
    </row>
    <row r="246">
      <c r="A246" t="inlineStr">
        <is>
          <t>Gila River Resorts &amp; Casinos – Wild Horse Pass</t>
        </is>
      </c>
      <c r="B246" t="inlineStr">
        <is>
          <t>Hotel</t>
        </is>
      </c>
      <c r="C246" t="inlineStr">
        <is>
          <t>NO</t>
        </is>
      </c>
      <c r="D246" t="n">
        <v>0</v>
      </c>
      <c r="E246" t="inlineStr"/>
      <c r="F246" t="inlineStr"/>
      <c r="G246" s="227" t="n">
        <v>0</v>
      </c>
      <c r="H246" t="n">
        <v>2</v>
      </c>
      <c r="I246" t="n">
        <v>1</v>
      </c>
      <c r="J246" t="n">
        <v>2</v>
      </c>
      <c r="K246" t="n">
        <v>4</v>
      </c>
      <c r="L246" t="n">
        <v>2</v>
      </c>
      <c r="M246" s="236" t="n">
        <v>0</v>
      </c>
      <c r="N246" t="inlineStr"/>
      <c r="O246" s="236" t="n">
        <v>2.05</v>
      </c>
      <c r="P246" s="236" t="n">
        <v>2.05</v>
      </c>
      <c r="Q246" s="224" t="inlineStr">
        <is>
          <t>D — Deprioritized</t>
        </is>
      </c>
      <c r="R246" s="226" t="n">
        <v>0</v>
      </c>
      <c r="S246" s="226" t="n">
        <v>0.018</v>
      </c>
      <c r="T246" s="226" t="n">
        <v>0.05500000000000001</v>
      </c>
      <c r="U246" s="226" t="n">
        <v>0.082</v>
      </c>
      <c r="V246" s="226" t="n">
        <v>0.1</v>
      </c>
      <c r="W246" s="227" t="n">
        <v>0</v>
      </c>
      <c r="X246" s="227" t="n">
        <v>0</v>
      </c>
      <c r="Y246" s="227" t="n">
        <v>0</v>
      </c>
      <c r="Z246" s="227" t="n">
        <v>0</v>
      </c>
      <c r="AA246" s="227" t="n">
        <v>0</v>
      </c>
    </row>
    <row r="247">
      <c r="A247" t="inlineStr">
        <is>
          <t>Desert Diamond West Valley Resort &amp; Casino</t>
        </is>
      </c>
      <c r="B247" t="inlineStr">
        <is>
          <t>Hotel</t>
        </is>
      </c>
      <c r="C247" t="inlineStr">
        <is>
          <t>NO</t>
        </is>
      </c>
      <c r="D247" t="n">
        <v>0</v>
      </c>
      <c r="E247" t="inlineStr"/>
      <c r="F247" t="inlineStr"/>
      <c r="G247" s="227" t="n">
        <v>0</v>
      </c>
      <c r="H247" t="n">
        <v>2</v>
      </c>
      <c r="I247" t="n">
        <v>1</v>
      </c>
      <c r="J247" t="n">
        <v>2</v>
      </c>
      <c r="K247" t="n">
        <v>4</v>
      </c>
      <c r="L247" t="n">
        <v>2</v>
      </c>
      <c r="M247" s="236" t="n">
        <v>0</v>
      </c>
      <c r="N247" t="inlineStr"/>
      <c r="O247" s="236" t="n">
        <v>2.05</v>
      </c>
      <c r="P247" s="236" t="n">
        <v>2.05</v>
      </c>
      <c r="Q247" s="224" t="inlineStr">
        <is>
          <t>D — Deprioritized</t>
        </is>
      </c>
      <c r="R247" s="226" t="n">
        <v>0</v>
      </c>
      <c r="S247" s="226" t="n">
        <v>0.018</v>
      </c>
      <c r="T247" s="226" t="n">
        <v>0.05500000000000001</v>
      </c>
      <c r="U247" s="226" t="n">
        <v>0.082</v>
      </c>
      <c r="V247" s="226" t="n">
        <v>0.1</v>
      </c>
      <c r="W247" s="227" t="n">
        <v>0</v>
      </c>
      <c r="X247" s="227" t="n">
        <v>0</v>
      </c>
      <c r="Y247" s="227" t="n">
        <v>0</v>
      </c>
      <c r="Z247" s="227" t="n">
        <v>0</v>
      </c>
      <c r="AA247" s="227" t="n">
        <v>0</v>
      </c>
    </row>
    <row r="248">
      <c r="A248" t="inlineStr">
        <is>
          <t>The Scottsdale EDITION</t>
        </is>
      </c>
      <c r="B248" t="inlineStr">
        <is>
          <t>Hotel</t>
        </is>
      </c>
      <c r="C248" t="inlineStr">
        <is>
          <t>NO</t>
        </is>
      </c>
      <c r="D248" t="n">
        <v>0</v>
      </c>
      <c r="E248" t="inlineStr"/>
      <c r="F248" t="inlineStr"/>
      <c r="G248" s="227" t="n">
        <v>0</v>
      </c>
      <c r="H248" t="n">
        <v>2</v>
      </c>
      <c r="I248" t="n">
        <v>1</v>
      </c>
      <c r="J248" t="n">
        <v>2</v>
      </c>
      <c r="K248" t="n">
        <v>4</v>
      </c>
      <c r="L248" t="n">
        <v>2</v>
      </c>
      <c r="M248" s="236" t="n">
        <v>0</v>
      </c>
      <c r="N248" t="inlineStr"/>
      <c r="O248" s="236" t="n">
        <v>2.05</v>
      </c>
      <c r="P248" s="236" t="n">
        <v>2.05</v>
      </c>
      <c r="Q248" s="224" t="inlineStr">
        <is>
          <t>D — Deprioritized</t>
        </is>
      </c>
      <c r="R248" s="226" t="n">
        <v>0</v>
      </c>
      <c r="S248" s="226" t="n">
        <v>0.018</v>
      </c>
      <c r="T248" s="226" t="n">
        <v>0.05500000000000001</v>
      </c>
      <c r="U248" s="226" t="n">
        <v>0.082</v>
      </c>
      <c r="V248" s="226" t="n">
        <v>0.1</v>
      </c>
      <c r="W248" s="227" t="n">
        <v>0</v>
      </c>
      <c r="X248" s="227" t="n">
        <v>0</v>
      </c>
      <c r="Y248" s="227" t="n">
        <v>0</v>
      </c>
      <c r="Z248" s="227" t="n">
        <v>0</v>
      </c>
      <c r="AA248" s="227" t="n">
        <v>0</v>
      </c>
    </row>
    <row r="249">
      <c r="A249" t="inlineStr">
        <is>
          <t>The Ritz-Carlton Paradise Valley, The Palmeraie</t>
        </is>
      </c>
      <c r="B249" t="inlineStr">
        <is>
          <t>Hotel</t>
        </is>
      </c>
      <c r="C249" t="inlineStr">
        <is>
          <t>NO</t>
        </is>
      </c>
      <c r="D249" t="n">
        <v>0</v>
      </c>
      <c r="E249" t="inlineStr"/>
      <c r="F249" t="inlineStr"/>
      <c r="G249" s="227" t="n">
        <v>0</v>
      </c>
      <c r="H249" t="n">
        <v>2</v>
      </c>
      <c r="I249" t="n">
        <v>1</v>
      </c>
      <c r="J249" t="n">
        <v>3</v>
      </c>
      <c r="K249" t="n">
        <v>4</v>
      </c>
      <c r="L249" t="n">
        <v>2</v>
      </c>
      <c r="M249" s="236" t="n">
        <v>0</v>
      </c>
      <c r="N249" t="inlineStr"/>
      <c r="O249" s="236" t="n">
        <v>2.25</v>
      </c>
      <c r="P249" s="236" t="n">
        <v>2.25</v>
      </c>
      <c r="Q249" s="224" t="inlineStr">
        <is>
          <t>D — Deprioritized</t>
        </is>
      </c>
      <c r="R249" s="226" t="n">
        <v>0</v>
      </c>
      <c r="S249" s="226" t="n">
        <v>0.018</v>
      </c>
      <c r="T249" s="226" t="n">
        <v>0.05500000000000001</v>
      </c>
      <c r="U249" s="226" t="n">
        <v>0.082</v>
      </c>
      <c r="V249" s="226" t="n">
        <v>0.1</v>
      </c>
      <c r="W249" s="227" t="n">
        <v>0</v>
      </c>
      <c r="X249" s="227" t="n">
        <v>0</v>
      </c>
      <c r="Y249" s="227" t="n">
        <v>0</v>
      </c>
      <c r="Z249" s="227" t="n">
        <v>0</v>
      </c>
      <c r="AA249" s="227" t="n">
        <v>0</v>
      </c>
    </row>
    <row r="250">
      <c r="A250" t="inlineStr">
        <is>
          <t>VAI Resort</t>
        </is>
      </c>
      <c r="B250" t="inlineStr">
        <is>
          <t>Hotel</t>
        </is>
      </c>
      <c r="C250" t="inlineStr">
        <is>
          <t>NO</t>
        </is>
      </c>
      <c r="D250" t="n">
        <v>0</v>
      </c>
      <c r="E250" t="inlineStr"/>
      <c r="F250" t="inlineStr"/>
      <c r="G250" s="227" t="n">
        <v>0</v>
      </c>
      <c r="H250" t="n">
        <v>2</v>
      </c>
      <c r="I250" t="n">
        <v>1</v>
      </c>
      <c r="J250" t="n">
        <v>2</v>
      </c>
      <c r="K250" t="n">
        <v>4</v>
      </c>
      <c r="L250" t="n">
        <v>2</v>
      </c>
      <c r="M250" s="236" t="n">
        <v>0</v>
      </c>
      <c r="N250" t="inlineStr"/>
      <c r="O250" s="236" t="n">
        <v>2.05</v>
      </c>
      <c r="P250" s="236" t="n">
        <v>2.05</v>
      </c>
      <c r="Q250" s="224" t="inlineStr">
        <is>
          <t>D — Deprioritized</t>
        </is>
      </c>
      <c r="R250" s="226" t="n">
        <v>0</v>
      </c>
      <c r="S250" s="226" t="n">
        <v>0.018</v>
      </c>
      <c r="T250" s="226" t="n">
        <v>0.05500000000000001</v>
      </c>
      <c r="U250" s="226" t="n">
        <v>0.082</v>
      </c>
      <c r="V250" s="226" t="n">
        <v>0.1</v>
      </c>
      <c r="W250" s="227" t="n">
        <v>0</v>
      </c>
      <c r="X250" s="227" t="n">
        <v>0</v>
      </c>
      <c r="Y250" s="227" t="n">
        <v>0</v>
      </c>
      <c r="Z250" s="227" t="n">
        <v>0</v>
      </c>
      <c r="AA250" s="227" t="n">
        <v>0</v>
      </c>
    </row>
    <row r="251">
      <c r="A251" t="inlineStr">
        <is>
          <t>Luxury Hotel at The Parque</t>
        </is>
      </c>
      <c r="B251" t="inlineStr">
        <is>
          <t>Hotel</t>
        </is>
      </c>
      <c r="C251" t="inlineStr">
        <is>
          <t>NO</t>
        </is>
      </c>
      <c r="D251" t="n">
        <v>0</v>
      </c>
      <c r="E251" t="inlineStr"/>
      <c r="F251" t="inlineStr"/>
      <c r="G251" s="227" t="n">
        <v>0</v>
      </c>
      <c r="H251" t="n">
        <v>2</v>
      </c>
      <c r="I251" t="n">
        <v>1</v>
      </c>
      <c r="J251" t="n">
        <v>2</v>
      </c>
      <c r="K251" t="n">
        <v>4</v>
      </c>
      <c r="L251" t="n">
        <v>2</v>
      </c>
      <c r="M251" s="236" t="n">
        <v>0</v>
      </c>
      <c r="N251" t="inlineStr"/>
      <c r="O251" s="236" t="n">
        <v>2.05</v>
      </c>
      <c r="P251" s="236" t="n">
        <v>2.05</v>
      </c>
      <c r="Q251" s="224" t="inlineStr">
        <is>
          <t>D — Deprioritized</t>
        </is>
      </c>
      <c r="R251" s="226" t="n">
        <v>0</v>
      </c>
      <c r="S251" s="226" t="n">
        <v>0.018</v>
      </c>
      <c r="T251" s="226" t="n">
        <v>0.05500000000000001</v>
      </c>
      <c r="U251" s="226" t="n">
        <v>0.082</v>
      </c>
      <c r="V251" s="226" t="n">
        <v>0.1</v>
      </c>
      <c r="W251" s="227" t="n">
        <v>0</v>
      </c>
      <c r="X251" s="227" t="n">
        <v>0</v>
      </c>
      <c r="Y251" s="227" t="n">
        <v>0</v>
      </c>
      <c r="Z251" s="227" t="n">
        <v>0</v>
      </c>
      <c r="AA251" s="227" t="n">
        <v>0</v>
      </c>
    </row>
    <row r="252">
      <c r="A252" t="inlineStr">
        <is>
          <t>Mint House Midtown Phoenix</t>
        </is>
      </c>
      <c r="B252" t="inlineStr">
        <is>
          <t>Hotel</t>
        </is>
      </c>
      <c r="C252" t="inlineStr">
        <is>
          <t>NO</t>
        </is>
      </c>
      <c r="D252" t="n">
        <v>0</v>
      </c>
      <c r="E252" t="inlineStr"/>
      <c r="F252" t="inlineStr"/>
      <c r="G252" s="227" t="n">
        <v>0</v>
      </c>
      <c r="H252" t="n">
        <v>2</v>
      </c>
      <c r="I252" t="n">
        <v>1</v>
      </c>
      <c r="J252" t="n">
        <v>2</v>
      </c>
      <c r="K252" t="n">
        <v>4</v>
      </c>
      <c r="L252" t="n">
        <v>2</v>
      </c>
      <c r="M252" s="236" t="n">
        <v>0</v>
      </c>
      <c r="N252" t="inlineStr"/>
      <c r="O252" s="236" t="n">
        <v>2.05</v>
      </c>
      <c r="P252" s="236" t="n">
        <v>2.05</v>
      </c>
      <c r="Q252" s="224" t="inlineStr">
        <is>
          <t>D — Deprioritized</t>
        </is>
      </c>
      <c r="R252" s="226" t="n">
        <v>0</v>
      </c>
      <c r="S252" s="226" t="n">
        <v>0.018</v>
      </c>
      <c r="T252" s="226" t="n">
        <v>0.05500000000000001</v>
      </c>
      <c r="U252" s="226" t="n">
        <v>0.082</v>
      </c>
      <c r="V252" s="226" t="n">
        <v>0.1</v>
      </c>
      <c r="W252" s="227" t="n">
        <v>0</v>
      </c>
      <c r="X252" s="227" t="n">
        <v>0</v>
      </c>
      <c r="Y252" s="227" t="n">
        <v>0</v>
      </c>
      <c r="Z252" s="227" t="n">
        <v>0</v>
      </c>
      <c r="AA252" s="227" t="n">
        <v>0</v>
      </c>
    </row>
    <row r="253">
      <c r="A253" t="inlineStr">
        <is>
          <t>Placemakr Downtown Phoenix</t>
        </is>
      </c>
      <c r="B253" t="inlineStr">
        <is>
          <t>Hotel</t>
        </is>
      </c>
      <c r="C253" t="inlineStr">
        <is>
          <t>NO</t>
        </is>
      </c>
      <c r="D253" t="n">
        <v>0</v>
      </c>
      <c r="E253" t="inlineStr"/>
      <c r="F253" t="inlineStr"/>
      <c r="G253" s="227" t="n">
        <v>0</v>
      </c>
      <c r="H253" t="n">
        <v>2</v>
      </c>
      <c r="I253" t="n">
        <v>1</v>
      </c>
      <c r="J253" t="n">
        <v>2</v>
      </c>
      <c r="K253" t="n">
        <v>4</v>
      </c>
      <c r="L253" t="n">
        <v>2</v>
      </c>
      <c r="M253" s="236" t="n">
        <v>0</v>
      </c>
      <c r="N253" t="inlineStr"/>
      <c r="O253" s="236" t="n">
        <v>2.05</v>
      </c>
      <c r="P253" s="236" t="n">
        <v>2.05</v>
      </c>
      <c r="Q253" s="224" t="inlineStr">
        <is>
          <t>D — Deprioritized</t>
        </is>
      </c>
      <c r="R253" s="226" t="n">
        <v>0</v>
      </c>
      <c r="S253" s="226" t="n">
        <v>0.018</v>
      </c>
      <c r="T253" s="226" t="n">
        <v>0.05500000000000001</v>
      </c>
      <c r="U253" s="226" t="n">
        <v>0.082</v>
      </c>
      <c r="V253" s="226" t="n">
        <v>0.1</v>
      </c>
      <c r="W253" s="227" t="n">
        <v>0</v>
      </c>
      <c r="X253" s="227" t="n">
        <v>0</v>
      </c>
      <c r="Y253" s="227" t="n">
        <v>0</v>
      </c>
      <c r="Z253" s="227" t="n">
        <v>0</v>
      </c>
      <c r="AA253" s="227" t="n">
        <v>0</v>
      </c>
    </row>
    <row r="254">
      <c r="A254" t="inlineStr">
        <is>
          <t>Sonder Mill Ave Apartments Tempe</t>
        </is>
      </c>
      <c r="B254" t="inlineStr">
        <is>
          <t>Hotel</t>
        </is>
      </c>
      <c r="C254" t="inlineStr">
        <is>
          <t>NO</t>
        </is>
      </c>
      <c r="D254" t="n">
        <v>0</v>
      </c>
      <c r="E254" t="inlineStr"/>
      <c r="F254" t="inlineStr"/>
      <c r="G254" s="227" t="n">
        <v>0</v>
      </c>
      <c r="H254" t="n">
        <v>2</v>
      </c>
      <c r="I254" t="n">
        <v>1</v>
      </c>
      <c r="J254" t="n">
        <v>2</v>
      </c>
      <c r="K254" t="n">
        <v>4</v>
      </c>
      <c r="L254" t="n">
        <v>2</v>
      </c>
      <c r="M254" s="236" t="n">
        <v>0</v>
      </c>
      <c r="N254" t="inlineStr"/>
      <c r="O254" s="236" t="n">
        <v>2.05</v>
      </c>
      <c r="P254" s="236" t="n">
        <v>2.05</v>
      </c>
      <c r="Q254" s="224" t="inlineStr">
        <is>
          <t>D — Deprioritized</t>
        </is>
      </c>
      <c r="R254" s="226" t="n">
        <v>0</v>
      </c>
      <c r="S254" s="226" t="n">
        <v>0.018</v>
      </c>
      <c r="T254" s="226" t="n">
        <v>0.05500000000000001</v>
      </c>
      <c r="U254" s="226" t="n">
        <v>0.082</v>
      </c>
      <c r="V254" s="226" t="n">
        <v>0.1</v>
      </c>
      <c r="W254" s="227" t="n">
        <v>0</v>
      </c>
      <c r="X254" s="227" t="n">
        <v>0</v>
      </c>
      <c r="Y254" s="227" t="n">
        <v>0</v>
      </c>
      <c r="Z254" s="227" t="n">
        <v>0</v>
      </c>
      <c r="AA254" s="227" t="n">
        <v>0</v>
      </c>
    </row>
    <row r="255">
      <c r="A255" t="inlineStr">
        <is>
          <t>Sonder Ida Apartments Downtown</t>
        </is>
      </c>
      <c r="B255" t="inlineStr">
        <is>
          <t>Hotel</t>
        </is>
      </c>
      <c r="C255" t="inlineStr">
        <is>
          <t>NO</t>
        </is>
      </c>
      <c r="D255" t="n">
        <v>0</v>
      </c>
      <c r="E255" t="inlineStr"/>
      <c r="F255" t="inlineStr"/>
      <c r="G255" s="227" t="n">
        <v>0</v>
      </c>
      <c r="H255" t="n">
        <v>2</v>
      </c>
      <c r="I255" t="n">
        <v>1</v>
      </c>
      <c r="J255" t="n">
        <v>2</v>
      </c>
      <c r="K255" t="n">
        <v>4</v>
      </c>
      <c r="L255" t="n">
        <v>2</v>
      </c>
      <c r="M255" s="236" t="n">
        <v>0</v>
      </c>
      <c r="N255" t="inlineStr"/>
      <c r="O255" s="236" t="n">
        <v>2.05</v>
      </c>
      <c r="P255" s="236" t="n">
        <v>2.05</v>
      </c>
      <c r="Q255" s="224" t="inlineStr">
        <is>
          <t>D — Deprioritized</t>
        </is>
      </c>
      <c r="R255" s="226" t="n">
        <v>0</v>
      </c>
      <c r="S255" s="226" t="n">
        <v>0.018</v>
      </c>
      <c r="T255" s="226" t="n">
        <v>0.05500000000000001</v>
      </c>
      <c r="U255" s="226" t="n">
        <v>0.082</v>
      </c>
      <c r="V255" s="226" t="n">
        <v>0.1</v>
      </c>
      <c r="W255" s="227" t="n">
        <v>0</v>
      </c>
      <c r="X255" s="227" t="n">
        <v>0</v>
      </c>
      <c r="Y255" s="227" t="n">
        <v>0</v>
      </c>
      <c r="Z255" s="227" t="n">
        <v>0</v>
      </c>
      <c r="AA255" s="227" t="n">
        <v>0</v>
      </c>
    </row>
    <row r="256">
      <c r="A256" t="inlineStr">
        <is>
          <t>Sentral Old Town</t>
        </is>
      </c>
      <c r="B256" t="inlineStr">
        <is>
          <t>Hotel</t>
        </is>
      </c>
      <c r="C256" t="inlineStr">
        <is>
          <t>NO</t>
        </is>
      </c>
      <c r="D256" t="n">
        <v>0</v>
      </c>
      <c r="E256" t="inlineStr"/>
      <c r="F256" t="inlineStr"/>
      <c r="G256" s="227" t="n">
        <v>0</v>
      </c>
      <c r="H256" t="n">
        <v>2</v>
      </c>
      <c r="I256" t="n">
        <v>1</v>
      </c>
      <c r="J256" t="n">
        <v>2</v>
      </c>
      <c r="K256" t="n">
        <v>4</v>
      </c>
      <c r="L256" t="n">
        <v>2</v>
      </c>
      <c r="M256" s="236" t="n">
        <v>0</v>
      </c>
      <c r="N256" t="inlineStr"/>
      <c r="O256" s="236" t="n">
        <v>2.05</v>
      </c>
      <c r="P256" s="236" t="n">
        <v>2.05</v>
      </c>
      <c r="Q256" s="224" t="inlineStr">
        <is>
          <t>D — Deprioritized</t>
        </is>
      </c>
      <c r="R256" s="226" t="n">
        <v>0</v>
      </c>
      <c r="S256" s="226" t="n">
        <v>0.018</v>
      </c>
      <c r="T256" s="226" t="n">
        <v>0.05500000000000001</v>
      </c>
      <c r="U256" s="226" t="n">
        <v>0.082</v>
      </c>
      <c r="V256" s="226" t="n">
        <v>0.1</v>
      </c>
      <c r="W256" s="227" t="n">
        <v>0</v>
      </c>
      <c r="X256" s="227" t="n">
        <v>0</v>
      </c>
      <c r="Y256" s="227" t="n">
        <v>0</v>
      </c>
      <c r="Z256" s="227" t="n">
        <v>0</v>
      </c>
      <c r="AA256" s="227" t="n">
        <v>0</v>
      </c>
    </row>
    <row r="257">
      <c r="A257" t="inlineStr">
        <is>
          <t>The Grand Inn</t>
        </is>
      </c>
      <c r="B257" t="inlineStr">
        <is>
          <t>Hotel</t>
        </is>
      </c>
      <c r="C257" t="inlineStr">
        <is>
          <t>NO</t>
        </is>
      </c>
      <c r="D257" t="n">
        <v>0</v>
      </c>
      <c r="E257" t="inlineStr"/>
      <c r="F257" t="inlineStr"/>
      <c r="G257" s="227" t="n">
        <v>0</v>
      </c>
      <c r="H257" t="n">
        <v>2</v>
      </c>
      <c r="I257" t="n">
        <v>1</v>
      </c>
      <c r="J257" t="n">
        <v>2</v>
      </c>
      <c r="K257" t="n">
        <v>4</v>
      </c>
      <c r="L257" t="n">
        <v>2</v>
      </c>
      <c r="M257" s="236" t="n">
        <v>0</v>
      </c>
      <c r="N257" t="inlineStr"/>
      <c r="O257" s="236" t="n">
        <v>2.05</v>
      </c>
      <c r="P257" s="236" t="n">
        <v>2.05</v>
      </c>
      <c r="Q257" s="224" t="inlineStr">
        <is>
          <t>D — Deprioritized</t>
        </is>
      </c>
      <c r="R257" s="226" t="n">
        <v>0</v>
      </c>
      <c r="S257" s="226" t="n">
        <v>0.018</v>
      </c>
      <c r="T257" s="226" t="n">
        <v>0.05500000000000001</v>
      </c>
      <c r="U257" s="226" t="n">
        <v>0.082</v>
      </c>
      <c r="V257" s="226" t="n">
        <v>0.1</v>
      </c>
      <c r="W257" s="227" t="n">
        <v>0</v>
      </c>
      <c r="X257" s="227" t="n">
        <v>0</v>
      </c>
      <c r="Y257" s="227" t="n">
        <v>0</v>
      </c>
      <c r="Z257" s="227" t="n">
        <v>0</v>
      </c>
      <c r="AA257" s="227" t="n">
        <v>0</v>
      </c>
    </row>
    <row r="258">
      <c r="A258" t="inlineStr">
        <is>
          <t>Hotel Solaya</t>
        </is>
      </c>
      <c r="B258" t="inlineStr">
        <is>
          <t>Hotel</t>
        </is>
      </c>
      <c r="C258" t="inlineStr">
        <is>
          <t>NO</t>
        </is>
      </c>
      <c r="D258" t="n">
        <v>0</v>
      </c>
      <c r="E258" t="inlineStr"/>
      <c r="F258" t="inlineStr"/>
      <c r="G258" s="227" t="n">
        <v>0</v>
      </c>
      <c r="H258" t="n">
        <v>2</v>
      </c>
      <c r="I258" t="n">
        <v>1</v>
      </c>
      <c r="J258" t="n">
        <v>2</v>
      </c>
      <c r="K258" t="n">
        <v>4</v>
      </c>
      <c r="L258" t="n">
        <v>2</v>
      </c>
      <c r="M258" s="236" t="n">
        <v>0</v>
      </c>
      <c r="N258" t="inlineStr"/>
      <c r="O258" s="236" t="n">
        <v>2.05</v>
      </c>
      <c r="P258" s="236" t="n">
        <v>2.05</v>
      </c>
      <c r="Q258" s="224" t="inlineStr">
        <is>
          <t>D — Deprioritized</t>
        </is>
      </c>
      <c r="R258" s="226" t="n">
        <v>0</v>
      </c>
      <c r="S258" s="226" t="n">
        <v>0.018</v>
      </c>
      <c r="T258" s="226" t="n">
        <v>0.05500000000000001</v>
      </c>
      <c r="U258" s="226" t="n">
        <v>0.082</v>
      </c>
      <c r="V258" s="226" t="n">
        <v>0.1</v>
      </c>
      <c r="W258" s="227" t="n">
        <v>0</v>
      </c>
      <c r="X258" s="227" t="n">
        <v>0</v>
      </c>
      <c r="Y258" s="227" t="n">
        <v>0</v>
      </c>
      <c r="Z258" s="227" t="n">
        <v>0</v>
      </c>
      <c r="AA258" s="227" t="n">
        <v>0</v>
      </c>
    </row>
    <row r="259">
      <c r="A259" t="inlineStr">
        <is>
          <t>Papago Hotel by Reside, Trademark Collection by Wyndham</t>
        </is>
      </c>
      <c r="B259" t="inlineStr">
        <is>
          <t>Hotel</t>
        </is>
      </c>
      <c r="C259" t="inlineStr">
        <is>
          <t>NO</t>
        </is>
      </c>
      <c r="D259" t="n">
        <v>0</v>
      </c>
      <c r="E259" t="inlineStr"/>
      <c r="F259" t="inlineStr"/>
      <c r="G259" s="227" t="n">
        <v>0</v>
      </c>
      <c r="H259" t="n">
        <v>2</v>
      </c>
      <c r="I259" t="n">
        <v>1</v>
      </c>
      <c r="J259" t="n">
        <v>3</v>
      </c>
      <c r="K259" t="n">
        <v>4</v>
      </c>
      <c r="L259" t="n">
        <v>2</v>
      </c>
      <c r="M259" s="236" t="n">
        <v>0.15</v>
      </c>
      <c r="N259" t="inlineStr">
        <is>
          <t>Brand familiarity (historical): Hilton_family</t>
        </is>
      </c>
      <c r="O259" s="236" t="n">
        <v>2.25</v>
      </c>
      <c r="P259" s="236" t="n">
        <v>2.4</v>
      </c>
      <c r="Q259" s="224" t="inlineStr">
        <is>
          <t>D — Deprioritized</t>
        </is>
      </c>
      <c r="R259" s="226" t="n">
        <v>0</v>
      </c>
      <c r="S259" s="226" t="n">
        <v>0.018</v>
      </c>
      <c r="T259" s="226" t="n">
        <v>0.05500000000000001</v>
      </c>
      <c r="U259" s="226" t="n">
        <v>0.082</v>
      </c>
      <c r="V259" s="226" t="n">
        <v>0.1</v>
      </c>
      <c r="W259" s="227" t="n">
        <v>0</v>
      </c>
      <c r="X259" s="227" t="n">
        <v>0</v>
      </c>
      <c r="Y259" s="227" t="n">
        <v>0</v>
      </c>
      <c r="Z259" s="227" t="n">
        <v>0</v>
      </c>
      <c r="AA259" s="227" t="n">
        <v>0</v>
      </c>
    </row>
    <row r="260">
      <c r="A260" t="inlineStr">
        <is>
          <t>The Edith</t>
        </is>
      </c>
      <c r="B260" t="inlineStr">
        <is>
          <t>Hotel</t>
        </is>
      </c>
      <c r="C260" t="inlineStr">
        <is>
          <t>NO</t>
        </is>
      </c>
      <c r="D260" t="n">
        <v>0</v>
      </c>
      <c r="E260" t="inlineStr"/>
      <c r="F260" t="inlineStr"/>
      <c r="G260" s="227" t="n">
        <v>0</v>
      </c>
      <c r="H260" t="n">
        <v>2</v>
      </c>
      <c r="I260" t="n">
        <v>1</v>
      </c>
      <c r="J260" t="n">
        <v>2</v>
      </c>
      <c r="K260" t="n">
        <v>4</v>
      </c>
      <c r="L260" t="n">
        <v>2</v>
      </c>
      <c r="M260" s="236" t="n">
        <v>0</v>
      </c>
      <c r="N260" t="inlineStr"/>
      <c r="O260" s="236" t="n">
        <v>2.05</v>
      </c>
      <c r="P260" s="236" t="n">
        <v>2.05</v>
      </c>
      <c r="Q260" s="224" t="inlineStr">
        <is>
          <t>D — Deprioritized</t>
        </is>
      </c>
      <c r="R260" s="226" t="n">
        <v>0</v>
      </c>
      <c r="S260" s="226" t="n">
        <v>0.018</v>
      </c>
      <c r="T260" s="226" t="n">
        <v>0.05500000000000001</v>
      </c>
      <c r="U260" s="226" t="n">
        <v>0.082</v>
      </c>
      <c r="V260" s="226" t="n">
        <v>0.1</v>
      </c>
      <c r="W260" s="227" t="n">
        <v>0</v>
      </c>
      <c r="X260" s="227" t="n">
        <v>0</v>
      </c>
      <c r="Y260" s="227" t="n">
        <v>0</v>
      </c>
      <c r="Z260" s="227" t="n">
        <v>0</v>
      </c>
      <c r="AA260" s="227" t="n">
        <v>0</v>
      </c>
    </row>
    <row r="261">
      <c r="A261" t="inlineStr">
        <is>
          <t>Alloy Midtown</t>
        </is>
      </c>
      <c r="B261" t="inlineStr">
        <is>
          <t>Hotel</t>
        </is>
      </c>
      <c r="C261" t="inlineStr">
        <is>
          <t>NO</t>
        </is>
      </c>
      <c r="D261" t="n">
        <v>0</v>
      </c>
      <c r="E261" t="inlineStr"/>
      <c r="F261" t="inlineStr"/>
      <c r="G261" s="227" t="n">
        <v>0</v>
      </c>
      <c r="H261" t="n">
        <v>2</v>
      </c>
      <c r="I261" t="n">
        <v>1</v>
      </c>
      <c r="J261" t="n">
        <v>2</v>
      </c>
      <c r="K261" t="n">
        <v>4</v>
      </c>
      <c r="L261" t="n">
        <v>2</v>
      </c>
      <c r="M261" s="236" t="n">
        <v>0</v>
      </c>
      <c r="N261" t="inlineStr"/>
      <c r="O261" s="236" t="n">
        <v>2.05</v>
      </c>
      <c r="P261" s="236" t="n">
        <v>2.05</v>
      </c>
      <c r="Q261" s="224" t="inlineStr">
        <is>
          <t>D — Deprioritized</t>
        </is>
      </c>
      <c r="R261" s="226" t="n">
        <v>0</v>
      </c>
      <c r="S261" s="226" t="n">
        <v>0.018</v>
      </c>
      <c r="T261" s="226" t="n">
        <v>0.05500000000000001</v>
      </c>
      <c r="U261" s="226" t="n">
        <v>0.082</v>
      </c>
      <c r="V261" s="226" t="n">
        <v>0.1</v>
      </c>
      <c r="W261" s="227" t="n">
        <v>0</v>
      </c>
      <c r="X261" s="227" t="n">
        <v>0</v>
      </c>
      <c r="Y261" s="227" t="n">
        <v>0</v>
      </c>
      <c r="Z261" s="227" t="n">
        <v>0</v>
      </c>
      <c r="AA261" s="227" t="n">
        <v>0</v>
      </c>
    </row>
    <row r="262">
      <c r="A262" t="inlineStr">
        <is>
          <t>W2ND Historic Inn</t>
        </is>
      </c>
      <c r="B262" t="inlineStr">
        <is>
          <t>Hotel</t>
        </is>
      </c>
      <c r="C262" t="inlineStr">
        <is>
          <t>NO</t>
        </is>
      </c>
      <c r="D262" t="n">
        <v>0</v>
      </c>
      <c r="E262" t="inlineStr"/>
      <c r="F262" t="inlineStr"/>
      <c r="G262" s="227" t="n">
        <v>0</v>
      </c>
      <c r="H262" t="n">
        <v>2</v>
      </c>
      <c r="I262" t="n">
        <v>1</v>
      </c>
      <c r="J262" t="n">
        <v>2</v>
      </c>
      <c r="K262" t="n">
        <v>4</v>
      </c>
      <c r="L262" t="n">
        <v>2</v>
      </c>
      <c r="M262" s="236" t="n">
        <v>0</v>
      </c>
      <c r="N262" t="inlineStr"/>
      <c r="O262" s="236" t="n">
        <v>2.05</v>
      </c>
      <c r="P262" s="236" t="n">
        <v>2.05</v>
      </c>
      <c r="Q262" s="224" t="inlineStr">
        <is>
          <t>D — Deprioritized</t>
        </is>
      </c>
      <c r="R262" s="226" t="n">
        <v>0</v>
      </c>
      <c r="S262" s="226" t="n">
        <v>0.018</v>
      </c>
      <c r="T262" s="226" t="n">
        <v>0.05500000000000001</v>
      </c>
      <c r="U262" s="226" t="n">
        <v>0.082</v>
      </c>
      <c r="V262" s="226" t="n">
        <v>0.1</v>
      </c>
      <c r="W262" s="227" t="n">
        <v>0</v>
      </c>
      <c r="X262" s="227" t="n">
        <v>0</v>
      </c>
      <c r="Y262" s="227" t="n">
        <v>0</v>
      </c>
      <c r="Z262" s="227" t="n">
        <v>0</v>
      </c>
      <c r="AA262" s="227" t="n">
        <v>0</v>
      </c>
    </row>
    <row r="263">
      <c r="A263" t="inlineStr">
        <is>
          <t>Recess Hotel &amp; Club Phoenix</t>
        </is>
      </c>
      <c r="B263" t="inlineStr">
        <is>
          <t>Hotel</t>
        </is>
      </c>
      <c r="C263" t="inlineStr">
        <is>
          <t>NO</t>
        </is>
      </c>
      <c r="D263" t="n">
        <v>0</v>
      </c>
      <c r="E263" t="inlineStr"/>
      <c r="F263" t="inlineStr"/>
      <c r="G263" s="227" t="n">
        <v>0</v>
      </c>
      <c r="H263" t="n">
        <v>2</v>
      </c>
      <c r="I263" t="n">
        <v>1</v>
      </c>
      <c r="J263" t="n">
        <v>2</v>
      </c>
      <c r="K263" t="n">
        <v>4</v>
      </c>
      <c r="L263" t="n">
        <v>2</v>
      </c>
      <c r="M263" s="236" t="n">
        <v>0</v>
      </c>
      <c r="N263" t="inlineStr"/>
      <c r="O263" s="236" t="n">
        <v>2.05</v>
      </c>
      <c r="P263" s="236" t="n">
        <v>2.05</v>
      </c>
      <c r="Q263" s="224" t="inlineStr">
        <is>
          <t>D — Deprioritized</t>
        </is>
      </c>
      <c r="R263" s="226" t="n">
        <v>0</v>
      </c>
      <c r="S263" s="226" t="n">
        <v>0.018</v>
      </c>
      <c r="T263" s="226" t="n">
        <v>0.05500000000000001</v>
      </c>
      <c r="U263" s="226" t="n">
        <v>0.082</v>
      </c>
      <c r="V263" s="226" t="n">
        <v>0.1</v>
      </c>
      <c r="W263" s="227" t="n">
        <v>0</v>
      </c>
      <c r="X263" s="227" t="n">
        <v>0</v>
      </c>
      <c r="Y263" s="227" t="n">
        <v>0</v>
      </c>
      <c r="Z263" s="227" t="n">
        <v>0</v>
      </c>
      <c r="AA263" s="227" t="n">
        <v>0</v>
      </c>
    </row>
    <row r="264">
      <c r="A264" t="inlineStr">
        <is>
          <t>SLS Scottsdale</t>
        </is>
      </c>
      <c r="B264" t="inlineStr">
        <is>
          <t>Hotel</t>
        </is>
      </c>
      <c r="C264" t="inlineStr">
        <is>
          <t>NO</t>
        </is>
      </c>
      <c r="D264" t="n">
        <v>0</v>
      </c>
      <c r="E264" t="inlineStr"/>
      <c r="F264" t="inlineStr"/>
      <c r="G264" s="227" t="n">
        <v>0</v>
      </c>
      <c r="H264" t="n">
        <v>2</v>
      </c>
      <c r="I264" t="n">
        <v>1</v>
      </c>
      <c r="J264" t="n">
        <v>2</v>
      </c>
      <c r="K264" t="n">
        <v>4</v>
      </c>
      <c r="L264" t="n">
        <v>2</v>
      </c>
      <c r="M264" s="236" t="n">
        <v>0</v>
      </c>
      <c r="N264" t="inlineStr"/>
      <c r="O264" s="236" t="n">
        <v>2.05</v>
      </c>
      <c r="P264" s="236" t="n">
        <v>2.05</v>
      </c>
      <c r="Q264" s="224" t="inlineStr">
        <is>
          <t>D — Deprioritized</t>
        </is>
      </c>
      <c r="R264" s="226" t="n">
        <v>0</v>
      </c>
      <c r="S264" s="226" t="n">
        <v>0.018</v>
      </c>
      <c r="T264" s="226" t="n">
        <v>0.05500000000000001</v>
      </c>
      <c r="U264" s="226" t="n">
        <v>0.082</v>
      </c>
      <c r="V264" s="226" t="n">
        <v>0.1</v>
      </c>
      <c r="W264" s="227" t="n">
        <v>0</v>
      </c>
      <c r="X264" s="227" t="n">
        <v>0</v>
      </c>
      <c r="Y264" s="227" t="n">
        <v>0</v>
      </c>
      <c r="Z264" s="227" t="n">
        <v>0</v>
      </c>
      <c r="AA264" s="227" t="n">
        <v>0</v>
      </c>
    </row>
    <row r="265">
      <c r="A265" t="inlineStr">
        <is>
          <t>Phoenix Tempe, Autograph Collection</t>
        </is>
      </c>
      <c r="B265" t="inlineStr">
        <is>
          <t>Hotel</t>
        </is>
      </c>
      <c r="C265" t="inlineStr">
        <is>
          <t>NO</t>
        </is>
      </c>
      <c r="D265" t="n">
        <v>0</v>
      </c>
      <c r="E265" t="inlineStr"/>
      <c r="F265" t="inlineStr"/>
      <c r="G265" s="227" t="n">
        <v>0</v>
      </c>
      <c r="H265" t="n">
        <v>2</v>
      </c>
      <c r="I265" t="n">
        <v>1</v>
      </c>
      <c r="J265" t="n">
        <v>3</v>
      </c>
      <c r="K265" t="n">
        <v>4</v>
      </c>
      <c r="L265" t="n">
        <v>2</v>
      </c>
      <c r="M265" s="236" t="n">
        <v>0.3</v>
      </c>
      <c r="N265" t="inlineStr">
        <is>
          <t>Brand familiarity (current): Marriott_family</t>
        </is>
      </c>
      <c r="O265" s="236" t="n">
        <v>2.25</v>
      </c>
      <c r="P265" s="236" t="n">
        <v>2.55</v>
      </c>
      <c r="Q265" s="237" t="inlineStr">
        <is>
          <t>C — Opportunistic</t>
        </is>
      </c>
      <c r="R265" s="226" t="n">
        <v>0.02</v>
      </c>
      <c r="S265" s="226" t="n">
        <v>0.09724000000000002</v>
      </c>
      <c r="T265" s="226" t="n">
        <v>0.28625</v>
      </c>
      <c r="U265" s="226" t="n">
        <v>0.4145</v>
      </c>
      <c r="V265" s="226" t="n">
        <v>0.5</v>
      </c>
      <c r="W265" s="227" t="n">
        <v>0</v>
      </c>
      <c r="X265" s="227" t="n">
        <v>0</v>
      </c>
      <c r="Y265" s="227" t="n">
        <v>0</v>
      </c>
      <c r="Z265" s="227" t="n">
        <v>0</v>
      </c>
      <c r="AA265" s="227" t="n">
        <v>0</v>
      </c>
    </row>
    <row r="266">
      <c r="A266" t="inlineStr">
        <is>
          <t>Astra Phoenix</t>
        </is>
      </c>
      <c r="B266" t="inlineStr">
        <is>
          <t>Hotel</t>
        </is>
      </c>
      <c r="C266" t="inlineStr">
        <is>
          <t>NO</t>
        </is>
      </c>
      <c r="D266" t="n">
        <v>0</v>
      </c>
      <c r="E266" t="inlineStr"/>
      <c r="F266" t="inlineStr"/>
      <c r="G266" s="227" t="n">
        <v>0</v>
      </c>
      <c r="H266" t="n">
        <v>2</v>
      </c>
      <c r="I266" t="n">
        <v>1</v>
      </c>
      <c r="J266" t="n">
        <v>2</v>
      </c>
      <c r="K266" t="n">
        <v>4</v>
      </c>
      <c r="L266" t="n">
        <v>2</v>
      </c>
      <c r="M266" s="236" t="n">
        <v>0</v>
      </c>
      <c r="N266" t="inlineStr"/>
      <c r="O266" s="236" t="n">
        <v>2.05</v>
      </c>
      <c r="P266" s="236" t="n">
        <v>2.05</v>
      </c>
      <c r="Q266" s="224" t="inlineStr">
        <is>
          <t>D — Deprioritized</t>
        </is>
      </c>
      <c r="R266" s="226" t="n">
        <v>0</v>
      </c>
      <c r="S266" s="226" t="n">
        <v>0.018</v>
      </c>
      <c r="T266" s="226" t="n">
        <v>0.05500000000000001</v>
      </c>
      <c r="U266" s="226" t="n">
        <v>0.082</v>
      </c>
      <c r="V266" s="226" t="n">
        <v>0.1</v>
      </c>
      <c r="W266" s="227" t="n">
        <v>0</v>
      </c>
      <c r="X266" s="227" t="n">
        <v>0</v>
      </c>
      <c r="Y266" s="227" t="n">
        <v>0</v>
      </c>
      <c r="Z266" s="227" t="n">
        <v>0</v>
      </c>
      <c r="AA266" s="227" t="n">
        <v>0</v>
      </c>
    </row>
    <row r="267">
      <c r="A267" t="inlineStr">
        <is>
          <t>Atari Hotels Phoenix</t>
        </is>
      </c>
      <c r="B267" t="inlineStr">
        <is>
          <t>Hotel</t>
        </is>
      </c>
      <c r="C267" t="inlineStr">
        <is>
          <t>NO</t>
        </is>
      </c>
      <c r="D267" t="n">
        <v>0</v>
      </c>
      <c r="E267" t="inlineStr"/>
      <c r="F267" t="inlineStr"/>
      <c r="G267" s="227" t="n">
        <v>0</v>
      </c>
      <c r="H267" t="n">
        <v>2</v>
      </c>
      <c r="I267" t="n">
        <v>1</v>
      </c>
      <c r="J267" t="n">
        <v>2</v>
      </c>
      <c r="K267" t="n">
        <v>4</v>
      </c>
      <c r="L267" t="n">
        <v>2</v>
      </c>
      <c r="M267" s="236" t="n">
        <v>0</v>
      </c>
      <c r="N267" t="inlineStr"/>
      <c r="O267" s="236" t="n">
        <v>2.05</v>
      </c>
      <c r="P267" s="236" t="n">
        <v>2.05</v>
      </c>
      <c r="Q267" s="224" t="inlineStr">
        <is>
          <t>D — Deprioritized</t>
        </is>
      </c>
      <c r="R267" s="226" t="n">
        <v>0</v>
      </c>
      <c r="S267" s="226" t="n">
        <v>0.018</v>
      </c>
      <c r="T267" s="226" t="n">
        <v>0.05500000000000001</v>
      </c>
      <c r="U267" s="226" t="n">
        <v>0.082</v>
      </c>
      <c r="V267" s="226" t="n">
        <v>0.1</v>
      </c>
      <c r="W267" s="227" t="n">
        <v>0</v>
      </c>
      <c r="X267" s="227" t="n">
        <v>0</v>
      </c>
      <c r="Y267" s="227" t="n">
        <v>0</v>
      </c>
      <c r="Z267" s="227" t="n">
        <v>0</v>
      </c>
      <c r="AA267" s="227" t="n">
        <v>0</v>
      </c>
    </row>
    <row r="268">
      <c r="A268" t="inlineStr">
        <is>
          <t>Museum Square Hotel</t>
        </is>
      </c>
      <c r="B268" t="inlineStr">
        <is>
          <t>Hotel</t>
        </is>
      </c>
      <c r="C268" t="inlineStr">
        <is>
          <t>NO</t>
        </is>
      </c>
      <c r="D268" t="n">
        <v>0</v>
      </c>
      <c r="E268" t="inlineStr"/>
      <c r="F268" t="inlineStr"/>
      <c r="G268" s="227" t="n">
        <v>0</v>
      </c>
      <c r="H268" t="n">
        <v>2</v>
      </c>
      <c r="I268" t="n">
        <v>1</v>
      </c>
      <c r="J268" t="n">
        <v>2</v>
      </c>
      <c r="K268" t="n">
        <v>4</v>
      </c>
      <c r="L268" t="n">
        <v>2</v>
      </c>
      <c r="M268" s="236" t="n">
        <v>0</v>
      </c>
      <c r="N268" t="inlineStr"/>
      <c r="O268" s="236" t="n">
        <v>2.05</v>
      </c>
      <c r="P268" s="236" t="n">
        <v>2.05</v>
      </c>
      <c r="Q268" s="224" t="inlineStr">
        <is>
          <t>D — Deprioritized</t>
        </is>
      </c>
      <c r="R268" s="226" t="n">
        <v>0</v>
      </c>
      <c r="S268" s="226" t="n">
        <v>0.018</v>
      </c>
      <c r="T268" s="226" t="n">
        <v>0.05500000000000001</v>
      </c>
      <c r="U268" s="226" t="n">
        <v>0.082</v>
      </c>
      <c r="V268" s="226" t="n">
        <v>0.1</v>
      </c>
      <c r="W268" s="227" t="n">
        <v>0</v>
      </c>
      <c r="X268" s="227" t="n">
        <v>0</v>
      </c>
      <c r="Y268" s="227" t="n">
        <v>0</v>
      </c>
      <c r="Z268" s="227" t="n">
        <v>0</v>
      </c>
      <c r="AA268" s="227" t="n">
        <v>0</v>
      </c>
    </row>
    <row r="269">
      <c r="A269" t="inlineStr">
        <is>
          <t>Glo</t>
        </is>
      </c>
      <c r="B269" t="inlineStr">
        <is>
          <t>Hotel</t>
        </is>
      </c>
      <c r="C269" t="inlineStr">
        <is>
          <t>NO</t>
        </is>
      </c>
      <c r="D269" t="n">
        <v>0</v>
      </c>
      <c r="E269" t="inlineStr"/>
      <c r="F269" t="inlineStr"/>
      <c r="G269" s="227" t="n">
        <v>0</v>
      </c>
      <c r="H269" t="n">
        <v>2</v>
      </c>
      <c r="I269" t="n">
        <v>1</v>
      </c>
      <c r="J269" t="n">
        <v>2</v>
      </c>
      <c r="K269" t="n">
        <v>4</v>
      </c>
      <c r="L269" t="n">
        <v>2</v>
      </c>
      <c r="M269" s="236" t="n">
        <v>0</v>
      </c>
      <c r="N269" t="inlineStr"/>
      <c r="O269" s="236" t="n">
        <v>2.05</v>
      </c>
      <c r="P269" s="236" t="n">
        <v>2.05</v>
      </c>
      <c r="Q269" s="224" t="inlineStr">
        <is>
          <t>D — Deprioritized</t>
        </is>
      </c>
      <c r="R269" s="226" t="n">
        <v>0</v>
      </c>
      <c r="S269" s="226" t="n">
        <v>0.018</v>
      </c>
      <c r="T269" s="226" t="n">
        <v>0.05500000000000001</v>
      </c>
      <c r="U269" s="226" t="n">
        <v>0.082</v>
      </c>
      <c r="V269" s="226" t="n">
        <v>0.1</v>
      </c>
      <c r="W269" s="227" t="n">
        <v>0</v>
      </c>
      <c r="X269" s="227" t="n">
        <v>0</v>
      </c>
      <c r="Y269" s="227" t="n">
        <v>0</v>
      </c>
      <c r="Z269" s="227" t="n">
        <v>0</v>
      </c>
      <c r="AA269" s="227" t="n">
        <v>0</v>
      </c>
    </row>
    <row r="270">
      <c r="A270" t="inlineStr">
        <is>
          <t>Filthy Animal</t>
        </is>
      </c>
      <c r="B270" t="inlineStr">
        <is>
          <t>Restaurant</t>
        </is>
      </c>
      <c r="C270" t="inlineStr">
        <is>
          <t>NO</t>
        </is>
      </c>
      <c r="D270" t="n">
        <v>0</v>
      </c>
      <c r="E270" t="inlineStr"/>
      <c r="F270" t="inlineStr">
        <is>
          <t>Complimentary</t>
        </is>
      </c>
      <c r="G270" s="227" t="n">
        <v>0</v>
      </c>
      <c r="H270" t="n">
        <v>3</v>
      </c>
      <c r="I270" t="n">
        <v>1</v>
      </c>
      <c r="J270" t="n">
        <v>2</v>
      </c>
      <c r="K270" t="n">
        <v>4</v>
      </c>
      <c r="L270" t="n">
        <v>2</v>
      </c>
      <c r="M270" s="236" t="n">
        <v>0</v>
      </c>
      <c r="N270" t="inlineStr"/>
      <c r="O270" s="236" t="n">
        <v>2.3</v>
      </c>
      <c r="P270" s="236" t="n">
        <v>2.3</v>
      </c>
      <c r="Q270" s="224" t="inlineStr">
        <is>
          <t>D — Deprioritized</t>
        </is>
      </c>
      <c r="R270" s="226" t="n">
        <v>0</v>
      </c>
      <c r="S270" s="226" t="n">
        <v>0.018</v>
      </c>
      <c r="T270" s="226" t="n">
        <v>0.05500000000000001</v>
      </c>
      <c r="U270" s="226" t="n">
        <v>0.082</v>
      </c>
      <c r="V270" s="226" t="n">
        <v>0.1</v>
      </c>
      <c r="W270" s="227" t="n">
        <v>0</v>
      </c>
      <c r="X270" s="227" t="n">
        <v>0</v>
      </c>
      <c r="Y270" s="227" t="n">
        <v>0</v>
      </c>
      <c r="Z270" s="227" t="n">
        <v>0</v>
      </c>
      <c r="AA270" s="227" t="n">
        <v>0</v>
      </c>
    </row>
    <row r="271">
      <c r="A271" t="inlineStr">
        <is>
          <t>Culinary Dropout - Tempe</t>
        </is>
      </c>
      <c r="B271" t="inlineStr">
        <is>
          <t>Restaurant</t>
        </is>
      </c>
      <c r="C271" t="inlineStr">
        <is>
          <t>NO</t>
        </is>
      </c>
      <c r="D271" t="n">
        <v>0</v>
      </c>
      <c r="E271" t="inlineStr"/>
      <c r="F271" t="inlineStr">
        <is>
          <t>Complimentary</t>
        </is>
      </c>
      <c r="G271" s="227" t="n">
        <v>0</v>
      </c>
      <c r="H271" t="n">
        <v>3</v>
      </c>
      <c r="I271" t="n">
        <v>1</v>
      </c>
      <c r="J271" t="n">
        <v>2</v>
      </c>
      <c r="K271" t="n">
        <v>4</v>
      </c>
      <c r="L271" t="n">
        <v>2</v>
      </c>
      <c r="M271" s="236" t="n">
        <v>0</v>
      </c>
      <c r="N271" t="inlineStr"/>
      <c r="O271" s="236" t="n">
        <v>2.3</v>
      </c>
      <c r="P271" s="236" t="n">
        <v>2.3</v>
      </c>
      <c r="Q271" s="224" t="inlineStr">
        <is>
          <t>D — Deprioritized</t>
        </is>
      </c>
      <c r="R271" s="226" t="n">
        <v>0</v>
      </c>
      <c r="S271" s="226" t="n">
        <v>0.018</v>
      </c>
      <c r="T271" s="226" t="n">
        <v>0.05500000000000001</v>
      </c>
      <c r="U271" s="226" t="n">
        <v>0.082</v>
      </c>
      <c r="V271" s="226" t="n">
        <v>0.1</v>
      </c>
      <c r="W271" s="227" t="n">
        <v>0</v>
      </c>
      <c r="X271" s="227" t="n">
        <v>0</v>
      </c>
      <c r="Y271" s="227" t="n">
        <v>0</v>
      </c>
      <c r="Z271" s="227" t="n">
        <v>0</v>
      </c>
      <c r="AA271" s="227" t="n">
        <v>0</v>
      </c>
    </row>
    <row r="272">
      <c r="A272" t="inlineStr">
        <is>
          <t>Three Thirty Three Restaurant</t>
        </is>
      </c>
      <c r="B272" t="inlineStr">
        <is>
          <t>Restaurant</t>
        </is>
      </c>
      <c r="C272" t="inlineStr">
        <is>
          <t>NO</t>
        </is>
      </c>
      <c r="D272" t="n">
        <v>0</v>
      </c>
      <c r="E272" t="inlineStr"/>
      <c r="F272" t="inlineStr">
        <is>
          <t>Has Valet</t>
        </is>
      </c>
      <c r="G272" s="227" t="n">
        <v>182250</v>
      </c>
      <c r="H272" t="n">
        <v>3</v>
      </c>
      <c r="I272" t="n">
        <v>1</v>
      </c>
      <c r="J272" t="n">
        <v>2</v>
      </c>
      <c r="K272" t="n">
        <v>4</v>
      </c>
      <c r="L272" t="n">
        <v>2</v>
      </c>
      <c r="M272" s="236" t="n">
        <v>0</v>
      </c>
      <c r="N272" t="inlineStr"/>
      <c r="O272" s="236" t="n">
        <v>2.3</v>
      </c>
      <c r="P272" s="236" t="n">
        <v>2.3</v>
      </c>
      <c r="Q272" s="224" t="inlineStr">
        <is>
          <t>D — Deprioritized</t>
        </is>
      </c>
      <c r="R272" s="226" t="n">
        <v>0</v>
      </c>
      <c r="S272" s="226" t="n">
        <v>0.018</v>
      </c>
      <c r="T272" s="226" t="n">
        <v>0.05500000000000001</v>
      </c>
      <c r="U272" s="226" t="n">
        <v>0.082</v>
      </c>
      <c r="V272" s="226" t="n">
        <v>0.1</v>
      </c>
      <c r="W272" s="227" t="n">
        <v>0</v>
      </c>
      <c r="X272" s="227" t="n">
        <v>3280.5</v>
      </c>
      <c r="Y272" s="227" t="n">
        <v>10023.75</v>
      </c>
      <c r="Z272" s="227" t="n">
        <v>14944.5</v>
      </c>
      <c r="AA272" s="227" t="n">
        <v>18225</v>
      </c>
    </row>
    <row r="273">
      <c r="A273" t="inlineStr">
        <is>
          <t>North Italia</t>
        </is>
      </c>
      <c r="B273" t="inlineStr">
        <is>
          <t>Restaurant</t>
        </is>
      </c>
      <c r="C273" t="inlineStr">
        <is>
          <t>NO</t>
        </is>
      </c>
      <c r="D273" t="n">
        <v>0</v>
      </c>
      <c r="E273" t="inlineStr"/>
      <c r="F273" t="inlineStr">
        <is>
          <t>Has Valet</t>
        </is>
      </c>
      <c r="G273" s="227" t="n">
        <v>273375</v>
      </c>
      <c r="H273" t="n">
        <v>3</v>
      </c>
      <c r="I273" t="n">
        <v>2</v>
      </c>
      <c r="J273" t="n">
        <v>2</v>
      </c>
      <c r="K273" t="n">
        <v>4</v>
      </c>
      <c r="L273" t="n">
        <v>2</v>
      </c>
      <c r="M273" s="236" t="n">
        <v>0</v>
      </c>
      <c r="N273" t="inlineStr"/>
      <c r="O273" s="236" t="n">
        <v>2.55</v>
      </c>
      <c r="P273" s="236" t="n">
        <v>2.55</v>
      </c>
      <c r="Q273" s="237" t="inlineStr">
        <is>
          <t>C — Opportunistic</t>
        </is>
      </c>
      <c r="R273" s="226" t="n">
        <v>0.02</v>
      </c>
      <c r="S273" s="226" t="n">
        <v>0.09724000000000002</v>
      </c>
      <c r="T273" s="226" t="n">
        <v>0.28625</v>
      </c>
      <c r="U273" s="226" t="n">
        <v>0.4145</v>
      </c>
      <c r="V273" s="226" t="n">
        <v>0.5</v>
      </c>
      <c r="W273" s="227" t="n">
        <v>5467.5</v>
      </c>
      <c r="X273" s="227" t="n">
        <v>26582.985</v>
      </c>
      <c r="Y273" s="227" t="n">
        <v>78253.59375</v>
      </c>
      <c r="Z273" s="227" t="n">
        <v>113313.9375</v>
      </c>
      <c r="AA273" s="227" t="n">
        <v>136687.5</v>
      </c>
    </row>
    <row r="274">
      <c r="A274" t="inlineStr">
        <is>
          <t>Top of the Rock Restaurant</t>
        </is>
      </c>
      <c r="B274" t="inlineStr">
        <is>
          <t>Restaurant</t>
        </is>
      </c>
      <c r="C274" t="inlineStr">
        <is>
          <t>NO</t>
        </is>
      </c>
      <c r="D274" t="n">
        <v>0</v>
      </c>
      <c r="E274" t="inlineStr"/>
      <c r="F274" t="inlineStr"/>
      <c r="G274" s="227" t="n">
        <v>0</v>
      </c>
      <c r="H274" t="n">
        <v>3</v>
      </c>
      <c r="I274" t="n">
        <v>1</v>
      </c>
      <c r="J274" t="n">
        <v>2</v>
      </c>
      <c r="K274" t="n">
        <v>4</v>
      </c>
      <c r="L274" t="n">
        <v>2</v>
      </c>
      <c r="M274" s="236" t="n">
        <v>0</v>
      </c>
      <c r="N274" t="inlineStr"/>
      <c r="O274" s="236" t="n">
        <v>2.3</v>
      </c>
      <c r="P274" s="236" t="n">
        <v>2.3</v>
      </c>
      <c r="Q274" s="224" t="inlineStr">
        <is>
          <t>D — Deprioritized</t>
        </is>
      </c>
      <c r="R274" s="226" t="n">
        <v>0</v>
      </c>
      <c r="S274" s="226" t="n">
        <v>0.018</v>
      </c>
      <c r="T274" s="226" t="n">
        <v>0.05500000000000001</v>
      </c>
      <c r="U274" s="226" t="n">
        <v>0.082</v>
      </c>
      <c r="V274" s="226" t="n">
        <v>0.1</v>
      </c>
      <c r="W274" s="227" t="n">
        <v>0</v>
      </c>
      <c r="X274" s="227" t="n">
        <v>0</v>
      </c>
      <c r="Y274" s="227" t="n">
        <v>0</v>
      </c>
      <c r="Z274" s="227" t="n">
        <v>0</v>
      </c>
      <c r="AA274" s="227" t="n">
        <v>0</v>
      </c>
    </row>
    <row r="275">
      <c r="A275" t="inlineStr">
        <is>
          <t>Postino Annex</t>
        </is>
      </c>
      <c r="B275" t="inlineStr">
        <is>
          <t>Restaurant</t>
        </is>
      </c>
      <c r="C275" t="inlineStr">
        <is>
          <t>NO</t>
        </is>
      </c>
      <c r="D275" t="n">
        <v>0</v>
      </c>
      <c r="E275" t="inlineStr"/>
      <c r="F275" t="inlineStr">
        <is>
          <t>No Valet</t>
        </is>
      </c>
      <c r="G275" s="227" t="n">
        <v>0</v>
      </c>
      <c r="H275" t="n">
        <v>3</v>
      </c>
      <c r="I275" t="n">
        <v>1</v>
      </c>
      <c r="J275" t="n">
        <v>2</v>
      </c>
      <c r="K275" t="n">
        <v>4</v>
      </c>
      <c r="L275" t="n">
        <v>2</v>
      </c>
      <c r="M275" s="236" t="n">
        <v>0</v>
      </c>
      <c r="N275" t="inlineStr"/>
      <c r="O275" s="236" t="n">
        <v>2.3</v>
      </c>
      <c r="P275" s="236" t="n">
        <v>2.3</v>
      </c>
      <c r="Q275" s="224" t="inlineStr">
        <is>
          <t>D — Deprioritized</t>
        </is>
      </c>
      <c r="R275" s="226" t="n">
        <v>0</v>
      </c>
      <c r="S275" s="226" t="n">
        <v>0.018</v>
      </c>
      <c r="T275" s="226" t="n">
        <v>0.05500000000000001</v>
      </c>
      <c r="U275" s="226" t="n">
        <v>0.082</v>
      </c>
      <c r="V275" s="226" t="n">
        <v>0.1</v>
      </c>
      <c r="W275" s="227" t="n">
        <v>0</v>
      </c>
      <c r="X275" s="227" t="n">
        <v>0</v>
      </c>
      <c r="Y275" s="227" t="n">
        <v>0</v>
      </c>
      <c r="Z275" s="227" t="n">
        <v>0</v>
      </c>
      <c r="AA275" s="227" t="n">
        <v>0</v>
      </c>
    </row>
    <row r="276">
      <c r="A276" t="inlineStr">
        <is>
          <t>Society</t>
        </is>
      </c>
      <c r="B276" t="inlineStr">
        <is>
          <t>Restaurant</t>
        </is>
      </c>
      <c r="C276" t="inlineStr">
        <is>
          <t>NO</t>
        </is>
      </c>
      <c r="D276" t="n">
        <v>0</v>
      </c>
      <c r="E276" t="inlineStr"/>
      <c r="F276" t="inlineStr"/>
      <c r="G276" s="227" t="n">
        <v>0</v>
      </c>
      <c r="H276" t="n">
        <v>3</v>
      </c>
      <c r="I276" t="n">
        <v>1</v>
      </c>
      <c r="J276" t="n">
        <v>2</v>
      </c>
      <c r="K276" t="n">
        <v>4</v>
      </c>
      <c r="L276" t="n">
        <v>2</v>
      </c>
      <c r="M276" s="236" t="n">
        <v>0</v>
      </c>
      <c r="N276" t="inlineStr"/>
      <c r="O276" s="236" t="n">
        <v>2.3</v>
      </c>
      <c r="P276" s="236" t="n">
        <v>2.3</v>
      </c>
      <c r="Q276" s="224" t="inlineStr">
        <is>
          <t>D — Deprioritized</t>
        </is>
      </c>
      <c r="R276" s="226" t="n">
        <v>0</v>
      </c>
      <c r="S276" s="226" t="n">
        <v>0.018</v>
      </c>
      <c r="T276" s="226" t="n">
        <v>0.05500000000000001</v>
      </c>
      <c r="U276" s="226" t="n">
        <v>0.082</v>
      </c>
      <c r="V276" s="226" t="n">
        <v>0.1</v>
      </c>
      <c r="W276" s="227" t="n">
        <v>0</v>
      </c>
      <c r="X276" s="227" t="n">
        <v>0</v>
      </c>
      <c r="Y276" s="227" t="n">
        <v>0</v>
      </c>
      <c r="Z276" s="227" t="n">
        <v>0</v>
      </c>
      <c r="AA276" s="227" t="n">
        <v>0</v>
      </c>
    </row>
    <row r="277">
      <c r="A277" t="inlineStr">
        <is>
          <t>Roman</t>
        </is>
      </c>
      <c r="B277" t="inlineStr">
        <is>
          <t>Restaurant</t>
        </is>
      </c>
      <c r="C277" t="inlineStr">
        <is>
          <t>NO</t>
        </is>
      </c>
      <c r="D277" t="n">
        <v>0</v>
      </c>
      <c r="E277" t="inlineStr"/>
      <c r="F277" t="inlineStr"/>
      <c r="G277" s="227" t="n">
        <v>0</v>
      </c>
      <c r="H277" t="n">
        <v>3</v>
      </c>
      <c r="I277" t="n">
        <v>1</v>
      </c>
      <c r="J277" t="n">
        <v>2</v>
      </c>
      <c r="K277" t="n">
        <v>4</v>
      </c>
      <c r="L277" t="n">
        <v>2</v>
      </c>
      <c r="M277" s="236" t="n">
        <v>0</v>
      </c>
      <c r="N277" t="inlineStr"/>
      <c r="O277" s="236" t="n">
        <v>2.3</v>
      </c>
      <c r="P277" s="236" t="n">
        <v>2.3</v>
      </c>
      <c r="Q277" s="224" t="inlineStr">
        <is>
          <t>D — Deprioritized</t>
        </is>
      </c>
      <c r="R277" s="226" t="n">
        <v>0</v>
      </c>
      <c r="S277" s="226" t="n">
        <v>0.018</v>
      </c>
      <c r="T277" s="226" t="n">
        <v>0.05500000000000001</v>
      </c>
      <c r="U277" s="226" t="n">
        <v>0.082</v>
      </c>
      <c r="V277" s="226" t="n">
        <v>0.1</v>
      </c>
      <c r="W277" s="227" t="n">
        <v>0</v>
      </c>
      <c r="X277" s="227" t="n">
        <v>0</v>
      </c>
      <c r="Y277" s="227" t="n">
        <v>0</v>
      </c>
      <c r="Z277" s="227" t="n">
        <v>0</v>
      </c>
      <c r="AA277" s="227" t="n">
        <v>0</v>
      </c>
    </row>
    <row r="278">
      <c r="A278" t="inlineStr">
        <is>
          <t>AZ88</t>
        </is>
      </c>
      <c r="B278" t="inlineStr">
        <is>
          <t>Restaurant</t>
        </is>
      </c>
      <c r="C278" t="inlineStr">
        <is>
          <t>NO</t>
        </is>
      </c>
      <c r="D278" t="n">
        <v>0</v>
      </c>
      <c r="E278" t="inlineStr"/>
      <c r="F278" t="inlineStr"/>
      <c r="G278" s="227" t="n">
        <v>0</v>
      </c>
      <c r="H278" t="n">
        <v>3</v>
      </c>
      <c r="I278" t="n">
        <v>1</v>
      </c>
      <c r="J278" t="n">
        <v>2</v>
      </c>
      <c r="K278" t="n">
        <v>4</v>
      </c>
      <c r="L278" t="n">
        <v>2</v>
      </c>
      <c r="M278" s="236" t="n">
        <v>0</v>
      </c>
      <c r="N278" t="inlineStr"/>
      <c r="O278" s="236" t="n">
        <v>2.3</v>
      </c>
      <c r="P278" s="236" t="n">
        <v>2.3</v>
      </c>
      <c r="Q278" s="224" t="inlineStr">
        <is>
          <t>D — Deprioritized</t>
        </is>
      </c>
      <c r="R278" s="226" t="n">
        <v>0</v>
      </c>
      <c r="S278" s="226" t="n">
        <v>0.018</v>
      </c>
      <c r="T278" s="226" t="n">
        <v>0.05500000000000001</v>
      </c>
      <c r="U278" s="226" t="n">
        <v>0.082</v>
      </c>
      <c r="V278" s="226" t="n">
        <v>0.1</v>
      </c>
      <c r="W278" s="227" t="n">
        <v>0</v>
      </c>
      <c r="X278" s="227" t="n">
        <v>0</v>
      </c>
      <c r="Y278" s="227" t="n">
        <v>0</v>
      </c>
      <c r="Z278" s="227" t="n">
        <v>0</v>
      </c>
      <c r="AA278" s="227" t="n">
        <v>0</v>
      </c>
    </row>
    <row r="279">
      <c r="A279" t="inlineStr">
        <is>
          <t>The Mission Old Town</t>
        </is>
      </c>
      <c r="B279" t="inlineStr">
        <is>
          <t>Restaurant</t>
        </is>
      </c>
      <c r="C279" t="inlineStr">
        <is>
          <t>NO</t>
        </is>
      </c>
      <c r="D279" t="n">
        <v>0</v>
      </c>
      <c r="E279" t="inlineStr"/>
      <c r="F279" t="inlineStr"/>
      <c r="G279" s="227" t="n">
        <v>0</v>
      </c>
      <c r="H279" t="n">
        <v>3</v>
      </c>
      <c r="I279" t="n">
        <v>1</v>
      </c>
      <c r="J279" t="n">
        <v>2</v>
      </c>
      <c r="K279" t="n">
        <v>4</v>
      </c>
      <c r="L279" t="n">
        <v>2</v>
      </c>
      <c r="M279" s="236" t="n">
        <v>0</v>
      </c>
      <c r="N279" t="inlineStr"/>
      <c r="O279" s="236" t="n">
        <v>2.3</v>
      </c>
      <c r="P279" s="236" t="n">
        <v>2.3</v>
      </c>
      <c r="Q279" s="224" t="inlineStr">
        <is>
          <t>D — Deprioritized</t>
        </is>
      </c>
      <c r="R279" s="226" t="n">
        <v>0</v>
      </c>
      <c r="S279" s="226" t="n">
        <v>0.018</v>
      </c>
      <c r="T279" s="226" t="n">
        <v>0.05500000000000001</v>
      </c>
      <c r="U279" s="226" t="n">
        <v>0.082</v>
      </c>
      <c r="V279" s="226" t="n">
        <v>0.1</v>
      </c>
      <c r="W279" s="227" t="n">
        <v>0</v>
      </c>
      <c r="X279" s="227" t="n">
        <v>0</v>
      </c>
      <c r="Y279" s="227" t="n">
        <v>0</v>
      </c>
      <c r="Z279" s="227" t="n">
        <v>0</v>
      </c>
      <c r="AA279" s="227" t="n">
        <v>0</v>
      </c>
    </row>
    <row r="280">
      <c r="A280" t="inlineStr">
        <is>
          <t>STK Steakhouse - Scottsdale</t>
        </is>
      </c>
      <c r="B280" t="inlineStr">
        <is>
          <t>Restaurant</t>
        </is>
      </c>
      <c r="C280" t="inlineStr">
        <is>
          <t>NO</t>
        </is>
      </c>
      <c r="D280" t="n">
        <v>0</v>
      </c>
      <c r="E280" t="inlineStr"/>
      <c r="F280" t="inlineStr">
        <is>
          <t>Has Valet</t>
        </is>
      </c>
      <c r="G280" s="227" t="n">
        <v>250593.75</v>
      </c>
      <c r="H280" t="n">
        <v>3</v>
      </c>
      <c r="I280" t="n">
        <v>2</v>
      </c>
      <c r="J280" t="n">
        <v>2</v>
      </c>
      <c r="K280" t="n">
        <v>4</v>
      </c>
      <c r="L280" t="n">
        <v>2</v>
      </c>
      <c r="M280" s="236" t="n">
        <v>1</v>
      </c>
      <c r="N280" t="inlineStr">
        <is>
          <t>Current operator: The ONE Group</t>
        </is>
      </c>
      <c r="O280" s="236" t="n">
        <v>2.55</v>
      </c>
      <c r="P280" s="236" t="n">
        <v>3.55</v>
      </c>
      <c r="Q280" s="238" t="inlineStr">
        <is>
          <t>B — Core</t>
        </is>
      </c>
      <c r="R280" s="226" t="n">
        <v>0.08</v>
      </c>
      <c r="S280" s="226" t="n">
        <v>0.22066</v>
      </c>
      <c r="T280" s="226" t="n">
        <v>0.560625</v>
      </c>
      <c r="U280" s="226" t="n">
        <v>0.7867499999999999</v>
      </c>
      <c r="V280" s="226" t="n">
        <v>0.9375</v>
      </c>
      <c r="W280" s="227" t="n">
        <v>20047.5</v>
      </c>
      <c r="X280" s="227" t="n">
        <v>55296.01687500001</v>
      </c>
      <c r="Y280" s="227" t="n">
        <v>140489.12109375</v>
      </c>
      <c r="Z280" s="227" t="n">
        <v>197154.6328125</v>
      </c>
      <c r="AA280" s="227" t="n">
        <v>234931.640625</v>
      </c>
    </row>
    <row r="281">
      <c r="A281" t="inlineStr">
        <is>
          <t>Uchi Scottsdale</t>
        </is>
      </c>
      <c r="B281" t="inlineStr">
        <is>
          <t>Restaurant</t>
        </is>
      </c>
      <c r="C281" t="inlineStr">
        <is>
          <t>NO</t>
        </is>
      </c>
      <c r="D281" t="n">
        <v>0</v>
      </c>
      <c r="E281" t="inlineStr"/>
      <c r="F281" t="inlineStr"/>
      <c r="G281" s="227" t="n">
        <v>0</v>
      </c>
      <c r="H281" t="n">
        <v>3</v>
      </c>
      <c r="I281" t="n">
        <v>1</v>
      </c>
      <c r="J281" t="n">
        <v>2</v>
      </c>
      <c r="K281" t="n">
        <v>4</v>
      </c>
      <c r="L281" t="n">
        <v>2</v>
      </c>
      <c r="M281" s="236" t="n">
        <v>0</v>
      </c>
      <c r="N281" t="inlineStr"/>
      <c r="O281" s="236" t="n">
        <v>2.3</v>
      </c>
      <c r="P281" s="236" t="n">
        <v>2.3</v>
      </c>
      <c r="Q281" s="224" t="inlineStr">
        <is>
          <t>D — Deprioritized</t>
        </is>
      </c>
      <c r="R281" s="226" t="n">
        <v>0</v>
      </c>
      <c r="S281" s="226" t="n">
        <v>0.018</v>
      </c>
      <c r="T281" s="226" t="n">
        <v>0.05500000000000001</v>
      </c>
      <c r="U281" s="226" t="n">
        <v>0.082</v>
      </c>
      <c r="V281" s="226" t="n">
        <v>0.1</v>
      </c>
      <c r="W281" s="227" t="n">
        <v>0</v>
      </c>
      <c r="X281" s="227" t="n">
        <v>0</v>
      </c>
      <c r="Y281" s="227" t="n">
        <v>0</v>
      </c>
      <c r="Z281" s="227" t="n">
        <v>0</v>
      </c>
      <c r="AA281" s="227" t="n">
        <v>0</v>
      </c>
    </row>
    <row r="282">
      <c r="A282" t="inlineStr">
        <is>
          <t>HULA'S Modern Tiki Scottsdale</t>
        </is>
      </c>
      <c r="B282" t="inlineStr">
        <is>
          <t>Restaurant</t>
        </is>
      </c>
      <c r="C282" t="inlineStr">
        <is>
          <t>NO</t>
        </is>
      </c>
      <c r="D282" t="n">
        <v>0</v>
      </c>
      <c r="E282" t="inlineStr"/>
      <c r="F282" t="inlineStr"/>
      <c r="G282" s="227" t="n">
        <v>0</v>
      </c>
      <c r="H282" t="n">
        <v>3</v>
      </c>
      <c r="I282" t="n">
        <v>1</v>
      </c>
      <c r="J282" t="n">
        <v>2</v>
      </c>
      <c r="K282" t="n">
        <v>4</v>
      </c>
      <c r="L282" t="n">
        <v>2</v>
      </c>
      <c r="M282" s="236" t="n">
        <v>0</v>
      </c>
      <c r="N282" t="inlineStr"/>
      <c r="O282" s="236" t="n">
        <v>2.3</v>
      </c>
      <c r="P282" s="236" t="n">
        <v>2.3</v>
      </c>
      <c r="Q282" s="224" t="inlineStr">
        <is>
          <t>D — Deprioritized</t>
        </is>
      </c>
      <c r="R282" s="226" t="n">
        <v>0</v>
      </c>
      <c r="S282" s="226" t="n">
        <v>0.018</v>
      </c>
      <c r="T282" s="226" t="n">
        <v>0.05500000000000001</v>
      </c>
      <c r="U282" s="226" t="n">
        <v>0.082</v>
      </c>
      <c r="V282" s="226" t="n">
        <v>0.1</v>
      </c>
      <c r="W282" s="227" t="n">
        <v>0</v>
      </c>
      <c r="X282" s="227" t="n">
        <v>0</v>
      </c>
      <c r="Y282" s="227" t="n">
        <v>0</v>
      </c>
      <c r="Z282" s="227" t="n">
        <v>0</v>
      </c>
      <c r="AA282" s="227" t="n">
        <v>0</v>
      </c>
    </row>
    <row r="283">
      <c r="A283" t="inlineStr">
        <is>
          <t>FnB Restaurant</t>
        </is>
      </c>
      <c r="B283" t="inlineStr">
        <is>
          <t>Restaurant</t>
        </is>
      </c>
      <c r="C283" t="inlineStr">
        <is>
          <t>NO</t>
        </is>
      </c>
      <c r="D283" t="n">
        <v>0</v>
      </c>
      <c r="E283" t="inlineStr"/>
      <c r="F283" t="inlineStr"/>
      <c r="G283" s="227" t="n">
        <v>0</v>
      </c>
      <c r="H283" t="n">
        <v>3</v>
      </c>
      <c r="I283" t="n">
        <v>1</v>
      </c>
      <c r="J283" t="n">
        <v>2</v>
      </c>
      <c r="K283" t="n">
        <v>4</v>
      </c>
      <c r="L283" t="n">
        <v>2</v>
      </c>
      <c r="M283" s="236" t="n">
        <v>0</v>
      </c>
      <c r="N283" t="inlineStr"/>
      <c r="O283" s="236" t="n">
        <v>2.3</v>
      </c>
      <c r="P283" s="236" t="n">
        <v>2.3</v>
      </c>
      <c r="Q283" s="224" t="inlineStr">
        <is>
          <t>D — Deprioritized</t>
        </is>
      </c>
      <c r="R283" s="226" t="n">
        <v>0</v>
      </c>
      <c r="S283" s="226" t="n">
        <v>0.018</v>
      </c>
      <c r="T283" s="226" t="n">
        <v>0.05500000000000001</v>
      </c>
      <c r="U283" s="226" t="n">
        <v>0.082</v>
      </c>
      <c r="V283" s="226" t="n">
        <v>0.1</v>
      </c>
      <c r="W283" s="227" t="n">
        <v>0</v>
      </c>
      <c r="X283" s="227" t="n">
        <v>0</v>
      </c>
      <c r="Y283" s="227" t="n">
        <v>0</v>
      </c>
      <c r="Z283" s="227" t="n">
        <v>0</v>
      </c>
      <c r="AA283" s="227" t="n">
        <v>0</v>
      </c>
    </row>
    <row r="284">
      <c r="A284" t="inlineStr">
        <is>
          <t>Bourbon &amp; Bones Chophouse | Bar</t>
        </is>
      </c>
      <c r="B284" t="inlineStr">
        <is>
          <t>Restaurant</t>
        </is>
      </c>
      <c r="C284" t="inlineStr">
        <is>
          <t>NO</t>
        </is>
      </c>
      <c r="D284" t="n">
        <v>0</v>
      </c>
      <c r="E284" t="inlineStr"/>
      <c r="F284" t="inlineStr"/>
      <c r="G284" s="227" t="n">
        <v>0</v>
      </c>
      <c r="H284" t="n">
        <v>3</v>
      </c>
      <c r="I284" t="n">
        <v>1</v>
      </c>
      <c r="J284" t="n">
        <v>2</v>
      </c>
      <c r="K284" t="n">
        <v>4</v>
      </c>
      <c r="L284" t="n">
        <v>2</v>
      </c>
      <c r="M284" s="236" t="n">
        <v>0</v>
      </c>
      <c r="N284" t="inlineStr"/>
      <c r="O284" s="236" t="n">
        <v>2.3</v>
      </c>
      <c r="P284" s="236" t="n">
        <v>2.3</v>
      </c>
      <c r="Q284" s="224" t="inlineStr">
        <is>
          <t>D — Deprioritized</t>
        </is>
      </c>
      <c r="R284" s="226" t="n">
        <v>0</v>
      </c>
      <c r="S284" s="226" t="n">
        <v>0.018</v>
      </c>
      <c r="T284" s="226" t="n">
        <v>0.05500000000000001</v>
      </c>
      <c r="U284" s="226" t="n">
        <v>0.082</v>
      </c>
      <c r="V284" s="226" t="n">
        <v>0.1</v>
      </c>
      <c r="W284" s="227" t="n">
        <v>0</v>
      </c>
      <c r="X284" s="227" t="n">
        <v>0</v>
      </c>
      <c r="Y284" s="227" t="n">
        <v>0</v>
      </c>
      <c r="Z284" s="227" t="n">
        <v>0</v>
      </c>
      <c r="AA284" s="227" t="n">
        <v>0</v>
      </c>
    </row>
    <row r="285">
      <c r="A285" t="inlineStr">
        <is>
          <t>Liquor Pig - Kitchen &amp; Cocktails</t>
        </is>
      </c>
      <c r="B285" t="inlineStr">
        <is>
          <t>Restaurant</t>
        </is>
      </c>
      <c r="C285" t="inlineStr">
        <is>
          <t>NO</t>
        </is>
      </c>
      <c r="D285" t="n">
        <v>0</v>
      </c>
      <c r="E285" t="inlineStr"/>
      <c r="F285" t="inlineStr"/>
      <c r="G285" s="227" t="n">
        <v>0</v>
      </c>
      <c r="H285" t="n">
        <v>3</v>
      </c>
      <c r="I285" t="n">
        <v>1</v>
      </c>
      <c r="J285" t="n">
        <v>2</v>
      </c>
      <c r="K285" t="n">
        <v>4</v>
      </c>
      <c r="L285" t="n">
        <v>2</v>
      </c>
      <c r="M285" s="236" t="n">
        <v>0</v>
      </c>
      <c r="N285" t="inlineStr"/>
      <c r="O285" s="236" t="n">
        <v>2.3</v>
      </c>
      <c r="P285" s="236" t="n">
        <v>2.3</v>
      </c>
      <c r="Q285" s="224" t="inlineStr">
        <is>
          <t>D — Deprioritized</t>
        </is>
      </c>
      <c r="R285" s="226" t="n">
        <v>0</v>
      </c>
      <c r="S285" s="226" t="n">
        <v>0.018</v>
      </c>
      <c r="T285" s="226" t="n">
        <v>0.05500000000000001</v>
      </c>
      <c r="U285" s="226" t="n">
        <v>0.082</v>
      </c>
      <c r="V285" s="226" t="n">
        <v>0.1</v>
      </c>
      <c r="W285" s="227" t="n">
        <v>0</v>
      </c>
      <c r="X285" s="227" t="n">
        <v>0</v>
      </c>
      <c r="Y285" s="227" t="n">
        <v>0</v>
      </c>
      <c r="Z285" s="227" t="n">
        <v>0</v>
      </c>
      <c r="AA285" s="227" t="n">
        <v>0</v>
      </c>
    </row>
    <row r="286">
      <c r="A286" t="inlineStr">
        <is>
          <t>Social Tap Scottsdale</t>
        </is>
      </c>
      <c r="B286" t="inlineStr">
        <is>
          <t>Restaurant</t>
        </is>
      </c>
      <c r="C286" t="inlineStr">
        <is>
          <t>NO</t>
        </is>
      </c>
      <c r="D286" t="n">
        <v>0</v>
      </c>
      <c r="E286" t="inlineStr"/>
      <c r="F286" t="inlineStr"/>
      <c r="G286" s="227" t="n">
        <v>0</v>
      </c>
      <c r="H286" t="n">
        <v>3</v>
      </c>
      <c r="I286" t="n">
        <v>1</v>
      </c>
      <c r="J286" t="n">
        <v>2</v>
      </c>
      <c r="K286" t="n">
        <v>4</v>
      </c>
      <c r="L286" t="n">
        <v>2</v>
      </c>
      <c r="M286" s="236" t="n">
        <v>0</v>
      </c>
      <c r="N286" t="inlineStr"/>
      <c r="O286" s="236" t="n">
        <v>2.3</v>
      </c>
      <c r="P286" s="236" t="n">
        <v>2.3</v>
      </c>
      <c r="Q286" s="224" t="inlineStr">
        <is>
          <t>D — Deprioritized</t>
        </is>
      </c>
      <c r="R286" s="226" t="n">
        <v>0</v>
      </c>
      <c r="S286" s="226" t="n">
        <v>0.018</v>
      </c>
      <c r="T286" s="226" t="n">
        <v>0.05500000000000001</v>
      </c>
      <c r="U286" s="226" t="n">
        <v>0.082</v>
      </c>
      <c r="V286" s="226" t="n">
        <v>0.1</v>
      </c>
      <c r="W286" s="227" t="n">
        <v>0</v>
      </c>
      <c r="X286" s="227" t="n">
        <v>0</v>
      </c>
      <c r="Y286" s="227" t="n">
        <v>0</v>
      </c>
      <c r="Z286" s="227" t="n">
        <v>0</v>
      </c>
      <c r="AA286" s="227" t="n">
        <v>0</v>
      </c>
    </row>
    <row r="287">
      <c r="A287" t="inlineStr">
        <is>
          <t>Barstool Scottsdale</t>
        </is>
      </c>
      <c r="B287" t="inlineStr">
        <is>
          <t>Restaurant</t>
        </is>
      </c>
      <c r="C287" t="inlineStr">
        <is>
          <t>NO</t>
        </is>
      </c>
      <c r="D287" t="n">
        <v>0</v>
      </c>
      <c r="E287" t="inlineStr"/>
      <c r="F287" t="inlineStr"/>
      <c r="G287" s="227" t="n">
        <v>0</v>
      </c>
      <c r="H287" t="n">
        <v>3</v>
      </c>
      <c r="I287" t="n">
        <v>1</v>
      </c>
      <c r="J287" t="n">
        <v>2</v>
      </c>
      <c r="K287" t="n">
        <v>4</v>
      </c>
      <c r="L287" t="n">
        <v>2</v>
      </c>
      <c r="M287" s="236" t="n">
        <v>0</v>
      </c>
      <c r="N287" t="inlineStr"/>
      <c r="O287" s="236" t="n">
        <v>2.3</v>
      </c>
      <c r="P287" s="236" t="n">
        <v>2.3</v>
      </c>
      <c r="Q287" s="224" t="inlineStr">
        <is>
          <t>D — Deprioritized</t>
        </is>
      </c>
      <c r="R287" s="226" t="n">
        <v>0</v>
      </c>
      <c r="S287" s="226" t="n">
        <v>0.018</v>
      </c>
      <c r="T287" s="226" t="n">
        <v>0.05500000000000001</v>
      </c>
      <c r="U287" s="226" t="n">
        <v>0.082</v>
      </c>
      <c r="V287" s="226" t="n">
        <v>0.1</v>
      </c>
      <c r="W287" s="227" t="n">
        <v>0</v>
      </c>
      <c r="X287" s="227" t="n">
        <v>0</v>
      </c>
      <c r="Y287" s="227" t="n">
        <v>0</v>
      </c>
      <c r="Z287" s="227" t="n">
        <v>0</v>
      </c>
      <c r="AA287" s="227" t="n">
        <v>0</v>
      </c>
    </row>
    <row r="288">
      <c r="A288" t="inlineStr">
        <is>
          <t>Diego Pops</t>
        </is>
      </c>
      <c r="B288" t="inlineStr">
        <is>
          <t>Restaurant</t>
        </is>
      </c>
      <c r="C288" t="inlineStr">
        <is>
          <t>NO</t>
        </is>
      </c>
      <c r="D288" t="n">
        <v>0</v>
      </c>
      <c r="E288" t="inlineStr">
        <is>
          <t>Epic</t>
        </is>
      </c>
      <c r="F288" t="inlineStr">
        <is>
          <t>Has Valet</t>
        </is>
      </c>
      <c r="G288" s="227" t="n">
        <v>159468.75</v>
      </c>
      <c r="H288" t="n">
        <v>3</v>
      </c>
      <c r="I288" t="n">
        <v>1</v>
      </c>
      <c r="J288" t="n">
        <v>2</v>
      </c>
      <c r="K288" t="n">
        <v>3</v>
      </c>
      <c r="L288" t="n">
        <v>2</v>
      </c>
      <c r="M288" s="236" t="n">
        <v>0</v>
      </c>
      <c r="N288" t="inlineStr"/>
      <c r="O288" s="236" t="n">
        <v>2.15</v>
      </c>
      <c r="P288" s="236" t="n">
        <v>2.15</v>
      </c>
      <c r="Q288" s="224" t="inlineStr">
        <is>
          <t>D — Deprioritized</t>
        </is>
      </c>
      <c r="R288" s="226" t="n">
        <v>0</v>
      </c>
      <c r="S288" s="226" t="n">
        <v>0.018</v>
      </c>
      <c r="T288" s="226" t="n">
        <v>0.05500000000000001</v>
      </c>
      <c r="U288" s="226" t="n">
        <v>0.082</v>
      </c>
      <c r="V288" s="226" t="n">
        <v>0.1</v>
      </c>
      <c r="W288" s="227" t="n">
        <v>0</v>
      </c>
      <c r="X288" s="227" t="n">
        <v>2870.4375</v>
      </c>
      <c r="Y288" s="227" t="n">
        <v>8770.781250000002</v>
      </c>
      <c r="Z288" s="227" t="n">
        <v>13076.4375</v>
      </c>
      <c r="AA288" s="227" t="n">
        <v>15946.875</v>
      </c>
    </row>
    <row r="289">
      <c r="A289" t="inlineStr">
        <is>
          <t>Montauk</t>
        </is>
      </c>
      <c r="B289" t="inlineStr">
        <is>
          <t>Restaurant</t>
        </is>
      </c>
      <c r="C289" t="inlineStr">
        <is>
          <t>NO</t>
        </is>
      </c>
      <c r="D289" t="n">
        <v>0</v>
      </c>
      <c r="E289" t="inlineStr">
        <is>
          <t>Epic</t>
        </is>
      </c>
      <c r="F289" t="inlineStr">
        <is>
          <t>Has Valet</t>
        </is>
      </c>
      <c r="G289" s="227" t="n">
        <v>182250</v>
      </c>
      <c r="H289" t="n">
        <v>3</v>
      </c>
      <c r="I289" t="n">
        <v>1</v>
      </c>
      <c r="J289" t="n">
        <v>2</v>
      </c>
      <c r="K289" t="n">
        <v>3</v>
      </c>
      <c r="L289" t="n">
        <v>2</v>
      </c>
      <c r="M289" s="236" t="n">
        <v>0</v>
      </c>
      <c r="N289" t="inlineStr"/>
      <c r="O289" s="236" t="n">
        <v>2.15</v>
      </c>
      <c r="P289" s="236" t="n">
        <v>2.15</v>
      </c>
      <c r="Q289" s="224" t="inlineStr">
        <is>
          <t>D — Deprioritized</t>
        </is>
      </c>
      <c r="R289" s="226" t="n">
        <v>0</v>
      </c>
      <c r="S289" s="226" t="n">
        <v>0.018</v>
      </c>
      <c r="T289" s="226" t="n">
        <v>0.05500000000000001</v>
      </c>
      <c r="U289" s="226" t="n">
        <v>0.082</v>
      </c>
      <c r="V289" s="226" t="n">
        <v>0.1</v>
      </c>
      <c r="W289" s="227" t="n">
        <v>0</v>
      </c>
      <c r="X289" s="227" t="n">
        <v>3280.5</v>
      </c>
      <c r="Y289" s="227" t="n">
        <v>10023.75</v>
      </c>
      <c r="Z289" s="227" t="n">
        <v>14944.5</v>
      </c>
      <c r="AA289" s="227" t="n">
        <v>18225</v>
      </c>
    </row>
    <row r="290">
      <c r="A290" t="inlineStr">
        <is>
          <t>Farm and Craft Scottsdale</t>
        </is>
      </c>
      <c r="B290" t="inlineStr">
        <is>
          <t>Restaurant</t>
        </is>
      </c>
      <c r="C290" t="inlineStr">
        <is>
          <t>NO</t>
        </is>
      </c>
      <c r="D290" t="n">
        <v>0</v>
      </c>
      <c r="E290" t="inlineStr"/>
      <c r="F290" t="inlineStr"/>
      <c r="G290" s="227" t="n">
        <v>0</v>
      </c>
      <c r="H290" t="n">
        <v>3</v>
      </c>
      <c r="I290" t="n">
        <v>1</v>
      </c>
      <c r="J290" t="n">
        <v>2</v>
      </c>
      <c r="K290" t="n">
        <v>4</v>
      </c>
      <c r="L290" t="n">
        <v>2</v>
      </c>
      <c r="M290" s="236" t="n">
        <v>0</v>
      </c>
      <c r="N290" t="inlineStr"/>
      <c r="O290" s="236" t="n">
        <v>2.3</v>
      </c>
      <c r="P290" s="236" t="n">
        <v>2.3</v>
      </c>
      <c r="Q290" s="224" t="inlineStr">
        <is>
          <t>D — Deprioritized</t>
        </is>
      </c>
      <c r="R290" s="226" t="n">
        <v>0</v>
      </c>
      <c r="S290" s="226" t="n">
        <v>0.018</v>
      </c>
      <c r="T290" s="226" t="n">
        <v>0.05500000000000001</v>
      </c>
      <c r="U290" s="226" t="n">
        <v>0.082</v>
      </c>
      <c r="V290" s="226" t="n">
        <v>0.1</v>
      </c>
      <c r="W290" s="227" t="n">
        <v>0</v>
      </c>
      <c r="X290" s="227" t="n">
        <v>0</v>
      </c>
      <c r="Y290" s="227" t="n">
        <v>0</v>
      </c>
      <c r="Z290" s="227" t="n">
        <v>0</v>
      </c>
      <c r="AA290" s="227" t="n">
        <v>0</v>
      </c>
    </row>
    <row r="291">
      <c r="A291" t="inlineStr">
        <is>
          <t>Pistoleros Parrilla</t>
        </is>
      </c>
      <c r="B291" t="inlineStr">
        <is>
          <t>Restaurant</t>
        </is>
      </c>
      <c r="C291" t="inlineStr">
        <is>
          <t>NO</t>
        </is>
      </c>
      <c r="D291" t="n">
        <v>0</v>
      </c>
      <c r="E291" t="inlineStr"/>
      <c r="F291" t="inlineStr"/>
      <c r="G291" s="227" t="n">
        <v>0</v>
      </c>
      <c r="H291" t="n">
        <v>3</v>
      </c>
      <c r="I291" t="n">
        <v>1</v>
      </c>
      <c r="J291" t="n">
        <v>2</v>
      </c>
      <c r="K291" t="n">
        <v>4</v>
      </c>
      <c r="L291" t="n">
        <v>2</v>
      </c>
      <c r="M291" s="236" t="n">
        <v>0</v>
      </c>
      <c r="N291" t="inlineStr"/>
      <c r="O291" s="236" t="n">
        <v>2.3</v>
      </c>
      <c r="P291" s="236" t="n">
        <v>2.3</v>
      </c>
      <c r="Q291" s="224" t="inlineStr">
        <is>
          <t>D — Deprioritized</t>
        </is>
      </c>
      <c r="R291" s="226" t="n">
        <v>0</v>
      </c>
      <c r="S291" s="226" t="n">
        <v>0.018</v>
      </c>
      <c r="T291" s="226" t="n">
        <v>0.05500000000000001</v>
      </c>
      <c r="U291" s="226" t="n">
        <v>0.082</v>
      </c>
      <c r="V291" s="226" t="n">
        <v>0.1</v>
      </c>
      <c r="W291" s="227" t="n">
        <v>0</v>
      </c>
      <c r="X291" s="227" t="n">
        <v>0</v>
      </c>
      <c r="Y291" s="227" t="n">
        <v>0</v>
      </c>
      <c r="Z291" s="227" t="n">
        <v>0</v>
      </c>
      <c r="AA291" s="227" t="n">
        <v>0</v>
      </c>
    </row>
    <row r="292">
      <c r="A292" t="inlineStr">
        <is>
          <t>Sexy Roman</t>
        </is>
      </c>
      <c r="B292" t="inlineStr">
        <is>
          <t>Restaurant</t>
        </is>
      </c>
      <c r="C292" t="inlineStr">
        <is>
          <t>NO</t>
        </is>
      </c>
      <c r="D292" t="n">
        <v>0</v>
      </c>
      <c r="E292" t="inlineStr"/>
      <c r="F292" t="inlineStr"/>
      <c r="G292" s="227" t="n">
        <v>0</v>
      </c>
      <c r="H292" t="n">
        <v>3</v>
      </c>
      <c r="I292" t="n">
        <v>1</v>
      </c>
      <c r="J292" t="n">
        <v>2</v>
      </c>
      <c r="K292" t="n">
        <v>4</v>
      </c>
      <c r="L292" t="n">
        <v>2</v>
      </c>
      <c r="M292" s="236" t="n">
        <v>0</v>
      </c>
      <c r="N292" t="inlineStr"/>
      <c r="O292" s="236" t="n">
        <v>2.3</v>
      </c>
      <c r="P292" s="236" t="n">
        <v>2.3</v>
      </c>
      <c r="Q292" s="224" t="inlineStr">
        <is>
          <t>D — Deprioritized</t>
        </is>
      </c>
      <c r="R292" s="226" t="n">
        <v>0</v>
      </c>
      <c r="S292" s="226" t="n">
        <v>0.018</v>
      </c>
      <c r="T292" s="226" t="n">
        <v>0.05500000000000001</v>
      </c>
      <c r="U292" s="226" t="n">
        <v>0.082</v>
      </c>
      <c r="V292" s="226" t="n">
        <v>0.1</v>
      </c>
      <c r="W292" s="227" t="n">
        <v>0</v>
      </c>
      <c r="X292" s="227" t="n">
        <v>0</v>
      </c>
      <c r="Y292" s="227" t="n">
        <v>0</v>
      </c>
      <c r="Z292" s="227" t="n">
        <v>0</v>
      </c>
      <c r="AA292" s="227" t="n">
        <v>0</v>
      </c>
    </row>
    <row r="293">
      <c r="A293" t="inlineStr">
        <is>
          <t>HiFi Kitchen Cocktails</t>
        </is>
      </c>
      <c r="B293" t="inlineStr">
        <is>
          <t>Restaurant</t>
        </is>
      </c>
      <c r="C293" t="inlineStr">
        <is>
          <t>NO</t>
        </is>
      </c>
      <c r="D293" t="n">
        <v>0</v>
      </c>
      <c r="E293" t="inlineStr"/>
      <c r="F293" t="inlineStr"/>
      <c r="G293" s="227" t="n">
        <v>0</v>
      </c>
      <c r="H293" t="n">
        <v>3</v>
      </c>
      <c r="I293" t="n">
        <v>1</v>
      </c>
      <c r="J293" t="n">
        <v>2</v>
      </c>
      <c r="K293" t="n">
        <v>4</v>
      </c>
      <c r="L293" t="n">
        <v>2</v>
      </c>
      <c r="M293" s="236" t="n">
        <v>0</v>
      </c>
      <c r="N293" t="inlineStr"/>
      <c r="O293" s="236" t="n">
        <v>2.3</v>
      </c>
      <c r="P293" s="236" t="n">
        <v>2.3</v>
      </c>
      <c r="Q293" s="224" t="inlineStr">
        <is>
          <t>D — Deprioritized</t>
        </is>
      </c>
      <c r="R293" s="226" t="n">
        <v>0</v>
      </c>
      <c r="S293" s="226" t="n">
        <v>0.018</v>
      </c>
      <c r="T293" s="226" t="n">
        <v>0.05500000000000001</v>
      </c>
      <c r="U293" s="226" t="n">
        <v>0.082</v>
      </c>
      <c r="V293" s="226" t="n">
        <v>0.1</v>
      </c>
      <c r="W293" s="227" t="n">
        <v>0</v>
      </c>
      <c r="X293" s="227" t="n">
        <v>0</v>
      </c>
      <c r="Y293" s="227" t="n">
        <v>0</v>
      </c>
      <c r="Z293" s="227" t="n">
        <v>0</v>
      </c>
      <c r="AA293" s="227" t="n">
        <v>0</v>
      </c>
    </row>
    <row r="294">
      <c r="A294" t="inlineStr">
        <is>
          <t>SHIV Supper Club</t>
        </is>
      </c>
      <c r="B294" t="inlineStr">
        <is>
          <t>Restaurant</t>
        </is>
      </c>
      <c r="C294" t="inlineStr">
        <is>
          <t>NO</t>
        </is>
      </c>
      <c r="D294" t="n">
        <v>0</v>
      </c>
      <c r="E294" t="inlineStr"/>
      <c r="F294" t="inlineStr"/>
      <c r="G294" s="227" t="n">
        <v>0</v>
      </c>
      <c r="H294" t="n">
        <v>3</v>
      </c>
      <c r="I294" t="n">
        <v>1</v>
      </c>
      <c r="J294" t="n">
        <v>2</v>
      </c>
      <c r="K294" t="n">
        <v>4</v>
      </c>
      <c r="L294" t="n">
        <v>2</v>
      </c>
      <c r="M294" s="236" t="n">
        <v>0</v>
      </c>
      <c r="N294" t="inlineStr"/>
      <c r="O294" s="236" t="n">
        <v>2.3</v>
      </c>
      <c r="P294" s="236" t="n">
        <v>2.3</v>
      </c>
      <c r="Q294" s="224" t="inlineStr">
        <is>
          <t>D — Deprioritized</t>
        </is>
      </c>
      <c r="R294" s="226" t="n">
        <v>0</v>
      </c>
      <c r="S294" s="226" t="n">
        <v>0.018</v>
      </c>
      <c r="T294" s="226" t="n">
        <v>0.05500000000000001</v>
      </c>
      <c r="U294" s="226" t="n">
        <v>0.082</v>
      </c>
      <c r="V294" s="226" t="n">
        <v>0.1</v>
      </c>
      <c r="W294" s="227" t="n">
        <v>0</v>
      </c>
      <c r="X294" s="227" t="n">
        <v>0</v>
      </c>
      <c r="Y294" s="227" t="n">
        <v>0</v>
      </c>
      <c r="Z294" s="227" t="n">
        <v>0</v>
      </c>
      <c r="AA294" s="227" t="n">
        <v>0</v>
      </c>
    </row>
    <row r="295">
      <c r="A295" t="inlineStr">
        <is>
          <t>The Ends</t>
        </is>
      </c>
      <c r="B295" t="inlineStr">
        <is>
          <t>Restaurant</t>
        </is>
      </c>
      <c r="C295" t="inlineStr">
        <is>
          <t>NO</t>
        </is>
      </c>
      <c r="D295" t="n">
        <v>0</v>
      </c>
      <c r="E295" t="inlineStr"/>
      <c r="F295" t="inlineStr"/>
      <c r="G295" s="227" t="n">
        <v>0</v>
      </c>
      <c r="H295" t="n">
        <v>3</v>
      </c>
      <c r="I295" t="n">
        <v>1</v>
      </c>
      <c r="J295" t="n">
        <v>2</v>
      </c>
      <c r="K295" t="n">
        <v>4</v>
      </c>
      <c r="L295" t="n">
        <v>2</v>
      </c>
      <c r="M295" s="236" t="n">
        <v>0</v>
      </c>
      <c r="N295" t="inlineStr"/>
      <c r="O295" s="236" t="n">
        <v>2.3</v>
      </c>
      <c r="P295" s="236" t="n">
        <v>2.3</v>
      </c>
      <c r="Q295" s="224" t="inlineStr">
        <is>
          <t>D — Deprioritized</t>
        </is>
      </c>
      <c r="R295" s="226" t="n">
        <v>0</v>
      </c>
      <c r="S295" s="226" t="n">
        <v>0.018</v>
      </c>
      <c r="T295" s="226" t="n">
        <v>0.05500000000000001</v>
      </c>
      <c r="U295" s="226" t="n">
        <v>0.082</v>
      </c>
      <c r="V295" s="226" t="n">
        <v>0.1</v>
      </c>
      <c r="W295" s="227" t="n">
        <v>0</v>
      </c>
      <c r="X295" s="227" t="n">
        <v>0</v>
      </c>
      <c r="Y295" s="227" t="n">
        <v>0</v>
      </c>
      <c r="Z295" s="227" t="n">
        <v>0</v>
      </c>
      <c r="AA295" s="227" t="n">
        <v>0</v>
      </c>
    </row>
    <row r="296">
      <c r="A296" t="inlineStr">
        <is>
          <t>Schmooze</t>
        </is>
      </c>
      <c r="B296" t="inlineStr">
        <is>
          <t>Restaurant</t>
        </is>
      </c>
      <c r="C296" t="inlineStr">
        <is>
          <t>NO</t>
        </is>
      </c>
      <c r="D296" t="n">
        <v>0</v>
      </c>
      <c r="E296" t="inlineStr"/>
      <c r="F296" t="inlineStr"/>
      <c r="G296" s="227" t="n">
        <v>0</v>
      </c>
      <c r="H296" t="n">
        <v>3</v>
      </c>
      <c r="I296" t="n">
        <v>1</v>
      </c>
      <c r="J296" t="n">
        <v>2</v>
      </c>
      <c r="K296" t="n">
        <v>4</v>
      </c>
      <c r="L296" t="n">
        <v>2</v>
      </c>
      <c r="M296" s="236" t="n">
        <v>0</v>
      </c>
      <c r="N296" t="inlineStr"/>
      <c r="O296" s="236" t="n">
        <v>2.3</v>
      </c>
      <c r="P296" s="236" t="n">
        <v>2.3</v>
      </c>
      <c r="Q296" s="224" t="inlineStr">
        <is>
          <t>D — Deprioritized</t>
        </is>
      </c>
      <c r="R296" s="226" t="n">
        <v>0</v>
      </c>
      <c r="S296" s="226" t="n">
        <v>0.018</v>
      </c>
      <c r="T296" s="226" t="n">
        <v>0.05500000000000001</v>
      </c>
      <c r="U296" s="226" t="n">
        <v>0.082</v>
      </c>
      <c r="V296" s="226" t="n">
        <v>0.1</v>
      </c>
      <c r="W296" s="227" t="n">
        <v>0</v>
      </c>
      <c r="X296" s="227" t="n">
        <v>0</v>
      </c>
      <c r="Y296" s="227" t="n">
        <v>0</v>
      </c>
      <c r="Z296" s="227" t="n">
        <v>0</v>
      </c>
      <c r="AA296" s="227" t="n">
        <v>0</v>
      </c>
    </row>
    <row r="297">
      <c r="A297" t="inlineStr">
        <is>
          <t>EVO Old Town Scottsdale</t>
        </is>
      </c>
      <c r="B297" t="inlineStr">
        <is>
          <t>Restaurant</t>
        </is>
      </c>
      <c r="C297" t="inlineStr">
        <is>
          <t>NO</t>
        </is>
      </c>
      <c r="D297" t="n">
        <v>0</v>
      </c>
      <c r="E297" t="inlineStr"/>
      <c r="F297" t="inlineStr"/>
      <c r="G297" s="227" t="n">
        <v>0</v>
      </c>
      <c r="H297" t="n">
        <v>3</v>
      </c>
      <c r="I297" t="n">
        <v>1</v>
      </c>
      <c r="J297" t="n">
        <v>2</v>
      </c>
      <c r="K297" t="n">
        <v>4</v>
      </c>
      <c r="L297" t="n">
        <v>2</v>
      </c>
      <c r="M297" s="236" t="n">
        <v>0</v>
      </c>
      <c r="N297" t="inlineStr"/>
      <c r="O297" s="236" t="n">
        <v>2.3</v>
      </c>
      <c r="P297" s="236" t="n">
        <v>2.3</v>
      </c>
      <c r="Q297" s="224" t="inlineStr">
        <is>
          <t>D — Deprioritized</t>
        </is>
      </c>
      <c r="R297" s="226" t="n">
        <v>0</v>
      </c>
      <c r="S297" s="226" t="n">
        <v>0.018</v>
      </c>
      <c r="T297" s="226" t="n">
        <v>0.05500000000000001</v>
      </c>
      <c r="U297" s="226" t="n">
        <v>0.082</v>
      </c>
      <c r="V297" s="226" t="n">
        <v>0.1</v>
      </c>
      <c r="W297" s="227" t="n">
        <v>0</v>
      </c>
      <c r="X297" s="227" t="n">
        <v>0</v>
      </c>
      <c r="Y297" s="227" t="n">
        <v>0</v>
      </c>
      <c r="Z297" s="227" t="n">
        <v>0</v>
      </c>
      <c r="AA297" s="227" t="n">
        <v>0</v>
      </c>
    </row>
    <row r="298">
      <c r="A298" t="inlineStr">
        <is>
          <t>The Beverly on Main</t>
        </is>
      </c>
      <c r="B298" t="inlineStr">
        <is>
          <t>Restaurant</t>
        </is>
      </c>
      <c r="C298" t="inlineStr">
        <is>
          <t>NO</t>
        </is>
      </c>
      <c r="D298" t="n">
        <v>0</v>
      </c>
      <c r="E298" t="inlineStr"/>
      <c r="F298" t="inlineStr"/>
      <c r="G298" s="227" t="n">
        <v>0</v>
      </c>
      <c r="H298" t="n">
        <v>3</v>
      </c>
      <c r="I298" t="n">
        <v>1</v>
      </c>
      <c r="J298" t="n">
        <v>2</v>
      </c>
      <c r="K298" t="n">
        <v>4</v>
      </c>
      <c r="L298" t="n">
        <v>2</v>
      </c>
      <c r="M298" s="236" t="n">
        <v>0</v>
      </c>
      <c r="N298" t="inlineStr"/>
      <c r="O298" s="236" t="n">
        <v>2.3</v>
      </c>
      <c r="P298" s="236" t="n">
        <v>2.3</v>
      </c>
      <c r="Q298" s="224" t="inlineStr">
        <is>
          <t>D — Deprioritized</t>
        </is>
      </c>
      <c r="R298" s="226" t="n">
        <v>0</v>
      </c>
      <c r="S298" s="226" t="n">
        <v>0.018</v>
      </c>
      <c r="T298" s="226" t="n">
        <v>0.05500000000000001</v>
      </c>
      <c r="U298" s="226" t="n">
        <v>0.082</v>
      </c>
      <c r="V298" s="226" t="n">
        <v>0.1</v>
      </c>
      <c r="W298" s="227" t="n">
        <v>0</v>
      </c>
      <c r="X298" s="227" t="n">
        <v>0</v>
      </c>
      <c r="Y298" s="227" t="n">
        <v>0</v>
      </c>
      <c r="Z298" s="227" t="n">
        <v>0</v>
      </c>
      <c r="AA298" s="227" t="n">
        <v>0</v>
      </c>
    </row>
    <row r="299">
      <c r="A299" t="inlineStr">
        <is>
          <t>Sel</t>
        </is>
      </c>
      <c r="B299" t="inlineStr">
        <is>
          <t>Restaurant</t>
        </is>
      </c>
      <c r="C299" t="inlineStr">
        <is>
          <t>NO</t>
        </is>
      </c>
      <c r="D299" t="n">
        <v>0</v>
      </c>
      <c r="E299" t="inlineStr"/>
      <c r="F299" t="inlineStr"/>
      <c r="G299" s="227" t="n">
        <v>0</v>
      </c>
      <c r="H299" t="n">
        <v>3</v>
      </c>
      <c r="I299" t="n">
        <v>1</v>
      </c>
      <c r="J299" t="n">
        <v>2</v>
      </c>
      <c r="K299" t="n">
        <v>4</v>
      </c>
      <c r="L299" t="n">
        <v>2</v>
      </c>
      <c r="M299" s="236" t="n">
        <v>0</v>
      </c>
      <c r="N299" t="inlineStr"/>
      <c r="O299" s="236" t="n">
        <v>2.3</v>
      </c>
      <c r="P299" s="236" t="n">
        <v>2.3</v>
      </c>
      <c r="Q299" s="224" t="inlineStr">
        <is>
          <t>D — Deprioritized</t>
        </is>
      </c>
      <c r="R299" s="226" t="n">
        <v>0</v>
      </c>
      <c r="S299" s="226" t="n">
        <v>0.018</v>
      </c>
      <c r="T299" s="226" t="n">
        <v>0.05500000000000001</v>
      </c>
      <c r="U299" s="226" t="n">
        <v>0.082</v>
      </c>
      <c r="V299" s="226" t="n">
        <v>0.1</v>
      </c>
      <c r="W299" s="227" t="n">
        <v>0</v>
      </c>
      <c r="X299" s="227" t="n">
        <v>0</v>
      </c>
      <c r="Y299" s="227" t="n">
        <v>0</v>
      </c>
      <c r="Z299" s="227" t="n">
        <v>0</v>
      </c>
      <c r="AA299" s="227" t="n">
        <v>0</v>
      </c>
    </row>
    <row r="300">
      <c r="A300" t="inlineStr">
        <is>
          <t>Olive &amp; Ivy</t>
        </is>
      </c>
      <c r="B300" t="inlineStr">
        <is>
          <t>Restaurant</t>
        </is>
      </c>
      <c r="C300" t="inlineStr">
        <is>
          <t>NO</t>
        </is>
      </c>
      <c r="D300" t="n">
        <v>0</v>
      </c>
      <c r="E300" t="inlineStr"/>
      <c r="F300" t="inlineStr"/>
      <c r="G300" s="227" t="n">
        <v>0</v>
      </c>
      <c r="H300" t="n">
        <v>3</v>
      </c>
      <c r="I300" t="n">
        <v>1</v>
      </c>
      <c r="J300" t="n">
        <v>2</v>
      </c>
      <c r="K300" t="n">
        <v>4</v>
      </c>
      <c r="L300" t="n">
        <v>2</v>
      </c>
      <c r="M300" s="236" t="n">
        <v>0</v>
      </c>
      <c r="N300" t="inlineStr"/>
      <c r="O300" s="236" t="n">
        <v>2.3</v>
      </c>
      <c r="P300" s="236" t="n">
        <v>2.3</v>
      </c>
      <c r="Q300" s="224" t="inlineStr">
        <is>
          <t>D — Deprioritized</t>
        </is>
      </c>
      <c r="R300" s="226" t="n">
        <v>0</v>
      </c>
      <c r="S300" s="226" t="n">
        <v>0.018</v>
      </c>
      <c r="T300" s="226" t="n">
        <v>0.05500000000000001</v>
      </c>
      <c r="U300" s="226" t="n">
        <v>0.082</v>
      </c>
      <c r="V300" s="226" t="n">
        <v>0.1</v>
      </c>
      <c r="W300" s="227" t="n">
        <v>0</v>
      </c>
      <c r="X300" s="227" t="n">
        <v>0</v>
      </c>
      <c r="Y300" s="227" t="n">
        <v>0</v>
      </c>
      <c r="Z300" s="227" t="n">
        <v>0</v>
      </c>
      <c r="AA300" s="227" t="n">
        <v>0</v>
      </c>
    </row>
    <row r="301">
      <c r="A301" t="inlineStr">
        <is>
          <t>Hand Cut Chophouse</t>
        </is>
      </c>
      <c r="B301" t="inlineStr">
        <is>
          <t>Restaurant</t>
        </is>
      </c>
      <c r="C301" t="inlineStr">
        <is>
          <t>NO</t>
        </is>
      </c>
      <c r="D301" t="n">
        <v>0</v>
      </c>
      <c r="E301" t="inlineStr"/>
      <c r="F301" t="inlineStr"/>
      <c r="G301" s="227" t="n">
        <v>0</v>
      </c>
      <c r="H301" t="n">
        <v>3</v>
      </c>
      <c r="I301" t="n">
        <v>1</v>
      </c>
      <c r="J301" t="n">
        <v>2</v>
      </c>
      <c r="K301" t="n">
        <v>4</v>
      </c>
      <c r="L301" t="n">
        <v>2</v>
      </c>
      <c r="M301" s="236" t="n">
        <v>0</v>
      </c>
      <c r="N301" t="inlineStr"/>
      <c r="O301" s="236" t="n">
        <v>2.3</v>
      </c>
      <c r="P301" s="236" t="n">
        <v>2.3</v>
      </c>
      <c r="Q301" s="224" t="inlineStr">
        <is>
          <t>D — Deprioritized</t>
        </is>
      </c>
      <c r="R301" s="226" t="n">
        <v>0</v>
      </c>
      <c r="S301" s="226" t="n">
        <v>0.018</v>
      </c>
      <c r="T301" s="226" t="n">
        <v>0.05500000000000001</v>
      </c>
      <c r="U301" s="226" t="n">
        <v>0.082</v>
      </c>
      <c r="V301" s="226" t="n">
        <v>0.1</v>
      </c>
      <c r="W301" s="227" t="n">
        <v>0</v>
      </c>
      <c r="X301" s="227" t="n">
        <v>0</v>
      </c>
      <c r="Y301" s="227" t="n">
        <v>0</v>
      </c>
      <c r="Z301" s="227" t="n">
        <v>0</v>
      </c>
      <c r="AA301" s="227" t="n">
        <v>0</v>
      </c>
    </row>
    <row r="302">
      <c r="A302" t="inlineStr">
        <is>
          <t>Maple &amp; Ash</t>
        </is>
      </c>
      <c r="B302" t="inlineStr">
        <is>
          <t>Restaurant</t>
        </is>
      </c>
      <c r="C302" t="inlineStr">
        <is>
          <t>NO</t>
        </is>
      </c>
      <c r="D302" t="n">
        <v>0</v>
      </c>
      <c r="E302" t="inlineStr"/>
      <c r="F302" t="n">
        <v>9</v>
      </c>
      <c r="G302" s="227" t="n">
        <v>318937.5</v>
      </c>
      <c r="H302" t="n">
        <v>3</v>
      </c>
      <c r="I302" t="n">
        <v>2</v>
      </c>
      <c r="J302" t="n">
        <v>2</v>
      </c>
      <c r="K302" t="n">
        <v>4</v>
      </c>
      <c r="L302" t="n">
        <v>2</v>
      </c>
      <c r="M302" s="236" t="n">
        <v>0</v>
      </c>
      <c r="N302" t="inlineStr"/>
      <c r="O302" s="236" t="n">
        <v>2.55</v>
      </c>
      <c r="P302" s="236" t="n">
        <v>2.55</v>
      </c>
      <c r="Q302" s="237" t="inlineStr">
        <is>
          <t>C — Opportunistic</t>
        </is>
      </c>
      <c r="R302" s="226" t="n">
        <v>0.02</v>
      </c>
      <c r="S302" s="226" t="n">
        <v>0.09724000000000002</v>
      </c>
      <c r="T302" s="226" t="n">
        <v>0.28625</v>
      </c>
      <c r="U302" s="226" t="n">
        <v>0.4145</v>
      </c>
      <c r="V302" s="226" t="n">
        <v>0.5</v>
      </c>
      <c r="W302" s="227" t="n">
        <v>6378.75</v>
      </c>
      <c r="X302" s="227" t="n">
        <v>31013.48250000001</v>
      </c>
      <c r="Y302" s="227" t="n">
        <v>91295.859375</v>
      </c>
      <c r="Z302" s="227" t="n">
        <v>132199.59375</v>
      </c>
      <c r="AA302" s="227" t="n">
        <v>159468.75</v>
      </c>
    </row>
    <row r="303">
      <c r="A303" t="inlineStr">
        <is>
          <t>Culinary Dropout - Scottsdale</t>
        </is>
      </c>
      <c r="B303" t="inlineStr">
        <is>
          <t>Restaurant</t>
        </is>
      </c>
      <c r="C303" t="inlineStr">
        <is>
          <t>NO</t>
        </is>
      </c>
      <c r="D303" t="n">
        <v>0</v>
      </c>
      <c r="E303" t="inlineStr"/>
      <c r="F303" t="inlineStr"/>
      <c r="G303" s="227" t="n">
        <v>0</v>
      </c>
      <c r="H303" t="n">
        <v>3</v>
      </c>
      <c r="I303" t="n">
        <v>1</v>
      </c>
      <c r="J303" t="n">
        <v>2</v>
      </c>
      <c r="K303" t="n">
        <v>4</v>
      </c>
      <c r="L303" t="n">
        <v>2</v>
      </c>
      <c r="M303" s="236" t="n">
        <v>0</v>
      </c>
      <c r="N303" t="inlineStr"/>
      <c r="O303" s="236" t="n">
        <v>2.3</v>
      </c>
      <c r="P303" s="236" t="n">
        <v>2.3</v>
      </c>
      <c r="Q303" s="224" t="inlineStr">
        <is>
          <t>D — Deprioritized</t>
        </is>
      </c>
      <c r="R303" s="226" t="n">
        <v>0</v>
      </c>
      <c r="S303" s="226" t="n">
        <v>0.018</v>
      </c>
      <c r="T303" s="226" t="n">
        <v>0.05500000000000001</v>
      </c>
      <c r="U303" s="226" t="n">
        <v>0.082</v>
      </c>
      <c r="V303" s="226" t="n">
        <v>0.1</v>
      </c>
      <c r="W303" s="227" t="n">
        <v>0</v>
      </c>
      <c r="X303" s="227" t="n">
        <v>0</v>
      </c>
      <c r="Y303" s="227" t="n">
        <v>0</v>
      </c>
      <c r="Z303" s="227" t="n">
        <v>0</v>
      </c>
      <c r="AA303" s="227" t="n">
        <v>0</v>
      </c>
    </row>
    <row r="304">
      <c r="A304" t="inlineStr">
        <is>
          <t>P.F. Chang's</t>
        </is>
      </c>
      <c r="B304" t="inlineStr">
        <is>
          <t>Restaurant</t>
        </is>
      </c>
      <c r="C304" t="inlineStr">
        <is>
          <t>NO</t>
        </is>
      </c>
      <c r="D304" t="n">
        <v>0</v>
      </c>
      <c r="E304" t="inlineStr"/>
      <c r="F304" t="inlineStr"/>
      <c r="G304" s="227" t="n">
        <v>0</v>
      </c>
      <c r="H304" t="n">
        <v>3</v>
      </c>
      <c r="I304" t="n">
        <v>1</v>
      </c>
      <c r="J304" t="n">
        <v>2</v>
      </c>
      <c r="K304" t="n">
        <v>4</v>
      </c>
      <c r="L304" t="n">
        <v>2</v>
      </c>
      <c r="M304" s="236" t="n">
        <v>0</v>
      </c>
      <c r="N304" t="inlineStr"/>
      <c r="O304" s="236" t="n">
        <v>2.3</v>
      </c>
      <c r="P304" s="236" t="n">
        <v>2.3</v>
      </c>
      <c r="Q304" s="224" t="inlineStr">
        <is>
          <t>D — Deprioritized</t>
        </is>
      </c>
      <c r="R304" s="226" t="n">
        <v>0</v>
      </c>
      <c r="S304" s="226" t="n">
        <v>0.018</v>
      </c>
      <c r="T304" s="226" t="n">
        <v>0.05500000000000001</v>
      </c>
      <c r="U304" s="226" t="n">
        <v>0.082</v>
      </c>
      <c r="V304" s="226" t="n">
        <v>0.1</v>
      </c>
      <c r="W304" s="227" t="n">
        <v>0</v>
      </c>
      <c r="X304" s="227" t="n">
        <v>0</v>
      </c>
      <c r="Y304" s="227" t="n">
        <v>0</v>
      </c>
      <c r="Z304" s="227" t="n">
        <v>0</v>
      </c>
      <c r="AA304" s="227" t="n">
        <v>0</v>
      </c>
    </row>
    <row r="305">
      <c r="A305" t="inlineStr">
        <is>
          <t>Scottsdale Fashion Square</t>
        </is>
      </c>
      <c r="B305" t="inlineStr">
        <is>
          <t>Restaurant</t>
        </is>
      </c>
      <c r="C305" t="inlineStr">
        <is>
          <t>NO</t>
        </is>
      </c>
      <c r="D305" t="n">
        <v>0</v>
      </c>
      <c r="E305" t="inlineStr"/>
      <c r="F305" t="inlineStr">
        <is>
          <t>Has Valet - was $30 for a little over an hour on Valentines Day</t>
        </is>
      </c>
      <c r="G305" s="227" t="n">
        <v>0</v>
      </c>
      <c r="H305" t="n">
        <v>3</v>
      </c>
      <c r="I305" t="n">
        <v>1</v>
      </c>
      <c r="J305" t="n">
        <v>2</v>
      </c>
      <c r="K305" t="n">
        <v>4</v>
      </c>
      <c r="L305" t="n">
        <v>2</v>
      </c>
      <c r="M305" s="236" t="n">
        <v>0</v>
      </c>
      <c r="N305" t="inlineStr"/>
      <c r="O305" s="236" t="n">
        <v>2.3</v>
      </c>
      <c r="P305" s="236" t="n">
        <v>2.3</v>
      </c>
      <c r="Q305" s="224" t="inlineStr">
        <is>
          <t>D — Deprioritized</t>
        </is>
      </c>
      <c r="R305" s="226" t="n">
        <v>0</v>
      </c>
      <c r="S305" s="226" t="n">
        <v>0.018</v>
      </c>
      <c r="T305" s="226" t="n">
        <v>0.05500000000000001</v>
      </c>
      <c r="U305" s="226" t="n">
        <v>0.082</v>
      </c>
      <c r="V305" s="226" t="n">
        <v>0.1</v>
      </c>
      <c r="W305" s="227" t="n">
        <v>0</v>
      </c>
      <c r="X305" s="227" t="n">
        <v>0</v>
      </c>
      <c r="Y305" s="227" t="n">
        <v>0</v>
      </c>
      <c r="Z305" s="227" t="n">
        <v>0</v>
      </c>
      <c r="AA305" s="227" t="n">
        <v>0</v>
      </c>
    </row>
    <row r="306">
      <c r="A306" t="inlineStr">
        <is>
          <t>Moxies Scottsdale Restaurant</t>
        </is>
      </c>
      <c r="B306" t="inlineStr">
        <is>
          <t>Restaurant</t>
        </is>
      </c>
      <c r="C306" t="inlineStr">
        <is>
          <t>NO</t>
        </is>
      </c>
      <c r="D306" t="n">
        <v>0</v>
      </c>
      <c r="E306" t="inlineStr"/>
      <c r="F306" t="inlineStr"/>
      <c r="G306" s="227" t="n">
        <v>0</v>
      </c>
      <c r="H306" t="n">
        <v>3</v>
      </c>
      <c r="I306" t="n">
        <v>1</v>
      </c>
      <c r="J306" t="n">
        <v>2</v>
      </c>
      <c r="K306" t="n">
        <v>4</v>
      </c>
      <c r="L306" t="n">
        <v>2</v>
      </c>
      <c r="M306" s="236" t="n">
        <v>0</v>
      </c>
      <c r="N306" t="inlineStr"/>
      <c r="O306" s="236" t="n">
        <v>2.3</v>
      </c>
      <c r="P306" s="236" t="n">
        <v>2.3</v>
      </c>
      <c r="Q306" s="224" t="inlineStr">
        <is>
          <t>D — Deprioritized</t>
        </is>
      </c>
      <c r="R306" s="226" t="n">
        <v>0</v>
      </c>
      <c r="S306" s="226" t="n">
        <v>0.018</v>
      </c>
      <c r="T306" s="226" t="n">
        <v>0.05500000000000001</v>
      </c>
      <c r="U306" s="226" t="n">
        <v>0.082</v>
      </c>
      <c r="V306" s="226" t="n">
        <v>0.1</v>
      </c>
      <c r="W306" s="227" t="n">
        <v>0</v>
      </c>
      <c r="X306" s="227" t="n">
        <v>0</v>
      </c>
      <c r="Y306" s="227" t="n">
        <v>0</v>
      </c>
      <c r="Z306" s="227" t="n">
        <v>0</v>
      </c>
      <c r="AA306" s="227" t="n">
        <v>0</v>
      </c>
    </row>
    <row r="307">
      <c r="A307" t="inlineStr">
        <is>
          <t>Toca Madera Scottsdale</t>
        </is>
      </c>
      <c r="B307" t="inlineStr">
        <is>
          <t>Restaurant</t>
        </is>
      </c>
      <c r="C307" t="inlineStr">
        <is>
          <t>NO</t>
        </is>
      </c>
      <c r="D307" t="n">
        <v>0</v>
      </c>
      <c r="E307" t="inlineStr"/>
      <c r="F307" t="inlineStr">
        <is>
          <t>Has Valet</t>
        </is>
      </c>
      <c r="G307" s="227" t="n">
        <v>250593.75</v>
      </c>
      <c r="H307" t="n">
        <v>3</v>
      </c>
      <c r="I307" t="n">
        <v>2</v>
      </c>
      <c r="J307" t="n">
        <v>2</v>
      </c>
      <c r="K307" t="n">
        <v>4</v>
      </c>
      <c r="L307" t="n">
        <v>2</v>
      </c>
      <c r="M307" s="236" t="n">
        <v>0</v>
      </c>
      <c r="N307" t="inlineStr"/>
      <c r="O307" s="236" t="n">
        <v>2.55</v>
      </c>
      <c r="P307" s="236" t="n">
        <v>2.55</v>
      </c>
      <c r="Q307" s="237" t="inlineStr">
        <is>
          <t>C — Opportunistic</t>
        </is>
      </c>
      <c r="R307" s="226" t="n">
        <v>0.02</v>
      </c>
      <c r="S307" s="226" t="n">
        <v>0.09724000000000002</v>
      </c>
      <c r="T307" s="226" t="n">
        <v>0.28625</v>
      </c>
      <c r="U307" s="226" t="n">
        <v>0.4145</v>
      </c>
      <c r="V307" s="226" t="n">
        <v>0.5</v>
      </c>
      <c r="W307" s="227" t="n">
        <v>5011.875</v>
      </c>
      <c r="X307" s="227" t="n">
        <v>24367.73625000001</v>
      </c>
      <c r="Y307" s="227" t="n">
        <v>71732.4609375</v>
      </c>
      <c r="Z307" s="227" t="n">
        <v>103871.109375</v>
      </c>
      <c r="AA307" s="227" t="n">
        <v>125296.875</v>
      </c>
    </row>
    <row r="308">
      <c r="A308" t="inlineStr">
        <is>
          <t>Ocean 44</t>
        </is>
      </c>
      <c r="B308" t="inlineStr">
        <is>
          <t>Restaurant</t>
        </is>
      </c>
      <c r="C308" t="inlineStr">
        <is>
          <t>NO</t>
        </is>
      </c>
      <c r="D308" t="n">
        <v>0</v>
      </c>
      <c r="E308" t="inlineStr"/>
      <c r="F308" t="inlineStr">
        <is>
          <t>Has Valet</t>
        </is>
      </c>
      <c r="G308" s="227" t="n">
        <v>296156.25</v>
      </c>
      <c r="H308" t="n">
        <v>3</v>
      </c>
      <c r="I308" t="n">
        <v>2</v>
      </c>
      <c r="J308" t="n">
        <v>2</v>
      </c>
      <c r="K308" t="n">
        <v>4</v>
      </c>
      <c r="L308" t="n">
        <v>2</v>
      </c>
      <c r="M308" s="236" t="n">
        <v>0</v>
      </c>
      <c r="N308" t="inlineStr"/>
      <c r="O308" s="236" t="n">
        <v>2.55</v>
      </c>
      <c r="P308" s="236" t="n">
        <v>2.55</v>
      </c>
      <c r="Q308" s="237" t="inlineStr">
        <is>
          <t>C — Opportunistic</t>
        </is>
      </c>
      <c r="R308" s="226" t="n">
        <v>0.02</v>
      </c>
      <c r="S308" s="226" t="n">
        <v>0.09724000000000002</v>
      </c>
      <c r="T308" s="226" t="n">
        <v>0.28625</v>
      </c>
      <c r="U308" s="226" t="n">
        <v>0.4145</v>
      </c>
      <c r="V308" s="226" t="n">
        <v>0.5</v>
      </c>
      <c r="W308" s="227" t="n">
        <v>5923.125</v>
      </c>
      <c r="X308" s="227" t="n">
        <v>28798.23375000001</v>
      </c>
      <c r="Y308" s="227" t="n">
        <v>84774.7265625</v>
      </c>
      <c r="Z308" s="227" t="n">
        <v>122756.765625</v>
      </c>
      <c r="AA308" s="227" t="n">
        <v>148078.125</v>
      </c>
    </row>
    <row r="309">
      <c r="A309" t="inlineStr">
        <is>
          <t>Nobu Scottsdale</t>
        </is>
      </c>
      <c r="B309" t="inlineStr">
        <is>
          <t>Restaurant</t>
        </is>
      </c>
      <c r="C309" t="inlineStr">
        <is>
          <t>NO</t>
        </is>
      </c>
      <c r="D309" t="n">
        <v>0</v>
      </c>
      <c r="E309" t="inlineStr"/>
      <c r="F309" t="inlineStr"/>
      <c r="G309" s="227" t="n">
        <v>0</v>
      </c>
      <c r="H309" t="n">
        <v>3</v>
      </c>
      <c r="I309" t="n">
        <v>1</v>
      </c>
      <c r="J309" t="n">
        <v>2</v>
      </c>
      <c r="K309" t="n">
        <v>4</v>
      </c>
      <c r="L309" t="n">
        <v>2</v>
      </c>
      <c r="M309" s="236" t="n">
        <v>0</v>
      </c>
      <c r="N309" t="inlineStr"/>
      <c r="O309" s="236" t="n">
        <v>2.3</v>
      </c>
      <c r="P309" s="236" t="n">
        <v>2.3</v>
      </c>
      <c r="Q309" s="224" t="inlineStr">
        <is>
          <t>D — Deprioritized</t>
        </is>
      </c>
      <c r="R309" s="226" t="n">
        <v>0</v>
      </c>
      <c r="S309" s="226" t="n">
        <v>0.018</v>
      </c>
      <c r="T309" s="226" t="n">
        <v>0.05500000000000001</v>
      </c>
      <c r="U309" s="226" t="n">
        <v>0.082</v>
      </c>
      <c r="V309" s="226" t="n">
        <v>0.1</v>
      </c>
      <c r="W309" s="227" t="n">
        <v>0</v>
      </c>
      <c r="X309" s="227" t="n">
        <v>0</v>
      </c>
      <c r="Y309" s="227" t="n">
        <v>0</v>
      </c>
      <c r="Z309" s="227" t="n">
        <v>0</v>
      </c>
      <c r="AA309" s="227" t="n">
        <v>0</v>
      </c>
    </row>
    <row r="310">
      <c r="A310" t="inlineStr">
        <is>
          <t>Fogo de Chão Brazilian Steakhouse</t>
        </is>
      </c>
      <c r="B310" t="inlineStr">
        <is>
          <t>Restaurant</t>
        </is>
      </c>
      <c r="C310" t="inlineStr">
        <is>
          <t>NO</t>
        </is>
      </c>
      <c r="D310" t="n">
        <v>0</v>
      </c>
      <c r="E310" t="inlineStr"/>
      <c r="F310" t="inlineStr"/>
      <c r="G310" s="227" t="n">
        <v>0</v>
      </c>
      <c r="H310" t="n">
        <v>3</v>
      </c>
      <c r="I310" t="n">
        <v>1</v>
      </c>
      <c r="J310" t="n">
        <v>2</v>
      </c>
      <c r="K310" t="n">
        <v>4</v>
      </c>
      <c r="L310" t="n">
        <v>2</v>
      </c>
      <c r="M310" s="236" t="n">
        <v>0</v>
      </c>
      <c r="N310" t="inlineStr"/>
      <c r="O310" s="236" t="n">
        <v>2.3</v>
      </c>
      <c r="P310" s="236" t="n">
        <v>2.3</v>
      </c>
      <c r="Q310" s="224" t="inlineStr">
        <is>
          <t>D — Deprioritized</t>
        </is>
      </c>
      <c r="R310" s="226" t="n">
        <v>0</v>
      </c>
      <c r="S310" s="226" t="n">
        <v>0.018</v>
      </c>
      <c r="T310" s="226" t="n">
        <v>0.05500000000000001</v>
      </c>
      <c r="U310" s="226" t="n">
        <v>0.082</v>
      </c>
      <c r="V310" s="226" t="n">
        <v>0.1</v>
      </c>
      <c r="W310" s="227" t="n">
        <v>0</v>
      </c>
      <c r="X310" s="227" t="n">
        <v>0</v>
      </c>
      <c r="Y310" s="227" t="n">
        <v>0</v>
      </c>
      <c r="Z310" s="227" t="n">
        <v>0</v>
      </c>
      <c r="AA310" s="227" t="n">
        <v>0</v>
      </c>
    </row>
    <row r="311">
      <c r="A311" t="inlineStr">
        <is>
          <t>Fat Ox</t>
        </is>
      </c>
      <c r="B311" t="inlineStr">
        <is>
          <t>Restaurant</t>
        </is>
      </c>
      <c r="C311" t="inlineStr">
        <is>
          <t>NO</t>
        </is>
      </c>
      <c r="D311" t="n">
        <v>0</v>
      </c>
      <c r="E311" t="inlineStr"/>
      <c r="F311" t="inlineStr"/>
      <c r="G311" s="227" t="n">
        <v>0</v>
      </c>
      <c r="H311" t="n">
        <v>3</v>
      </c>
      <c r="I311" t="n">
        <v>1</v>
      </c>
      <c r="J311" t="n">
        <v>2</v>
      </c>
      <c r="K311" t="n">
        <v>4</v>
      </c>
      <c r="L311" t="n">
        <v>2</v>
      </c>
      <c r="M311" s="236" t="n">
        <v>0</v>
      </c>
      <c r="N311" t="inlineStr"/>
      <c r="O311" s="236" t="n">
        <v>2.3</v>
      </c>
      <c r="P311" s="236" t="n">
        <v>2.3</v>
      </c>
      <c r="Q311" s="224" t="inlineStr">
        <is>
          <t>D — Deprioritized</t>
        </is>
      </c>
      <c r="R311" s="226" t="n">
        <v>0</v>
      </c>
      <c r="S311" s="226" t="n">
        <v>0.018</v>
      </c>
      <c r="T311" s="226" t="n">
        <v>0.05500000000000001</v>
      </c>
      <c r="U311" s="226" t="n">
        <v>0.082</v>
      </c>
      <c r="V311" s="226" t="n">
        <v>0.1</v>
      </c>
      <c r="W311" s="227" t="n">
        <v>0</v>
      </c>
      <c r="X311" s="227" t="n">
        <v>0</v>
      </c>
      <c r="Y311" s="227" t="n">
        <v>0</v>
      </c>
      <c r="Z311" s="227" t="n">
        <v>0</v>
      </c>
      <c r="AA311" s="227" t="n">
        <v>0</v>
      </c>
    </row>
    <row r="312">
      <c r="A312" t="inlineStr">
        <is>
          <t>Culinary Dropout - Kierland</t>
        </is>
      </c>
      <c r="B312" t="inlineStr">
        <is>
          <t>Restaurant</t>
        </is>
      </c>
      <c r="C312" t="inlineStr">
        <is>
          <t>NO</t>
        </is>
      </c>
      <c r="D312" t="n">
        <v>0</v>
      </c>
      <c r="E312" t="inlineStr"/>
      <c r="F312" t="inlineStr"/>
      <c r="G312" s="227" t="n">
        <v>0</v>
      </c>
      <c r="H312" t="n">
        <v>3</v>
      </c>
      <c r="I312" t="n">
        <v>1</v>
      </c>
      <c r="J312" t="n">
        <v>2</v>
      </c>
      <c r="K312" t="n">
        <v>4</v>
      </c>
      <c r="L312" t="n">
        <v>2</v>
      </c>
      <c r="M312" s="236" t="n">
        <v>0</v>
      </c>
      <c r="N312" t="inlineStr"/>
      <c r="O312" s="236" t="n">
        <v>2.3</v>
      </c>
      <c r="P312" s="236" t="n">
        <v>2.3</v>
      </c>
      <c r="Q312" s="224" t="inlineStr">
        <is>
          <t>D — Deprioritized</t>
        </is>
      </c>
      <c r="R312" s="226" t="n">
        <v>0</v>
      </c>
      <c r="S312" s="226" t="n">
        <v>0.018</v>
      </c>
      <c r="T312" s="226" t="n">
        <v>0.05500000000000001</v>
      </c>
      <c r="U312" s="226" t="n">
        <v>0.082</v>
      </c>
      <c r="V312" s="226" t="n">
        <v>0.1</v>
      </c>
      <c r="W312" s="227" t="n">
        <v>0</v>
      </c>
      <c r="X312" s="227" t="n">
        <v>0</v>
      </c>
      <c r="Y312" s="227" t="n">
        <v>0</v>
      </c>
      <c r="Z312" s="227" t="n">
        <v>0</v>
      </c>
      <c r="AA312" s="227" t="n">
        <v>0</v>
      </c>
    </row>
    <row r="313">
      <c r="A313" t="inlineStr">
        <is>
          <t>Dominick's Steakhouse</t>
        </is>
      </c>
      <c r="B313" t="inlineStr">
        <is>
          <t>Restaurant</t>
        </is>
      </c>
      <c r="C313" t="inlineStr">
        <is>
          <t>NO</t>
        </is>
      </c>
      <c r="D313" t="n">
        <v>0</v>
      </c>
      <c r="E313" t="inlineStr"/>
      <c r="F313" t="inlineStr"/>
      <c r="G313" s="227" t="n">
        <v>0</v>
      </c>
      <c r="H313" t="n">
        <v>3</v>
      </c>
      <c r="I313" t="n">
        <v>1</v>
      </c>
      <c r="J313" t="n">
        <v>2</v>
      </c>
      <c r="K313" t="n">
        <v>4</v>
      </c>
      <c r="L313" t="n">
        <v>2</v>
      </c>
      <c r="M313" s="236" t="n">
        <v>0</v>
      </c>
      <c r="N313" t="inlineStr"/>
      <c r="O313" s="236" t="n">
        <v>2.3</v>
      </c>
      <c r="P313" s="236" t="n">
        <v>2.3</v>
      </c>
      <c r="Q313" s="224" t="inlineStr">
        <is>
          <t>D — Deprioritized</t>
        </is>
      </c>
      <c r="R313" s="226" t="n">
        <v>0</v>
      </c>
      <c r="S313" s="226" t="n">
        <v>0.018</v>
      </c>
      <c r="T313" s="226" t="n">
        <v>0.05500000000000001</v>
      </c>
      <c r="U313" s="226" t="n">
        <v>0.082</v>
      </c>
      <c r="V313" s="226" t="n">
        <v>0.1</v>
      </c>
      <c r="W313" s="227" t="n">
        <v>0</v>
      </c>
      <c r="X313" s="227" t="n">
        <v>0</v>
      </c>
      <c r="Y313" s="227" t="n">
        <v>0</v>
      </c>
      <c r="Z313" s="227" t="n">
        <v>0</v>
      </c>
      <c r="AA313" s="227" t="n">
        <v>0</v>
      </c>
    </row>
    <row r="314">
      <c r="A314" t="inlineStr">
        <is>
          <t>Morton's The Steakhouse</t>
        </is>
      </c>
      <c r="B314" t="inlineStr">
        <is>
          <t>Restaurant</t>
        </is>
      </c>
      <c r="C314" t="inlineStr">
        <is>
          <t>NO</t>
        </is>
      </c>
      <c r="D314" t="n">
        <v>0</v>
      </c>
      <c r="E314" t="inlineStr"/>
      <c r="F314" t="inlineStr"/>
      <c r="G314" s="227" t="n">
        <v>0</v>
      </c>
      <c r="H314" t="n">
        <v>3</v>
      </c>
      <c r="I314" t="n">
        <v>1</v>
      </c>
      <c r="J314" t="n">
        <v>2</v>
      </c>
      <c r="K314" t="n">
        <v>4</v>
      </c>
      <c r="L314" t="n">
        <v>2</v>
      </c>
      <c r="M314" s="236" t="n">
        <v>0</v>
      </c>
      <c r="N314" t="inlineStr"/>
      <c r="O314" s="236" t="n">
        <v>2.3</v>
      </c>
      <c r="P314" s="236" t="n">
        <v>2.3</v>
      </c>
      <c r="Q314" s="224" t="inlineStr">
        <is>
          <t>D — Deprioritized</t>
        </is>
      </c>
      <c r="R314" s="226" t="n">
        <v>0</v>
      </c>
      <c r="S314" s="226" t="n">
        <v>0.018</v>
      </c>
      <c r="T314" s="226" t="n">
        <v>0.05500000000000001</v>
      </c>
      <c r="U314" s="226" t="n">
        <v>0.082</v>
      </c>
      <c r="V314" s="226" t="n">
        <v>0.1</v>
      </c>
      <c r="W314" s="227" t="n">
        <v>0</v>
      </c>
      <c r="X314" s="227" t="n">
        <v>0</v>
      </c>
      <c r="Y314" s="227" t="n">
        <v>0</v>
      </c>
      <c r="Z314" s="227" t="n">
        <v>0</v>
      </c>
      <c r="AA314" s="227" t="n">
        <v>0</v>
      </c>
    </row>
    <row r="315">
      <c r="A315" t="inlineStr">
        <is>
          <t>The Guest House Scottsdale</t>
        </is>
      </c>
      <c r="B315" t="inlineStr">
        <is>
          <t>Restaurant</t>
        </is>
      </c>
      <c r="C315" t="inlineStr">
        <is>
          <t>NO</t>
        </is>
      </c>
      <c r="D315" t="n">
        <v>0</v>
      </c>
      <c r="E315" t="inlineStr"/>
      <c r="F315" t="inlineStr"/>
      <c r="G315" s="227" t="n">
        <v>0</v>
      </c>
      <c r="H315" t="n">
        <v>3</v>
      </c>
      <c r="I315" t="n">
        <v>1</v>
      </c>
      <c r="J315" t="n">
        <v>2</v>
      </c>
      <c r="K315" t="n">
        <v>4</v>
      </c>
      <c r="L315" t="n">
        <v>2</v>
      </c>
      <c r="M315" s="236" t="n">
        <v>0</v>
      </c>
      <c r="N315" t="inlineStr"/>
      <c r="O315" s="236" t="n">
        <v>2.3</v>
      </c>
      <c r="P315" s="236" t="n">
        <v>2.3</v>
      </c>
      <c r="Q315" s="224" t="inlineStr">
        <is>
          <t>D — Deprioritized</t>
        </is>
      </c>
      <c r="R315" s="226" t="n">
        <v>0</v>
      </c>
      <c r="S315" s="226" t="n">
        <v>0.018</v>
      </c>
      <c r="T315" s="226" t="n">
        <v>0.05500000000000001</v>
      </c>
      <c r="U315" s="226" t="n">
        <v>0.082</v>
      </c>
      <c r="V315" s="226" t="n">
        <v>0.1</v>
      </c>
      <c r="W315" s="227" t="n">
        <v>0</v>
      </c>
      <c r="X315" s="227" t="n">
        <v>0</v>
      </c>
      <c r="Y315" s="227" t="n">
        <v>0</v>
      </c>
      <c r="Z315" s="227" t="n">
        <v>0</v>
      </c>
      <c r="AA315" s="227" t="n">
        <v>0</v>
      </c>
    </row>
    <row r="316">
      <c r="A316" t="inlineStr">
        <is>
          <t>Postino Kierland</t>
        </is>
      </c>
      <c r="B316" t="inlineStr">
        <is>
          <t>Restaurant</t>
        </is>
      </c>
      <c r="C316" t="inlineStr">
        <is>
          <t>NO</t>
        </is>
      </c>
      <c r="D316" t="n">
        <v>0</v>
      </c>
      <c r="E316" t="inlineStr"/>
      <c r="F316" t="inlineStr"/>
      <c r="G316" s="227" t="n">
        <v>0</v>
      </c>
      <c r="H316" t="n">
        <v>3</v>
      </c>
      <c r="I316" t="n">
        <v>1</v>
      </c>
      <c r="J316" t="n">
        <v>2</v>
      </c>
      <c r="K316" t="n">
        <v>4</v>
      </c>
      <c r="L316" t="n">
        <v>2</v>
      </c>
      <c r="M316" s="236" t="n">
        <v>0</v>
      </c>
      <c r="N316" t="inlineStr"/>
      <c r="O316" s="236" t="n">
        <v>2.3</v>
      </c>
      <c r="P316" s="236" t="n">
        <v>2.3</v>
      </c>
      <c r="Q316" s="224" t="inlineStr">
        <is>
          <t>D — Deprioritized</t>
        </is>
      </c>
      <c r="R316" s="226" t="n">
        <v>0</v>
      </c>
      <c r="S316" s="226" t="n">
        <v>0.018</v>
      </c>
      <c r="T316" s="226" t="n">
        <v>0.05500000000000001</v>
      </c>
      <c r="U316" s="226" t="n">
        <v>0.082</v>
      </c>
      <c r="V316" s="226" t="n">
        <v>0.1</v>
      </c>
      <c r="W316" s="227" t="n">
        <v>0</v>
      </c>
      <c r="X316" s="227" t="n">
        <v>0</v>
      </c>
      <c r="Y316" s="227" t="n">
        <v>0</v>
      </c>
      <c r="Z316" s="227" t="n">
        <v>0</v>
      </c>
      <c r="AA316" s="227" t="n">
        <v>0</v>
      </c>
    </row>
    <row r="317">
      <c r="A317" t="inlineStr">
        <is>
          <t>North Italia - Kierland</t>
        </is>
      </c>
      <c r="B317" t="inlineStr">
        <is>
          <t>Restaurant</t>
        </is>
      </c>
      <c r="C317" t="inlineStr">
        <is>
          <t>NO</t>
        </is>
      </c>
      <c r="D317" t="n">
        <v>0</v>
      </c>
      <c r="E317" t="inlineStr"/>
      <c r="F317" t="inlineStr"/>
      <c r="G317" s="227" t="n">
        <v>0</v>
      </c>
      <c r="H317" t="n">
        <v>3</v>
      </c>
      <c r="I317" t="n">
        <v>1</v>
      </c>
      <c r="J317" t="n">
        <v>2</v>
      </c>
      <c r="K317" t="n">
        <v>4</v>
      </c>
      <c r="L317" t="n">
        <v>2</v>
      </c>
      <c r="M317" s="236" t="n">
        <v>0</v>
      </c>
      <c r="N317" t="inlineStr"/>
      <c r="O317" s="236" t="n">
        <v>2.3</v>
      </c>
      <c r="P317" s="236" t="n">
        <v>2.3</v>
      </c>
      <c r="Q317" s="224" t="inlineStr">
        <is>
          <t>D — Deprioritized</t>
        </is>
      </c>
      <c r="R317" s="226" t="n">
        <v>0</v>
      </c>
      <c r="S317" s="226" t="n">
        <v>0.018</v>
      </c>
      <c r="T317" s="226" t="n">
        <v>0.05500000000000001</v>
      </c>
      <c r="U317" s="226" t="n">
        <v>0.082</v>
      </c>
      <c r="V317" s="226" t="n">
        <v>0.1</v>
      </c>
      <c r="W317" s="227" t="n">
        <v>0</v>
      </c>
      <c r="X317" s="227" t="n">
        <v>0</v>
      </c>
      <c r="Y317" s="227" t="n">
        <v>0</v>
      </c>
      <c r="Z317" s="227" t="n">
        <v>0</v>
      </c>
      <c r="AA317" s="227" t="n">
        <v>0</v>
      </c>
    </row>
    <row r="318">
      <c r="A318" t="inlineStr">
        <is>
          <t>The Arrogant Butcher</t>
        </is>
      </c>
      <c r="B318" t="inlineStr">
        <is>
          <t>Restaurant</t>
        </is>
      </c>
      <c r="C318" t="inlineStr">
        <is>
          <t>YES</t>
        </is>
      </c>
      <c r="D318" t="n">
        <v>0</v>
      </c>
      <c r="E318" t="inlineStr"/>
      <c r="F318" t="inlineStr"/>
      <c r="G318" s="227" t="n">
        <v>0</v>
      </c>
      <c r="H318" t="n">
        <v>3</v>
      </c>
      <c r="I318" t="n">
        <v>1</v>
      </c>
      <c r="J318" t="n">
        <v>2</v>
      </c>
      <c r="K318" t="n">
        <v>4</v>
      </c>
      <c r="L318" t="n">
        <v>4</v>
      </c>
      <c r="M318" s="236" t="n">
        <v>0</v>
      </c>
      <c r="N318" t="inlineStr"/>
      <c r="O318" s="236" t="n">
        <v>2.6</v>
      </c>
      <c r="P318" s="236" t="n">
        <v>2.6</v>
      </c>
      <c r="Q318" s="237" t="inlineStr">
        <is>
          <t>C — Opportunistic</t>
        </is>
      </c>
      <c r="R318" s="226" t="n">
        <v>0.02</v>
      </c>
      <c r="S318" s="226" t="n">
        <v>0.09724000000000002</v>
      </c>
      <c r="T318" s="226" t="n">
        <v>0.28625</v>
      </c>
      <c r="U318" s="226" t="n">
        <v>0.4145</v>
      </c>
      <c r="V318" s="226" t="n">
        <v>0.5</v>
      </c>
      <c r="W318" s="227" t="n">
        <v>0</v>
      </c>
      <c r="X318" s="227" t="n">
        <v>0</v>
      </c>
      <c r="Y318" s="227" t="n">
        <v>0</v>
      </c>
      <c r="Z318" s="227" t="n">
        <v>0</v>
      </c>
      <c r="AA318" s="227" t="n">
        <v>0</v>
      </c>
    </row>
    <row r="319">
      <c r="A319" t="inlineStr">
        <is>
          <t>ROSSO ITALIAN</t>
        </is>
      </c>
      <c r="B319" t="inlineStr">
        <is>
          <t>Restaurant</t>
        </is>
      </c>
      <c r="C319" t="inlineStr">
        <is>
          <t>YES</t>
        </is>
      </c>
      <c r="D319" t="n">
        <v>0</v>
      </c>
      <c r="E319" t="inlineStr"/>
      <c r="F319" t="inlineStr"/>
      <c r="G319" s="227" t="n">
        <v>0</v>
      </c>
      <c r="H319" t="n">
        <v>3</v>
      </c>
      <c r="I319" t="n">
        <v>1</v>
      </c>
      <c r="J319" t="n">
        <v>2</v>
      </c>
      <c r="K319" t="n">
        <v>4</v>
      </c>
      <c r="L319" t="n">
        <v>4</v>
      </c>
      <c r="M319" s="236" t="n">
        <v>0</v>
      </c>
      <c r="N319" t="inlineStr"/>
      <c r="O319" s="236" t="n">
        <v>2.6</v>
      </c>
      <c r="P319" s="236" t="n">
        <v>2.6</v>
      </c>
      <c r="Q319" s="237" t="inlineStr">
        <is>
          <t>C — Opportunistic</t>
        </is>
      </c>
      <c r="R319" s="226" t="n">
        <v>0.02</v>
      </c>
      <c r="S319" s="226" t="n">
        <v>0.09724000000000002</v>
      </c>
      <c r="T319" s="226" t="n">
        <v>0.28625</v>
      </c>
      <c r="U319" s="226" t="n">
        <v>0.4145</v>
      </c>
      <c r="V319" s="226" t="n">
        <v>0.5</v>
      </c>
      <c r="W319" s="227" t="n">
        <v>0</v>
      </c>
      <c r="X319" s="227" t="n">
        <v>0</v>
      </c>
      <c r="Y319" s="227" t="n">
        <v>0</v>
      </c>
      <c r="Z319" s="227" t="n">
        <v>0</v>
      </c>
      <c r="AA319" s="227" t="n">
        <v>0</v>
      </c>
    </row>
    <row r="320">
      <c r="A320" t="inlineStr">
        <is>
          <t>Chico Malo</t>
        </is>
      </c>
      <c r="B320" t="inlineStr">
        <is>
          <t>Restaurant</t>
        </is>
      </c>
      <c r="C320" t="inlineStr">
        <is>
          <t>YES</t>
        </is>
      </c>
      <c r="D320" t="n">
        <v>0</v>
      </c>
      <c r="E320" t="inlineStr"/>
      <c r="F320" t="inlineStr"/>
      <c r="G320" s="227" t="n">
        <v>0</v>
      </c>
      <c r="H320" t="n">
        <v>3</v>
      </c>
      <c r="I320" t="n">
        <v>1</v>
      </c>
      <c r="J320" t="n">
        <v>2</v>
      </c>
      <c r="K320" t="n">
        <v>4</v>
      </c>
      <c r="L320" t="n">
        <v>4</v>
      </c>
      <c r="M320" s="236" t="n">
        <v>0</v>
      </c>
      <c r="N320" t="inlineStr"/>
      <c r="O320" s="236" t="n">
        <v>2.6</v>
      </c>
      <c r="P320" s="236" t="n">
        <v>2.6</v>
      </c>
      <c r="Q320" s="237" t="inlineStr">
        <is>
          <t>C — Opportunistic</t>
        </is>
      </c>
      <c r="R320" s="226" t="n">
        <v>0.02</v>
      </c>
      <c r="S320" s="226" t="n">
        <v>0.09724000000000002</v>
      </c>
      <c r="T320" s="226" t="n">
        <v>0.28625</v>
      </c>
      <c r="U320" s="226" t="n">
        <v>0.4145</v>
      </c>
      <c r="V320" s="226" t="n">
        <v>0.5</v>
      </c>
      <c r="W320" s="227" t="n">
        <v>0</v>
      </c>
      <c r="X320" s="227" t="n">
        <v>0</v>
      </c>
      <c r="Y320" s="227" t="n">
        <v>0</v>
      </c>
      <c r="Z320" s="227" t="n">
        <v>0</v>
      </c>
      <c r="AA320" s="227" t="n">
        <v>0</v>
      </c>
    </row>
    <row r="321">
      <c r="A321" t="inlineStr">
        <is>
          <t>Blanco Cocina + Cantina</t>
        </is>
      </c>
      <c r="B321" t="inlineStr">
        <is>
          <t>Restaurant</t>
        </is>
      </c>
      <c r="C321" t="inlineStr">
        <is>
          <t>YES</t>
        </is>
      </c>
      <c r="D321" t="n">
        <v>0</v>
      </c>
      <c r="E321" t="inlineStr"/>
      <c r="F321" t="inlineStr"/>
      <c r="G321" s="227" t="n">
        <v>0</v>
      </c>
      <c r="H321" t="n">
        <v>3</v>
      </c>
      <c r="I321" t="n">
        <v>1</v>
      </c>
      <c r="J321" t="n">
        <v>2</v>
      </c>
      <c r="K321" t="n">
        <v>4</v>
      </c>
      <c r="L321" t="n">
        <v>4</v>
      </c>
      <c r="M321" s="236" t="n">
        <v>0</v>
      </c>
      <c r="N321" t="inlineStr"/>
      <c r="O321" s="236" t="n">
        <v>2.6</v>
      </c>
      <c r="P321" s="236" t="n">
        <v>2.6</v>
      </c>
      <c r="Q321" s="237" t="inlineStr">
        <is>
          <t>C — Opportunistic</t>
        </is>
      </c>
      <c r="R321" s="226" t="n">
        <v>0.02</v>
      </c>
      <c r="S321" s="226" t="n">
        <v>0.09724000000000002</v>
      </c>
      <c r="T321" s="226" t="n">
        <v>0.28625</v>
      </c>
      <c r="U321" s="226" t="n">
        <v>0.4145</v>
      </c>
      <c r="V321" s="226" t="n">
        <v>0.5</v>
      </c>
      <c r="W321" s="227" t="n">
        <v>0</v>
      </c>
      <c r="X321" s="227" t="n">
        <v>0</v>
      </c>
      <c r="Y321" s="227" t="n">
        <v>0</v>
      </c>
      <c r="Z321" s="227" t="n">
        <v>0</v>
      </c>
      <c r="AA321" s="227" t="n">
        <v>0</v>
      </c>
    </row>
    <row r="322">
      <c r="A322" t="inlineStr">
        <is>
          <t>Wren &amp; Wolf</t>
        </is>
      </c>
      <c r="B322" t="inlineStr">
        <is>
          <t>Restaurant</t>
        </is>
      </c>
      <c r="C322" t="inlineStr">
        <is>
          <t>YES</t>
        </is>
      </c>
      <c r="D322" t="n">
        <v>0</v>
      </c>
      <c r="E322" t="inlineStr"/>
      <c r="F322" t="inlineStr"/>
      <c r="G322" s="227" t="n">
        <v>0</v>
      </c>
      <c r="H322" t="n">
        <v>3</v>
      </c>
      <c r="I322" t="n">
        <v>1</v>
      </c>
      <c r="J322" t="n">
        <v>2</v>
      </c>
      <c r="K322" t="n">
        <v>4</v>
      </c>
      <c r="L322" t="n">
        <v>4</v>
      </c>
      <c r="M322" s="236" t="n">
        <v>0</v>
      </c>
      <c r="N322" t="inlineStr"/>
      <c r="O322" s="236" t="n">
        <v>2.6</v>
      </c>
      <c r="P322" s="236" t="n">
        <v>2.6</v>
      </c>
      <c r="Q322" s="237" t="inlineStr">
        <is>
          <t>C — Opportunistic</t>
        </is>
      </c>
      <c r="R322" s="226" t="n">
        <v>0.02</v>
      </c>
      <c r="S322" s="226" t="n">
        <v>0.09724000000000002</v>
      </c>
      <c r="T322" s="226" t="n">
        <v>0.28625</v>
      </c>
      <c r="U322" s="226" t="n">
        <v>0.4145</v>
      </c>
      <c r="V322" s="226" t="n">
        <v>0.5</v>
      </c>
      <c r="W322" s="227" t="n">
        <v>0</v>
      </c>
      <c r="X322" s="227" t="n">
        <v>0</v>
      </c>
      <c r="Y322" s="227" t="n">
        <v>0</v>
      </c>
      <c r="Z322" s="227" t="n">
        <v>0</v>
      </c>
      <c r="AA322" s="227" t="n">
        <v>0</v>
      </c>
    </row>
    <row r="323">
      <c r="A323" t="inlineStr">
        <is>
          <t>Cleaverman</t>
        </is>
      </c>
      <c r="B323" t="inlineStr">
        <is>
          <t>Restaurant</t>
        </is>
      </c>
      <c r="C323" t="inlineStr">
        <is>
          <t>YES</t>
        </is>
      </c>
      <c r="D323" t="n">
        <v>0</v>
      </c>
      <c r="E323" t="inlineStr"/>
      <c r="F323" t="inlineStr"/>
      <c r="G323" s="227" t="n">
        <v>0</v>
      </c>
      <c r="H323" t="n">
        <v>3</v>
      </c>
      <c r="I323" t="n">
        <v>1</v>
      </c>
      <c r="J323" t="n">
        <v>2</v>
      </c>
      <c r="K323" t="n">
        <v>4</v>
      </c>
      <c r="L323" t="n">
        <v>4</v>
      </c>
      <c r="M323" s="236" t="n">
        <v>0</v>
      </c>
      <c r="N323" t="inlineStr"/>
      <c r="O323" s="236" t="n">
        <v>2.6</v>
      </c>
      <c r="P323" s="236" t="n">
        <v>2.6</v>
      </c>
      <c r="Q323" s="237" t="inlineStr">
        <is>
          <t>C — Opportunistic</t>
        </is>
      </c>
      <c r="R323" s="226" t="n">
        <v>0.02</v>
      </c>
      <c r="S323" s="226" t="n">
        <v>0.09724000000000002</v>
      </c>
      <c r="T323" s="226" t="n">
        <v>0.28625</v>
      </c>
      <c r="U323" s="226" t="n">
        <v>0.4145</v>
      </c>
      <c r="V323" s="226" t="n">
        <v>0.5</v>
      </c>
      <c r="W323" s="227" t="n">
        <v>0</v>
      </c>
      <c r="X323" s="227" t="n">
        <v>0</v>
      </c>
      <c r="Y323" s="227" t="n">
        <v>0</v>
      </c>
      <c r="Z323" s="227" t="n">
        <v>0</v>
      </c>
      <c r="AA323" s="227" t="n">
        <v>0</v>
      </c>
    </row>
    <row r="324">
      <c r="A324" t="inlineStr">
        <is>
          <t>Condesa Phoenix</t>
        </is>
      </c>
      <c r="B324" t="inlineStr">
        <is>
          <t>Restaurant</t>
        </is>
      </c>
      <c r="C324" t="inlineStr">
        <is>
          <t>YES</t>
        </is>
      </c>
      <c r="D324" t="n">
        <v>0</v>
      </c>
      <c r="E324" t="inlineStr"/>
      <c r="F324" t="inlineStr"/>
      <c r="G324" s="227" t="n">
        <v>0</v>
      </c>
      <c r="H324" t="n">
        <v>3</v>
      </c>
      <c r="I324" t="n">
        <v>1</v>
      </c>
      <c r="J324" t="n">
        <v>2</v>
      </c>
      <c r="K324" t="n">
        <v>4</v>
      </c>
      <c r="L324" t="n">
        <v>4</v>
      </c>
      <c r="M324" s="236" t="n">
        <v>0</v>
      </c>
      <c r="N324" t="inlineStr"/>
      <c r="O324" s="236" t="n">
        <v>2.6</v>
      </c>
      <c r="P324" s="236" t="n">
        <v>2.6</v>
      </c>
      <c r="Q324" s="237" t="inlineStr">
        <is>
          <t>C — Opportunistic</t>
        </is>
      </c>
      <c r="R324" s="226" t="n">
        <v>0.02</v>
      </c>
      <c r="S324" s="226" t="n">
        <v>0.09724000000000002</v>
      </c>
      <c r="T324" s="226" t="n">
        <v>0.28625</v>
      </c>
      <c r="U324" s="226" t="n">
        <v>0.4145</v>
      </c>
      <c r="V324" s="226" t="n">
        <v>0.5</v>
      </c>
      <c r="W324" s="227" t="n">
        <v>0</v>
      </c>
      <c r="X324" s="227" t="n">
        <v>0</v>
      </c>
      <c r="Y324" s="227" t="n">
        <v>0</v>
      </c>
      <c r="Z324" s="227" t="n">
        <v>0</v>
      </c>
      <c r="AA324" s="227" t="n">
        <v>0</v>
      </c>
    </row>
    <row r="325">
      <c r="A325" t="inlineStr">
        <is>
          <t>Miel De Agave Phoenix</t>
        </is>
      </c>
      <c r="B325" t="inlineStr">
        <is>
          <t>Restaurant</t>
        </is>
      </c>
      <c r="C325" t="inlineStr">
        <is>
          <t>YES</t>
        </is>
      </c>
      <c r="D325" t="n">
        <v>0</v>
      </c>
      <c r="E325" t="inlineStr"/>
      <c r="F325" t="inlineStr"/>
      <c r="G325" s="227" t="n">
        <v>0</v>
      </c>
      <c r="H325" t="n">
        <v>3</v>
      </c>
      <c r="I325" t="n">
        <v>1</v>
      </c>
      <c r="J325" t="n">
        <v>2</v>
      </c>
      <c r="K325" t="n">
        <v>4</v>
      </c>
      <c r="L325" t="n">
        <v>4</v>
      </c>
      <c r="M325" s="236" t="n">
        <v>0</v>
      </c>
      <c r="N325" t="inlineStr"/>
      <c r="O325" s="236" t="n">
        <v>2.6</v>
      </c>
      <c r="P325" s="236" t="n">
        <v>2.6</v>
      </c>
      <c r="Q325" s="237" t="inlineStr">
        <is>
          <t>C — Opportunistic</t>
        </is>
      </c>
      <c r="R325" s="226" t="n">
        <v>0.02</v>
      </c>
      <c r="S325" s="226" t="n">
        <v>0.09724000000000002</v>
      </c>
      <c r="T325" s="226" t="n">
        <v>0.28625</v>
      </c>
      <c r="U325" s="226" t="n">
        <v>0.4145</v>
      </c>
      <c r="V325" s="226" t="n">
        <v>0.5</v>
      </c>
      <c r="W325" s="227" t="n">
        <v>0</v>
      </c>
      <c r="X325" s="227" t="n">
        <v>0</v>
      </c>
      <c r="Y325" s="227" t="n">
        <v>0</v>
      </c>
      <c r="Z325" s="227" t="n">
        <v>0</v>
      </c>
      <c r="AA325" s="227" t="n">
        <v>0</v>
      </c>
    </row>
    <row r="326">
      <c r="A326" t="inlineStr">
        <is>
          <t>The Churchill</t>
        </is>
      </c>
      <c r="B326" t="inlineStr">
        <is>
          <t>Restaurant</t>
        </is>
      </c>
      <c r="C326" t="inlineStr">
        <is>
          <t>YES</t>
        </is>
      </c>
      <c r="D326" t="n">
        <v>0</v>
      </c>
      <c r="E326" t="inlineStr"/>
      <c r="F326" t="inlineStr"/>
      <c r="G326" s="227" t="n">
        <v>0</v>
      </c>
      <c r="H326" t="n">
        <v>3</v>
      </c>
      <c r="I326" t="n">
        <v>1</v>
      </c>
      <c r="J326" t="n">
        <v>2</v>
      </c>
      <c r="K326" t="n">
        <v>4</v>
      </c>
      <c r="L326" t="n">
        <v>4</v>
      </c>
      <c r="M326" s="236" t="n">
        <v>0</v>
      </c>
      <c r="N326" t="inlineStr"/>
      <c r="O326" s="236" t="n">
        <v>2.6</v>
      </c>
      <c r="P326" s="236" t="n">
        <v>2.6</v>
      </c>
      <c r="Q326" s="237" t="inlineStr">
        <is>
          <t>C — Opportunistic</t>
        </is>
      </c>
      <c r="R326" s="226" t="n">
        <v>0.02</v>
      </c>
      <c r="S326" s="226" t="n">
        <v>0.09724000000000002</v>
      </c>
      <c r="T326" s="226" t="n">
        <v>0.28625</v>
      </c>
      <c r="U326" s="226" t="n">
        <v>0.4145</v>
      </c>
      <c r="V326" s="226" t="n">
        <v>0.5</v>
      </c>
      <c r="W326" s="227" t="n">
        <v>0</v>
      </c>
      <c r="X326" s="227" t="n">
        <v>0</v>
      </c>
      <c r="Y326" s="227" t="n">
        <v>0</v>
      </c>
      <c r="Z326" s="227" t="n">
        <v>0</v>
      </c>
      <c r="AA326" s="227" t="n">
        <v>0</v>
      </c>
    </row>
    <row r="327">
      <c r="A327" t="inlineStr">
        <is>
          <t>Palma</t>
        </is>
      </c>
      <c r="B327" t="inlineStr">
        <is>
          <t>Restaurant</t>
        </is>
      </c>
      <c r="C327" t="inlineStr">
        <is>
          <t>YES</t>
        </is>
      </c>
      <c r="D327" t="n">
        <v>0</v>
      </c>
      <c r="E327" t="inlineStr"/>
      <c r="F327" t="inlineStr"/>
      <c r="G327" s="227" t="n">
        <v>0</v>
      </c>
      <c r="H327" t="n">
        <v>3</v>
      </c>
      <c r="I327" t="n">
        <v>1</v>
      </c>
      <c r="J327" t="n">
        <v>2</v>
      </c>
      <c r="K327" t="n">
        <v>4</v>
      </c>
      <c r="L327" t="n">
        <v>4</v>
      </c>
      <c r="M327" s="236" t="n">
        <v>0</v>
      </c>
      <c r="N327" t="inlineStr"/>
      <c r="O327" s="236" t="n">
        <v>2.6</v>
      </c>
      <c r="P327" s="236" t="n">
        <v>2.6</v>
      </c>
      <c r="Q327" s="237" t="inlineStr">
        <is>
          <t>C — Opportunistic</t>
        </is>
      </c>
      <c r="R327" s="226" t="n">
        <v>0.02</v>
      </c>
      <c r="S327" s="226" t="n">
        <v>0.09724000000000002</v>
      </c>
      <c r="T327" s="226" t="n">
        <v>0.28625</v>
      </c>
      <c r="U327" s="226" t="n">
        <v>0.4145</v>
      </c>
      <c r="V327" s="226" t="n">
        <v>0.5</v>
      </c>
      <c r="W327" s="227" t="n">
        <v>0</v>
      </c>
      <c r="X327" s="227" t="n">
        <v>0</v>
      </c>
      <c r="Y327" s="227" t="n">
        <v>0</v>
      </c>
      <c r="Z327" s="227" t="n">
        <v>0</v>
      </c>
      <c r="AA327" s="227" t="n">
        <v>0</v>
      </c>
    </row>
    <row r="328">
      <c r="A328" t="inlineStr">
        <is>
          <t>Lom Wong</t>
        </is>
      </c>
      <c r="B328" t="inlineStr">
        <is>
          <t>Restaurant</t>
        </is>
      </c>
      <c r="C328" t="inlineStr">
        <is>
          <t>YES</t>
        </is>
      </c>
      <c r="D328" t="n">
        <v>0</v>
      </c>
      <c r="E328" t="inlineStr"/>
      <c r="F328" t="inlineStr"/>
      <c r="G328" s="227" t="n">
        <v>0</v>
      </c>
      <c r="H328" t="n">
        <v>3</v>
      </c>
      <c r="I328" t="n">
        <v>1</v>
      </c>
      <c r="J328" t="n">
        <v>2</v>
      </c>
      <c r="K328" t="n">
        <v>4</v>
      </c>
      <c r="L328" t="n">
        <v>4</v>
      </c>
      <c r="M328" s="236" t="n">
        <v>0</v>
      </c>
      <c r="N328" t="inlineStr"/>
      <c r="O328" s="236" t="n">
        <v>2.6</v>
      </c>
      <c r="P328" s="236" t="n">
        <v>2.6</v>
      </c>
      <c r="Q328" s="237" t="inlineStr">
        <is>
          <t>C — Opportunistic</t>
        </is>
      </c>
      <c r="R328" s="226" t="n">
        <v>0.02</v>
      </c>
      <c r="S328" s="226" t="n">
        <v>0.09724000000000002</v>
      </c>
      <c r="T328" s="226" t="n">
        <v>0.28625</v>
      </c>
      <c r="U328" s="226" t="n">
        <v>0.4145</v>
      </c>
      <c r="V328" s="226" t="n">
        <v>0.5</v>
      </c>
      <c r="W328" s="227" t="n">
        <v>0</v>
      </c>
      <c r="X328" s="227" t="n">
        <v>0</v>
      </c>
      <c r="Y328" s="227" t="n">
        <v>0</v>
      </c>
      <c r="Z328" s="227" t="n">
        <v>0</v>
      </c>
      <c r="AA328" s="227" t="n">
        <v>0</v>
      </c>
    </row>
    <row r="329">
      <c r="A329" t="inlineStr">
        <is>
          <t>The Pemberton</t>
        </is>
      </c>
      <c r="B329" t="inlineStr">
        <is>
          <t>Restaurant</t>
        </is>
      </c>
      <c r="C329" t="inlineStr">
        <is>
          <t>YES</t>
        </is>
      </c>
      <c r="D329" t="n">
        <v>0</v>
      </c>
      <c r="E329" t="inlineStr"/>
      <c r="F329" t="inlineStr"/>
      <c r="G329" s="227" t="n">
        <v>0</v>
      </c>
      <c r="H329" t="n">
        <v>3</v>
      </c>
      <c r="I329" t="n">
        <v>1</v>
      </c>
      <c r="J329" t="n">
        <v>2</v>
      </c>
      <c r="K329" t="n">
        <v>4</v>
      </c>
      <c r="L329" t="n">
        <v>4</v>
      </c>
      <c r="M329" s="236" t="n">
        <v>0</v>
      </c>
      <c r="N329" t="inlineStr"/>
      <c r="O329" s="236" t="n">
        <v>2.6</v>
      </c>
      <c r="P329" s="236" t="n">
        <v>2.6</v>
      </c>
      <c r="Q329" s="237" t="inlineStr">
        <is>
          <t>C — Opportunistic</t>
        </is>
      </c>
      <c r="R329" s="226" t="n">
        <v>0.02</v>
      </c>
      <c r="S329" s="226" t="n">
        <v>0.09724000000000002</v>
      </c>
      <c r="T329" s="226" t="n">
        <v>0.28625</v>
      </c>
      <c r="U329" s="226" t="n">
        <v>0.4145</v>
      </c>
      <c r="V329" s="226" t="n">
        <v>0.5</v>
      </c>
      <c r="W329" s="227" t="n">
        <v>0</v>
      </c>
      <c r="X329" s="227" t="n">
        <v>0</v>
      </c>
      <c r="Y329" s="227" t="n">
        <v>0</v>
      </c>
      <c r="Z329" s="227" t="n">
        <v>0</v>
      </c>
      <c r="AA329" s="227" t="n">
        <v>0</v>
      </c>
    </row>
    <row r="330">
      <c r="A330" t="inlineStr">
        <is>
          <t>Industry Standard</t>
        </is>
      </c>
      <c r="B330" t="inlineStr">
        <is>
          <t>Restaurant</t>
        </is>
      </c>
      <c r="C330" t="inlineStr">
        <is>
          <t>YES</t>
        </is>
      </c>
      <c r="D330" t="n">
        <v>0</v>
      </c>
      <c r="E330" t="inlineStr"/>
      <c r="F330" t="inlineStr"/>
      <c r="G330" s="227" t="n">
        <v>0</v>
      </c>
      <c r="H330" t="n">
        <v>3</v>
      </c>
      <c r="I330" t="n">
        <v>1</v>
      </c>
      <c r="J330" t="n">
        <v>2</v>
      </c>
      <c r="K330" t="n">
        <v>4</v>
      </c>
      <c r="L330" t="n">
        <v>4</v>
      </c>
      <c r="M330" s="236" t="n">
        <v>0</v>
      </c>
      <c r="N330" t="inlineStr"/>
      <c r="O330" s="236" t="n">
        <v>2.6</v>
      </c>
      <c r="P330" s="236" t="n">
        <v>2.6</v>
      </c>
      <c r="Q330" s="237" t="inlineStr">
        <is>
          <t>C — Opportunistic</t>
        </is>
      </c>
      <c r="R330" s="226" t="n">
        <v>0.02</v>
      </c>
      <c r="S330" s="226" t="n">
        <v>0.09724000000000002</v>
      </c>
      <c r="T330" s="226" t="n">
        <v>0.28625</v>
      </c>
      <c r="U330" s="226" t="n">
        <v>0.4145</v>
      </c>
      <c r="V330" s="226" t="n">
        <v>0.5</v>
      </c>
      <c r="W330" s="227" t="n">
        <v>0</v>
      </c>
      <c r="X330" s="227" t="n">
        <v>0</v>
      </c>
      <c r="Y330" s="227" t="n">
        <v>0</v>
      </c>
      <c r="Z330" s="227" t="n">
        <v>0</v>
      </c>
      <c r="AA330" s="227" t="n">
        <v>0</v>
      </c>
    </row>
    <row r="331">
      <c r="A331" t="inlineStr">
        <is>
          <t>First &amp; Last</t>
        </is>
      </c>
      <c r="B331" t="inlineStr">
        <is>
          <t>Restaurant</t>
        </is>
      </c>
      <c r="C331" t="inlineStr">
        <is>
          <t>YES</t>
        </is>
      </c>
      <c r="D331" t="n">
        <v>0</v>
      </c>
      <c r="E331" t="inlineStr"/>
      <c r="F331" t="inlineStr"/>
      <c r="G331" s="227" t="n">
        <v>0</v>
      </c>
      <c r="H331" t="n">
        <v>3</v>
      </c>
      <c r="I331" t="n">
        <v>1</v>
      </c>
      <c r="J331" t="n">
        <v>2</v>
      </c>
      <c r="K331" t="n">
        <v>4</v>
      </c>
      <c r="L331" t="n">
        <v>4</v>
      </c>
      <c r="M331" s="236" t="n">
        <v>0</v>
      </c>
      <c r="N331" t="inlineStr"/>
      <c r="O331" s="236" t="n">
        <v>2.6</v>
      </c>
      <c r="P331" s="236" t="n">
        <v>2.6</v>
      </c>
      <c r="Q331" s="237" t="inlineStr">
        <is>
          <t>C — Opportunistic</t>
        </is>
      </c>
      <c r="R331" s="226" t="n">
        <v>0.02</v>
      </c>
      <c r="S331" s="226" t="n">
        <v>0.09724000000000002</v>
      </c>
      <c r="T331" s="226" t="n">
        <v>0.28625</v>
      </c>
      <c r="U331" s="226" t="n">
        <v>0.4145</v>
      </c>
      <c r="V331" s="226" t="n">
        <v>0.5</v>
      </c>
      <c r="W331" s="227" t="n">
        <v>0</v>
      </c>
      <c r="X331" s="227" t="n">
        <v>0</v>
      </c>
      <c r="Y331" s="227" t="n">
        <v>0</v>
      </c>
      <c r="Z331" s="227" t="n">
        <v>0</v>
      </c>
      <c r="AA331" s="227" t="n">
        <v>0</v>
      </c>
    </row>
    <row r="332">
      <c r="A332" t="inlineStr">
        <is>
          <t>Pa'La Wood Fired Cooking</t>
        </is>
      </c>
      <c r="B332" t="inlineStr">
        <is>
          <t>Restaurant</t>
        </is>
      </c>
      <c r="C332" t="inlineStr">
        <is>
          <t>YES</t>
        </is>
      </c>
      <c r="D332" t="n">
        <v>0</v>
      </c>
      <c r="E332" t="inlineStr"/>
      <c r="F332" t="inlineStr"/>
      <c r="G332" s="227" t="n">
        <v>0</v>
      </c>
      <c r="H332" t="n">
        <v>3</v>
      </c>
      <c r="I332" t="n">
        <v>1</v>
      </c>
      <c r="J332" t="n">
        <v>2</v>
      </c>
      <c r="K332" t="n">
        <v>4</v>
      </c>
      <c r="L332" t="n">
        <v>4</v>
      </c>
      <c r="M332" s="236" t="n">
        <v>0</v>
      </c>
      <c r="N332" t="inlineStr"/>
      <c r="O332" s="236" t="n">
        <v>2.6</v>
      </c>
      <c r="P332" s="236" t="n">
        <v>2.6</v>
      </c>
      <c r="Q332" s="237" t="inlineStr">
        <is>
          <t>C — Opportunistic</t>
        </is>
      </c>
      <c r="R332" s="226" t="n">
        <v>0.02</v>
      </c>
      <c r="S332" s="226" t="n">
        <v>0.09724000000000002</v>
      </c>
      <c r="T332" s="226" t="n">
        <v>0.28625</v>
      </c>
      <c r="U332" s="226" t="n">
        <v>0.4145</v>
      </c>
      <c r="V332" s="226" t="n">
        <v>0.5</v>
      </c>
      <c r="W332" s="227" t="n">
        <v>0</v>
      </c>
      <c r="X332" s="227" t="n">
        <v>0</v>
      </c>
      <c r="Y332" s="227" t="n">
        <v>0</v>
      </c>
      <c r="Z332" s="227" t="n">
        <v>0</v>
      </c>
      <c r="AA332" s="227" t="n">
        <v>0</v>
      </c>
    </row>
    <row r="333">
      <c r="A333" t="inlineStr">
        <is>
          <t>Bacanora PHX</t>
        </is>
      </c>
      <c r="B333" t="inlineStr">
        <is>
          <t>Restaurant</t>
        </is>
      </c>
      <c r="C333" t="inlineStr">
        <is>
          <t>YES</t>
        </is>
      </c>
      <c r="D333" t="n">
        <v>0</v>
      </c>
      <c r="E333" t="inlineStr"/>
      <c r="F333" t="inlineStr"/>
      <c r="G333" s="227" t="n">
        <v>0</v>
      </c>
      <c r="H333" t="n">
        <v>3</v>
      </c>
      <c r="I333" t="n">
        <v>1</v>
      </c>
      <c r="J333" t="n">
        <v>2</v>
      </c>
      <c r="K333" t="n">
        <v>4</v>
      </c>
      <c r="L333" t="n">
        <v>4</v>
      </c>
      <c r="M333" s="236" t="n">
        <v>0</v>
      </c>
      <c r="N333" t="inlineStr"/>
      <c r="O333" s="236" t="n">
        <v>2.6</v>
      </c>
      <c r="P333" s="236" t="n">
        <v>2.6</v>
      </c>
      <c r="Q333" s="237" t="inlineStr">
        <is>
          <t>C — Opportunistic</t>
        </is>
      </c>
      <c r="R333" s="226" t="n">
        <v>0.02</v>
      </c>
      <c r="S333" s="226" t="n">
        <v>0.09724000000000002</v>
      </c>
      <c r="T333" s="226" t="n">
        <v>0.28625</v>
      </c>
      <c r="U333" s="226" t="n">
        <v>0.4145</v>
      </c>
      <c r="V333" s="226" t="n">
        <v>0.5</v>
      </c>
      <c r="W333" s="227" t="n">
        <v>0</v>
      </c>
      <c r="X333" s="227" t="n">
        <v>0</v>
      </c>
      <c r="Y333" s="227" t="n">
        <v>0</v>
      </c>
      <c r="Z333" s="227" t="n">
        <v>0</v>
      </c>
      <c r="AA333" s="227" t="n">
        <v>0</v>
      </c>
    </row>
    <row r="334">
      <c r="A334" t="inlineStr">
        <is>
          <t>Pizzeria Bianco</t>
        </is>
      </c>
      <c r="B334" t="inlineStr">
        <is>
          <t>Restaurant</t>
        </is>
      </c>
      <c r="C334" t="inlineStr">
        <is>
          <t>YES</t>
        </is>
      </c>
      <c r="D334" t="n">
        <v>0</v>
      </c>
      <c r="E334" t="inlineStr"/>
      <c r="F334" t="inlineStr"/>
      <c r="G334" s="227" t="n">
        <v>0</v>
      </c>
      <c r="H334" t="n">
        <v>3</v>
      </c>
      <c r="I334" t="n">
        <v>1</v>
      </c>
      <c r="J334" t="n">
        <v>2</v>
      </c>
      <c r="K334" t="n">
        <v>4</v>
      </c>
      <c r="L334" t="n">
        <v>4</v>
      </c>
      <c r="M334" s="236" t="n">
        <v>0</v>
      </c>
      <c r="N334" t="inlineStr"/>
      <c r="O334" s="236" t="n">
        <v>2.6</v>
      </c>
      <c r="P334" s="236" t="n">
        <v>2.6</v>
      </c>
      <c r="Q334" s="237" t="inlineStr">
        <is>
          <t>C — Opportunistic</t>
        </is>
      </c>
      <c r="R334" s="226" t="n">
        <v>0.02</v>
      </c>
      <c r="S334" s="226" t="n">
        <v>0.09724000000000002</v>
      </c>
      <c r="T334" s="226" t="n">
        <v>0.28625</v>
      </c>
      <c r="U334" s="226" t="n">
        <v>0.4145</v>
      </c>
      <c r="V334" s="226" t="n">
        <v>0.5</v>
      </c>
      <c r="W334" s="227" t="n">
        <v>0</v>
      </c>
      <c r="X334" s="227" t="n">
        <v>0</v>
      </c>
      <c r="Y334" s="227" t="n">
        <v>0</v>
      </c>
      <c r="Z334" s="227" t="n">
        <v>0</v>
      </c>
      <c r="AA334" s="227" t="n">
        <v>0</v>
      </c>
    </row>
    <row r="335">
      <c r="A335" t="inlineStr">
        <is>
          <t>LATHA</t>
        </is>
      </c>
      <c r="B335" t="inlineStr">
        <is>
          <t>Restaurant</t>
        </is>
      </c>
      <c r="C335" t="inlineStr">
        <is>
          <t>YES</t>
        </is>
      </c>
      <c r="D335" t="n">
        <v>0</v>
      </c>
      <c r="E335" t="inlineStr"/>
      <c r="F335" t="inlineStr"/>
      <c r="G335" s="227" t="n">
        <v>0</v>
      </c>
      <c r="H335" t="n">
        <v>3</v>
      </c>
      <c r="I335" t="n">
        <v>1</v>
      </c>
      <c r="J335" t="n">
        <v>2</v>
      </c>
      <c r="K335" t="n">
        <v>4</v>
      </c>
      <c r="L335" t="n">
        <v>4</v>
      </c>
      <c r="M335" s="236" t="n">
        <v>0</v>
      </c>
      <c r="N335" t="inlineStr"/>
      <c r="O335" s="236" t="n">
        <v>2.6</v>
      </c>
      <c r="P335" s="236" t="n">
        <v>2.6</v>
      </c>
      <c r="Q335" s="237" t="inlineStr">
        <is>
          <t>C — Opportunistic</t>
        </is>
      </c>
      <c r="R335" s="226" t="n">
        <v>0.02</v>
      </c>
      <c r="S335" s="226" t="n">
        <v>0.09724000000000002</v>
      </c>
      <c r="T335" s="226" t="n">
        <v>0.28625</v>
      </c>
      <c r="U335" s="226" t="n">
        <v>0.4145</v>
      </c>
      <c r="V335" s="226" t="n">
        <v>0.5</v>
      </c>
      <c r="W335" s="227" t="n">
        <v>0</v>
      </c>
      <c r="X335" s="227" t="n">
        <v>0</v>
      </c>
      <c r="Y335" s="227" t="n">
        <v>0</v>
      </c>
      <c r="Z335" s="227" t="n">
        <v>0</v>
      </c>
      <c r="AA335" s="227" t="n">
        <v>0</v>
      </c>
    </row>
    <row r="336">
      <c r="A336" t="inlineStr">
        <is>
          <t>Buck &amp; Rider Phoenix</t>
        </is>
      </c>
      <c r="B336" t="inlineStr">
        <is>
          <t>Restaurant</t>
        </is>
      </c>
      <c r="C336" t="inlineStr">
        <is>
          <t>YES</t>
        </is>
      </c>
      <c r="D336" t="n">
        <v>0</v>
      </c>
      <c r="E336" t="inlineStr"/>
      <c r="F336" t="inlineStr"/>
      <c r="G336" s="227" t="n">
        <v>0</v>
      </c>
      <c r="H336" t="n">
        <v>3</v>
      </c>
      <c r="I336" t="n">
        <v>1</v>
      </c>
      <c r="J336" t="n">
        <v>2</v>
      </c>
      <c r="K336" t="n">
        <v>4</v>
      </c>
      <c r="L336" t="n">
        <v>4</v>
      </c>
      <c r="M336" s="236" t="n">
        <v>0</v>
      </c>
      <c r="N336" t="inlineStr"/>
      <c r="O336" s="236" t="n">
        <v>2.6</v>
      </c>
      <c r="P336" s="236" t="n">
        <v>2.6</v>
      </c>
      <c r="Q336" s="237" t="inlineStr">
        <is>
          <t>C — Opportunistic</t>
        </is>
      </c>
      <c r="R336" s="226" t="n">
        <v>0.02</v>
      </c>
      <c r="S336" s="226" t="n">
        <v>0.09724000000000002</v>
      </c>
      <c r="T336" s="226" t="n">
        <v>0.28625</v>
      </c>
      <c r="U336" s="226" t="n">
        <v>0.4145</v>
      </c>
      <c r="V336" s="226" t="n">
        <v>0.5</v>
      </c>
      <c r="W336" s="227" t="n">
        <v>0</v>
      </c>
      <c r="X336" s="227" t="n">
        <v>0</v>
      </c>
      <c r="Y336" s="227" t="n">
        <v>0</v>
      </c>
      <c r="Z336" s="227" t="n">
        <v>0</v>
      </c>
      <c r="AA336" s="227" t="n">
        <v>0</v>
      </c>
    </row>
    <row r="337">
      <c r="A337" t="inlineStr">
        <is>
          <t>HULA'S Modern Tiki Uptown</t>
        </is>
      </c>
      <c r="B337" t="inlineStr">
        <is>
          <t>Restaurant</t>
        </is>
      </c>
      <c r="C337" t="inlineStr">
        <is>
          <t>YES</t>
        </is>
      </c>
      <c r="D337" t="n">
        <v>0</v>
      </c>
      <c r="E337" t="inlineStr"/>
      <c r="F337" t="inlineStr"/>
      <c r="G337" s="227" t="n">
        <v>0</v>
      </c>
      <c r="H337" t="n">
        <v>3</v>
      </c>
      <c r="I337" t="n">
        <v>1</v>
      </c>
      <c r="J337" t="n">
        <v>2</v>
      </c>
      <c r="K337" t="n">
        <v>4</v>
      </c>
      <c r="L337" t="n">
        <v>4</v>
      </c>
      <c r="M337" s="236" t="n">
        <v>0</v>
      </c>
      <c r="N337" t="inlineStr"/>
      <c r="O337" s="236" t="n">
        <v>2.6</v>
      </c>
      <c r="P337" s="236" t="n">
        <v>2.6</v>
      </c>
      <c r="Q337" s="237" t="inlineStr">
        <is>
          <t>C — Opportunistic</t>
        </is>
      </c>
      <c r="R337" s="226" t="n">
        <v>0.02</v>
      </c>
      <c r="S337" s="226" t="n">
        <v>0.09724000000000002</v>
      </c>
      <c r="T337" s="226" t="n">
        <v>0.28625</v>
      </c>
      <c r="U337" s="226" t="n">
        <v>0.4145</v>
      </c>
      <c r="V337" s="226" t="n">
        <v>0.5</v>
      </c>
      <c r="W337" s="227" t="n">
        <v>0</v>
      </c>
      <c r="X337" s="227" t="n">
        <v>0</v>
      </c>
      <c r="Y337" s="227" t="n">
        <v>0</v>
      </c>
      <c r="Z337" s="227" t="n">
        <v>0</v>
      </c>
      <c r="AA337" s="227" t="n">
        <v>0</v>
      </c>
    </row>
    <row r="338">
      <c r="A338" t="inlineStr">
        <is>
          <t>Postino Central</t>
        </is>
      </c>
      <c r="B338" t="inlineStr">
        <is>
          <t>Restaurant</t>
        </is>
      </c>
      <c r="C338" t="inlineStr">
        <is>
          <t>YES</t>
        </is>
      </c>
      <c r="D338" t="n">
        <v>0</v>
      </c>
      <c r="E338" t="inlineStr"/>
      <c r="F338" t="inlineStr"/>
      <c r="G338" s="227" t="n">
        <v>0</v>
      </c>
      <c r="H338" t="n">
        <v>3</v>
      </c>
      <c r="I338" t="n">
        <v>1</v>
      </c>
      <c r="J338" t="n">
        <v>2</v>
      </c>
      <c r="K338" t="n">
        <v>4</v>
      </c>
      <c r="L338" t="n">
        <v>4</v>
      </c>
      <c r="M338" s="236" t="n">
        <v>0</v>
      </c>
      <c r="N338" t="inlineStr"/>
      <c r="O338" s="236" t="n">
        <v>2.6</v>
      </c>
      <c r="P338" s="236" t="n">
        <v>2.6</v>
      </c>
      <c r="Q338" s="237" t="inlineStr">
        <is>
          <t>C — Opportunistic</t>
        </is>
      </c>
      <c r="R338" s="226" t="n">
        <v>0.02</v>
      </c>
      <c r="S338" s="226" t="n">
        <v>0.09724000000000002</v>
      </c>
      <c r="T338" s="226" t="n">
        <v>0.28625</v>
      </c>
      <c r="U338" s="226" t="n">
        <v>0.4145</v>
      </c>
      <c r="V338" s="226" t="n">
        <v>0.5</v>
      </c>
      <c r="W338" s="227" t="n">
        <v>0</v>
      </c>
      <c r="X338" s="227" t="n">
        <v>0</v>
      </c>
      <c r="Y338" s="227" t="n">
        <v>0</v>
      </c>
      <c r="Z338" s="227" t="n">
        <v>0</v>
      </c>
      <c r="AA338" s="227" t="n">
        <v>0</v>
      </c>
    </row>
    <row r="339">
      <c r="A339" t="inlineStr">
        <is>
          <t>Steak 44 - Biltmore</t>
        </is>
      </c>
      <c r="B339" t="inlineStr">
        <is>
          <t>Restaurant</t>
        </is>
      </c>
      <c r="C339" t="inlineStr">
        <is>
          <t>YES</t>
        </is>
      </c>
      <c r="D339" t="n">
        <v>0</v>
      </c>
      <c r="E339" t="inlineStr"/>
      <c r="F339" t="inlineStr"/>
      <c r="G339" s="227" t="n">
        <v>0</v>
      </c>
      <c r="H339" t="n">
        <v>3</v>
      </c>
      <c r="I339" t="n">
        <v>1</v>
      </c>
      <c r="J339" t="n">
        <v>2</v>
      </c>
      <c r="K339" t="n">
        <v>4</v>
      </c>
      <c r="L339" t="n">
        <v>4</v>
      </c>
      <c r="M339" s="236" t="n">
        <v>0</v>
      </c>
      <c r="N339" t="inlineStr"/>
      <c r="O339" s="236" t="n">
        <v>2.6</v>
      </c>
      <c r="P339" s="236" t="n">
        <v>2.6</v>
      </c>
      <c r="Q339" s="237" t="inlineStr">
        <is>
          <t>C — Opportunistic</t>
        </is>
      </c>
      <c r="R339" s="226" t="n">
        <v>0.02</v>
      </c>
      <c r="S339" s="226" t="n">
        <v>0.09724000000000002</v>
      </c>
      <c r="T339" s="226" t="n">
        <v>0.28625</v>
      </c>
      <c r="U339" s="226" t="n">
        <v>0.4145</v>
      </c>
      <c r="V339" s="226" t="n">
        <v>0.5</v>
      </c>
      <c r="W339" s="227" t="n">
        <v>0</v>
      </c>
      <c r="X339" s="227" t="n">
        <v>0</v>
      </c>
      <c r="Y339" s="227" t="n">
        <v>0</v>
      </c>
      <c r="Z339" s="227" t="n">
        <v>0</v>
      </c>
      <c r="AA339" s="227" t="n">
        <v>0</v>
      </c>
    </row>
    <row r="340">
      <c r="A340" t="inlineStr">
        <is>
          <t>PYRO</t>
        </is>
      </c>
      <c r="B340" t="inlineStr">
        <is>
          <t>Restaurant</t>
        </is>
      </c>
      <c r="C340" t="inlineStr">
        <is>
          <t>YES</t>
        </is>
      </c>
      <c r="D340" t="n">
        <v>0</v>
      </c>
      <c r="E340" t="inlineStr"/>
      <c r="F340" t="inlineStr"/>
      <c r="G340" s="227" t="n">
        <v>0</v>
      </c>
      <c r="H340" t="n">
        <v>3</v>
      </c>
      <c r="I340" t="n">
        <v>1</v>
      </c>
      <c r="J340" t="n">
        <v>2</v>
      </c>
      <c r="K340" t="n">
        <v>4</v>
      </c>
      <c r="L340" t="n">
        <v>4</v>
      </c>
      <c r="M340" s="236" t="n">
        <v>0</v>
      </c>
      <c r="N340" t="inlineStr"/>
      <c r="O340" s="236" t="n">
        <v>2.6</v>
      </c>
      <c r="P340" s="236" t="n">
        <v>2.6</v>
      </c>
      <c r="Q340" s="237" t="inlineStr">
        <is>
          <t>C — Opportunistic</t>
        </is>
      </c>
      <c r="R340" s="226" t="n">
        <v>0.02</v>
      </c>
      <c r="S340" s="226" t="n">
        <v>0.09724000000000002</v>
      </c>
      <c r="T340" s="226" t="n">
        <v>0.28625</v>
      </c>
      <c r="U340" s="226" t="n">
        <v>0.4145</v>
      </c>
      <c r="V340" s="226" t="n">
        <v>0.5</v>
      </c>
      <c r="W340" s="227" t="n">
        <v>0</v>
      </c>
      <c r="X340" s="227" t="n">
        <v>0</v>
      </c>
      <c r="Y340" s="227" t="n">
        <v>0</v>
      </c>
      <c r="Z340" s="227" t="n">
        <v>0</v>
      </c>
      <c r="AA340" s="227" t="n">
        <v>0</v>
      </c>
    </row>
    <row r="341">
      <c r="A341" t="inlineStr">
        <is>
          <t>Rough Rider</t>
        </is>
      </c>
      <c r="B341" t="inlineStr">
        <is>
          <t>Restaurant</t>
        </is>
      </c>
      <c r="C341" t="inlineStr">
        <is>
          <t>YES</t>
        </is>
      </c>
      <c r="D341" t="n">
        <v>0</v>
      </c>
      <c r="E341" t="inlineStr"/>
      <c r="F341" t="inlineStr"/>
      <c r="G341" s="227" t="n">
        <v>0</v>
      </c>
      <c r="H341" t="n">
        <v>3</v>
      </c>
      <c r="I341" t="n">
        <v>1</v>
      </c>
      <c r="J341" t="n">
        <v>2</v>
      </c>
      <c r="K341" t="n">
        <v>4</v>
      </c>
      <c r="L341" t="n">
        <v>4</v>
      </c>
      <c r="M341" s="236" t="n">
        <v>0</v>
      </c>
      <c r="N341" t="inlineStr"/>
      <c r="O341" s="236" t="n">
        <v>2.6</v>
      </c>
      <c r="P341" s="236" t="n">
        <v>2.6</v>
      </c>
      <c r="Q341" s="237" t="inlineStr">
        <is>
          <t>C — Opportunistic</t>
        </is>
      </c>
      <c r="R341" s="226" t="n">
        <v>0.02</v>
      </c>
      <c r="S341" s="226" t="n">
        <v>0.09724000000000002</v>
      </c>
      <c r="T341" s="226" t="n">
        <v>0.28625</v>
      </c>
      <c r="U341" s="226" t="n">
        <v>0.4145</v>
      </c>
      <c r="V341" s="226" t="n">
        <v>0.5</v>
      </c>
      <c r="W341" s="227" t="n">
        <v>0</v>
      </c>
      <c r="X341" s="227" t="n">
        <v>0</v>
      </c>
      <c r="Y341" s="227" t="n">
        <v>0</v>
      </c>
      <c r="Z341" s="227" t="n">
        <v>0</v>
      </c>
      <c r="AA341" s="227" t="n">
        <v>0</v>
      </c>
    </row>
    <row r="342">
      <c r="A342" t="inlineStr">
        <is>
          <t>Citizen Public House</t>
        </is>
      </c>
      <c r="B342" t="inlineStr">
        <is>
          <t>Restaurant</t>
        </is>
      </c>
      <c r="C342" t="inlineStr">
        <is>
          <t>NO</t>
        </is>
      </c>
      <c r="D342" t="n">
        <v>0</v>
      </c>
      <c r="E342" t="inlineStr"/>
      <c r="F342" t="inlineStr"/>
      <c r="G342" s="227" t="n">
        <v>0</v>
      </c>
      <c r="H342" t="n">
        <v>3</v>
      </c>
      <c r="I342" t="n">
        <v>1</v>
      </c>
      <c r="J342" t="n">
        <v>2</v>
      </c>
      <c r="K342" t="n">
        <v>4</v>
      </c>
      <c r="L342" t="n">
        <v>2</v>
      </c>
      <c r="M342" s="236" t="n">
        <v>0</v>
      </c>
      <c r="N342" t="inlineStr"/>
      <c r="O342" s="236" t="n">
        <v>2.3</v>
      </c>
      <c r="P342" s="236" t="n">
        <v>2.3</v>
      </c>
      <c r="Q342" s="224" t="inlineStr">
        <is>
          <t>D — Deprioritized</t>
        </is>
      </c>
      <c r="R342" s="226" t="n">
        <v>0</v>
      </c>
      <c r="S342" s="226" t="n">
        <v>0.018</v>
      </c>
      <c r="T342" s="226" t="n">
        <v>0.05500000000000001</v>
      </c>
      <c r="U342" s="226" t="n">
        <v>0.082</v>
      </c>
      <c r="V342" s="226" t="n">
        <v>0.1</v>
      </c>
      <c r="W342" s="227" t="n">
        <v>0</v>
      </c>
      <c r="X342" s="227" t="n">
        <v>0</v>
      </c>
      <c r="Y342" s="227" t="n">
        <v>0</v>
      </c>
      <c r="Z342" s="227" t="n">
        <v>0</v>
      </c>
      <c r="AA342" s="227" t="n">
        <v>0</v>
      </c>
    </row>
    <row r="343">
      <c r="A343" t="inlineStr">
        <is>
          <t>Cooper’s Hawk Winery &amp; Restaurant</t>
        </is>
      </c>
      <c r="B343" t="inlineStr">
        <is>
          <t>Restaurant</t>
        </is>
      </c>
      <c r="C343" t="inlineStr">
        <is>
          <t>NO</t>
        </is>
      </c>
      <c r="D343" t="n">
        <v>0</v>
      </c>
      <c r="E343" t="inlineStr"/>
      <c r="F343" t="inlineStr"/>
      <c r="G343" s="227" t="n">
        <v>0</v>
      </c>
      <c r="H343" t="n">
        <v>3</v>
      </c>
      <c r="I343" t="n">
        <v>1</v>
      </c>
      <c r="J343" t="n">
        <v>2</v>
      </c>
      <c r="K343" t="n">
        <v>4</v>
      </c>
      <c r="L343" t="n">
        <v>2</v>
      </c>
      <c r="M343" s="236" t="n">
        <v>0</v>
      </c>
      <c r="N343" t="inlineStr"/>
      <c r="O343" s="236" t="n">
        <v>2.3</v>
      </c>
      <c r="P343" s="236" t="n">
        <v>2.3</v>
      </c>
      <c r="Q343" s="224" t="inlineStr">
        <is>
          <t>D — Deprioritized</t>
        </is>
      </c>
      <c r="R343" s="226" t="n">
        <v>0</v>
      </c>
      <c r="S343" s="226" t="n">
        <v>0.018</v>
      </c>
      <c r="T343" s="226" t="n">
        <v>0.05500000000000001</v>
      </c>
      <c r="U343" s="226" t="n">
        <v>0.082</v>
      </c>
      <c r="V343" s="226" t="n">
        <v>0.1</v>
      </c>
      <c r="W343" s="227" t="n">
        <v>0</v>
      </c>
      <c r="X343" s="227" t="n">
        <v>0</v>
      </c>
      <c r="Y343" s="227" t="n">
        <v>0</v>
      </c>
      <c r="Z343" s="227" t="n">
        <v>0</v>
      </c>
      <c r="AA343" s="227" t="n">
        <v>0</v>
      </c>
    </row>
    <row r="344">
      <c r="A344" t="inlineStr">
        <is>
          <t>Thirsty Lion</t>
        </is>
      </c>
      <c r="B344" t="inlineStr">
        <is>
          <t>Restaurant</t>
        </is>
      </c>
      <c r="C344" t="inlineStr">
        <is>
          <t>NO</t>
        </is>
      </c>
      <c r="D344" t="n">
        <v>0</v>
      </c>
      <c r="E344" t="inlineStr"/>
      <c r="F344" t="inlineStr"/>
      <c r="G344" s="227" t="n">
        <v>0</v>
      </c>
      <c r="H344" t="n">
        <v>3</v>
      </c>
      <c r="I344" t="n">
        <v>1</v>
      </c>
      <c r="J344" t="n">
        <v>2</v>
      </c>
      <c r="K344" t="n">
        <v>4</v>
      </c>
      <c r="L344" t="n">
        <v>2</v>
      </c>
      <c r="M344" s="236" t="n">
        <v>0</v>
      </c>
      <c r="N344" t="inlineStr"/>
      <c r="O344" s="236" t="n">
        <v>2.3</v>
      </c>
      <c r="P344" s="236" t="n">
        <v>2.3</v>
      </c>
      <c r="Q344" s="224" t="inlineStr">
        <is>
          <t>D — Deprioritized</t>
        </is>
      </c>
      <c r="R344" s="226" t="n">
        <v>0</v>
      </c>
      <c r="S344" s="226" t="n">
        <v>0.018</v>
      </c>
      <c r="T344" s="226" t="n">
        <v>0.05500000000000001</v>
      </c>
      <c r="U344" s="226" t="n">
        <v>0.082</v>
      </c>
      <c r="V344" s="226" t="n">
        <v>0.1</v>
      </c>
      <c r="W344" s="227" t="n">
        <v>0</v>
      </c>
      <c r="X344" s="227" t="n">
        <v>0</v>
      </c>
      <c r="Y344" s="227" t="n">
        <v>0</v>
      </c>
      <c r="Z344" s="227" t="n">
        <v>0</v>
      </c>
      <c r="AA344" s="227" t="n">
        <v>0</v>
      </c>
    </row>
    <row r="345">
      <c r="A345" t="inlineStr">
        <is>
          <t>George &amp; Gather</t>
        </is>
      </c>
      <c r="B345" t="inlineStr">
        <is>
          <t>Restaurant</t>
        </is>
      </c>
      <c r="C345" t="inlineStr">
        <is>
          <t>NO</t>
        </is>
      </c>
      <c r="D345" t="n">
        <v>0</v>
      </c>
      <c r="E345" t="inlineStr"/>
      <c r="F345" t="inlineStr"/>
      <c r="G345" s="227" t="n">
        <v>0</v>
      </c>
      <c r="H345" t="n">
        <v>3</v>
      </c>
      <c r="I345" t="n">
        <v>1</v>
      </c>
      <c r="J345" t="n">
        <v>2</v>
      </c>
      <c r="K345" t="n">
        <v>4</v>
      </c>
      <c r="L345" t="n">
        <v>2</v>
      </c>
      <c r="M345" s="236" t="n">
        <v>0</v>
      </c>
      <c r="N345" t="inlineStr"/>
      <c r="O345" s="236" t="n">
        <v>2.3</v>
      </c>
      <c r="P345" s="236" t="n">
        <v>2.3</v>
      </c>
      <c r="Q345" s="224" t="inlineStr">
        <is>
          <t>D — Deprioritized</t>
        </is>
      </c>
      <c r="R345" s="226" t="n">
        <v>0</v>
      </c>
      <c r="S345" s="226" t="n">
        <v>0.018</v>
      </c>
      <c r="T345" s="226" t="n">
        <v>0.05500000000000001</v>
      </c>
      <c r="U345" s="226" t="n">
        <v>0.082</v>
      </c>
      <c r="V345" s="226" t="n">
        <v>0.1</v>
      </c>
      <c r="W345" s="227" t="n">
        <v>0</v>
      </c>
      <c r="X345" s="227" t="n">
        <v>0</v>
      </c>
      <c r="Y345" s="227" t="n">
        <v>0</v>
      </c>
      <c r="Z345" s="227" t="n">
        <v>0</v>
      </c>
      <c r="AA345" s="227" t="n">
        <v>0</v>
      </c>
    </row>
    <row r="346">
      <c r="A346" t="inlineStr">
        <is>
          <t>Miel de Agave Chandler</t>
        </is>
      </c>
      <c r="B346" t="inlineStr">
        <is>
          <t>Restaurant</t>
        </is>
      </c>
      <c r="C346" t="inlineStr">
        <is>
          <t>NO</t>
        </is>
      </c>
      <c r="D346" t="n">
        <v>0</v>
      </c>
      <c r="E346" t="inlineStr"/>
      <c r="F346" t="inlineStr"/>
      <c r="G346" s="227" t="n">
        <v>0</v>
      </c>
      <c r="H346" t="n">
        <v>3</v>
      </c>
      <c r="I346" t="n">
        <v>1</v>
      </c>
      <c r="J346" t="n">
        <v>2</v>
      </c>
      <c r="K346" t="n">
        <v>4</v>
      </c>
      <c r="L346" t="n">
        <v>2</v>
      </c>
      <c r="M346" s="236" t="n">
        <v>0</v>
      </c>
      <c r="N346" t="inlineStr"/>
      <c r="O346" s="236" t="n">
        <v>2.3</v>
      </c>
      <c r="P346" s="236" t="n">
        <v>2.3</v>
      </c>
      <c r="Q346" s="224" t="inlineStr">
        <is>
          <t>D — Deprioritized</t>
        </is>
      </c>
      <c r="R346" s="226" t="n">
        <v>0</v>
      </c>
      <c r="S346" s="226" t="n">
        <v>0.018</v>
      </c>
      <c r="T346" s="226" t="n">
        <v>0.05500000000000001</v>
      </c>
      <c r="U346" s="226" t="n">
        <v>0.082</v>
      </c>
      <c r="V346" s="226" t="n">
        <v>0.1</v>
      </c>
      <c r="W346" s="227" t="n">
        <v>0</v>
      </c>
      <c r="X346" s="227" t="n">
        <v>0</v>
      </c>
      <c r="Y346" s="227" t="n">
        <v>0</v>
      </c>
      <c r="Z346" s="227" t="n">
        <v>0</v>
      </c>
      <c r="AA346" s="227" t="n">
        <v>0</v>
      </c>
    </row>
    <row r="347">
      <c r="A347" t="inlineStr">
        <is>
          <t>Born &amp; Bred by Aftermath</t>
        </is>
      </c>
      <c r="B347" t="inlineStr">
        <is>
          <t>Restaurant</t>
        </is>
      </c>
      <c r="C347" t="inlineStr">
        <is>
          <t>NO</t>
        </is>
      </c>
      <c r="D347" t="n">
        <v>0</v>
      </c>
      <c r="E347" t="inlineStr"/>
      <c r="F347" t="inlineStr"/>
      <c r="G347" s="227" t="n">
        <v>0</v>
      </c>
      <c r="H347" t="n">
        <v>3</v>
      </c>
      <c r="I347" t="n">
        <v>1</v>
      </c>
      <c r="J347" t="n">
        <v>2</v>
      </c>
      <c r="K347" t="n">
        <v>4</v>
      </c>
      <c r="L347" t="n">
        <v>2</v>
      </c>
      <c r="M347" s="236" t="n">
        <v>0</v>
      </c>
      <c r="N347" t="inlineStr"/>
      <c r="O347" s="236" t="n">
        <v>2.3</v>
      </c>
      <c r="P347" s="236" t="n">
        <v>2.3</v>
      </c>
      <c r="Q347" s="224" t="inlineStr">
        <is>
          <t>D — Deprioritized</t>
        </is>
      </c>
      <c r="R347" s="226" t="n">
        <v>0</v>
      </c>
      <c r="S347" s="226" t="n">
        <v>0.018</v>
      </c>
      <c r="T347" s="226" t="n">
        <v>0.05500000000000001</v>
      </c>
      <c r="U347" s="226" t="n">
        <v>0.082</v>
      </c>
      <c r="V347" s="226" t="n">
        <v>0.1</v>
      </c>
      <c r="W347" s="227" t="n">
        <v>0</v>
      </c>
      <c r="X347" s="227" t="n">
        <v>0</v>
      </c>
      <c r="Y347" s="227" t="n">
        <v>0</v>
      </c>
      <c r="Z347" s="227" t="n">
        <v>0</v>
      </c>
      <c r="AA347" s="227" t="n">
        <v>0</v>
      </c>
    </row>
    <row r="348">
      <c r="A348" t="inlineStr">
        <is>
          <t>Postino East</t>
        </is>
      </c>
      <c r="B348" t="inlineStr">
        <is>
          <t>Restaurant</t>
        </is>
      </c>
      <c r="C348" t="inlineStr">
        <is>
          <t>NO</t>
        </is>
      </c>
      <c r="D348" t="n">
        <v>0</v>
      </c>
      <c r="E348" t="inlineStr"/>
      <c r="F348" t="inlineStr"/>
      <c r="G348" s="227" t="n">
        <v>0</v>
      </c>
      <c r="H348" t="n">
        <v>3</v>
      </c>
      <c r="I348" t="n">
        <v>1</v>
      </c>
      <c r="J348" t="n">
        <v>2</v>
      </c>
      <c r="K348" t="n">
        <v>4</v>
      </c>
      <c r="L348" t="n">
        <v>2</v>
      </c>
      <c r="M348" s="236" t="n">
        <v>0</v>
      </c>
      <c r="N348" t="inlineStr"/>
      <c r="O348" s="236" t="n">
        <v>2.3</v>
      </c>
      <c r="P348" s="236" t="n">
        <v>2.3</v>
      </c>
      <c r="Q348" s="224" t="inlineStr">
        <is>
          <t>D — Deprioritized</t>
        </is>
      </c>
      <c r="R348" s="226" t="n">
        <v>0</v>
      </c>
      <c r="S348" s="226" t="n">
        <v>0.018</v>
      </c>
      <c r="T348" s="226" t="n">
        <v>0.05500000000000001</v>
      </c>
      <c r="U348" s="226" t="n">
        <v>0.082</v>
      </c>
      <c r="V348" s="226" t="n">
        <v>0.1</v>
      </c>
      <c r="W348" s="227" t="n">
        <v>0</v>
      </c>
      <c r="X348" s="227" t="n">
        <v>0</v>
      </c>
      <c r="Y348" s="227" t="n">
        <v>0</v>
      </c>
      <c r="Z348" s="227" t="n">
        <v>0</v>
      </c>
      <c r="AA348" s="227" t="n">
        <v>0</v>
      </c>
    </row>
    <row r="349">
      <c r="A349" t="inlineStr">
        <is>
          <t>Sotol Modern Cocktail Kitchen</t>
        </is>
      </c>
      <c r="B349" t="inlineStr">
        <is>
          <t>Restaurant</t>
        </is>
      </c>
      <c r="C349" t="inlineStr">
        <is>
          <t>NO</t>
        </is>
      </c>
      <c r="D349" t="n">
        <v>0</v>
      </c>
      <c r="E349" t="inlineStr"/>
      <c r="F349" t="inlineStr"/>
      <c r="G349" s="227" t="n">
        <v>0</v>
      </c>
      <c r="H349" t="n">
        <v>3</v>
      </c>
      <c r="I349" t="n">
        <v>1</v>
      </c>
      <c r="J349" t="n">
        <v>2</v>
      </c>
      <c r="K349" t="n">
        <v>4</v>
      </c>
      <c r="L349" t="n">
        <v>2</v>
      </c>
      <c r="M349" s="236" t="n">
        <v>0</v>
      </c>
      <c r="N349" t="inlineStr"/>
      <c r="O349" s="236" t="n">
        <v>2.3</v>
      </c>
      <c r="P349" s="236" t="n">
        <v>2.3</v>
      </c>
      <c r="Q349" s="224" t="inlineStr">
        <is>
          <t>D — Deprioritized</t>
        </is>
      </c>
      <c r="R349" s="226" t="n">
        <v>0</v>
      </c>
      <c r="S349" s="226" t="n">
        <v>0.018</v>
      </c>
      <c r="T349" s="226" t="n">
        <v>0.05500000000000001</v>
      </c>
      <c r="U349" s="226" t="n">
        <v>0.082</v>
      </c>
      <c r="V349" s="226" t="n">
        <v>0.1</v>
      </c>
      <c r="W349" s="227" t="n">
        <v>0</v>
      </c>
      <c r="X349" s="227" t="n">
        <v>0</v>
      </c>
      <c r="Y349" s="227" t="n">
        <v>0</v>
      </c>
      <c r="Z349" s="227" t="n">
        <v>0</v>
      </c>
      <c r="AA349" s="227" t="n">
        <v>0</v>
      </c>
    </row>
    <row r="350">
      <c r="A350" t="inlineStr">
        <is>
          <t>Culinary Dropout - Gilbert</t>
        </is>
      </c>
      <c r="B350" t="inlineStr">
        <is>
          <t>Restaurant</t>
        </is>
      </c>
      <c r="C350" t="inlineStr">
        <is>
          <t>NO</t>
        </is>
      </c>
      <c r="D350" t="n">
        <v>0</v>
      </c>
      <c r="E350" t="inlineStr"/>
      <c r="F350" t="inlineStr"/>
      <c r="G350" s="227" t="n">
        <v>0</v>
      </c>
      <c r="H350" t="n">
        <v>3</v>
      </c>
      <c r="I350" t="n">
        <v>1</v>
      </c>
      <c r="J350" t="n">
        <v>2</v>
      </c>
      <c r="K350" t="n">
        <v>4</v>
      </c>
      <c r="L350" t="n">
        <v>2</v>
      </c>
      <c r="M350" s="236" t="n">
        <v>0</v>
      </c>
      <c r="N350" t="inlineStr"/>
      <c r="O350" s="236" t="n">
        <v>2.3</v>
      </c>
      <c r="P350" s="236" t="n">
        <v>2.3</v>
      </c>
      <c r="Q350" s="224" t="inlineStr">
        <is>
          <t>D — Deprioritized</t>
        </is>
      </c>
      <c r="R350" s="226" t="n">
        <v>0</v>
      </c>
      <c r="S350" s="226" t="n">
        <v>0.018</v>
      </c>
      <c r="T350" s="226" t="n">
        <v>0.05500000000000001</v>
      </c>
      <c r="U350" s="226" t="n">
        <v>0.082</v>
      </c>
      <c r="V350" s="226" t="n">
        <v>0.1</v>
      </c>
      <c r="W350" s="227" t="n">
        <v>0</v>
      </c>
      <c r="X350" s="227" t="n">
        <v>0</v>
      </c>
      <c r="Y350" s="227" t="n">
        <v>0</v>
      </c>
      <c r="Z350" s="227" t="n">
        <v>0</v>
      </c>
      <c r="AA350" s="227" t="n">
        <v>0</v>
      </c>
    </row>
    <row r="351">
      <c r="A351" t="inlineStr">
        <is>
          <t>El Chorro</t>
        </is>
      </c>
      <c r="B351" t="inlineStr">
        <is>
          <t>Restaurant</t>
        </is>
      </c>
      <c r="C351" t="inlineStr">
        <is>
          <t>NO</t>
        </is>
      </c>
      <c r="D351" t="n">
        <v>0</v>
      </c>
      <c r="E351" t="inlineStr"/>
      <c r="F351" t="inlineStr"/>
      <c r="G351" s="227" t="n">
        <v>0</v>
      </c>
      <c r="H351" t="n">
        <v>3</v>
      </c>
      <c r="I351" t="n">
        <v>1</v>
      </c>
      <c r="J351" t="n">
        <v>2</v>
      </c>
      <c r="K351" t="n">
        <v>4</v>
      </c>
      <c r="L351" t="n">
        <v>2</v>
      </c>
      <c r="M351" s="236" t="n">
        <v>0</v>
      </c>
      <c r="N351" t="inlineStr"/>
      <c r="O351" s="236" t="n">
        <v>2.3</v>
      </c>
      <c r="P351" s="236" t="n">
        <v>2.3</v>
      </c>
      <c r="Q351" s="224" t="inlineStr">
        <is>
          <t>D — Deprioritized</t>
        </is>
      </c>
      <c r="R351" s="226" t="n">
        <v>0</v>
      </c>
      <c r="S351" s="226" t="n">
        <v>0.018</v>
      </c>
      <c r="T351" s="226" t="n">
        <v>0.05500000000000001</v>
      </c>
      <c r="U351" s="226" t="n">
        <v>0.082</v>
      </c>
      <c r="V351" s="226" t="n">
        <v>0.1</v>
      </c>
      <c r="W351" s="227" t="n">
        <v>0</v>
      </c>
      <c r="X351" s="227" t="n">
        <v>0</v>
      </c>
      <c r="Y351" s="227" t="n">
        <v>0</v>
      </c>
      <c r="Z351" s="227" t="n">
        <v>0</v>
      </c>
      <c r="AA351" s="227" t="n">
        <v>0</v>
      </c>
    </row>
    <row r="352">
      <c r="A352" t="inlineStr">
        <is>
          <t>Roaring Fork</t>
        </is>
      </c>
      <c r="B352" t="inlineStr">
        <is>
          <t>Restaurant</t>
        </is>
      </c>
      <c r="C352" t="inlineStr">
        <is>
          <t>NO</t>
        </is>
      </c>
      <c r="D352" t="n">
        <v>0</v>
      </c>
      <c r="E352" t="inlineStr"/>
      <c r="F352" t="inlineStr"/>
      <c r="G352" s="227" t="n">
        <v>0</v>
      </c>
      <c r="H352" t="n">
        <v>3</v>
      </c>
      <c r="I352" t="n">
        <v>1</v>
      </c>
      <c r="J352" t="n">
        <v>2</v>
      </c>
      <c r="K352" t="n">
        <v>4</v>
      </c>
      <c r="L352" t="n">
        <v>2</v>
      </c>
      <c r="M352" s="236" t="n">
        <v>0</v>
      </c>
      <c r="N352" t="inlineStr"/>
      <c r="O352" s="236" t="n">
        <v>2.3</v>
      </c>
      <c r="P352" s="236" t="n">
        <v>2.3</v>
      </c>
      <c r="Q352" s="224" t="inlineStr">
        <is>
          <t>D — Deprioritized</t>
        </is>
      </c>
      <c r="R352" s="226" t="n">
        <v>0</v>
      </c>
      <c r="S352" s="226" t="n">
        <v>0.018</v>
      </c>
      <c r="T352" s="226" t="n">
        <v>0.05500000000000001</v>
      </c>
      <c r="U352" s="226" t="n">
        <v>0.082</v>
      </c>
      <c r="V352" s="226" t="n">
        <v>0.1</v>
      </c>
      <c r="W352" s="227" t="n">
        <v>0</v>
      </c>
      <c r="X352" s="227" t="n">
        <v>0</v>
      </c>
      <c r="Y352" s="227" t="n">
        <v>0</v>
      </c>
      <c r="Z352" s="227" t="n">
        <v>0</v>
      </c>
      <c r="AA352" s="227" t="n">
        <v>0</v>
      </c>
    </row>
    <row r="353">
      <c r="A353" t="inlineStr">
        <is>
          <t>Metropolis</t>
        </is>
      </c>
      <c r="B353" t="inlineStr">
        <is>
          <t>Restaurant</t>
        </is>
      </c>
      <c r="C353" t="inlineStr">
        <is>
          <t>NO</t>
        </is>
      </c>
      <c r="D353" t="n">
        <v>0</v>
      </c>
      <c r="E353" t="inlineStr"/>
      <c r="F353" t="inlineStr"/>
      <c r="G353" s="227" t="n">
        <v>0</v>
      </c>
      <c r="H353" t="n">
        <v>3</v>
      </c>
      <c r="I353" t="n">
        <v>1</v>
      </c>
      <c r="J353" t="n">
        <v>2</v>
      </c>
      <c r="K353" t="n">
        <v>4</v>
      </c>
      <c r="L353" t="n">
        <v>2</v>
      </c>
      <c r="M353" s="236" t="n">
        <v>0</v>
      </c>
      <c r="N353" t="inlineStr"/>
      <c r="O353" s="236" t="n">
        <v>2.3</v>
      </c>
      <c r="P353" s="236" t="n">
        <v>2.3</v>
      </c>
      <c r="Q353" s="224" t="inlineStr">
        <is>
          <t>D — Deprioritized</t>
        </is>
      </c>
      <c r="R353" s="226" t="n">
        <v>0</v>
      </c>
      <c r="S353" s="226" t="n">
        <v>0.018</v>
      </c>
      <c r="T353" s="226" t="n">
        <v>0.05500000000000001</v>
      </c>
      <c r="U353" s="226" t="n">
        <v>0.082</v>
      </c>
      <c r="V353" s="226" t="n">
        <v>0.1</v>
      </c>
      <c r="W353" s="227" t="n">
        <v>0</v>
      </c>
      <c r="X353" s="227" t="n">
        <v>0</v>
      </c>
      <c r="Y353" s="227" t="n">
        <v>0</v>
      </c>
      <c r="Z353" s="227" t="n">
        <v>0</v>
      </c>
      <c r="AA353" s="227" t="n">
        <v>0</v>
      </c>
    </row>
    <row r="354">
      <c r="A354" t="inlineStr">
        <is>
          <t>STK Steakhouse - Downtown</t>
        </is>
      </c>
      <c r="B354" t="inlineStr">
        <is>
          <t>Restaurant</t>
        </is>
      </c>
      <c r="C354" t="inlineStr">
        <is>
          <t>YES</t>
        </is>
      </c>
      <c r="D354" t="n">
        <v>0</v>
      </c>
      <c r="E354" t="inlineStr"/>
      <c r="F354" t="inlineStr"/>
      <c r="G354" s="227" t="n">
        <v>0</v>
      </c>
      <c r="H354" t="n">
        <v>3</v>
      </c>
      <c r="I354" t="n">
        <v>1</v>
      </c>
      <c r="J354" t="n">
        <v>2</v>
      </c>
      <c r="K354" t="n">
        <v>4</v>
      </c>
      <c r="L354" t="n">
        <v>4</v>
      </c>
      <c r="M354" s="236" t="n">
        <v>1</v>
      </c>
      <c r="N354" t="inlineStr">
        <is>
          <t>Current operator: The ONE Group</t>
        </is>
      </c>
      <c r="O354" s="236" t="n">
        <v>2.6</v>
      </c>
      <c r="P354" s="236" t="n">
        <v>3.6</v>
      </c>
      <c r="Q354" s="238" t="inlineStr">
        <is>
          <t>B — Core</t>
        </is>
      </c>
      <c r="R354" s="226" t="n">
        <v>0.08</v>
      </c>
      <c r="S354" s="226" t="n">
        <v>0.22066</v>
      </c>
      <c r="T354" s="226" t="n">
        <v>0.560625</v>
      </c>
      <c r="U354" s="226" t="n">
        <v>0.7867499999999999</v>
      </c>
      <c r="V354" s="226" t="n">
        <v>0.9375</v>
      </c>
      <c r="W354" s="227" t="n">
        <v>0</v>
      </c>
      <c r="X354" s="227" t="n">
        <v>0</v>
      </c>
      <c r="Y354" s="227" t="n">
        <v>0</v>
      </c>
      <c r="Z354" s="227" t="n">
        <v>0</v>
      </c>
      <c r="AA354" s="227" t="n">
        <v>0</v>
      </c>
    </row>
    <row r="355">
      <c r="A355" t="inlineStr">
        <is>
          <t>The Westin Kierland Villas, Scottsdale</t>
        </is>
      </c>
      <c r="B355" t="inlineStr">
        <is>
          <t>Villas</t>
        </is>
      </c>
      <c r="C355" t="inlineStr">
        <is>
          <t>NO</t>
        </is>
      </c>
      <c r="D355" t="n">
        <v>298</v>
      </c>
      <c r="E355" t="inlineStr"/>
      <c r="F355" t="inlineStr">
        <is>
          <t>No Valet</t>
        </is>
      </c>
      <c r="G355" s="227" t="n">
        <v>0</v>
      </c>
      <c r="H355" t="n">
        <v>2</v>
      </c>
      <c r="I355" t="n">
        <v>1</v>
      </c>
      <c r="J355" t="n">
        <v>3</v>
      </c>
      <c r="K355" t="n">
        <v>4</v>
      </c>
      <c r="L355" t="n">
        <v>2</v>
      </c>
      <c r="M355" s="236" t="n">
        <v>0.3</v>
      </c>
      <c r="N355" t="inlineStr">
        <is>
          <t>Brand familiarity (current): Marriott_family</t>
        </is>
      </c>
      <c r="O355" s="236" t="n">
        <v>2.25</v>
      </c>
      <c r="P355" s="236" t="n">
        <v>2.55</v>
      </c>
      <c r="Q355" s="237" t="inlineStr">
        <is>
          <t>C — Opportunistic</t>
        </is>
      </c>
      <c r="R355" s="226" t="n">
        <v>0.02</v>
      </c>
      <c r="S355" s="226" t="n">
        <v>0.09724000000000002</v>
      </c>
      <c r="T355" s="226" t="n">
        <v>0.28625</v>
      </c>
      <c r="U355" s="226" t="n">
        <v>0.4145</v>
      </c>
      <c r="V355" s="226" t="n">
        <v>0.5</v>
      </c>
      <c r="W355" s="227" t="n">
        <v>0</v>
      </c>
      <c r="X355" s="227" t="n">
        <v>0</v>
      </c>
      <c r="Y355" s="227" t="n">
        <v>0</v>
      </c>
      <c r="Z355" s="227" t="n">
        <v>0</v>
      </c>
      <c r="AA355" s="227" t="n">
        <v>0</v>
      </c>
    </row>
    <row r="356">
      <c r="A356" t="inlineStr">
        <is>
          <t>Scottsdale Camelback Resort</t>
        </is>
      </c>
      <c r="B356" t="inlineStr">
        <is>
          <t>Villas</t>
        </is>
      </c>
      <c r="C356" t="inlineStr">
        <is>
          <t>NO</t>
        </is>
      </c>
      <c r="D356" t="n">
        <v>111</v>
      </c>
      <c r="E356" t="inlineStr"/>
      <c r="F356" t="inlineStr"/>
      <c r="G356" s="227" t="n">
        <v>0</v>
      </c>
      <c r="H356" t="n">
        <v>2</v>
      </c>
      <c r="I356" t="n">
        <v>1</v>
      </c>
      <c r="J356" t="n">
        <v>2</v>
      </c>
      <c r="K356" t="n">
        <v>4</v>
      </c>
      <c r="L356" t="n">
        <v>2</v>
      </c>
      <c r="M356" s="236" t="n">
        <v>0</v>
      </c>
      <c r="N356" t="inlineStr"/>
      <c r="O356" s="236" t="n">
        <v>2.05</v>
      </c>
      <c r="P356" s="236" t="n">
        <v>2.05</v>
      </c>
      <c r="Q356" s="224" t="inlineStr">
        <is>
          <t>D — Deprioritized</t>
        </is>
      </c>
      <c r="R356" s="226" t="n">
        <v>0</v>
      </c>
      <c r="S356" s="226" t="n">
        <v>0.018</v>
      </c>
      <c r="T356" s="226" t="n">
        <v>0.05500000000000001</v>
      </c>
      <c r="U356" s="226" t="n">
        <v>0.082</v>
      </c>
      <c r="V356" s="226" t="n">
        <v>0.1</v>
      </c>
      <c r="W356" s="227" t="n">
        <v>0</v>
      </c>
      <c r="X356" s="227" t="n">
        <v>0</v>
      </c>
      <c r="Y356" s="227" t="n">
        <v>0</v>
      </c>
      <c r="Z356" s="227" t="n">
        <v>0</v>
      </c>
      <c r="AA356" s="227" t="n">
        <v>0</v>
      </c>
    </row>
    <row r="357">
      <c r="A357" t="inlineStr">
        <is>
          <t>Events by Sloane</t>
        </is>
      </c>
      <c r="B357" t="inlineStr">
        <is>
          <t>Wedding Planner</t>
        </is>
      </c>
      <c r="C357" t="inlineStr">
        <is>
          <t>NO</t>
        </is>
      </c>
      <c r="D357" t="n">
        <v>0</v>
      </c>
      <c r="E357" t="inlineStr"/>
      <c r="F357" t="inlineStr"/>
      <c r="G357" s="227" t="n">
        <v>0</v>
      </c>
      <c r="H357" t="n">
        <v>2</v>
      </c>
      <c r="I357" t="n">
        <v>1</v>
      </c>
      <c r="J357" t="n">
        <v>2</v>
      </c>
      <c r="K357" t="n">
        <v>4</v>
      </c>
      <c r="L357" t="n">
        <v>2</v>
      </c>
      <c r="M357" s="236" t="n">
        <v>0</v>
      </c>
      <c r="N357" t="inlineStr"/>
      <c r="O357" s="236" t="n">
        <v>2.05</v>
      </c>
      <c r="P357" s="236" t="n">
        <v>2.05</v>
      </c>
      <c r="Q357" s="224" t="inlineStr">
        <is>
          <t>D — Deprioritized</t>
        </is>
      </c>
      <c r="R357" s="226" t="n">
        <v>0</v>
      </c>
      <c r="S357" s="226" t="n">
        <v>0.018</v>
      </c>
      <c r="T357" s="226" t="n">
        <v>0.05500000000000001</v>
      </c>
      <c r="U357" s="226" t="n">
        <v>0.082</v>
      </c>
      <c r="V357" s="226" t="n">
        <v>0.1</v>
      </c>
      <c r="W357" s="227" t="n">
        <v>0</v>
      </c>
      <c r="X357" s="227" t="n">
        <v>0</v>
      </c>
      <c r="Y357" s="227" t="n">
        <v>0</v>
      </c>
      <c r="Z357" s="227" t="n">
        <v>0</v>
      </c>
      <c r="AA357" s="227" t="n">
        <v>0</v>
      </c>
    </row>
    <row r="358">
      <c r="A358" t="inlineStr">
        <is>
          <t>Cactus Bloom Wedding &amp; Events</t>
        </is>
      </c>
      <c r="B358" t="inlineStr">
        <is>
          <t>Wedding Planner</t>
        </is>
      </c>
      <c r="C358" t="inlineStr">
        <is>
          <t>NO</t>
        </is>
      </c>
      <c r="D358" t="n">
        <v>0</v>
      </c>
      <c r="E358" t="inlineStr"/>
      <c r="F358" t="inlineStr"/>
      <c r="G358" s="227" t="n">
        <v>0</v>
      </c>
      <c r="H358" t="n">
        <v>2</v>
      </c>
      <c r="I358" t="n">
        <v>1</v>
      </c>
      <c r="J358" t="n">
        <v>2</v>
      </c>
      <c r="K358" t="n">
        <v>4</v>
      </c>
      <c r="L358" t="n">
        <v>2</v>
      </c>
      <c r="M358" s="236" t="n">
        <v>0</v>
      </c>
      <c r="N358" t="inlineStr"/>
      <c r="O358" s="236" t="n">
        <v>2.05</v>
      </c>
      <c r="P358" s="236" t="n">
        <v>2.05</v>
      </c>
      <c r="Q358" s="224" t="inlineStr">
        <is>
          <t>D — Deprioritized</t>
        </is>
      </c>
      <c r="R358" s="226" t="n">
        <v>0</v>
      </c>
      <c r="S358" s="226" t="n">
        <v>0.018</v>
      </c>
      <c r="T358" s="226" t="n">
        <v>0.05500000000000001</v>
      </c>
      <c r="U358" s="226" t="n">
        <v>0.082</v>
      </c>
      <c r="V358" s="226" t="n">
        <v>0.1</v>
      </c>
      <c r="W358" s="227" t="n">
        <v>0</v>
      </c>
      <c r="X358" s="227" t="n">
        <v>0</v>
      </c>
      <c r="Y358" s="227" t="n">
        <v>0</v>
      </c>
      <c r="Z358" s="227" t="n">
        <v>0</v>
      </c>
      <c r="AA358" s="227" t="n">
        <v>0</v>
      </c>
    </row>
    <row r="359">
      <c r="A359" t="inlineStr">
        <is>
          <t>Wedding Bel AZ</t>
        </is>
      </c>
      <c r="B359" t="inlineStr">
        <is>
          <t>Wedding Planner</t>
        </is>
      </c>
      <c r="C359" t="inlineStr">
        <is>
          <t>NO</t>
        </is>
      </c>
      <c r="D359" t="n">
        <v>0</v>
      </c>
      <c r="E359" t="inlineStr"/>
      <c r="F359" t="inlineStr"/>
      <c r="G359" s="227" t="n">
        <v>0</v>
      </c>
      <c r="H359" t="n">
        <v>2</v>
      </c>
      <c r="I359" t="n">
        <v>1</v>
      </c>
      <c r="J359" t="n">
        <v>2</v>
      </c>
      <c r="K359" t="n">
        <v>4</v>
      </c>
      <c r="L359" t="n">
        <v>2</v>
      </c>
      <c r="M359" s="236" t="n">
        <v>0</v>
      </c>
      <c r="N359" t="inlineStr"/>
      <c r="O359" s="236" t="n">
        <v>2.05</v>
      </c>
      <c r="P359" s="236" t="n">
        <v>2.05</v>
      </c>
      <c r="Q359" s="224" t="inlineStr">
        <is>
          <t>D — Deprioritized</t>
        </is>
      </c>
      <c r="R359" s="226" t="n">
        <v>0</v>
      </c>
      <c r="S359" s="226" t="n">
        <v>0.018</v>
      </c>
      <c r="T359" s="226" t="n">
        <v>0.05500000000000001</v>
      </c>
      <c r="U359" s="226" t="n">
        <v>0.082</v>
      </c>
      <c r="V359" s="226" t="n">
        <v>0.1</v>
      </c>
      <c r="W359" s="227" t="n">
        <v>0</v>
      </c>
      <c r="X359" s="227" t="n">
        <v>0</v>
      </c>
      <c r="Y359" s="227" t="n">
        <v>0</v>
      </c>
      <c r="Z359" s="227" t="n">
        <v>0</v>
      </c>
      <c r="AA359" s="227" t="n">
        <v>0</v>
      </c>
    </row>
    <row r="360">
      <c r="A360" t="inlineStr">
        <is>
          <t>Un Jour D'Amour Weddings &amp; Events</t>
        </is>
      </c>
      <c r="B360" t="inlineStr">
        <is>
          <t>Wedding Planner</t>
        </is>
      </c>
      <c r="C360" t="inlineStr">
        <is>
          <t>NO</t>
        </is>
      </c>
      <c r="D360" t="n">
        <v>0</v>
      </c>
      <c r="E360" t="inlineStr"/>
      <c r="F360" t="inlineStr"/>
      <c r="G360" s="227" t="n">
        <v>0</v>
      </c>
      <c r="H360" t="n">
        <v>2</v>
      </c>
      <c r="I360" t="n">
        <v>1</v>
      </c>
      <c r="J360" t="n">
        <v>2</v>
      </c>
      <c r="K360" t="n">
        <v>4</v>
      </c>
      <c r="L360" t="n">
        <v>2</v>
      </c>
      <c r="M360" s="236" t="n">
        <v>0</v>
      </c>
      <c r="N360" t="inlineStr"/>
      <c r="O360" s="236" t="n">
        <v>2.05</v>
      </c>
      <c r="P360" s="236" t="n">
        <v>2.05</v>
      </c>
      <c r="Q360" s="224" t="inlineStr">
        <is>
          <t>D — Deprioritized</t>
        </is>
      </c>
      <c r="R360" s="226" t="n">
        <v>0</v>
      </c>
      <c r="S360" s="226" t="n">
        <v>0.018</v>
      </c>
      <c r="T360" s="226" t="n">
        <v>0.05500000000000001</v>
      </c>
      <c r="U360" s="226" t="n">
        <v>0.082</v>
      </c>
      <c r="V360" s="226" t="n">
        <v>0.1</v>
      </c>
      <c r="W360" s="227" t="n">
        <v>0</v>
      </c>
      <c r="X360" s="227" t="n">
        <v>0</v>
      </c>
      <c r="Y360" s="227" t="n">
        <v>0</v>
      </c>
      <c r="Z360" s="227" t="n">
        <v>0</v>
      </c>
      <c r="AA360" s="227" t="n">
        <v>0</v>
      </c>
    </row>
    <row r="361">
      <c r="A361" t="inlineStr">
        <is>
          <t>WeddingsbyShaye</t>
        </is>
      </c>
      <c r="B361" t="inlineStr">
        <is>
          <t>Wedding Planner</t>
        </is>
      </c>
      <c r="C361" t="inlineStr">
        <is>
          <t>NO</t>
        </is>
      </c>
      <c r="D361" t="n">
        <v>0</v>
      </c>
      <c r="E361" t="inlineStr"/>
      <c r="F361" t="inlineStr"/>
      <c r="G361" s="227" t="n">
        <v>0</v>
      </c>
      <c r="H361" t="n">
        <v>2</v>
      </c>
      <c r="I361" t="n">
        <v>1</v>
      </c>
      <c r="J361" t="n">
        <v>2</v>
      </c>
      <c r="K361" t="n">
        <v>4</v>
      </c>
      <c r="L361" t="n">
        <v>2</v>
      </c>
      <c r="M361" s="236" t="n">
        <v>0</v>
      </c>
      <c r="N361" t="inlineStr"/>
      <c r="O361" s="236" t="n">
        <v>2.05</v>
      </c>
      <c r="P361" s="236" t="n">
        <v>2.05</v>
      </c>
      <c r="Q361" s="224" t="inlineStr">
        <is>
          <t>D — Deprioritized</t>
        </is>
      </c>
      <c r="R361" s="226" t="n">
        <v>0</v>
      </c>
      <c r="S361" s="226" t="n">
        <v>0.018</v>
      </c>
      <c r="T361" s="226" t="n">
        <v>0.05500000000000001</v>
      </c>
      <c r="U361" s="226" t="n">
        <v>0.082</v>
      </c>
      <c r="V361" s="226" t="n">
        <v>0.1</v>
      </c>
      <c r="W361" s="227" t="n">
        <v>0</v>
      </c>
      <c r="X361" s="227" t="n">
        <v>0</v>
      </c>
      <c r="Y361" s="227" t="n">
        <v>0</v>
      </c>
      <c r="Z361" s="227" t="n">
        <v>0</v>
      </c>
      <c r="AA361" s="227" t="n">
        <v>0</v>
      </c>
    </row>
    <row r="362">
      <c r="A362" t="inlineStr">
        <is>
          <t>Sydney Lema Weddings &amp; Events</t>
        </is>
      </c>
      <c r="B362" t="inlineStr">
        <is>
          <t>Wedding Planner</t>
        </is>
      </c>
      <c r="C362" t="inlineStr">
        <is>
          <t>NO</t>
        </is>
      </c>
      <c r="D362" t="n">
        <v>0</v>
      </c>
      <c r="E362" t="inlineStr"/>
      <c r="F362" t="inlineStr"/>
      <c r="G362" s="227" t="n">
        <v>0</v>
      </c>
      <c r="H362" t="n">
        <v>2</v>
      </c>
      <c r="I362" t="n">
        <v>1</v>
      </c>
      <c r="J362" t="n">
        <v>2</v>
      </c>
      <c r="K362" t="n">
        <v>4</v>
      </c>
      <c r="L362" t="n">
        <v>2</v>
      </c>
      <c r="M362" s="236" t="n">
        <v>0</v>
      </c>
      <c r="N362" t="inlineStr"/>
      <c r="O362" s="236" t="n">
        <v>2.05</v>
      </c>
      <c r="P362" s="236" t="n">
        <v>2.05</v>
      </c>
      <c r="Q362" s="224" t="inlineStr">
        <is>
          <t>D — Deprioritized</t>
        </is>
      </c>
      <c r="R362" s="226" t="n">
        <v>0</v>
      </c>
      <c r="S362" s="226" t="n">
        <v>0.018</v>
      </c>
      <c r="T362" s="226" t="n">
        <v>0.05500000000000001</v>
      </c>
      <c r="U362" s="226" t="n">
        <v>0.082</v>
      </c>
      <c r="V362" s="226" t="n">
        <v>0.1</v>
      </c>
      <c r="W362" s="227" t="n">
        <v>0</v>
      </c>
      <c r="X362" s="227" t="n">
        <v>0</v>
      </c>
      <c r="Y362" s="227" t="n">
        <v>0</v>
      </c>
      <c r="Z362" s="227" t="n">
        <v>0</v>
      </c>
      <c r="AA362" s="227" t="n">
        <v>0</v>
      </c>
    </row>
    <row r="363">
      <c r="A363" t="inlineStr">
        <is>
          <t>Riding Tandem</t>
        </is>
      </c>
      <c r="B363" t="inlineStr">
        <is>
          <t>Wedding Planner</t>
        </is>
      </c>
      <c r="C363" t="inlineStr">
        <is>
          <t>NO</t>
        </is>
      </c>
      <c r="D363" t="n">
        <v>0</v>
      </c>
      <c r="E363" t="inlineStr"/>
      <c r="F363" t="inlineStr"/>
      <c r="G363" s="227" t="n">
        <v>0</v>
      </c>
      <c r="H363" t="n">
        <v>2</v>
      </c>
      <c r="I363" t="n">
        <v>1</v>
      </c>
      <c r="J363" t="n">
        <v>2</v>
      </c>
      <c r="K363" t="n">
        <v>4</v>
      </c>
      <c r="L363" t="n">
        <v>2</v>
      </c>
      <c r="M363" s="236" t="n">
        <v>0</v>
      </c>
      <c r="N363" t="inlineStr"/>
      <c r="O363" s="236" t="n">
        <v>2.05</v>
      </c>
      <c r="P363" s="236" t="n">
        <v>2.05</v>
      </c>
      <c r="Q363" s="224" t="inlineStr">
        <is>
          <t>D — Deprioritized</t>
        </is>
      </c>
      <c r="R363" s="226" t="n">
        <v>0</v>
      </c>
      <c r="S363" s="226" t="n">
        <v>0.018</v>
      </c>
      <c r="T363" s="226" t="n">
        <v>0.05500000000000001</v>
      </c>
      <c r="U363" s="226" t="n">
        <v>0.082</v>
      </c>
      <c r="V363" s="226" t="n">
        <v>0.1</v>
      </c>
      <c r="W363" s="227" t="n">
        <v>0</v>
      </c>
      <c r="X363" s="227" t="n">
        <v>0</v>
      </c>
      <c r="Y363" s="227" t="n">
        <v>0</v>
      </c>
      <c r="Z363" s="227" t="n">
        <v>0</v>
      </c>
      <c r="AA363" s="227" t="n">
        <v>0</v>
      </c>
    </row>
    <row r="364">
      <c r="A364" t="inlineStr">
        <is>
          <t>K Marie Weddings</t>
        </is>
      </c>
      <c r="B364" t="inlineStr">
        <is>
          <t>Wedding Planner</t>
        </is>
      </c>
      <c r="C364" t="inlineStr">
        <is>
          <t>NO</t>
        </is>
      </c>
      <c r="D364" t="n">
        <v>0</v>
      </c>
      <c r="E364" t="inlineStr"/>
      <c r="F364" t="inlineStr"/>
      <c r="G364" s="227" t="n">
        <v>0</v>
      </c>
      <c r="H364" t="n">
        <v>2</v>
      </c>
      <c r="I364" t="n">
        <v>1</v>
      </c>
      <c r="J364" t="n">
        <v>2</v>
      </c>
      <c r="K364" t="n">
        <v>4</v>
      </c>
      <c r="L364" t="n">
        <v>2</v>
      </c>
      <c r="M364" s="236" t="n">
        <v>0</v>
      </c>
      <c r="N364" t="inlineStr"/>
      <c r="O364" s="236" t="n">
        <v>2.05</v>
      </c>
      <c r="P364" s="236" t="n">
        <v>2.05</v>
      </c>
      <c r="Q364" s="224" t="inlineStr">
        <is>
          <t>D — Deprioritized</t>
        </is>
      </c>
      <c r="R364" s="226" t="n">
        <v>0</v>
      </c>
      <c r="S364" s="226" t="n">
        <v>0.018</v>
      </c>
      <c r="T364" s="226" t="n">
        <v>0.05500000000000001</v>
      </c>
      <c r="U364" s="226" t="n">
        <v>0.082</v>
      </c>
      <c r="V364" s="226" t="n">
        <v>0.1</v>
      </c>
      <c r="W364" s="227" t="n">
        <v>0</v>
      </c>
      <c r="X364" s="227" t="n">
        <v>0</v>
      </c>
      <c r="Y364" s="227" t="n">
        <v>0</v>
      </c>
      <c r="Z364" s="227" t="n">
        <v>0</v>
      </c>
      <c r="AA364" s="227" t="n">
        <v>0</v>
      </c>
    </row>
    <row r="365">
      <c r="A365" t="inlineStr">
        <is>
          <t>Beatriz Events</t>
        </is>
      </c>
      <c r="B365" t="inlineStr">
        <is>
          <t>Wedding Planner</t>
        </is>
      </c>
      <c r="C365" t="inlineStr">
        <is>
          <t>NO</t>
        </is>
      </c>
      <c r="D365" t="n">
        <v>0</v>
      </c>
      <c r="E365" t="inlineStr"/>
      <c r="F365" t="inlineStr"/>
      <c r="G365" s="227" t="n">
        <v>0</v>
      </c>
      <c r="H365" t="n">
        <v>2</v>
      </c>
      <c r="I365" t="n">
        <v>1</v>
      </c>
      <c r="J365" t="n">
        <v>2</v>
      </c>
      <c r="K365" t="n">
        <v>4</v>
      </c>
      <c r="L365" t="n">
        <v>2</v>
      </c>
      <c r="M365" s="236" t="n">
        <v>0</v>
      </c>
      <c r="N365" t="inlineStr"/>
      <c r="O365" s="236" t="n">
        <v>2.05</v>
      </c>
      <c r="P365" s="236" t="n">
        <v>2.05</v>
      </c>
      <c r="Q365" s="224" t="inlineStr">
        <is>
          <t>D — Deprioritized</t>
        </is>
      </c>
      <c r="R365" s="226" t="n">
        <v>0</v>
      </c>
      <c r="S365" s="226" t="n">
        <v>0.018</v>
      </c>
      <c r="T365" s="226" t="n">
        <v>0.05500000000000001</v>
      </c>
      <c r="U365" s="226" t="n">
        <v>0.082</v>
      </c>
      <c r="V365" s="226" t="n">
        <v>0.1</v>
      </c>
      <c r="W365" s="227" t="n">
        <v>0</v>
      </c>
      <c r="X365" s="227" t="n">
        <v>0</v>
      </c>
      <c r="Y365" s="227" t="n">
        <v>0</v>
      </c>
      <c r="Z365" s="227" t="n">
        <v>0</v>
      </c>
      <c r="AA365" s="227" t="n">
        <v>0</v>
      </c>
    </row>
    <row r="366">
      <c r="A366" t="inlineStr">
        <is>
          <t>Perry's Steakhouse</t>
        </is>
      </c>
      <c r="B366" t="inlineStr">
        <is>
          <t>Restaurant</t>
        </is>
      </c>
      <c r="C366" t="inlineStr">
        <is>
          <t>NO</t>
        </is>
      </c>
      <c r="D366" t="n">
        <v>0</v>
      </c>
      <c r="E366" t="inlineStr"/>
      <c r="F366" t="inlineStr"/>
      <c r="G366" s="227" t="n">
        <v>0</v>
      </c>
      <c r="H366" t="n">
        <v>3</v>
      </c>
      <c r="I366" t="n">
        <v>1</v>
      </c>
      <c r="J366" t="n">
        <v>2</v>
      </c>
      <c r="K366" t="n">
        <v>4</v>
      </c>
      <c r="L366" t="n">
        <v>2</v>
      </c>
      <c r="M366" s="236" t="n">
        <v>0</v>
      </c>
      <c r="N366" t="inlineStr"/>
      <c r="O366" s="236" t="n">
        <v>2.3</v>
      </c>
      <c r="P366" s="236" t="n">
        <v>2.3</v>
      </c>
      <c r="Q366" s="224" t="inlineStr">
        <is>
          <t>D — Deprioritized</t>
        </is>
      </c>
      <c r="R366" s="226" t="n">
        <v>0</v>
      </c>
      <c r="S366" s="226" t="n">
        <v>0.018</v>
      </c>
      <c r="T366" s="226" t="n">
        <v>0.05500000000000001</v>
      </c>
      <c r="U366" s="226" t="n">
        <v>0.082</v>
      </c>
      <c r="V366" s="226" t="n">
        <v>0.1</v>
      </c>
      <c r="W366" s="227" t="n">
        <v>0</v>
      </c>
      <c r="X366" s="227" t="n">
        <v>0</v>
      </c>
      <c r="Y366" s="227" t="n">
        <v>0</v>
      </c>
      <c r="Z366" s="227" t="n">
        <v>0</v>
      </c>
      <c r="AA366" s="22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32" customWidth="1" style="222" min="1" max="1"/>
    <col width="14" customWidth="1" style="222" min="2" max="2"/>
    <col width="16" customWidth="1" style="222" min="3" max="3"/>
    <col width="14" customWidth="1" style="222" min="4" max="4"/>
    <col width="14" customWidth="1" style="222" min="5" max="5"/>
    <col width="14" customWidth="1" style="222" min="6" max="6"/>
    <col width="14" customWidth="1" style="222" min="7" max="7"/>
    <col width="14" customWidth="1" style="222" min="8" max="8"/>
  </cols>
  <sheetData>
    <row r="1">
      <c r="A1" s="229" t="inlineStr">
        <is>
          <t>Phoenix — WAS v2 SOM Projection (state = COLD)</t>
        </is>
      </c>
    </row>
    <row r="2">
      <c r="A2" s="239" t="inlineStr">
        <is>
          <t>Cold/Warm curves · S-curve ramp · Diversification multiplier · Relationship ledger</t>
        </is>
      </c>
    </row>
    <row r="4">
      <c r="A4" s="230" t="inlineStr">
        <is>
          <t>Tier</t>
        </is>
      </c>
      <c r="B4" s="230" t="inlineStr">
        <is>
          <t># Accts</t>
        </is>
      </c>
      <c r="C4" s="230" t="inlineStr">
        <is>
          <t>Total TAM</t>
        </is>
      </c>
      <c r="D4" s="230" t="inlineStr">
        <is>
          <t>Y1</t>
        </is>
      </c>
      <c r="E4" s="230" t="inlineStr">
        <is>
          <t>Y2</t>
        </is>
      </c>
      <c r="F4" s="230" t="inlineStr">
        <is>
          <t>Y3</t>
        </is>
      </c>
      <c r="G4" s="230" t="inlineStr">
        <is>
          <t>Y4</t>
        </is>
      </c>
      <c r="H4" s="230" t="inlineStr">
        <is>
          <t>Y5</t>
        </is>
      </c>
    </row>
    <row r="5">
      <c r="A5" s="240" t="inlineStr">
        <is>
          <t>A — Beachhead</t>
        </is>
      </c>
      <c r="B5" t="n">
        <v>0</v>
      </c>
      <c r="C5" s="227" t="n">
        <v>0</v>
      </c>
      <c r="D5" s="227" t="n">
        <v>0</v>
      </c>
      <c r="E5" s="227" t="n">
        <v>0</v>
      </c>
      <c r="F5" s="227" t="n">
        <v>0</v>
      </c>
      <c r="G5" s="227" t="n">
        <v>0</v>
      </c>
      <c r="H5" s="227" t="n">
        <v>0</v>
      </c>
    </row>
    <row r="6">
      <c r="A6" s="238" t="inlineStr">
        <is>
          <t>B — Core</t>
        </is>
      </c>
      <c r="B6" t="n">
        <v>11</v>
      </c>
      <c r="C6" s="227" t="n">
        <v>22726840.95</v>
      </c>
      <c r="D6" s="227" t="n">
        <v>1818147.276</v>
      </c>
      <c r="E6" s="227" t="n">
        <v>5014904.724027</v>
      </c>
      <c r="F6" s="227" t="n">
        <v>12741235.20759375</v>
      </c>
      <c r="G6" s="227" t="n">
        <v>17880342.1174125</v>
      </c>
      <c r="H6" s="227" t="n">
        <v>21306413.390625</v>
      </c>
    </row>
    <row r="7">
      <c r="A7" s="237" t="inlineStr">
        <is>
          <t>C — Opportunistic</t>
        </is>
      </c>
      <c r="B7" t="n">
        <v>132</v>
      </c>
      <c r="C7" s="227" t="n">
        <v>15400678.5</v>
      </c>
      <c r="D7" s="227" t="n">
        <v>308013.57</v>
      </c>
      <c r="E7" s="227" t="n">
        <v>1497561.97734</v>
      </c>
      <c r="F7" s="227" t="n">
        <v>4408444.220625</v>
      </c>
      <c r="G7" s="227" t="n">
        <v>6383581.238249999</v>
      </c>
      <c r="H7" s="227" t="n">
        <v>7700339.249999999</v>
      </c>
    </row>
    <row r="8">
      <c r="A8" s="224" t="inlineStr">
        <is>
          <t>D — Deprioritized</t>
        </is>
      </c>
      <c r="B8" t="n">
        <v>222</v>
      </c>
      <c r="C8" s="227" t="n">
        <v>902497.95</v>
      </c>
      <c r="D8" s="227" t="n">
        <v>0</v>
      </c>
      <c r="E8" s="227" t="n">
        <v>16244.9631</v>
      </c>
      <c r="F8" s="227" t="n">
        <v>49637.38725000001</v>
      </c>
      <c r="G8" s="227" t="n">
        <v>74004.8319</v>
      </c>
      <c r="H8" s="227" t="n">
        <v>90249.79500000001</v>
      </c>
    </row>
    <row r="9">
      <c r="A9" s="231" t="inlineStr">
        <is>
          <t>TOTAL (uncapped)</t>
        </is>
      </c>
      <c r="B9" s="231" t="n">
        <v>365</v>
      </c>
      <c r="C9" s="232" t="n">
        <v>39030017.4</v>
      </c>
      <c r="D9" s="232" t="n">
        <v>2126160.846</v>
      </c>
      <c r="E9" s="232" t="n">
        <v>6528711.664467</v>
      </c>
      <c r="F9" s="232" t="n">
        <v>17199316.81546875</v>
      </c>
      <c r="G9" s="232" t="n">
        <v>24337928.1875625</v>
      </c>
      <c r="H9" s="232" t="n">
        <v>29097002.435625</v>
      </c>
    </row>
    <row r="11">
      <c r="A11" s="233" t="inlineStr">
        <is>
          <t>CAPACITY-CAPPED SOM (single CM, 10 new accts/yr)</t>
        </is>
      </c>
    </row>
    <row r="12">
      <c r="A12" t="inlineStr">
        <is>
          <t>Tier A+B, ranked by Y1 rev, cumulative 10/yr signing pace</t>
        </is>
      </c>
    </row>
    <row r="13">
      <c r="A13" s="231" t="inlineStr"/>
      <c r="B13" s="231" t="inlineStr">
        <is>
          <t>Accts Signed</t>
        </is>
      </c>
      <c r="C13" s="231" t="inlineStr"/>
      <c r="D13" s="231" t="inlineStr">
        <is>
          <t>Y1 SOM</t>
        </is>
      </c>
      <c r="E13" s="231" t="inlineStr">
        <is>
          <t>Y2 SOM</t>
        </is>
      </c>
      <c r="F13" s="231" t="inlineStr">
        <is>
          <t>Y3 SOM</t>
        </is>
      </c>
      <c r="G13" s="231" t="inlineStr">
        <is>
          <t>Y4 SOM</t>
        </is>
      </c>
      <c r="H13" s="231" t="inlineStr">
        <is>
          <t>Y5 SOM</t>
        </is>
      </c>
    </row>
    <row r="14">
      <c r="B14" t="inlineStr">
        <is>
          <t>End Y1: 10</t>
        </is>
      </c>
      <c r="D14" s="227" t="n">
        <v>1818147.276</v>
      </c>
    </row>
    <row r="15">
      <c r="B15" t="inlineStr">
        <is>
          <t>End Y2: 20</t>
        </is>
      </c>
      <c r="E15" s="227" t="n">
        <v>5690692.774107001</v>
      </c>
    </row>
    <row r="16">
      <c r="B16" t="inlineStr">
        <is>
          <t>End Y3: 30</t>
        </is>
      </c>
      <c r="F16" s="227" t="n">
        <v>15967595.71209375</v>
      </c>
    </row>
    <row r="17">
      <c r="B17" t="inlineStr">
        <is>
          <t>End Y4: 40</t>
        </is>
      </c>
      <c r="G17" s="227" t="n">
        <v>23862783.6232875</v>
      </c>
    </row>
    <row r="18">
      <c r="B18" t="inlineStr">
        <is>
          <t>End Y5: 50</t>
        </is>
      </c>
      <c r="H18" s="227" t="n">
        <v>29006752.640625</v>
      </c>
    </row>
    <row r="20">
      <c r="A20" s="233" t="inlineStr">
        <is>
          <t>BY ACCOUNT TYPE (uncapped)</t>
        </is>
      </c>
    </row>
    <row r="21">
      <c r="A21" s="231" t="inlineStr">
        <is>
          <t>Type</t>
        </is>
      </c>
      <c r="B21" s="231" t="inlineStr">
        <is>
          <t>Count</t>
        </is>
      </c>
      <c r="C21" s="231" t="inlineStr">
        <is>
          <t>TAM</t>
        </is>
      </c>
      <c r="D21" s="231" t="inlineStr">
        <is>
          <t>Y1</t>
        </is>
      </c>
      <c r="E21" s="231" t="inlineStr">
        <is>
          <t>Y3</t>
        </is>
      </c>
      <c r="F21" s="231" t="inlineStr">
        <is>
          <t>Y5</t>
        </is>
      </c>
    </row>
    <row r="22">
      <c r="A22" t="inlineStr">
        <is>
          <t>Hotel</t>
        </is>
      </c>
      <c r="B22" t="n">
        <v>237</v>
      </c>
      <c r="C22" s="227" t="n">
        <v>37116392.4</v>
      </c>
      <c r="D22" s="227" t="n">
        <v>2083332.096</v>
      </c>
      <c r="E22" s="227" t="n">
        <v>16703952.7725</v>
      </c>
      <c r="F22" s="227" t="n">
        <v>28240142.67</v>
      </c>
    </row>
    <row r="23">
      <c r="A23" t="inlineStr">
        <is>
          <t>Restaurant</t>
        </is>
      </c>
      <c r="B23" t="n">
        <v>86</v>
      </c>
      <c r="C23" s="227" t="n">
        <v>1913625</v>
      </c>
      <c r="D23" s="227" t="n">
        <v>42828.75</v>
      </c>
      <c r="E23" s="227" t="n">
        <v>495364.04296875</v>
      </c>
      <c r="F23" s="227" t="n">
        <v>856859.765625</v>
      </c>
    </row>
    <row r="24">
      <c r="A24" t="inlineStr">
        <is>
          <t>Apartment</t>
        </is>
      </c>
      <c r="B24" t="n">
        <v>1</v>
      </c>
      <c r="C24" s="227" t="n">
        <v>0</v>
      </c>
      <c r="D24" s="227" t="n">
        <v>0</v>
      </c>
      <c r="E24" s="227" t="n">
        <v>0</v>
      </c>
      <c r="F24" s="227" t="n">
        <v>0</v>
      </c>
    </row>
    <row r="25">
      <c r="A25" t="inlineStr">
        <is>
          <t>Apartment/Hotel</t>
        </is>
      </c>
      <c r="B25" t="n">
        <v>2</v>
      </c>
      <c r="C25" s="227" t="n">
        <v>0</v>
      </c>
      <c r="D25" s="227" t="n">
        <v>0</v>
      </c>
      <c r="E25" s="227" t="n">
        <v>0</v>
      </c>
      <c r="F25" s="227" t="n">
        <v>0</v>
      </c>
    </row>
    <row r="26">
      <c r="A26" t="inlineStr">
        <is>
          <t>Event</t>
        </is>
      </c>
      <c r="B26" t="n">
        <v>13</v>
      </c>
      <c r="C26" s="227" t="n">
        <v>0</v>
      </c>
      <c r="D26" s="227" t="n">
        <v>0</v>
      </c>
      <c r="E26" s="227" t="n">
        <v>0</v>
      </c>
      <c r="F26" s="227" t="n">
        <v>0</v>
      </c>
    </row>
    <row r="27">
      <c r="A27" t="inlineStr">
        <is>
          <t>Golf</t>
        </is>
      </c>
      <c r="B27" t="n">
        <v>3</v>
      </c>
      <c r="C27" s="227" t="n">
        <v>0</v>
      </c>
      <c r="D27" s="227" t="n">
        <v>0</v>
      </c>
      <c r="E27" s="227" t="n">
        <v>0</v>
      </c>
      <c r="F27" s="227" t="n">
        <v>0</v>
      </c>
    </row>
    <row r="28">
      <c r="A28" t="inlineStr">
        <is>
          <t>Hospitality Group</t>
        </is>
      </c>
      <c r="B28" t="n">
        <v>12</v>
      </c>
      <c r="C28" s="227" t="n">
        <v>0</v>
      </c>
      <c r="D28" s="227" t="n">
        <v>0</v>
      </c>
      <c r="E28" s="227" t="n">
        <v>0</v>
      </c>
      <c r="F28" s="227" t="n">
        <v>0</v>
      </c>
    </row>
    <row r="29">
      <c r="A29" t="inlineStr">
        <is>
          <t>Villas</t>
        </is>
      </c>
      <c r="B29" t="n">
        <v>2</v>
      </c>
      <c r="C29" s="227" t="n">
        <v>0</v>
      </c>
      <c r="D29" s="227" t="n">
        <v>0</v>
      </c>
      <c r="E29" s="227" t="n">
        <v>0</v>
      </c>
      <c r="F29" s="227" t="n">
        <v>0</v>
      </c>
    </row>
    <row r="30">
      <c r="A30" t="inlineStr">
        <is>
          <t>Wedding Planner</t>
        </is>
      </c>
      <c r="B30" t="n">
        <v>9</v>
      </c>
      <c r="C30" s="227" t="n">
        <v>0</v>
      </c>
      <c r="D30" s="227" t="n">
        <v>0</v>
      </c>
      <c r="E30" s="227" t="n">
        <v>0</v>
      </c>
      <c r="F30" s="227" t="n">
        <v>0</v>
      </c>
    </row>
  </sheetData>
  <mergeCells count="2">
    <mergeCell ref="A2:H2"/>
    <mergeCell ref="A1:H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00" customWidth="1" style="222" min="1" max="1"/>
  </cols>
  <sheetData>
    <row r="1">
      <c r="A1" s="229" t="inlineStr">
        <is>
          <t>WAS v2 METHODOLOGY — SOPHI MOBILITY</t>
        </is>
      </c>
    </row>
    <row r="2">
      <c r="A2" s="235" t="inlineStr"/>
    </row>
    <row r="3">
      <c r="A3" s="235" t="inlineStr">
        <is>
          <t>Market state: COLD  (Warm = ≥3 current SOPHI anchor accounts in-market)</t>
        </is>
      </c>
    </row>
    <row r="4">
      <c r="A4" s="235" t="inlineStr"/>
    </row>
    <row r="5">
      <c r="A5" s="233" t="inlineStr">
        <is>
          <t>CONVERSION CURVES (Y1 rate → Y5 rate per tier)</t>
        </is>
      </c>
    </row>
    <row r="6">
      <c r="A6" s="235" t="inlineStr">
        <is>
          <t xml:space="preserve">  Cold  —  A: 40% → 95%</t>
        </is>
      </c>
    </row>
    <row r="7">
      <c r="A7" s="235" t="inlineStr">
        <is>
          <t xml:space="preserve">           B: 8% → 75%</t>
        </is>
      </c>
    </row>
    <row r="8">
      <c r="A8" s="235" t="inlineStr">
        <is>
          <t xml:space="preserve">           C: 2% → 40%</t>
        </is>
      </c>
    </row>
    <row r="9">
      <c r="A9" s="235" t="inlineStr">
        <is>
          <t xml:space="preserve">           D: 0% → 10%</t>
        </is>
      </c>
    </row>
    <row r="10">
      <c r="A10" s="235" t="inlineStr">
        <is>
          <t xml:space="preserve">  Warm  —  A: 60% → 95%</t>
        </is>
      </c>
    </row>
    <row r="11">
      <c r="A11" s="235" t="inlineStr">
        <is>
          <t xml:space="preserve">           B: 25% → 80%</t>
        </is>
      </c>
    </row>
    <row r="12">
      <c r="A12" s="235" t="inlineStr">
        <is>
          <t xml:space="preserve">           C: 10% → 45%</t>
        </is>
      </c>
    </row>
    <row r="13">
      <c r="A13" s="235" t="inlineStr">
        <is>
          <t xml:space="preserve">           D: 0% → 15%</t>
        </is>
      </c>
    </row>
    <row r="14">
      <c r="A14" s="235" t="inlineStr"/>
    </row>
    <row r="15">
      <c r="A15" s="233" t="inlineStr">
        <is>
          <t>S-CURVE ANNUAL RAMP (fraction of Y5-Y1 captured per year)</t>
        </is>
      </c>
    </row>
    <row r="16">
      <c r="A16" s="235" t="inlineStr">
        <is>
          <t xml:space="preserve">  Y1: 0%, Y2: 18%, Y3: 55%, Y4: 82%, Y5: 100%</t>
        </is>
      </c>
    </row>
    <row r="17">
      <c r="A17" s="235" t="inlineStr"/>
    </row>
    <row r="18">
      <c r="A18" s="233" t="inlineStr">
        <is>
          <t>DIVERSIFICATION MULTIPLIER (on B/C rates only)</t>
        </is>
      </c>
    </row>
    <row r="19">
      <c r="A19" s="235" t="inlineStr">
        <is>
          <t xml:space="preserve">  1 account type in market:  1.00×</t>
        </is>
      </c>
    </row>
    <row r="20">
      <c r="A20" s="235" t="inlineStr">
        <is>
          <t xml:space="preserve">  2 account types:           1.10×</t>
        </is>
      </c>
    </row>
    <row r="21">
      <c r="A21" s="235" t="inlineStr">
        <is>
          <t xml:space="preserve">  3+ account types:          1.25×</t>
        </is>
      </c>
    </row>
    <row r="22">
      <c r="A22" s="235" t="inlineStr">
        <is>
          <t xml:space="preserve">  Ramp for COLD market: Y1=1, Y2=2, Y3+=3</t>
        </is>
      </c>
    </row>
    <row r="23">
      <c r="A23" s="235" t="inlineStr"/>
    </row>
    <row r="24">
      <c r="A24" s="233" t="inlineStr">
        <is>
          <t>WAS WEIGHTS</t>
        </is>
      </c>
    </row>
    <row r="25">
      <c r="A25" s="235" t="inlineStr">
        <is>
          <t xml:space="preserve">  Fit 25%  |  Size 25%  |  Ownership 20%  |  Addressability 15%  |  Adjacency 15%</t>
        </is>
      </c>
    </row>
    <row r="26">
      <c r="A26" s="235" t="inlineStr"/>
    </row>
    <row r="27">
      <c r="A27" s="233" t="inlineStr">
        <is>
          <t>RELATIONSHIP LIFTS (additive to WAS, cap 5.0)</t>
        </is>
      </c>
    </row>
    <row r="28">
      <c r="A28" s="235" t="inlineStr">
        <is>
          <t xml:space="preserve">  Current operator group:         +1.00</t>
        </is>
      </c>
    </row>
    <row r="29">
      <c r="A29" s="235" t="inlineStr">
        <is>
          <t xml:space="preserve">  Historical operator group:      +0.50</t>
        </is>
      </c>
    </row>
    <row r="30">
      <c r="A30" s="235" t="inlineStr">
        <is>
          <t xml:space="preserve">  Brand familiarity (current):    +0.30</t>
        </is>
      </c>
    </row>
    <row r="31">
      <c r="A31" s="235" t="inlineStr">
        <is>
          <t xml:space="preserve">  Brand familiarity (historical): +0.15</t>
        </is>
      </c>
    </row>
    <row r="32">
      <c r="A32" s="235" t="inlineStr"/>
    </row>
    <row r="33">
      <c r="A33" s="235" t="inlineStr">
        <is>
          <t xml:space="preserve">  Source: config/relationships.yaml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2026-04-18T17:59:47Z</dcterms:created>
  <dcterms:modified xmlns:dcterms="http://purl.org/dc/terms/" xmlns:xsi="http://www.w3.org/2001/XMLSchema-instance" xsi:type="dcterms:W3CDTF">2026-04-18T18:00:17Z</dcterms:modified>
</cp:coreProperties>
</file>