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Accounts" sheetId="2" state="visible" r:id="rId2"/>
    <sheet xmlns:r="http://schemas.openxmlformats.org/officeDocument/2006/relationships" name="Sales Cadence" sheetId="3" state="visible" r:id="rId3"/>
    <sheet xmlns:r="http://schemas.openxmlformats.org/officeDocument/2006/relationships" name="Parking" sheetId="4" state="visible" r:id="rId4"/>
    <sheet xmlns:r="http://schemas.openxmlformats.org/officeDocument/2006/relationships" name="RevenueForecasting" sheetId="5" state="visible" r:id="rId5"/>
    <sheet xmlns:r="http://schemas.openxmlformats.org/officeDocument/2006/relationships" name="Analysis" sheetId="6" state="visible" r:id="rId6"/>
    <sheet xmlns:r="http://schemas.openxmlformats.org/officeDocument/2006/relationships" name="Market Notes" sheetId="7" state="visible" r:id="rId7"/>
    <sheet xmlns:r="http://schemas.openxmlformats.org/officeDocument/2006/relationships" name="TAM_Conservative" sheetId="8" state="visible" r:id="rId8"/>
    <sheet xmlns:r="http://schemas.openxmlformats.org/officeDocument/2006/relationships" name="TAM_Summary" sheetId="9" state="visible" r:id="rId9"/>
    <sheet xmlns:r="http://schemas.openxmlformats.org/officeDocument/2006/relationships" name="TAM_Methodology" sheetId="10" state="visible" r:id="rId10"/>
    <sheet xmlns:r="http://schemas.openxmlformats.org/officeDocument/2006/relationships" name="WAS_Scoring_v2" sheetId="11" state="visible" r:id="rId11"/>
    <sheet xmlns:r="http://schemas.openxmlformats.org/officeDocument/2006/relationships" name="SOM_Summary_v2" sheetId="12" state="visible" r:id="rId12"/>
    <sheet xmlns:r="http://schemas.openxmlformats.org/officeDocument/2006/relationships" name="Methodology_v2" sheetId="13" state="visible" r:id="rId13"/>
  </sheets>
  <definedNames>
    <definedName name="_xlnm._FilterDatabase" localSheetId="1" hidden="1">'Accounts'!$A$1:$T$136</definedName>
    <definedName name="_xlnm._FilterDatabase" localSheetId="2" hidden="1">'Sales Cadence'!$A$1:$W$136</definedName>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
    <numFmt numFmtId="167" formatCode="0.0%"/>
    <numFmt numFmtId="168" formatCode="$#,##0"/>
  </numFmts>
  <fonts count="29">
    <font>
      <name val="Calibri"/>
      <color theme="1"/>
      <sz val="11"/>
      <scheme val="minor"/>
    </font>
    <font>
      <name val="Calibri"/>
      <b val="1"/>
      <color rgb="FFA13544"/>
      <sz val="16"/>
    </font>
    <font>
      <name val="Calibri"/>
      <b val="1"/>
      <color rgb="FF01696F"/>
      <sz val="14"/>
    </font>
    <font>
      <name val="Calibri"/>
      <b val="1"/>
      <color rgb="FF28251D"/>
      <sz val="12"/>
    </font>
    <font>
      <name val="Calibri"/>
      <i val="1"/>
      <color rgb="FF7A7974"/>
      <sz val="10"/>
    </font>
    <font>
      <name val="Calibri"/>
      <b val="1"/>
      <color theme="1"/>
      <sz val="11"/>
    </font>
    <font>
      <name val="Calibri"/>
      <b val="1"/>
      <color rgb="FF01696F"/>
      <sz val="10"/>
    </font>
    <font>
      <name val="Calibri"/>
      <color theme="1"/>
      <sz val="10"/>
    </font>
    <font>
      <name val="Calibri"/>
      <i val="1"/>
      <color theme="1"/>
      <sz val="10"/>
    </font>
    <font>
      <name val="Calibri"/>
      <b val="1"/>
      <color rgb="FFFFFFFF"/>
      <sz val="11"/>
    </font>
    <font>
      <name val="Calibri"/>
      <color rgb="FF0000FF"/>
      <sz val="10"/>
      <u val="single"/>
    </font>
    <font>
      <name val="Calibri"/>
      <color rgb="FF0000FF"/>
      <sz val="10"/>
    </font>
    <font>
      <name val="Calibri"/>
      <color theme="1"/>
      <scheme val="minor"/>
    </font>
    <font>
      <name val="Calibri"/>
      <color theme="1"/>
      <sz val="11"/>
    </font>
    <font>
      <name val="Calibri"/>
      <b val="1"/>
      <i val="1"/>
      <color rgb="FFFF9900"/>
      <sz val="12"/>
      <scheme val="minor"/>
    </font>
    <font>
      <name val="Calibri"/>
      <b val="1"/>
      <color rgb="FF01696F"/>
      <sz val="12"/>
    </font>
    <font>
      <name val="Calibri"/>
      <b val="1"/>
      <color theme="1"/>
      <sz val="9"/>
    </font>
    <font>
      <name val="Calibri"/>
      <b val="1"/>
      <color theme="1"/>
      <sz val="8"/>
    </font>
    <font>
      <name val="Calibri"/>
      <b val="1"/>
      <color rgb="FF20808D"/>
      <sz val="14"/>
    </font>
    <font>
      <name val="Calibri"/>
      <i val="1"/>
      <color theme="1"/>
      <sz val="9"/>
    </font>
    <font>
      <name val="Calibri"/>
      <b val="1"/>
      <color theme="1"/>
      <sz val="10"/>
    </font>
    <font>
      <name val="Calibri"/>
      <color rgb="FF01696F"/>
      <sz val="11"/>
    </font>
    <font>
      <name val="Calibri"/>
      <color rgb="FF28251D"/>
      <sz val="10"/>
    </font>
    <font>
      <b val="1"/>
      <color rgb="00FFFFFF"/>
    </font>
    <font>
      <b val="1"/>
      <sz val="14"/>
    </font>
    <font>
      <b val="1"/>
    </font>
    <font>
      <b val="1"/>
      <sz val="12"/>
    </font>
    <font>
      <sz val="11"/>
    </font>
    <font>
      <i val="1"/>
      <color rgb="00555555"/>
    </font>
  </fonts>
  <fills count="13">
    <fill>
      <patternFill/>
    </fill>
    <fill>
      <patternFill patternType="lightGray"/>
    </fill>
    <fill>
      <patternFill patternType="solid">
        <fgColor rgb="FF01696F"/>
        <bgColor rgb="FF01696F"/>
      </patternFill>
    </fill>
    <fill>
      <patternFill patternType="solid">
        <fgColor rgb="FF20808D"/>
        <bgColor rgb="FF20808D"/>
      </patternFill>
    </fill>
    <fill>
      <patternFill patternType="solid">
        <fgColor rgb="FFA84B2F"/>
        <bgColor rgb="FFA84B2F"/>
      </patternFill>
    </fill>
    <fill>
      <patternFill patternType="solid">
        <fgColor rgb="FF1B474D"/>
        <bgColor rgb="FF1B474D"/>
      </patternFill>
    </fill>
    <fill>
      <patternFill patternType="solid">
        <fgColor rgb="001F4E78"/>
      </patternFill>
    </fill>
    <fill>
      <patternFill patternType="solid">
        <fgColor rgb="00DEEBF6"/>
      </patternFill>
    </fill>
    <fill>
      <patternFill patternType="solid">
        <fgColor rgb="00FFF2CC"/>
      </patternFill>
    </fill>
    <fill>
      <patternFill patternType="solid">
        <fgColor rgb="00F2F2F2"/>
      </patternFill>
    </fill>
    <fill>
      <patternFill patternType="solid">
        <fgColor rgb="00FFD580"/>
      </patternFill>
    </fill>
    <fill>
      <patternFill patternType="solid">
        <fgColor rgb="00FFEB9C"/>
      </patternFill>
    </fill>
    <fill>
      <patternFill patternType="solid">
        <fgColor rgb="00C6EFCE"/>
      </patternFill>
    </fill>
  </fills>
  <borders count="3">
    <border/>
    <border>
      <left style="thin">
        <color rgb="FFD4D1CA"/>
      </left>
      <right style="thin">
        <color rgb="FFD4D1CA"/>
      </right>
      <top style="thin">
        <color rgb="FFD4D1CA"/>
      </top>
      <bottom style="thin">
        <color rgb="FFD4D1CA"/>
      </bottom>
    </border>
    <border>
      <left/>
      <right/>
      <top/>
      <bottom/>
    </border>
  </borders>
  <cellStyleXfs count="1">
    <xf numFmtId="0" fontId="0" fillId="0" borderId="0"/>
  </cellStyleXfs>
  <cellXfs count="53">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9" fillId="2" borderId="1" applyAlignment="1" pivotButton="0" quotePrefix="0" xfId="0">
      <alignment horizontal="center" vertical="center"/>
    </xf>
    <xf numFmtId="0" fontId="9" fillId="2" borderId="1" applyAlignment="1" pivotButton="0" quotePrefix="0" xfId="0">
      <alignment horizontal="center" vertical="center"/>
    </xf>
    <xf numFmtId="0" fontId="10" fillId="0" borderId="0" applyAlignment="1" pivotButton="0" quotePrefix="0" xfId="0">
      <alignment vertical="bottom"/>
    </xf>
    <xf numFmtId="164" fontId="11" fillId="0" borderId="0" applyAlignment="1" pivotButton="0" quotePrefix="0" xfId="0">
      <alignment vertical="bottom"/>
    </xf>
    <xf numFmtId="3" fontId="11" fillId="0" borderId="0" applyAlignment="1" pivotButton="0" quotePrefix="0" xfId="0">
      <alignment vertical="bottom"/>
    </xf>
    <xf numFmtId="0" fontId="12" fillId="0" borderId="0" pivotButton="0" quotePrefix="0" xfId="0"/>
    <xf numFmtId="164" fontId="13" fillId="0" borderId="0" applyAlignment="1" pivotButton="0" quotePrefix="0" xfId="0">
      <alignment vertical="bottom"/>
    </xf>
    <xf numFmtId="0" fontId="7" fillId="0" borderId="0" applyAlignment="1" pivotButton="0" quotePrefix="0" xfId="0">
      <alignment horizontal="center" vertical="center"/>
    </xf>
    <xf numFmtId="0" fontId="12" fillId="0" borderId="0" pivotButton="0" quotePrefix="0" xfId="0"/>
    <xf numFmtId="3" fontId="7" fillId="0" borderId="0" applyAlignment="1" pivotButton="0" quotePrefix="0" xfId="0">
      <alignment vertical="bottom"/>
    </xf>
    <xf numFmtId="9" fontId="11" fillId="0" borderId="0" applyAlignment="1" pivotButton="0" quotePrefix="0" xfId="0">
      <alignment vertical="bottom"/>
    </xf>
    <xf numFmtId="165" fontId="7" fillId="0" borderId="0" applyAlignment="1" pivotButton="0" quotePrefix="0" xfId="0">
      <alignment vertical="bottom"/>
    </xf>
    <xf numFmtId="165" fontId="13" fillId="0" borderId="0" applyAlignment="1" pivotButton="0" quotePrefix="0" xfId="0">
      <alignment vertical="bottom"/>
    </xf>
    <xf numFmtId="0" fontId="14" fillId="0" borderId="0" pivotButton="0" quotePrefix="0" xfId="0"/>
    <xf numFmtId="0" fontId="15" fillId="0" borderId="0" applyAlignment="1" pivotButton="0" quotePrefix="0" xfId="0">
      <alignment vertical="bottom"/>
    </xf>
    <xf numFmtId="0" fontId="9" fillId="3" borderId="2" applyAlignment="1" pivotButton="0" quotePrefix="0" xfId="0">
      <alignment vertical="bottom"/>
    </xf>
    <xf numFmtId="0" fontId="9" fillId="4" borderId="2" applyAlignment="1" pivotButton="0" quotePrefix="0" xfId="0">
      <alignment vertical="bottom"/>
    </xf>
    <xf numFmtId="0" fontId="9" fillId="5" borderId="2" applyAlignment="1" pivotButton="0" quotePrefix="0" xfId="0">
      <alignment vertical="bottom"/>
    </xf>
    <xf numFmtId="0" fontId="16" fillId="0" borderId="0" applyAlignment="1" pivotButton="0" quotePrefix="0" xfId="0">
      <alignment horizontal="center" vertical="center"/>
    </xf>
    <xf numFmtId="0" fontId="17" fillId="0" borderId="0" applyAlignment="1" pivotButton="0" quotePrefix="0" xfId="0">
      <alignment vertical="bottom"/>
    </xf>
    <xf numFmtId="164" fontId="18"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166" fontId="21" fillId="0" borderId="0" applyAlignment="1" pivotButton="0" quotePrefix="0" xfId="0">
      <alignment vertical="bottom"/>
    </xf>
    <xf numFmtId="0" fontId="22" fillId="0" borderId="0" applyAlignment="1" pivotButton="0" quotePrefix="0" xfId="0">
      <alignment vertical="bottom"/>
    </xf>
    <xf numFmtId="0" fontId="0" fillId="0" borderId="0" pivotButton="0" quotePrefix="0" xfId="0"/>
    <xf numFmtId="0" fontId="23" fillId="6" borderId="0" applyAlignment="1" pivotButton="0" quotePrefix="0" xfId="0">
      <alignment horizontal="center" vertical="center" wrapText="1"/>
    </xf>
    <xf numFmtId="0" fontId="0" fillId="7" borderId="0" pivotButton="0" quotePrefix="0" xfId="0"/>
    <xf numFmtId="167" fontId="0" fillId="0" borderId="0" pivotButton="0" quotePrefix="0" xfId="0"/>
    <xf numFmtId="168" fontId="0" fillId="0" borderId="0" pivotButton="0" quotePrefix="0" xfId="0"/>
    <xf numFmtId="0" fontId="0" fillId="8" borderId="0" pivotButton="0" quotePrefix="0" xfId="0"/>
    <xf numFmtId="0" fontId="0" fillId="9" borderId="0" pivotButton="0" quotePrefix="0" xfId="0"/>
    <xf numFmtId="0" fontId="24" fillId="0" borderId="0" pivotButton="0" quotePrefix="0" xfId="0"/>
    <xf numFmtId="0" fontId="23" fillId="6" borderId="0" pivotButton="0" quotePrefix="0" xfId="0"/>
    <xf numFmtId="0" fontId="25" fillId="0" borderId="0" pivotButton="0" quotePrefix="0" xfId="0"/>
    <xf numFmtId="168" fontId="25" fillId="0" borderId="0" pivotButton="0" quotePrefix="0" xfId="0"/>
    <xf numFmtId="0" fontId="26" fillId="0" borderId="0" pivotButton="0" quotePrefix="0" xfId="0"/>
    <xf numFmtId="9" fontId="0" fillId="0" borderId="0" pivotButton="0" quotePrefix="0" xfId="0"/>
    <xf numFmtId="0" fontId="27" fillId="0" borderId="0" pivotButton="0" quotePrefix="0" xfId="0"/>
    <xf numFmtId="2" fontId="0" fillId="0" borderId="0" pivotButton="0" quotePrefix="0" xfId="0"/>
    <xf numFmtId="0" fontId="0" fillId="10" borderId="0" pivotButton="0" quotePrefix="0" xfId="0"/>
    <xf numFmtId="0" fontId="0" fillId="11" borderId="0" pivotButton="0" quotePrefix="0" xfId="0"/>
    <xf numFmtId="0" fontId="0" fillId="12" borderId="0" pivotButton="0" quotePrefix="0" xfId="0"/>
    <xf numFmtId="0" fontId="2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H1" authorId="0" shapeId="0">
      <text>
        <t>======
ID#AAAB2MNB8xY
Joshua Casey    (2026-03-19 03:16:13)
@btolle@sophimobility.com check it
_Assigned to btolle@sophimobility.com_</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marriott.com/en-us/hotels/denmd-le-meridien-denver-downtown/overview/" TargetMode="External" Id="rId1"/><Relationship Type="http://schemas.openxmlformats.org/officeDocument/2006/relationships/hyperlink" Target="https://www.ritzcarlton.com/en/hotels/denrz-the-ritz-carlton-denver/overview/" TargetMode="External" Id="rId2"/><Relationship Type="http://schemas.openxmlformats.org/officeDocument/2006/relationships/hyperlink" Target="https://www.marriott.com/en-us/hotels/denac-ac-hotel-denver-downtown/overview/" TargetMode="External" Id="rId3"/><Relationship Type="http://schemas.openxmlformats.org/officeDocument/2006/relationships/hyperlink" Target="https://www.hilton.com/en/hotels/deneses-embassy-suites-denver-downtown-convention-center/" TargetMode="External" Id="rId4"/><Relationship Type="http://schemas.openxmlformats.org/officeDocument/2006/relationships/hyperlink" Target="https://www.marriott.com/en-us/hotels/dendw-aloft-denver-downtown/overview/" TargetMode="External" Id="rId5"/><Relationship Type="http://schemas.openxmlformats.org/officeDocument/2006/relationships/hyperlink" Target="https://www.marriott.com/en-us/hotels/dends-sheraton-denver-downtown-hotel/overview/" TargetMode="External" Id="rId6"/><Relationship Type="http://schemas.openxmlformats.org/officeDocument/2006/relationships/hyperlink" Target="https://www.hyatt.com/hyatt-regency/en-US/dencc-hyatt-regency-denver-at-colorado-convention-center" TargetMode="External" Id="rId7"/><Relationship Type="http://schemas.openxmlformats.org/officeDocument/2006/relationships/hyperlink" Target="https://www.marriott.com/en-us/hotels/dencr-the-jacquard-autograph-collection/overview/" TargetMode="External" Id="rId8"/><Relationship Type="http://schemas.openxmlformats.org/officeDocument/2006/relationships/hyperlink" Target="https://www.fourseasons.com/denver/" TargetMode="External" Id="rId9"/><Relationship Type="http://schemas.openxmlformats.org/officeDocument/2006/relationships/hyperlink" Target="https://www.marriott.com/en-us/hotels/denak-the-brown-palace-hotel-and-spa-autograph-collection/overview/" TargetMode="External" Id="rId10"/><Relationship Type="http://schemas.openxmlformats.org/officeDocument/2006/relationships/hyperlink" Target="https://www.hyatt.com/thompson-hotels/denth-thompson-denver" TargetMode="External" Id="rId11"/><Relationship Type="http://schemas.openxmlformats.org/officeDocument/2006/relationships/hyperlink" Target="https://www.hyatt.com/grand-hyatt/en-US/denrd-grand-hyatt-denver" TargetMode="External" Id="rId12"/><Relationship Type="http://schemas.openxmlformats.org/officeDocument/2006/relationships/hyperlink" Target="https://www.hyatt.com/hyatt-place/en-US/denzd-hyatt-place-denver-downtown" TargetMode="External" Id="rId13"/><Relationship Type="http://schemas.openxmlformats.org/officeDocument/2006/relationships/hyperlink" Target="https://populusdenver.com/" TargetMode="External" Id="rId14"/><Relationship Type="http://schemas.openxmlformats.org/officeDocument/2006/relationships/hyperlink" Target="https://www.hilton.com/en/hotels/dencyhh-hilton-denver-city-center/" TargetMode="External" Id="rId15"/><Relationship Type="http://schemas.openxmlformats.org/officeDocument/2006/relationships/hyperlink" Target="https://www.halcyonhotelcherrycreek.com/" TargetMode="External" Id="rId16"/><Relationship Type="http://schemas.openxmlformats.org/officeDocument/2006/relationships/hyperlink" Target="https://www.hilton.com/en/hotels/dencvhx-hampton-suites-denver-downtown-convention-center/" TargetMode="External" Id="rId17"/><Relationship Type="http://schemas.openxmlformats.org/officeDocument/2006/relationships/hyperlink" Target="https://www.hilton.com/en/hotels/dencsru-tru-denver-downtown-convention-center/" TargetMode="External" Id="rId18"/><Relationship Type="http://schemas.openxmlformats.org/officeDocument/2006/relationships/hyperlink" Target="https://www.hilton.com/en/hotels/dentiht-home2-suites-denver-downtown-convention-center/" TargetMode="External" Id="rId19"/><Relationship Type="http://schemas.openxmlformats.org/officeDocument/2006/relationships/hyperlink" Target="https://www.hilton.com/en/hotels/dendchw-homewood-suites-denver-downtown-convention-center-co/" TargetMode="External" Id="rId20"/><Relationship Type="http://schemas.openxmlformats.org/officeDocument/2006/relationships/hyperlink" Target="https://www.marriott.com/en-us/hotels/denld-hotel-clio-a-luxury-collection-hotel-denver-cherry-creek/overview/" TargetMode="External" Id="rId21"/><Relationship Type="http://schemas.openxmlformats.org/officeDocument/2006/relationships/hyperlink" Target="https://claytondenver.com/" TargetMode="External" Id="rId22"/><Relationship Type="http://schemas.openxmlformats.org/officeDocument/2006/relationships/hyperlink" Target="https://www.hilton.com/en/hotels/denvrup-the-slate-hotel-denver-downtown/" TargetMode="External" Id="rId23"/><Relationship Type="http://schemas.openxmlformats.org/officeDocument/2006/relationships/hyperlink" Target="https://www.monaco-denver.com/" TargetMode="External" Id="rId24"/><Relationship Type="http://schemas.openxmlformats.org/officeDocument/2006/relationships/hyperlink" Target="https://www.marriott.com/en-us/hotels/denmg-magnolia-hotel-denver-a-tribute-portfolio-hotel/overview/" TargetMode="External" Id="rId25"/><Relationship Type="http://schemas.openxmlformats.org/officeDocument/2006/relationships/hyperlink" Target="https://www.hyatt.com/hyatt-centric/en-US/denct-hyatt-centric-downtown-denver" TargetMode="External" Id="rId26"/><Relationship Type="http://schemas.openxmlformats.org/officeDocument/2006/relationships/hyperlink" Target="https://www.ihg.com/hotelindigo/hotels/us/en/denver/denws/hoteldetail" TargetMode="External" Id="rId27"/><Relationship Type="http://schemas.openxmlformats.org/officeDocument/2006/relationships/hyperlink" Target="https://www.hotelteatro.com/" TargetMode="External" Id="rId28"/><Relationship Type="http://schemas.openxmlformats.org/officeDocument/2006/relationships/hyperlink" Target="https://www.clarethotel.com/" TargetMode="External" Id="rId29"/><Relationship Type="http://schemas.openxmlformats.org/officeDocument/2006/relationships/hyperlink" Target="https://www.apiaryhotel.com/" TargetMode="External" Id="rId30"/><Relationship Type="http://schemas.openxmlformats.org/officeDocument/2006/relationships/hyperlink" Target="https://www.hilton.com/en/hotels/denrtqq-the-art-hotel-denver/" TargetMode="External" Id="rId31"/><Relationship Type="http://schemas.openxmlformats.org/officeDocument/2006/relationships/hyperlink" Target="https://www.marriott.com/en-us/hotels/denwi-the-westin-denver-downtown/overview/" TargetMode="External" Id="rId32"/><Relationship Type="http://schemas.openxmlformats.org/officeDocument/2006/relationships/hyperlink" Target="https://www.marriott.com/en-us/hotels/denaw-the-westin-denver-international-airport/overview/" TargetMode="External" Id="rId33"/><Relationship Type="http://schemas.openxmlformats.org/officeDocument/2006/relationships/hyperlink" Target="https://www.themavenhotel.com/" TargetMode="External" Id="rId34"/><Relationship Type="http://schemas.openxmlformats.org/officeDocument/2006/relationships/hyperlink" Target="https://www.catbirdhotel.com/" TargetMode="External" Id="rId35"/><Relationship Type="http://schemas.openxmlformats.org/officeDocument/2006/relationships/hyperlink" Target="https://limelighthotels.com/denver" TargetMode="External" Id="rId36"/><Relationship Type="http://schemas.openxmlformats.org/officeDocument/2006/relationships/hyperlink" Target="https://thecrawfordhotel.com/" TargetMode="External" Id="rId37"/><Relationship Type="http://schemas.openxmlformats.org/officeDocument/2006/relationships/hyperlink" Target="https://www.warwickhotels.com/warwick-denver" TargetMode="External" Id="rId38"/><Relationship Type="http://schemas.openxmlformats.org/officeDocument/2006/relationships/hyperlink" Target="https://www.marriott.com/en-us/hotels/denox-moxy-denver-cherry-creek/overview/" TargetMode="External" Id="rId39"/><Relationship Type="http://schemas.openxmlformats.org/officeDocument/2006/relationships/hyperlink" Target="https://www.marriott.com/en-us/hotels/densd-springhill-suites-denver-downtown/overview/" TargetMode="External" Id="rId40"/><Relationship Type="http://schemas.openxmlformats.org/officeDocument/2006/relationships/hyperlink" Target="https://www.hilton.com/en/hotels/denungi-hilton-garden-inn-denver-union-station/" TargetMode="External" Id="rId41"/><Relationship Type="http://schemas.openxmlformats.org/officeDocument/2006/relationships/hyperlink" Target="https://www.marriott.com/en-us/hotels/dengr-gaylord-rockies-resort-and-convention-center/overview/" TargetMode="External" Id="rId42"/><Relationship Type="http://schemas.openxmlformats.org/officeDocument/2006/relationships/hyperlink" Target="https://www.therallyhotelatmcgregorsquare.com/" TargetMode="External" Id="rId43"/><Relationship Type="http://schemas.openxmlformats.org/officeDocument/2006/relationships/hyperlink" Target="https://www.hilton.com/en/hotels/dendthx-hampton-suites-denver-downtown/" TargetMode="External" Id="rId44"/><Relationship Type="http://schemas.openxmlformats.org/officeDocument/2006/relationships/hyperlink" Target="https://www.marriott.com/en-us/hotels/denrn-renaissance-denver-downtown-city-center-hotel/overview/" TargetMode="External" Id="rId45"/><Relationship Type="http://schemas.openxmlformats.org/officeDocument/2006/relationships/hyperlink" Target="https://www.hyatt.com/hyatt-house/en-US/denxd-hyatt-house-denver-downtown" TargetMode="External" Id="rId46"/><Relationship Type="http://schemas.openxmlformats.org/officeDocument/2006/relationships/hyperlink" Target="https://www.theoxfordhotel.com/" TargetMode="External" Id="rId47"/><Relationship Type="http://schemas.openxmlformats.org/officeDocument/2006/relationships/hyperlink" Target="https://thebensonhotel.com/" TargetMode="External" Id="rId48"/><Relationship Type="http://schemas.openxmlformats.org/officeDocument/2006/relationships/hyperlink" Target="https://www.theramblehotel.com/" TargetMode="External" Id="rId49"/><Relationship Type="http://schemas.openxmlformats.org/officeDocument/2006/relationships/hyperlink" Target="https://www.marriott.com/en-us/hotels/dentc-denver-marriott-tech-center/overview/" TargetMode="External" Id="rId50"/><Relationship Type="http://schemas.openxmlformats.org/officeDocument/2006/relationships/hyperlink" Target="https://www.hyatt.com/hyatt-regency/en-US/denve-hyatt-regency-denver-tech-center" TargetMode="External" Id="rId51"/><Relationship Type="http://schemas.openxmlformats.org/officeDocument/2006/relationships/hyperlink" Target="https://www.marriott.com/en-us/hotels/densa-renaissance-denver-hotel-and-conference-center/overview/" TargetMode="External" Id="rId52"/><Relationship Type="http://schemas.openxmlformats.org/officeDocument/2006/relationships/hyperlink" Target="https://www.hilton.com/en/hotels/rldv-dt-doubletree-denver/" TargetMode="External" Id="rId53"/><Relationship Type="http://schemas.openxmlformats.org/officeDocument/2006/relationships/hyperlink" Target="https://www.marriott.com/en-us/hotels/denca-courtyard-denver-central-park/overview/" TargetMode="External" Id="rId54"/><Relationship Type="http://schemas.openxmlformats.org/officeDocument/2006/relationships/hyperlink" Target="https://www.hilton.com/en/hotels/densphi-hampton-inn-suites-denver-speer-boulevard/" TargetMode="External" Id="rId55"/><Relationship Type="http://schemas.openxmlformats.org/officeDocument/2006/relationships/hyperlink" Target="https://www.druryhotels.com/locations/denver-co/drury-inn-and-suites-denver-central-park/" TargetMode="External" Id="rId56"/><Relationship Type="http://schemas.openxmlformats.org/officeDocument/2006/relationships/hyperlink" Target="https://www.choicehotels.com/colorado/denver/cambria-hotels/co482" TargetMode="External" Id="rId57"/><Relationship Type="http://schemas.openxmlformats.org/officeDocument/2006/relationships/hyperlink" Target="https://www.thesourcehotel.com/" TargetMode="External" Id="rId58"/><Relationship Type="http://schemas.openxmlformats.org/officeDocument/2006/relationships/hyperlink" Target="https://www.hilton.com/en/hotels/denchdt-the-curtis-denver/" TargetMode="External" Id="rId59"/><Relationship Type="http://schemas.openxmlformats.org/officeDocument/2006/relationships/hyperlink" Target="https://www.marriott.com/en-us/hotels/dencd-courtyard-denver-downtown/overview/" TargetMode="External" Id="rId60"/><Relationship Type="http://schemas.openxmlformats.org/officeDocument/2006/relationships/hyperlink" Target="https://www.hyatt.com/hyatt-regency/en-US/denhy-hyatt-regency-aurora-denver-conference-center" TargetMode="External" Id="rId61"/><Relationship Type="http://schemas.openxmlformats.org/officeDocument/2006/relationships/hyperlink" Target="https://www.sonesta.com/sonesta-hotels-resorts/co/denver/sonesta-denver-downtown" TargetMode="External" Id="rId62"/><Relationship Type="http://schemas.openxmlformats.org/officeDocument/2006/relationships/hyperlink" Target="https://www.bestwestern.com/en_US/book/hotels-in-denver/v%C4%ABb-hotel-by-best-western-denver-rino/propertyCode.06199.html" TargetMode="External" Id="rId63"/><Relationship Type="http://schemas.openxmlformats.org/officeDocument/2006/relationships/hyperlink" Target="https://www.marriott.com/en-us/hotels/dened-element-denver-downtown-east/overview/" TargetMode="External" Id="rId64"/><Relationship Type="http://schemas.openxmlformats.org/officeDocument/2006/relationships/hyperlink" Target="https://www.hilton.com/en/hotels/denewdt-doubletree-denver-tech-center/" TargetMode="External" Id="rId65"/><Relationship Type="http://schemas.openxmlformats.org/officeDocument/2006/relationships/hyperlink" Target="https://www.hilton.com/en/hotels/dentces-embassy-suites-denver-tech-center/" TargetMode="External" Id="rId66"/><Relationship Type="http://schemas.openxmlformats.org/officeDocument/2006/relationships/hyperlink" Target="https://www.hilton.com/en/hotels/denirhh-the-inverness-denver-a-hilton-golf-and-spa-resort/" TargetMode="External" Id="rId67"/><Relationship Type="http://schemas.openxmlformats.org/officeDocument/2006/relationships/hyperlink" Target="https://www.hilton.com/en/hotels/deneses-embassy-suites-denver-tech-center-north/" TargetMode="External" Id="rId68"/><Relationship Type="http://schemas.openxmlformats.org/officeDocument/2006/relationships/hyperlink" Target="https://www.marriott.com/en-us/hotels/denms-denver-marriott-south-at-park-meadows/overview/" TargetMode="External" Id="rId69"/><Relationship Type="http://schemas.openxmlformats.org/officeDocument/2006/relationships/hyperlink" Target="https://www.hilton.com/en/hotels/dentrgi-hilton-garden-inn-denver-tech-center/" TargetMode="External" Id="rId70"/><Relationship Type="http://schemas.openxmlformats.org/officeDocument/2006/relationships/hyperlink" Target="https://www.hilton.com/en/hotels/denitdt-doubletree-denver-aurora/" TargetMode="External" Id="rId71"/><Relationship Type="http://schemas.openxmlformats.org/officeDocument/2006/relationships/hyperlink" Target="https://www.ihg.com/crowneplaza/hotels/us/en/denver/denap/hoteldetail" TargetMode="External" Id="rId72"/><Relationship Type="http://schemas.openxmlformats.org/officeDocument/2006/relationships/hyperlink" Target="https://www.marriott.com/en-us/hotels/dencs-courtyard-denver-downtown-west/overview/" TargetMode="External" Id="rId73"/><Relationship Type="http://schemas.openxmlformats.org/officeDocument/2006/relationships/hyperlink" Target="https://www.urbancowboy.com/denver/" TargetMode="External" Id="rId74"/><Relationship Type="http://schemas.openxmlformats.org/officeDocument/2006/relationships/hyperlink" Target="https://www.hyatt.com/hyatt-place/en-US/dengc-hyatt-place-denver-cherry-creek" TargetMode="External" Id="rId75"/><Relationship Type="http://schemas.openxmlformats.org/officeDocument/2006/relationships/hyperlink" Target="https://www.hyatt.com/hyatt-place/en-US/denzt-hyatt-place-denver-tech-center" TargetMode="External" Id="rId76"/><Relationship Type="http://schemas.openxmlformats.org/officeDocument/2006/relationships/hyperlink" Target="https://www.hyatt.com/hyatt-place/en-US/denza-hyatt-place-denver-airport" TargetMode="External" Id="rId77"/><Relationship Type="http://schemas.openxmlformats.org/officeDocument/2006/relationships/hyperlink" Target="https://www.hyatt.com/hyatt-place/en-US/denps-hyatt-place-pena-station-denver-airport" TargetMode="External" Id="rId78"/><Relationship Type="http://schemas.openxmlformats.org/officeDocument/2006/relationships/hyperlink" Target="https://www.marriott.com/en-us/hotels/denia-aloft-denver-airport-at-gateway-park/overview/" TargetMode="External" Id="rId79"/><Relationship Type="http://schemas.openxmlformats.org/officeDocument/2006/relationships/hyperlink" Target="https://www.marriott.com/en-us/hotels/deneu-four-points-englewood-centennial-airport/overview/" TargetMode="External" Id="rId80"/><Relationship Type="http://schemas.openxmlformats.org/officeDocument/2006/relationships/hyperlink" Target="https://minthouse.com/denver/downtown-union-station/" TargetMode="External" Id="rId81"/><Relationship Type="http://schemas.openxmlformats.org/officeDocument/2006/relationships/hyperlink" Target="https://www.sonder.com/destinations/denver/skyline/" TargetMode="External" Id="rId82"/><Relationship Type="http://schemas.openxmlformats.org/officeDocument/2006/relationships/hyperlink" Target="https://www.hyatt.com/hyatt-house/en-US/denyh-hyatt-house-denver-tech-center" TargetMode="External" Id="rId83"/><Relationship Type="http://schemas.openxmlformats.org/officeDocument/2006/relationships/hyperlink" Target="https://www.marriott.com/en-us/hotels/densg-springhill-suites-denver-airport-at-gateway-park/overview/" TargetMode="External" Id="rId84"/><Relationship Type="http://schemas.openxmlformats.org/officeDocument/2006/relationships/hyperlink" Target="https://www.hyatt.com/hyatt-house/en-US/denau-hyatt-house-denver-aurora-anschutz-medical-campus" TargetMode="External" Id="rId85"/><Relationship Type="http://schemas.openxmlformats.org/officeDocument/2006/relationships/hyperlink" Target="https://www.hilton.com/en/hotels/dennfht-home2-suites-denver-central-park/" TargetMode="External" Id="rId86"/><Relationship Type="http://schemas.openxmlformats.org/officeDocument/2006/relationships/hyperlink" Target="https://www.thecapitalgrille.com/locations/co/denver/denver/8018" TargetMode="External" Id="rId87"/><Relationship Type="http://schemas.openxmlformats.org/officeDocument/2006/relationships/hyperlink" Target="https://ocean-prime.com/locations-menus/denver-larimer-square/" TargetMode="External" Id="rId88"/><Relationship Type="http://schemas.openxmlformats.org/officeDocument/2006/relationships/hyperlink" Target="https://www.ruthschris.com/restaurant-locations/denver/" TargetMode="External" Id="rId89"/><Relationship Type="http://schemas.openxmlformats.org/officeDocument/2006/relationships/hyperlink" Target="https://stksteakhouse.com/en-us/location/denver/" TargetMode="External" Id="rId90"/><Relationship Type="http://schemas.openxmlformats.org/officeDocument/2006/relationships/hyperlink" Target="https://www.guardandgrace.com/" TargetMode="External" Id="rId91"/><Relationship Type="http://schemas.openxmlformats.org/officeDocument/2006/relationships/hyperlink" Target="https://www.elways.com/downtown-home/" TargetMode="External" Id="rId92"/><Relationship Type="http://schemas.openxmlformats.org/officeDocument/2006/relationships/hyperlink" Target="https://www.elways.com/cherry-creek-home/" TargetMode="External" Id="rId93"/><Relationship Type="http://schemas.openxmlformats.org/officeDocument/2006/relationships/hyperlink" Target="https://www.shanahanssteakhouse.com/" TargetMode="External" Id="rId94"/><Relationship Type="http://schemas.openxmlformats.org/officeDocument/2006/relationships/hyperlink" Target="https://www.delfriscos.com/location/del-friscos-double-eagle-steakhouse-denver-co/" TargetMode="External" Id="rId95"/><Relationship Type="http://schemas.openxmlformats.org/officeDocument/2006/relationships/hyperlink" Target="https://www.delfriscosgrille.com/location/del-friscos-grille-cherry-creek-co/" TargetMode="External" Id="rId96"/><Relationship Type="http://schemas.openxmlformats.org/officeDocument/2006/relationships/hyperlink" Target="https://www.tavernettadenver.com/" TargetMode="External" Id="rId97"/><Relationship Type="http://schemas.openxmlformats.org/officeDocument/2006/relationships/hyperlink" Target="https://sundayvinyldenver.com/" TargetMode="External" Id="rId98"/><Relationship Type="http://schemas.openxmlformats.org/officeDocument/2006/relationships/hyperlink" Target="https://www.frascafoodandwine.com/" TargetMode="External" Id="rId99"/><Relationship Type="http://schemas.openxmlformats.org/officeDocument/2006/relationships/hyperlink" Target="https://www.riojadenver.com/" TargetMode="External" Id="rId100"/><Relationship Type="http://schemas.openxmlformats.org/officeDocument/2006/relationships/hyperlink" Target="https://www.barologrilldenver.com/" TargetMode="External" Id="rId101"/><Relationship Type="http://schemas.openxmlformats.org/officeDocument/2006/relationships/hyperlink" Target="https://www.mizunadenver.com/" TargetMode="External" Id="rId102"/><Relationship Type="http://schemas.openxmlformats.org/officeDocument/2006/relationships/hyperlink" Target="https://www.wildflower-lohi.com/" TargetMode="External" Id="rId103"/><Relationship Type="http://schemas.openxmlformats.org/officeDocument/2006/relationships/hyperlink" Target="https://www.lecolonial.com/denver/" TargetMode="External" Id="rId104"/><Relationship Type="http://schemas.openxmlformats.org/officeDocument/2006/relationships/hyperlink" Target="https://www.watergrill.com/denver" TargetMode="External" Id="rId105"/><Relationship Type="http://schemas.openxmlformats.org/officeDocument/2006/relationships/hyperlink" Target="https://www.corinnedenver.com/" TargetMode="External" Id="rId106"/><Relationship Type="http://schemas.openxmlformats.org/officeDocument/2006/relationships/hyperlink" Target="https://saltwatersocial.com/" TargetMode="External" Id="rId107"/><Relationship Type="http://schemas.openxmlformats.org/officeDocument/2006/relationships/hyperlink" Target="https://www.almalohidenver.com/" TargetMode="External" Id="rId108"/><Relationship Type="http://schemas.openxmlformats.org/officeDocument/2006/relationships/hyperlink" Target="https://www.uchealth.org/locations/uchealth-university-of-colorado-hospital-uch/" TargetMode="External" Id="rId109"/><Relationship Type="http://schemas.openxmlformats.org/officeDocument/2006/relationships/hyperlink" Target="https://www.denverhealth.org/" TargetMode="External" Id="rId110"/><Relationship Type="http://schemas.openxmlformats.org/officeDocument/2006/relationships/hyperlink" Target="https://www.nationaljewish.org/" TargetMode="External" Id="rId111"/><Relationship Type="http://schemas.openxmlformats.org/officeDocument/2006/relationships/hyperlink" Target="https://www.healthonecares.com/locations/rose" TargetMode="External" Id="rId112"/><Relationship Type="http://schemas.openxmlformats.org/officeDocument/2006/relationships/hyperlink" Target="https://www.healthonecares.com/locations/presbyterian-st-lukes" TargetMode="External" Id="rId113"/><Relationship Type="http://schemas.openxmlformats.org/officeDocument/2006/relationships/hyperlink" Target="https://www.healthonecares.com/locations/swedish" TargetMode="External" Id="rId114"/><Relationship Type="http://schemas.openxmlformats.org/officeDocument/2006/relationships/hyperlink" Target="https://www.healthonecares.com/locations/sky-ridge" TargetMode="External" Id="rId115"/><Relationship Type="http://schemas.openxmlformats.org/officeDocument/2006/relationships/hyperlink" Target="https://www.adventhealth.com/locations/hospitals/porter" TargetMode="External" Id="rId116"/><Relationship Type="http://schemas.openxmlformats.org/officeDocument/2006/relationships/hyperlink" Target="https://www.childrenscolorado.org/locations/anschutz-medical-campus-aurora/" TargetMode="External" Id="rId117"/><Relationship Type="http://schemas.openxmlformats.org/officeDocument/2006/relationships/hyperlink" Target="https://www.va.gov/eastern-colorado-health-care/" TargetMode="External" Id="rId118"/><Relationship Type="http://schemas.openxmlformats.org/officeDocument/2006/relationships/hyperlink" Target="https://intermountainhealthcare.org/locations/intermountain-health-saint-joseph-hospital" TargetMode="External" Id="rId119"/><Relationship Type="http://schemas.openxmlformats.org/officeDocument/2006/relationships/hyperlink" Target="https://www.mountain.commonspirit.org/location/st-anthony-hospital" TargetMode="External" Id="rId120"/><Relationship Type="http://schemas.openxmlformats.org/officeDocument/2006/relationships/hyperlink" Target="https://denverconvention.com/" TargetMode="External" Id="rId121"/><Relationship Type="http://schemas.openxmlformats.org/officeDocument/2006/relationships/hyperlink" Target="https://www.artscomplex.com/" TargetMode="External" Id="rId122"/><Relationship Type="http://schemas.openxmlformats.org/officeDocument/2006/relationships/hyperlink" Target="https://www.artscomplex.com/explore-the-complex/theatres-venues/ellie-caulkins-opera-house" TargetMode="External" Id="rId123"/><Relationship Type="http://schemas.openxmlformats.org/officeDocument/2006/relationships/hyperlink" Target="https://www.artscomplex.com/venues/venues/detail/boettcher-concert-hall" TargetMode="External" Id="rId124"/><Relationship Type="http://schemas.openxmlformats.org/officeDocument/2006/relationships/hyperlink" Target="https://www.ballarena.com/" TargetMode="External" Id="rId125"/><Relationship Type="http://schemas.openxmlformats.org/officeDocument/2006/relationships/hyperlink" Target="https://www.empowerfieldatmilehigh.com/" TargetMode="External" Id="rId126"/><Relationship Type="http://schemas.openxmlformats.org/officeDocument/2006/relationships/hyperlink" Target="https://www.mlb.com/rockies/tickets/parking" TargetMode="External" Id="rId127"/><Relationship Type="http://schemas.openxmlformats.org/officeDocument/2006/relationships/hyperlink" Target="https://www.redrocksonline.com/" TargetMode="External" Id="rId128"/><Relationship Type="http://schemas.openxmlformats.org/officeDocument/2006/relationships/hyperlink" Target="https://www.missionballroom.com/" TargetMode="External" Id="rId129"/><Relationship Type="http://schemas.openxmlformats.org/officeDocument/2006/relationships/hyperlink" Target="https://www.botanicgardens.org/" TargetMode="External" Id="rId130"/><Relationship Type="http://schemas.openxmlformats.org/officeDocument/2006/relationships/hyperlink" Target="https://www.denverartmuseum.org/" TargetMode="External" Id="rId131"/><Relationship Type="http://schemas.openxmlformats.org/officeDocument/2006/relationships/hyperlink" Target="https://www.historycolorado.org/" TargetMode="External" Id="rId132"/><Relationship Type="http://schemas.openxmlformats.org/officeDocument/2006/relationships/hyperlink" Target="https://wingsmuseum.org/" TargetMode="External" Id="rId133"/><Relationship Type="http://schemas.openxmlformats.org/officeDocument/2006/relationships/hyperlink" Target="https://www.mcgregorsquare.com/" TargetMode="External" Id="rId134"/><Relationship Type="http://schemas.openxmlformats.org/officeDocument/2006/relationships/hyperlink" Target="https://www.flydenver.com/" TargetMode="External" Id="rId13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1696F"/>
    <outlinePr summaryBelow="1" summaryRight="1"/>
    <pageSetUpPr/>
  </sheetPr>
  <dimension ref="A1:B16"/>
  <sheetViews>
    <sheetView workbookViewId="0">
      <selection activeCell="A1" sqref="A1"/>
    </sheetView>
  </sheetViews>
  <sheetFormatPr baseColWidth="8" defaultColWidth="14.43" defaultRowHeight="15" customHeight="1"/>
  <cols>
    <col width="25" customWidth="1" style="34" min="1" max="1"/>
    <col width="80" customWidth="1" style="34" min="2" max="2"/>
    <col width="8.710000000000001" customWidth="1" style="34" min="3" max="26"/>
  </cols>
  <sheetData>
    <row r="1">
      <c r="A1" s="1" t="inlineStr">
        <is>
          <t>DO NOT EDIT MASTER Market Analysis</t>
        </is>
      </c>
    </row>
    <row r="3">
      <c r="A3" s="2" t="inlineStr">
        <is>
          <t>2026 Denver, CO Market Analysis</t>
        </is>
      </c>
    </row>
    <row r="5">
      <c r="A5" s="3" t="inlineStr">
        <is>
          <t>Sophi Mobility - Automated Valet Parking Services</t>
        </is>
      </c>
    </row>
    <row r="7">
      <c r="A7" s="4" t="inlineStr">
        <is>
          <t>Generated: March 19, 2026</t>
        </is>
      </c>
    </row>
    <row r="9">
      <c r="A9" s="5" t="inlineStr">
        <is>
          <t>Sheet Descriptions:</t>
        </is>
      </c>
    </row>
    <row r="11">
      <c r="A11" s="6" t="inlineStr">
        <is>
          <t>Accounts</t>
        </is>
      </c>
      <c r="B11" s="7" t="inlineStr">
        <is>
          <t>Master list of all target accounts - hotels, restaurants, hospitals, event venues, airport</t>
        </is>
      </c>
    </row>
    <row r="12">
      <c r="A12" s="6" t="inlineStr">
        <is>
          <t>Sales Cadence</t>
        </is>
      </c>
      <c r="B12" s="7" t="inlineStr">
        <is>
          <t>Outreach tracking with 11-touch sales cadence for each account</t>
        </is>
      </c>
    </row>
    <row r="13">
      <c r="A13" s="8" t="inlineStr">
        <is>
          <t>To Copy this sheet: File -&gt; Make a copy</t>
        </is>
      </c>
      <c r="B13" s="7" t="inlineStr">
        <is>
          <t>Inventory of public parking garages and lots with operators and rates</t>
        </is>
      </c>
    </row>
    <row r="14">
      <c r="A14" s="6" t="inlineStr">
        <is>
          <t>RevenueForecasting</t>
        </is>
      </c>
      <c r="B14" s="7" t="inlineStr">
        <is>
          <t>Revenue model: rooms × occupancy × valet conversion × rate = annual revenue/NOI</t>
        </is>
      </c>
    </row>
    <row r="15">
      <c r="A15" s="6" t="inlineStr">
        <is>
          <t>Analysis</t>
        </is>
      </c>
      <c r="B15" s="7" t="inlineStr">
        <is>
          <t>TAM/SAM/SOM market sizing, market score, and prioritization matrix</t>
        </is>
      </c>
    </row>
    <row r="16">
      <c r="A16" s="6" t="inlineStr">
        <is>
          <t>Market Notes</t>
        </is>
      </c>
      <c r="B16" s="7" t="inlineStr">
        <is>
          <t>Key market data, rate benchmarks, tourism stats, and competitive landscape</t>
        </is>
      </c>
    </row>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portrait" paperSize="9"/>
</worksheet>
</file>

<file path=xl/worksheets/sheet2.xml><?xml version="1.0" encoding="utf-8"?>
<worksheet xmlns="http://schemas.openxmlformats.org/spreadsheetml/2006/main">
  <sheetPr>
    <tabColor rgb="FF20808D"/>
    <outlinePr summaryBelow="1" summaryRight="1"/>
    <pageSetUpPr/>
  </sheetPr>
  <dimension ref="A1:T1000"/>
  <sheetViews>
    <sheetView workbookViewId="0">
      <pane ySplit="1" topLeftCell="A2" activePane="bottomLeft" state="frozen"/>
      <selection pane="bottomLeft" activeCell="B3" sqref="B3"/>
    </sheetView>
  </sheetViews>
  <sheetFormatPr baseColWidth="8" defaultColWidth="14.43" defaultRowHeight="15" customHeight="1"/>
  <cols>
    <col width="35" customWidth="1" style="34" min="1" max="1"/>
    <col width="14" customWidth="1" style="34" min="2" max="2"/>
    <col width="16" customWidth="1" style="34" min="3" max="3"/>
    <col width="45" customWidth="1" style="34" min="4" max="4"/>
    <col width="18" customWidth="1" style="34" min="5" max="6"/>
    <col width="25" customWidth="1" style="34" min="7" max="7"/>
    <col width="45" customWidth="1" style="34" min="8" max="8"/>
    <col width="16" customWidth="1" style="34" min="9" max="9"/>
    <col width="14" customWidth="1" style="34" min="10" max="11"/>
    <col width="16" customWidth="1" style="34" min="12" max="13"/>
    <col width="22" customWidth="1" style="34" min="14" max="15"/>
    <col width="16" customWidth="1" style="34" min="16" max="16"/>
    <col width="20" customWidth="1" style="34" min="17" max="18"/>
    <col width="25" customWidth="1" style="34" min="19" max="19"/>
    <col width="40" customWidth="1" style="34" min="20" max="20"/>
    <col width="8.710000000000001" customWidth="1" style="34" min="21" max="26"/>
  </cols>
  <sheetData>
    <row r="1">
      <c r="A1" s="10" t="inlineStr">
        <is>
          <t>Accounts</t>
        </is>
      </c>
      <c r="B1" s="10" t="inlineStr">
        <is>
          <t>Account Type</t>
        </is>
      </c>
      <c r="C1" s="10" t="inlineStr">
        <is>
          <t>Contact Created?</t>
        </is>
      </c>
      <c r="D1" s="10" t="inlineStr">
        <is>
          <t>Address</t>
        </is>
      </c>
      <c r="E1" s="10" t="inlineStr">
        <is>
          <t>Downtown (Yes or No)</t>
        </is>
      </c>
      <c r="F1" s="10" t="inlineStr">
        <is>
          <t>Phone Number</t>
        </is>
      </c>
      <c r="G1" s="10" t="inlineStr">
        <is>
          <t>Email</t>
        </is>
      </c>
      <c r="H1" s="10" t="inlineStr">
        <is>
          <t>URL</t>
        </is>
      </c>
      <c r="I1" s="10" t="inlineStr">
        <is>
          <t>Self Parking Rate</t>
        </is>
      </c>
      <c r="J1" s="10" t="inlineStr">
        <is>
          <t>Valet Rate</t>
        </is>
      </c>
      <c r="K1" s="10" t="inlineStr">
        <is>
          <t># of Rooms/Beds</t>
        </is>
      </c>
      <c r="L1" s="10" t="inlineStr">
        <is>
          <t>Parking Reviews %</t>
        </is>
      </c>
      <c r="M1" s="10" t="inlineStr">
        <is>
          <t>Parking Reviews #</t>
        </is>
      </c>
      <c r="N1" s="10" t="inlineStr">
        <is>
          <t>GM Name</t>
        </is>
      </c>
      <c r="O1" s="10" t="inlineStr">
        <is>
          <t>Management Group</t>
        </is>
      </c>
      <c r="P1" s="10" t="inlineStr">
        <is>
          <t>Linked Accounts</t>
        </is>
      </c>
      <c r="Q1" s="10" t="inlineStr">
        <is>
          <t>Garage Operator</t>
        </is>
      </c>
      <c r="R1" s="10" t="inlineStr">
        <is>
          <t>Valet Operator</t>
        </is>
      </c>
      <c r="S1" s="10" t="inlineStr">
        <is>
          <t>Sourcing Notes</t>
        </is>
      </c>
      <c r="T1" s="10" t="inlineStr">
        <is>
          <t>Location Notes</t>
        </is>
      </c>
    </row>
    <row r="2">
      <c r="A2" s="7" t="inlineStr">
        <is>
          <t>Le Méridien Denver Downtown</t>
        </is>
      </c>
      <c r="B2" s="7" t="inlineStr">
        <is>
          <t>Hotel</t>
        </is>
      </c>
      <c r="C2" s="7" t="inlineStr">
        <is>
          <t>False</t>
        </is>
      </c>
      <c r="D2" s="7" t="inlineStr">
        <is>
          <t>1475 California St, Denver, CO 80202</t>
        </is>
      </c>
      <c r="E2" s="7" t="inlineStr">
        <is>
          <t>YES</t>
        </is>
      </c>
      <c r="F2" s="7" t="inlineStr">
        <is>
          <t>(303) 893-1888</t>
        </is>
      </c>
      <c r="G2" s="7" t="n"/>
      <c r="H2" s="11" t="inlineStr">
        <is>
          <t>https://www.marriott.com/en-us/hotels/denmd-le-meridien-denver-downtown/overview/</t>
        </is>
      </c>
      <c r="I2" s="7" t="n"/>
      <c r="J2" s="12" t="n">
        <v>72</v>
      </c>
      <c r="K2" s="13" t="n">
        <v>272</v>
      </c>
      <c r="L2" s="7" t="n"/>
      <c r="M2" s="7" t="n"/>
      <c r="N2" s="7" t="inlineStr">
        <is>
          <t>Ebrahim Ansari</t>
        </is>
      </c>
      <c r="O2" s="7" t="inlineStr">
        <is>
          <t>White Lodging</t>
        </is>
      </c>
      <c r="P2" s="7" t="n"/>
      <c r="Q2" s="7" t="inlineStr">
        <is>
          <t>Marriott</t>
        </is>
      </c>
      <c r="R2" s="7" t="n"/>
      <c r="S2" s="7" t="inlineStr">
        <is>
          <t>upper-upscale</t>
        </is>
      </c>
      <c r="T2" s="7" t="inlineStr">
        <is>
          <t>White Lodging managed. Shares GM with AC Hotel Denver Downtown. Valet-only parking.</t>
        </is>
      </c>
    </row>
    <row r="3">
      <c r="A3" s="7" t="inlineStr">
        <is>
          <t>The Ritz-Carlton, Denver</t>
        </is>
      </c>
      <c r="B3" s="7" t="inlineStr">
        <is>
          <t>Hotel</t>
        </is>
      </c>
      <c r="C3" s="7" t="inlineStr">
        <is>
          <t>False</t>
        </is>
      </c>
      <c r="D3" s="7" t="inlineStr">
        <is>
          <t>1881 Curtis Street, Denver, CO 80202</t>
        </is>
      </c>
      <c r="E3" s="7" t="inlineStr">
        <is>
          <t>YES</t>
        </is>
      </c>
      <c r="F3" s="7" t="inlineStr">
        <is>
          <t>(303) 312-3800</t>
        </is>
      </c>
      <c r="G3" s="7" t="n"/>
      <c r="H3" s="11" t="inlineStr">
        <is>
          <t>https://www.ritzcarlton.com/en/hotels/denrz-the-ritz-carlton-denver/overview/</t>
        </is>
      </c>
      <c r="I3" s="7" t="n"/>
      <c r="J3" s="12" t="n">
        <v>72</v>
      </c>
      <c r="K3" s="13" t="n">
        <v>205</v>
      </c>
      <c r="L3" s="7" t="n"/>
      <c r="M3" s="7" t="n"/>
      <c r="N3" s="7" t="inlineStr">
        <is>
          <t>Brad Mills</t>
        </is>
      </c>
      <c r="O3" s="7" t="inlineStr">
        <is>
          <t>Marriott International</t>
        </is>
      </c>
      <c r="P3" s="7" t="n"/>
      <c r="Q3" s="7" t="n"/>
      <c r="R3" s="7" t="n"/>
      <c r="S3" s="7" t="inlineStr">
        <is>
          <t>luxury</t>
        </is>
      </c>
      <c r="T3" s="7" t="inlineStr">
        <is>
          <t>Denver's premier luxury Marriott property.</t>
        </is>
      </c>
    </row>
    <row r="4">
      <c r="A4" s="7" t="inlineStr">
        <is>
          <t>AC Hotel Denver Downtown</t>
        </is>
      </c>
      <c r="B4" s="7" t="inlineStr">
        <is>
          <t>Hotel</t>
        </is>
      </c>
      <c r="C4" s="7" t="inlineStr">
        <is>
          <t>False</t>
        </is>
      </c>
      <c r="D4" s="7" t="inlineStr">
        <is>
          <t>750 15th St, Denver, CO 80202</t>
        </is>
      </c>
      <c r="E4" s="7" t="inlineStr">
        <is>
          <t>NO</t>
        </is>
      </c>
      <c r="F4" s="7" t="inlineStr">
        <is>
          <t>(303) 825-2888</t>
        </is>
      </c>
      <c r="G4" s="7" t="n"/>
      <c r="H4" s="11" t="inlineStr">
        <is>
          <t>https://www.marriott.com/en-us/hotels/denac-ac-hotel-denver-downtown/overview/</t>
        </is>
      </c>
      <c r="I4" s="7" t="n"/>
      <c r="J4" s="12" t="n">
        <v>72</v>
      </c>
      <c r="K4" s="13" t="n">
        <v>223</v>
      </c>
      <c r="L4" s="7" t="n"/>
      <c r="M4" s="7" t="n"/>
      <c r="N4" s="7" t="inlineStr">
        <is>
          <t>Ebrahim Ansari</t>
        </is>
      </c>
      <c r="O4" s="7" t="inlineStr">
        <is>
          <t>White Lodging</t>
        </is>
      </c>
      <c r="P4" s="7" t="n"/>
      <c r="Q4" s="7" t="inlineStr">
        <is>
          <t>Towne Park</t>
        </is>
      </c>
      <c r="R4" s="7" t="inlineStr">
        <is>
          <t>Towne Park</t>
        </is>
      </c>
      <c r="S4" s="7" t="inlineStr">
        <is>
          <t>upscale</t>
        </is>
      </c>
      <c r="T4" s="7" t="inlineStr">
        <is>
          <t>White Lodging managed. Towne Park valet. Shares GM with Le Méridien.</t>
        </is>
      </c>
    </row>
    <row r="5">
      <c r="A5" s="7" t="inlineStr">
        <is>
          <t>Embassy Suites by Hilton Denver Downtown Convention Center</t>
        </is>
      </c>
      <c r="B5" s="7" t="inlineStr">
        <is>
          <t>Hotel</t>
        </is>
      </c>
      <c r="C5" s="7" t="inlineStr">
        <is>
          <t>False</t>
        </is>
      </c>
      <c r="D5" s="7" t="inlineStr">
        <is>
          <t>1420 Stout St, Denver, CO 80202</t>
        </is>
      </c>
      <c r="E5" s="7" t="inlineStr">
        <is>
          <t>NO</t>
        </is>
      </c>
      <c r="F5" s="7" t="inlineStr">
        <is>
          <t>(303) 592-1000</t>
        </is>
      </c>
      <c r="G5" s="7" t="n"/>
      <c r="H5" s="11" t="inlineStr">
        <is>
          <t>https://www.hilton.com/en/hotels/deneses-embassy-suites-denver-downtown-convention-center/</t>
        </is>
      </c>
      <c r="I5" s="7" t="n"/>
      <c r="J5" s="12" t="n">
        <v>70</v>
      </c>
      <c r="K5" s="13" t="n">
        <v>403</v>
      </c>
      <c r="L5" s="7" t="n"/>
      <c r="M5" s="7" t="n"/>
      <c r="N5" s="7" t="inlineStr">
        <is>
          <t>Ed Decker</t>
        </is>
      </c>
      <c r="O5" s="7" t="inlineStr">
        <is>
          <t>Sage Hospitality</t>
        </is>
      </c>
      <c r="P5" s="7" t="n"/>
      <c r="Q5" s="7" t="n"/>
      <c r="R5" s="7" t="inlineStr">
        <is>
          <t>SP+</t>
        </is>
      </c>
      <c r="S5" s="7" t="inlineStr">
        <is>
          <t>upper-upscale</t>
        </is>
      </c>
      <c r="T5" s="7" t="inlineStr">
        <is>
          <t>Valet only - no self-park on site. Updated 2026 rate: $70/night. SP+ operates valet per reviews.</t>
        </is>
      </c>
    </row>
    <row r="6">
      <c r="A6" s="7" t="inlineStr">
        <is>
          <t>Aloft Denver Downtown</t>
        </is>
      </c>
      <c r="B6" s="7" t="inlineStr">
        <is>
          <t>Hotel</t>
        </is>
      </c>
      <c r="C6" s="7" t="inlineStr">
        <is>
          <t>False</t>
        </is>
      </c>
      <c r="D6" s="7" t="inlineStr">
        <is>
          <t>800 15th St, Denver, CO 80202</t>
        </is>
      </c>
      <c r="E6" s="7" t="inlineStr">
        <is>
          <t>NO</t>
        </is>
      </c>
      <c r="F6" s="7" t="inlineStr">
        <is>
          <t>(303) 623-3063</t>
        </is>
      </c>
      <c r="G6" s="7" t="n"/>
      <c r="H6" s="11" t="inlineStr">
        <is>
          <t>https://www.marriott.com/en-us/hotels/dendw-aloft-denver-downtown/overview/</t>
        </is>
      </c>
      <c r="I6" s="7" t="n"/>
      <c r="J6" s="12" t="n">
        <v>68</v>
      </c>
      <c r="K6" s="13" t="n">
        <v>140</v>
      </c>
      <c r="L6" s="7" t="n"/>
      <c r="M6" s="7" t="n"/>
      <c r="N6" s="7" t="n"/>
      <c r="O6" s="7" t="n"/>
      <c r="P6" s="7" t="n"/>
      <c r="Q6" s="7" t="inlineStr">
        <is>
          <t>LAZ</t>
        </is>
      </c>
      <c r="R6" s="7" t="inlineStr">
        <is>
          <t>LAZ</t>
        </is>
      </c>
      <c r="S6" s="7" t="inlineStr">
        <is>
          <t>upscale</t>
        </is>
      </c>
      <c r="T6" s="7" t="inlineStr">
        <is>
          <t>Aloft Marriott brand. LAZ operates parking/valet.</t>
        </is>
      </c>
    </row>
    <row r="7">
      <c r="A7" s="7" t="inlineStr">
        <is>
          <t>Sheraton Denver Downtown Hotel</t>
        </is>
      </c>
      <c r="B7" s="7" t="inlineStr">
        <is>
          <t>Hotel</t>
        </is>
      </c>
      <c r="C7" s="7" t="inlineStr">
        <is>
          <t>False</t>
        </is>
      </c>
      <c r="D7" s="7" t="inlineStr">
        <is>
          <t>1550 Court Place, Denver, CO 80202</t>
        </is>
      </c>
      <c r="E7" s="7" t="inlineStr">
        <is>
          <t>YES</t>
        </is>
      </c>
      <c r="F7" s="7" t="inlineStr">
        <is>
          <t>(303) 893-3333</t>
        </is>
      </c>
      <c r="G7" s="7" t="n"/>
      <c r="H7" s="11" t="inlineStr">
        <is>
          <t>https://www.marriott.com/en-us/hotels/dends-sheraton-denver-downtown-hotel/overview/</t>
        </is>
      </c>
      <c r="I7" s="12" t="n">
        <v>57</v>
      </c>
      <c r="J7" s="12" t="n">
        <v>67</v>
      </c>
      <c r="K7" s="13" t="n">
        <v>1238</v>
      </c>
      <c r="L7" s="7" t="n"/>
      <c r="M7" s="7" t="n"/>
      <c r="N7" s="7" t="inlineStr">
        <is>
          <t>Tony Dunn</t>
        </is>
      </c>
      <c r="O7" s="7" t="n"/>
      <c r="P7" s="7" t="n"/>
      <c r="Q7" s="7" t="n"/>
      <c r="R7" s="7" t="n"/>
      <c r="S7" s="7" t="inlineStr">
        <is>
          <t>upper-upscale</t>
        </is>
      </c>
      <c r="T7" s="7" t="inlineStr">
        <is>
          <t>Largest hotel in Denver by rooms. 139,165 sq ft meeting space. Updated 2026 rates: self $57, valet $67.</t>
        </is>
      </c>
    </row>
    <row r="8">
      <c r="A8" s="7" t="inlineStr">
        <is>
          <t>Hyatt Regency Denver at Colorado Convention Center</t>
        </is>
      </c>
      <c r="B8" s="7" t="inlineStr">
        <is>
          <t>Hotel</t>
        </is>
      </c>
      <c r="C8" s="7" t="inlineStr">
        <is>
          <t>False</t>
        </is>
      </c>
      <c r="D8" s="7" t="inlineStr">
        <is>
          <t>650 15th St, Denver, CO 80202</t>
        </is>
      </c>
      <c r="E8" s="7" t="inlineStr">
        <is>
          <t>NO</t>
        </is>
      </c>
      <c r="F8" s="7" t="inlineStr">
        <is>
          <t>(303) 436-1234</t>
        </is>
      </c>
      <c r="G8" s="7" t="n"/>
      <c r="H8" s="11" t="inlineStr">
        <is>
          <t>https://www.hyatt.com/hyatt-regency/en-US/dencc-hyatt-regency-denver-at-colorado-convention-center</t>
        </is>
      </c>
      <c r="I8" s="12" t="n">
        <v>64</v>
      </c>
      <c r="J8" s="12" t="n">
        <v>67</v>
      </c>
      <c r="K8" s="13" t="n">
        <v>1100</v>
      </c>
      <c r="L8" s="7" t="n"/>
      <c r="M8" s="7" t="n"/>
      <c r="N8" s="7" t="inlineStr">
        <is>
          <t>Gregory Leonard</t>
        </is>
      </c>
      <c r="O8" s="7" t="n"/>
      <c r="P8" s="7" t="n"/>
      <c r="Q8" s="7" t="n"/>
      <c r="R8" s="7" t="n"/>
      <c r="S8" s="7" t="inlineStr">
        <is>
          <t>upper-upscale</t>
        </is>
      </c>
      <c r="T8" s="7" t="inlineStr">
        <is>
          <t>1,100 rooms - second largest hotel in Denver. Adjacent to Colorado Convention Center. 2026 valet rate: $67 overnight per Hyatt website.</t>
        </is>
      </c>
    </row>
    <row r="9">
      <c r="A9" s="7" t="inlineStr">
        <is>
          <t>The Jacquard, Autograph Collection</t>
        </is>
      </c>
      <c r="B9" s="7" t="inlineStr">
        <is>
          <t>Hotel</t>
        </is>
      </c>
      <c r="C9" s="7" t="inlineStr">
        <is>
          <t>False</t>
        </is>
      </c>
      <c r="D9" s="7" t="inlineStr">
        <is>
          <t>222 Milwaukee St, Denver, CO 80206</t>
        </is>
      </c>
      <c r="E9" s="7" t="inlineStr">
        <is>
          <t>NO</t>
        </is>
      </c>
      <c r="F9" s="7" t="inlineStr">
        <is>
          <t>(303) 515-2000</t>
        </is>
      </c>
      <c r="G9" s="7" t="n"/>
      <c r="H9" s="11" t="inlineStr">
        <is>
          <t>https://www.marriott.com/en-us/hotels/dencr-the-jacquard-autograph-collection/overview/</t>
        </is>
      </c>
      <c r="I9" s="12" t="n">
        <v>65</v>
      </c>
      <c r="J9" s="12" t="n">
        <v>65</v>
      </c>
      <c r="K9" s="13" t="n">
        <v>198</v>
      </c>
      <c r="L9" s="7" t="n"/>
      <c r="M9" s="7" t="n"/>
      <c r="N9" s="7" t="inlineStr">
        <is>
          <t>Thomas Lloyd</t>
        </is>
      </c>
      <c r="O9" s="7" t="n"/>
      <c r="P9" s="7" t="n"/>
      <c r="Q9" s="7" t="n"/>
      <c r="R9" s="7" t="inlineStr">
        <is>
          <t>Pro Park</t>
        </is>
      </c>
      <c r="S9" s="7" t="inlineStr">
        <is>
          <t>upper-upscale</t>
        </is>
      </c>
      <c r="T9" s="7" t="inlineStr">
        <is>
          <t>Boutique upscale hotel in Cherry Creek shopping district.</t>
        </is>
      </c>
    </row>
    <row r="10">
      <c r="A10" s="7" t="inlineStr">
        <is>
          <t>Four Seasons Hotel Denver</t>
        </is>
      </c>
      <c r="B10" s="7" t="inlineStr">
        <is>
          <t>Hotel</t>
        </is>
      </c>
      <c r="C10" s="7" t="inlineStr">
        <is>
          <t>False</t>
        </is>
      </c>
      <c r="D10" s="7" t="inlineStr">
        <is>
          <t>1111 14th St, Denver, CO 80202</t>
        </is>
      </c>
      <c r="E10" s="7" t="inlineStr">
        <is>
          <t>YES</t>
        </is>
      </c>
      <c r="F10" s="7" t="inlineStr">
        <is>
          <t>(303) 389-3000</t>
        </is>
      </c>
      <c r="G10" s="7" t="n"/>
      <c r="H10" s="11" t="inlineStr">
        <is>
          <t>https://www.fourseasons.com/denver/</t>
        </is>
      </c>
      <c r="I10" s="7" t="n"/>
      <c r="J10" s="12" t="n">
        <v>65</v>
      </c>
      <c r="K10" s="13" t="n">
        <v>239</v>
      </c>
      <c r="L10" s="7" t="n"/>
      <c r="M10" s="7" t="n"/>
      <c r="N10" s="7" t="inlineStr">
        <is>
          <t>Thierry Kennel</t>
        </is>
      </c>
      <c r="O10" s="7" t="inlineStr">
        <is>
          <t>Four Seasons Hotels and Resorts</t>
        </is>
      </c>
      <c r="P10" s="7" t="n"/>
      <c r="Q10" s="7" t="inlineStr">
        <is>
          <t>Four Seasons</t>
        </is>
      </c>
      <c r="R10" s="7" t="inlineStr">
        <is>
          <t>In House</t>
        </is>
      </c>
      <c r="S10" s="7" t="inlineStr">
        <is>
          <t>luxury</t>
        </is>
      </c>
      <c r="T10" s="7" t="inlineStr">
        <is>
          <t>Only 5-star luxury hotel in Denver. Valet operated in-house.</t>
        </is>
      </c>
    </row>
    <row r="11">
      <c r="A11" s="7" t="inlineStr">
        <is>
          <t>The Brown Palace Hotel and Spa, Autograph Collection</t>
        </is>
      </c>
      <c r="B11" s="7" t="inlineStr">
        <is>
          <t>Hotel</t>
        </is>
      </c>
      <c r="C11" s="7" t="inlineStr">
        <is>
          <t>False</t>
        </is>
      </c>
      <c r="D11" s="7" t="inlineStr">
        <is>
          <t>321 17th St, Denver, CO 80202</t>
        </is>
      </c>
      <c r="E11" s="7" t="inlineStr">
        <is>
          <t>YES</t>
        </is>
      </c>
      <c r="F11" s="7" t="inlineStr">
        <is>
          <t>(303) 297-3111</t>
        </is>
      </c>
      <c r="G11" s="7" t="n"/>
      <c r="H11" s="11" t="inlineStr">
        <is>
          <t>https://www.marriott.com/en-us/hotels/denak-the-brown-palace-hotel-and-spa-autograph-collection/overview/</t>
        </is>
      </c>
      <c r="I11" s="7" t="n"/>
      <c r="J11" s="12" t="n">
        <v>65</v>
      </c>
      <c r="K11" s="13" t="n">
        <v>241</v>
      </c>
      <c r="L11" s="7" t="n"/>
      <c r="M11" s="7" t="n"/>
      <c r="N11" s="7" t="inlineStr">
        <is>
          <t>George Hanna</t>
        </is>
      </c>
      <c r="O11" s="7" t="n"/>
      <c r="P11" s="7" t="n"/>
      <c r="Q11" s="7" t="n"/>
      <c r="R11" s="7" t="n"/>
      <c r="S11" s="7" t="inlineStr">
        <is>
          <t>luxury</t>
        </is>
      </c>
      <c r="T11" s="7" t="inlineStr">
        <is>
          <t>Denver's most iconic historic luxury hotel (1892). Michelin One Key 2024. Autograph Collection.</t>
        </is>
      </c>
    </row>
    <row r="12">
      <c r="A12" s="7" t="inlineStr">
        <is>
          <t>Thompson Denver, by Hyatt</t>
        </is>
      </c>
      <c r="B12" s="7" t="inlineStr">
        <is>
          <t>Hotel</t>
        </is>
      </c>
      <c r="C12" s="7" t="inlineStr">
        <is>
          <t>False</t>
        </is>
      </c>
      <c r="D12" s="7" t="inlineStr">
        <is>
          <t>1616 Market St, Denver, CO 80202</t>
        </is>
      </c>
      <c r="E12" s="7" t="inlineStr">
        <is>
          <t>YES</t>
        </is>
      </c>
      <c r="F12" s="7" t="inlineStr">
        <is>
          <t>(303) 572-1321</t>
        </is>
      </c>
      <c r="G12" s="7" t="n"/>
      <c r="H12" s="11" t="inlineStr">
        <is>
          <t>https://www.hyatt.com/thompson-hotels/denth-thompson-denver</t>
        </is>
      </c>
      <c r="I12" s="7" t="n"/>
      <c r="J12" s="12" t="n">
        <v>64</v>
      </c>
      <c r="K12" s="13" t="n">
        <v>216</v>
      </c>
      <c r="L12" s="7" t="n"/>
      <c r="M12" s="7" t="n"/>
      <c r="N12" s="7" t="inlineStr">
        <is>
          <t>Julian Tucker</t>
        </is>
      </c>
      <c r="O12" s="7" t="inlineStr">
        <is>
          <t>McWhinney</t>
        </is>
      </c>
      <c r="P12" s="7" t="n"/>
      <c r="Q12" s="7" t="n"/>
      <c r="R12" s="7" t="n"/>
      <c r="S12" s="7" t="inlineStr">
        <is>
          <t>luxury</t>
        </is>
      </c>
      <c r="T12" s="7" t="inlineStr">
        <is>
          <t>Boutique luxury hotel in LoDo. Chez Maggy restaurant, rooftop lounge.</t>
        </is>
      </c>
    </row>
    <row r="13">
      <c r="A13" s="7" t="inlineStr">
        <is>
          <t>Grand Hyatt Denver</t>
        </is>
      </c>
      <c r="B13" s="7" t="inlineStr">
        <is>
          <t>Hotel</t>
        </is>
      </c>
      <c r="C13" s="7" t="inlineStr">
        <is>
          <t>False</t>
        </is>
      </c>
      <c r="D13" s="7" t="inlineStr">
        <is>
          <t>1750 Welton St, Denver, CO 80202</t>
        </is>
      </c>
      <c r="E13" s="7" t="inlineStr">
        <is>
          <t>YES</t>
        </is>
      </c>
      <c r="F13" s="7" t="inlineStr">
        <is>
          <t>(303) 295-1234</t>
        </is>
      </c>
      <c r="G13" s="7" t="n"/>
      <c r="H13" s="11" t="inlineStr">
        <is>
          <t>https://www.hyatt.com/grand-hyatt/en-US/denrd-grand-hyatt-denver</t>
        </is>
      </c>
      <c r="I13" s="12" t="n">
        <v>50</v>
      </c>
      <c r="J13" s="12" t="n">
        <v>64</v>
      </c>
      <c r="K13" s="13" t="n">
        <v>516</v>
      </c>
      <c r="L13" s="7" t="n"/>
      <c r="M13" s="7" t="n"/>
      <c r="N13" s="7" t="inlineStr">
        <is>
          <t>Greg Leonard</t>
        </is>
      </c>
      <c r="O13" s="7" t="n"/>
      <c r="P13" s="7" t="n"/>
      <c r="Q13" s="7" t="n"/>
      <c r="R13" s="7" t="n"/>
      <c r="S13" s="7" t="inlineStr">
        <is>
          <t>upper-upscale</t>
        </is>
      </c>
      <c r="T13" s="7" t="inlineStr">
        <is>
          <t>516-room Grand Hyatt near 16th Street Mall, Coors Field, Ball Arena.</t>
        </is>
      </c>
    </row>
    <row r="14">
      <c r="A14" s="7" t="inlineStr">
        <is>
          <t>Hyatt Place Denver/Downtown</t>
        </is>
      </c>
      <c r="B14" s="7" t="inlineStr">
        <is>
          <t>Hotel</t>
        </is>
      </c>
      <c r="C14" s="7" t="inlineStr">
        <is>
          <t>False</t>
        </is>
      </c>
      <c r="D14" s="7" t="inlineStr">
        <is>
          <t>440 14th St, Denver, CO 80202</t>
        </is>
      </c>
      <c r="E14" s="7" t="inlineStr">
        <is>
          <t>NO</t>
        </is>
      </c>
      <c r="F14" s="7" t="inlineStr">
        <is>
          <t>(303) 893-2900</t>
        </is>
      </c>
      <c r="G14" s="7" t="n"/>
      <c r="H14" s="11" t="inlineStr">
        <is>
          <t>https://www.hyatt.com/hyatt-place/en-US/denzd-hyatt-place-denver-downtown</t>
        </is>
      </c>
      <c r="I14" s="7" t="n"/>
      <c r="J14" s="12" t="n">
        <v>64</v>
      </c>
      <c r="K14" s="13" t="n">
        <v>248</v>
      </c>
      <c r="L14" s="7" t="n"/>
      <c r="M14" s="7" t="n"/>
      <c r="N14" s="7" t="inlineStr">
        <is>
          <t>Kimberly Gagnon</t>
        </is>
      </c>
      <c r="O14" s="7" t="inlineStr">
        <is>
          <t>White Lodging</t>
        </is>
      </c>
      <c r="P14" s="7" t="n"/>
      <c r="Q14" s="7" t="inlineStr">
        <is>
          <t>Towne Park</t>
        </is>
      </c>
      <c r="R14" s="7" t="inlineStr">
        <is>
          <t>Towne Park</t>
        </is>
      </c>
      <c r="S14" s="7" t="inlineStr">
        <is>
          <t>upscale</t>
        </is>
      </c>
      <c r="T14" s="7" t="inlineStr">
        <is>
          <t>White Lodging managed. Towne Park operates valet. Shares address with Hyatt House.</t>
        </is>
      </c>
    </row>
    <row r="15">
      <c r="A15" s="7" t="inlineStr">
        <is>
          <t>Populus</t>
        </is>
      </c>
      <c r="B15" s="7" t="inlineStr">
        <is>
          <t>Hotel</t>
        </is>
      </c>
      <c r="C15" s="7" t="inlineStr">
        <is>
          <t>False</t>
        </is>
      </c>
      <c r="D15" s="7" t="inlineStr">
        <is>
          <t>240 14th St, Denver, CO 80202</t>
        </is>
      </c>
      <c r="E15" s="7" t="inlineStr">
        <is>
          <t>NO</t>
        </is>
      </c>
      <c r="F15" s="7" t="inlineStr">
        <is>
          <t>(303) 800-4240</t>
        </is>
      </c>
      <c r="G15" s="7" t="n"/>
      <c r="H15" s="11" t="inlineStr">
        <is>
          <t>https://populusdenver.com/</t>
        </is>
      </c>
      <c r="I15" s="7" t="n"/>
      <c r="J15" s="12" t="n">
        <v>64</v>
      </c>
      <c r="K15" s="13" t="n">
        <v>265</v>
      </c>
      <c r="L15" s="7" t="n"/>
      <c r="M15" s="7" t="n"/>
      <c r="N15" s="7" t="inlineStr">
        <is>
          <t>George Prine</t>
        </is>
      </c>
      <c r="O15" s="7" t="inlineStr">
        <is>
          <t>Aparium Hotel Group</t>
        </is>
      </c>
      <c r="P15" s="7" t="n"/>
      <c r="Q15" s="7" t="n"/>
      <c r="R15" s="7" t="n"/>
      <c r="S15" s="7" t="inlineStr">
        <is>
          <t>upper-upscale</t>
        </is>
      </c>
      <c r="T15" s="7" t="inlineStr">
        <is>
          <t>Opened October 2024. First carbon-positive hotel in the US. 13-story aspen-inspired architecture. Aparium managed.</t>
        </is>
      </c>
    </row>
    <row r="16">
      <c r="A16" s="7" t="inlineStr">
        <is>
          <t>Hilton Denver City Center</t>
        </is>
      </c>
      <c r="B16" s="7" t="inlineStr">
        <is>
          <t>Hotel</t>
        </is>
      </c>
      <c r="C16" s="7" t="inlineStr">
        <is>
          <t>False</t>
        </is>
      </c>
      <c r="D16" s="7" t="inlineStr">
        <is>
          <t>1701 California St, Denver, CO 80202</t>
        </is>
      </c>
      <c r="E16" s="7" t="inlineStr">
        <is>
          <t>YES</t>
        </is>
      </c>
      <c r="F16" s="7" t="inlineStr">
        <is>
          <t>(303) 297-1300</t>
        </is>
      </c>
      <c r="G16" s="7" t="n"/>
      <c r="H16" s="11" t="inlineStr">
        <is>
          <t>https://www.hilton.com/en/hotels/dencyhh-hilton-denver-city-center/</t>
        </is>
      </c>
      <c r="I16" s="7" t="n"/>
      <c r="J16" s="12" t="n">
        <v>64</v>
      </c>
      <c r="K16" s="13" t="n">
        <v>613</v>
      </c>
      <c r="L16" s="7" t="n"/>
      <c r="M16" s="7" t="n"/>
      <c r="N16" s="7" t="inlineStr">
        <is>
          <t>Mike Case</t>
        </is>
      </c>
      <c r="O16" s="7" t="inlineStr">
        <is>
          <t>Sage Hospitality</t>
        </is>
      </c>
      <c r="P16" s="7" t="n"/>
      <c r="Q16" s="7" t="n"/>
      <c r="R16" s="7" t="n"/>
      <c r="S16" s="7" t="inlineStr">
        <is>
          <t>upper-upscale</t>
        </is>
      </c>
      <c r="T16" s="7" t="inlineStr">
        <is>
          <t>Large full-service Hilton in downtown financial district. Sage Hospitality managed (as of Dec 2024).</t>
        </is>
      </c>
    </row>
    <row r="17">
      <c r="A17" s="7" t="inlineStr">
        <is>
          <t>Halcyon, a hotel in Cherry Creek</t>
        </is>
      </c>
      <c r="B17" s="7" t="inlineStr">
        <is>
          <t>Hotel</t>
        </is>
      </c>
      <c r="C17" s="7" t="inlineStr">
        <is>
          <t>False</t>
        </is>
      </c>
      <c r="D17" s="7" t="inlineStr">
        <is>
          <t>245 Columbine St, Denver, CO 80206</t>
        </is>
      </c>
      <c r="E17" s="7" t="inlineStr">
        <is>
          <t>NO</t>
        </is>
      </c>
      <c r="F17" s="7" t="inlineStr">
        <is>
          <t>(720) 772-5000</t>
        </is>
      </c>
      <c r="G17" s="7" t="n"/>
      <c r="H17" s="11" t="inlineStr">
        <is>
          <t>https://www.halcyonhotelcherrycreek.com/</t>
        </is>
      </c>
      <c r="I17" s="7" t="n"/>
      <c r="J17" s="12" t="n">
        <v>60</v>
      </c>
      <c r="K17" s="13" t="n">
        <v>154</v>
      </c>
      <c r="L17" s="7" t="n"/>
      <c r="M17" s="7" t="n"/>
      <c r="N17" s="7" t="inlineStr">
        <is>
          <t>McClinton Heil</t>
        </is>
      </c>
      <c r="O17" s="7" t="n"/>
      <c r="P17" s="7" t="n"/>
      <c r="Q17" s="7" t="n"/>
      <c r="R17" s="7" t="n"/>
      <c r="S17" s="7" t="inlineStr">
        <is>
          <t>luxury</t>
        </is>
      </c>
      <c r="T17" s="7" t="inlineStr">
        <is>
          <t>Boutique luxury hotel in Cherry Creek.</t>
        </is>
      </c>
    </row>
    <row r="18">
      <c r="A18" s="7" t="inlineStr">
        <is>
          <t>Hampton Inn &amp; Suites Denver Downtown-Convention Center</t>
        </is>
      </c>
      <c r="B18" s="7" t="inlineStr">
        <is>
          <t>Hotel</t>
        </is>
      </c>
      <c r="C18" s="7" t="inlineStr">
        <is>
          <t>False</t>
        </is>
      </c>
      <c r="D18" s="7" t="inlineStr">
        <is>
          <t>550 15th St, Denver, CO 80202</t>
        </is>
      </c>
      <c r="E18" s="7" t="inlineStr">
        <is>
          <t>NO</t>
        </is>
      </c>
      <c r="F18" s="7" t="inlineStr">
        <is>
          <t>(303) 623-5900</t>
        </is>
      </c>
      <c r="G18" s="7" t="n"/>
      <c r="H18" s="11" t="inlineStr">
        <is>
          <t>https://www.hilton.com/en/hotels/dencvhx-hampton-suites-denver-downtown-convention-center/</t>
        </is>
      </c>
      <c r="I18" s="7" t="n"/>
      <c r="J18" s="12" t="n">
        <v>60</v>
      </c>
      <c r="K18" s="13" t="n">
        <v>120</v>
      </c>
      <c r="L18" s="7" t="n"/>
      <c r="M18" s="7" t="n"/>
      <c r="N18" s="7" t="n"/>
      <c r="O18" s="7" t="n"/>
      <c r="P18" s="7" t="n"/>
      <c r="Q18" s="7" t="inlineStr">
        <is>
          <t>Parking Management</t>
        </is>
      </c>
      <c r="R18" s="7" t="n"/>
      <c r="S18" s="7" t="inlineStr">
        <is>
          <t>upper-midscale</t>
        </is>
      </c>
      <c r="T18" s="7" t="inlineStr">
        <is>
          <t>Shares block with Homewood Suites at 550 15th.</t>
        </is>
      </c>
    </row>
    <row r="19">
      <c r="A19" s="7" t="inlineStr">
        <is>
          <t>Tru by Hilton Denver Downtown Convention Center</t>
        </is>
      </c>
      <c r="B19" s="7" t="inlineStr">
        <is>
          <t>Hotel</t>
        </is>
      </c>
      <c r="C19" s="7" t="inlineStr">
        <is>
          <t>False</t>
        </is>
      </c>
      <c r="D19" s="7" t="inlineStr">
        <is>
          <t>801 15th St, Denver, CO 80202</t>
        </is>
      </c>
      <c r="E19" s="7" t="inlineStr">
        <is>
          <t>NO</t>
        </is>
      </c>
      <c r="F19" s="7" t="inlineStr">
        <is>
          <t>(303) 753-1201</t>
        </is>
      </c>
      <c r="G19" s="7" t="n"/>
      <c r="H19" s="11" t="inlineStr">
        <is>
          <t>https://www.hilton.com/en/hotels/dencsru-tru-denver-downtown-convention-center/</t>
        </is>
      </c>
      <c r="I19" s="7" t="n"/>
      <c r="J19" s="12" t="n">
        <v>60</v>
      </c>
      <c r="K19" s="13" t="n">
        <v>176</v>
      </c>
      <c r="L19" s="7" t="n"/>
      <c r="M19" s="7" t="n"/>
      <c r="N19" s="7" t="inlineStr">
        <is>
          <t>Kara van Beek</t>
        </is>
      </c>
      <c r="O19" s="7" t="n"/>
      <c r="P19" s="7" t="n"/>
      <c r="Q19" s="7" t="n"/>
      <c r="R19" s="7" t="n"/>
      <c r="S19" s="7" t="inlineStr">
        <is>
          <t>midscale</t>
        </is>
      </c>
      <c r="T19" s="7" t="inlineStr">
        <is>
          <t>Tru by Hilton brand. Shares GM with Home2 Suites at same address.</t>
        </is>
      </c>
    </row>
    <row r="20">
      <c r="A20" s="7" t="inlineStr">
        <is>
          <t>Home2 Suites by Hilton Denver Downtown Convention Center</t>
        </is>
      </c>
      <c r="B20" s="7" t="inlineStr">
        <is>
          <t>Hotel</t>
        </is>
      </c>
      <c r="C20" s="7" t="inlineStr">
        <is>
          <t>False</t>
        </is>
      </c>
      <c r="D20" s="7" t="inlineStr">
        <is>
          <t>801 15th St, Denver, CO 80202</t>
        </is>
      </c>
      <c r="E20" s="7" t="inlineStr">
        <is>
          <t>NO</t>
        </is>
      </c>
      <c r="F20" s="7" t="inlineStr">
        <is>
          <t>(303) 759-1301</t>
        </is>
      </c>
      <c r="G20" s="7" t="n"/>
      <c r="H20" s="11" t="inlineStr">
        <is>
          <t>https://www.hilton.com/en/hotels/dentiht-home2-suites-denver-downtown-convention-center/</t>
        </is>
      </c>
      <c r="I20" s="7" t="n"/>
      <c r="J20" s="12" t="n">
        <v>60</v>
      </c>
      <c r="K20" s="13" t="n">
        <v>206</v>
      </c>
      <c r="L20" s="7" t="n"/>
      <c r="M20" s="7" t="n"/>
      <c r="N20" s="7" t="inlineStr">
        <is>
          <t>Kara van Beek</t>
        </is>
      </c>
      <c r="O20" s="7" t="n"/>
      <c r="P20" s="7" t="n"/>
      <c r="Q20" s="7" t="n"/>
      <c r="R20" s="7" t="n"/>
      <c r="S20" s="7" t="inlineStr">
        <is>
          <t>upper-midscale</t>
        </is>
      </c>
      <c r="T20" s="7" t="inlineStr">
        <is>
          <t>Shares address and GM with Tru by Hilton.</t>
        </is>
      </c>
    </row>
    <row r="21" ht="15.75" customHeight="1" s="34">
      <c r="A21" s="7" t="inlineStr">
        <is>
          <t>Homewood Suites by Hilton Denver Downtown-Convention Center</t>
        </is>
      </c>
      <c r="B21" s="7" t="inlineStr">
        <is>
          <t>Hotel</t>
        </is>
      </c>
      <c r="C21" s="7" t="inlineStr">
        <is>
          <t>False</t>
        </is>
      </c>
      <c r="D21" s="7" t="inlineStr">
        <is>
          <t>550 15th St, Denver, CO 80202</t>
        </is>
      </c>
      <c r="E21" s="7" t="inlineStr">
        <is>
          <t>NO</t>
        </is>
      </c>
      <c r="F21" s="7" t="inlineStr">
        <is>
          <t>(303) 534-7800</t>
        </is>
      </c>
      <c r="G21" s="7" t="n"/>
      <c r="H21" s="11" t="inlineStr">
        <is>
          <t>https://www.hilton.com/en/hotels/dendchw-homewood-suites-denver-downtown-convention-center-co/</t>
        </is>
      </c>
      <c r="I21" s="7" t="n"/>
      <c r="J21" s="12" t="n">
        <v>60</v>
      </c>
      <c r="K21" s="13" t="n">
        <v>182</v>
      </c>
      <c r="L21" s="7" t="n"/>
      <c r="M21" s="7" t="n"/>
      <c r="N21" s="7" t="n"/>
      <c r="O21" s="7" t="n"/>
      <c r="P21" s="7" t="n"/>
      <c r="Q21" s="7" t="n"/>
      <c r="R21" s="7" t="n"/>
      <c r="S21" s="7" t="inlineStr">
        <is>
          <t>upper-midscale</t>
        </is>
      </c>
      <c r="T21" s="7" t="inlineStr">
        <is>
          <t>Shares block with Hampton Inn at 550 15th. Recent renovation.</t>
        </is>
      </c>
    </row>
    <row r="22" ht="15.75" customHeight="1" s="34">
      <c r="A22" s="7" t="inlineStr">
        <is>
          <t>Hotel Clio, a Luxury Collection Hotel, Denver Cherry Creek</t>
        </is>
      </c>
      <c r="B22" s="7" t="inlineStr">
        <is>
          <t>Hotel</t>
        </is>
      </c>
      <c r="C22" s="7" t="inlineStr">
        <is>
          <t>False</t>
        </is>
      </c>
      <c r="D22" s="7" t="inlineStr">
        <is>
          <t>150 Clayton Ln, Denver, CO 80206</t>
        </is>
      </c>
      <c r="E22" s="7" t="inlineStr">
        <is>
          <t>NO</t>
        </is>
      </c>
      <c r="F22" s="7" t="inlineStr">
        <is>
          <t>(303) 316-2700</t>
        </is>
      </c>
      <c r="G22" s="7" t="n"/>
      <c r="H22" s="11" t="inlineStr">
        <is>
          <t>https://www.marriott.com/en-us/hotels/denld-hotel-clio-a-luxury-collection-hotel-denver-cherry-creek/overview/</t>
        </is>
      </c>
      <c r="I22" s="7" t="n"/>
      <c r="J22" s="12" t="n">
        <v>59</v>
      </c>
      <c r="K22" s="13" t="n">
        <v>199</v>
      </c>
      <c r="L22" s="7" t="n"/>
      <c r="M22" s="7" t="n"/>
      <c r="N22" s="7" t="inlineStr">
        <is>
          <t>Marc Blackford</t>
        </is>
      </c>
      <c r="O22" s="7" t="inlineStr">
        <is>
          <t>Sage Hospitality</t>
        </is>
      </c>
      <c r="P22" s="7" t="n"/>
      <c r="Q22" s="7" t="n"/>
      <c r="R22" s="7" t="inlineStr">
        <is>
          <t>Pro Park</t>
        </is>
      </c>
      <c r="S22" s="7" t="inlineStr">
        <is>
          <t>luxury</t>
        </is>
      </c>
      <c r="T22" s="7" t="inlineStr">
        <is>
          <t>Formerly JW Marriott Denver Cherry Creek. Rebranded to Luxury Collection.</t>
        </is>
      </c>
    </row>
    <row r="23" ht="15.75" customHeight="1" s="34">
      <c r="A23" s="7" t="inlineStr">
        <is>
          <t>Clayton Hotel &amp; Members Club</t>
        </is>
      </c>
      <c r="B23" s="7" t="inlineStr">
        <is>
          <t>Hotel</t>
        </is>
      </c>
      <c r="C23" s="7" t="inlineStr">
        <is>
          <t>False</t>
        </is>
      </c>
      <c r="D23" s="7" t="inlineStr">
        <is>
          <t>233 Clayton St, Denver, CO 80206</t>
        </is>
      </c>
      <c r="E23" s="7" t="inlineStr">
        <is>
          <t>NO</t>
        </is>
      </c>
      <c r="F23" s="7" t="inlineStr">
        <is>
          <t>(303) 551-1600</t>
        </is>
      </c>
      <c r="G23" s="7" t="n"/>
      <c r="H23" s="11" t="inlineStr">
        <is>
          <t>https://claytondenver.com/</t>
        </is>
      </c>
      <c r="I23" s="7" t="n"/>
      <c r="J23" s="12" t="n">
        <v>59</v>
      </c>
      <c r="K23" s="13" t="n">
        <v>63</v>
      </c>
      <c r="L23" s="7" t="n"/>
      <c r="M23" s="7" t="n"/>
      <c r="N23" s="7" t="inlineStr">
        <is>
          <t>Alison Mitchell</t>
        </is>
      </c>
      <c r="O23" s="7" t="inlineStr">
        <is>
          <t>Aparium Hotel Group</t>
        </is>
      </c>
      <c r="P23" s="7" t="n"/>
      <c r="Q23" s="7" t="n"/>
      <c r="R23" s="7" t="n"/>
      <c r="S23" s="7" t="inlineStr">
        <is>
          <t>luxury</t>
        </is>
      </c>
      <c r="T23" s="7" t="inlineStr">
        <is>
          <t>Boutique luxury members club hotel in Cherry Creek. Aparium managed.</t>
        </is>
      </c>
    </row>
    <row r="24" ht="15.75" customHeight="1" s="34">
      <c r="A24" s="7" t="inlineStr">
        <is>
          <t>The Slate Hotel Denver Downtown, Tapestry by Hilton</t>
        </is>
      </c>
      <c r="B24" s="7" t="inlineStr">
        <is>
          <t>Hotel</t>
        </is>
      </c>
      <c r="C24" s="7" t="inlineStr">
        <is>
          <t>False</t>
        </is>
      </c>
      <c r="D24" s="7" t="inlineStr">
        <is>
          <t>1250 Welton St, Denver, CO 80204</t>
        </is>
      </c>
      <c r="E24" s="7" t="inlineStr">
        <is>
          <t>YES</t>
        </is>
      </c>
      <c r="F24" s="7" t="inlineStr">
        <is>
          <t>(303) 292-5000</t>
        </is>
      </c>
      <c r="G24" s="7" t="n"/>
      <c r="H24" s="11" t="inlineStr">
        <is>
          <t>https://www.hilton.com/en/hotels/denvrup-the-slate-hotel-denver-downtown/</t>
        </is>
      </c>
      <c r="I24" s="7" t="n"/>
      <c r="J24" s="12" t="n">
        <v>59</v>
      </c>
      <c r="K24" s="13" t="n">
        <v>251</v>
      </c>
      <c r="L24" s="7" t="n"/>
      <c r="M24" s="7" t="n"/>
      <c r="N24" s="7" t="inlineStr">
        <is>
          <t>Kirby Kiner</t>
        </is>
      </c>
      <c r="O24" s="7" t="inlineStr">
        <is>
          <t>Stonebridge Companies</t>
        </is>
      </c>
      <c r="P24" s="7" t="n"/>
      <c r="Q24" s="7" t="inlineStr">
        <is>
          <t>Parkwell</t>
        </is>
      </c>
      <c r="R24" s="7" t="n"/>
      <c r="S24" s="7" t="inlineStr">
        <is>
          <t>upscale</t>
        </is>
      </c>
      <c r="T24" s="7" t="inlineStr">
        <is>
          <t>Tapestry Collection by Hilton. Stonebridge managed. Parkwell operates garage.</t>
        </is>
      </c>
    </row>
    <row r="25" ht="15.75" customHeight="1" s="34">
      <c r="A25" s="7" t="inlineStr">
        <is>
          <t>Kimpton Hotel Monaco Denver</t>
        </is>
      </c>
      <c r="B25" s="7" t="inlineStr">
        <is>
          <t>Hotel</t>
        </is>
      </c>
      <c r="C25" s="7" t="inlineStr">
        <is>
          <t>False</t>
        </is>
      </c>
      <c r="D25" s="7" t="inlineStr">
        <is>
          <t>1717 Champa St, Denver, CO 80202</t>
        </is>
      </c>
      <c r="E25" s="7" t="inlineStr">
        <is>
          <t>YES</t>
        </is>
      </c>
      <c r="F25" s="7" t="inlineStr">
        <is>
          <t>(303) 296-1717</t>
        </is>
      </c>
      <c r="G25" s="7" t="n"/>
      <c r="H25" s="11" t="inlineStr">
        <is>
          <t>https://www.monaco-denver.com/</t>
        </is>
      </c>
      <c r="I25" s="7" t="n"/>
      <c r="J25" s="12" t="n">
        <v>59</v>
      </c>
      <c r="K25" s="13" t="n">
        <v>189</v>
      </c>
      <c r="L25" s="7" t="n"/>
      <c r="M25" s="7" t="n"/>
      <c r="N25" s="7" t="inlineStr">
        <is>
          <t>Kevin Panzano</t>
        </is>
      </c>
      <c r="O25" s="7" t="inlineStr">
        <is>
          <t>IHG / Kimpton</t>
        </is>
      </c>
      <c r="P25" s="7" t="n"/>
      <c r="Q25" s="7" t="inlineStr">
        <is>
          <t>Towne Park</t>
        </is>
      </c>
      <c r="R25" s="7" t="inlineStr">
        <is>
          <t>Towne Park</t>
        </is>
      </c>
      <c r="S25" s="7" t="inlineStr">
        <is>
          <t>upper-upscale</t>
        </is>
      </c>
      <c r="T25" s="7" t="inlineStr">
        <is>
          <t>Kimpton flagship downtown. Towne Park operates valet. Panzano Italian restaurant on site.</t>
        </is>
      </c>
    </row>
    <row r="26" ht="15.75" customHeight="1" s="34">
      <c r="A26" s="7" t="inlineStr">
        <is>
          <t>Magnolia Hotel Denver, a Tribute Portfolio Hotel</t>
        </is>
      </c>
      <c r="B26" s="7" t="inlineStr">
        <is>
          <t>Hotel</t>
        </is>
      </c>
      <c r="C26" s="7" t="inlineStr">
        <is>
          <t>False</t>
        </is>
      </c>
      <c r="D26" s="7" t="inlineStr">
        <is>
          <t>818 17th St, Denver, CO 80202</t>
        </is>
      </c>
      <c r="E26" s="7" t="inlineStr">
        <is>
          <t>YES</t>
        </is>
      </c>
      <c r="F26" s="7" t="inlineStr">
        <is>
          <t>(303) 607-9000</t>
        </is>
      </c>
      <c r="G26" s="7" t="n"/>
      <c r="H26" s="11" t="inlineStr">
        <is>
          <t>https://www.marriott.com/en-us/hotels/denmg-magnolia-hotel-denver-a-tribute-portfolio-hotel/overview/</t>
        </is>
      </c>
      <c r="I26" s="7" t="n"/>
      <c r="J26" s="12" t="n">
        <v>59</v>
      </c>
      <c r="K26" s="13" t="n">
        <v>297</v>
      </c>
      <c r="L26" s="7" t="n"/>
      <c r="M26" s="7" t="n"/>
      <c r="N26" s="7" t="inlineStr">
        <is>
          <t>James Ancona</t>
        </is>
      </c>
      <c r="O26" s="7" t="n"/>
      <c r="P26" s="7" t="n"/>
      <c r="Q26" s="7" t="inlineStr">
        <is>
          <t>Marriott</t>
        </is>
      </c>
      <c r="R26" s="7" t="n"/>
      <c r="S26" s="7" t="inlineStr">
        <is>
          <t>upscale</t>
        </is>
      </c>
      <c r="T26" s="7" t="inlineStr">
        <is>
          <t>Tribute Portfolio by Marriott in historic downtown building.</t>
        </is>
      </c>
    </row>
    <row r="27" ht="15.75" customHeight="1" s="34">
      <c r="A27" s="7" t="inlineStr">
        <is>
          <t>Hyatt Centric Downtown Denver</t>
        </is>
      </c>
      <c r="B27" s="7" t="inlineStr">
        <is>
          <t>Hotel</t>
        </is>
      </c>
      <c r="C27" s="7" t="inlineStr">
        <is>
          <t>False</t>
        </is>
      </c>
      <c r="D27" s="7" t="inlineStr">
        <is>
          <t>1776 Champa St, Denver, CO 80202</t>
        </is>
      </c>
      <c r="E27" s="7" t="inlineStr">
        <is>
          <t>YES</t>
        </is>
      </c>
      <c r="F27" s="7" t="inlineStr">
        <is>
          <t>(303) 529-2340</t>
        </is>
      </c>
      <c r="G27" s="7" t="n"/>
      <c r="H27" s="11" t="inlineStr">
        <is>
          <t>https://www.hyatt.com/hyatt-centric/en-US/denct-hyatt-centric-downtown-denver</t>
        </is>
      </c>
      <c r="I27" s="7" t="n"/>
      <c r="J27" s="12" t="n">
        <v>59</v>
      </c>
      <c r="K27" s="13" t="n">
        <v>264</v>
      </c>
      <c r="L27" s="7" t="n"/>
      <c r="M27" s="7" t="n"/>
      <c r="N27" s="7" t="inlineStr">
        <is>
          <t>Michael Galligan</t>
        </is>
      </c>
      <c r="O27" s="7" t="n"/>
      <c r="P27" s="7" t="n"/>
      <c r="Q27" s="7" t="n"/>
      <c r="R27" s="7" t="n"/>
      <c r="S27" s="7" t="inlineStr">
        <is>
          <t>upscale</t>
        </is>
      </c>
      <c r="T27" s="7" t="inlineStr">
        <is>
          <t>264 rooms per TripAdvisor. Rooftop bar. Valet-only at $59/night.</t>
        </is>
      </c>
    </row>
    <row r="28" ht="15.75" customHeight="1" s="34">
      <c r="A28" s="7" t="inlineStr">
        <is>
          <t>Hotel Indigo Denver Downtown-Union Station</t>
        </is>
      </c>
      <c r="B28" s="7" t="inlineStr">
        <is>
          <t>Hotel</t>
        </is>
      </c>
      <c r="C28" s="7" t="inlineStr">
        <is>
          <t>False</t>
        </is>
      </c>
      <c r="D28" s="7" t="inlineStr">
        <is>
          <t>1801 Wewatta St, Denver, CO 80202</t>
        </is>
      </c>
      <c r="E28" s="7" t="inlineStr">
        <is>
          <t>NO</t>
        </is>
      </c>
      <c r="F28" s="7" t="inlineStr">
        <is>
          <t>(303) 623-4422</t>
        </is>
      </c>
      <c r="G28" s="7" t="n"/>
      <c r="H28" s="11" t="inlineStr">
        <is>
          <t>https://www.ihg.com/hotelindigo/hotels/us/en/denver/denws/hoteldetail</t>
        </is>
      </c>
      <c r="I28" s="12" t="n">
        <v>45</v>
      </c>
      <c r="J28" s="12" t="n">
        <v>55</v>
      </c>
      <c r="K28" s="13" t="n">
        <v>180</v>
      </c>
      <c r="L28" s="7" t="n"/>
      <c r="M28" s="7" t="n"/>
      <c r="N28" s="7" t="inlineStr">
        <is>
          <t>Michael Keytel</t>
        </is>
      </c>
      <c r="O28" s="7" t="inlineStr">
        <is>
          <t>Sage Hospitality</t>
        </is>
      </c>
      <c r="P28" s="7" t="n"/>
      <c r="Q28" s="7" t="inlineStr">
        <is>
          <t>Intercontinental</t>
        </is>
      </c>
      <c r="R28" s="7" t="n"/>
      <c r="S28" s="7" t="inlineStr">
        <is>
          <t>upscale</t>
        </is>
      </c>
      <c r="T28" s="7" t="inlineStr">
        <is>
          <t>IHG boutique brand. Steps from Union Station.</t>
        </is>
      </c>
    </row>
    <row r="29" ht="15.75" customHeight="1" s="34">
      <c r="A29" s="7" t="inlineStr">
        <is>
          <t>Hotel Teatro</t>
        </is>
      </c>
      <c r="B29" s="7" t="inlineStr">
        <is>
          <t>Hotel</t>
        </is>
      </c>
      <c r="C29" s="7" t="inlineStr">
        <is>
          <t>False</t>
        </is>
      </c>
      <c r="D29" s="7" t="inlineStr">
        <is>
          <t>1100 14th St, Denver, CO 80202</t>
        </is>
      </c>
      <c r="E29" s="7" t="inlineStr">
        <is>
          <t>NO</t>
        </is>
      </c>
      <c r="F29" s="7" t="inlineStr">
        <is>
          <t>(888) 727-1200</t>
        </is>
      </c>
      <c r="G29" s="7" t="n"/>
      <c r="H29" s="11" t="inlineStr">
        <is>
          <t>https://www.hotelteatro.com/</t>
        </is>
      </c>
      <c r="I29" s="7" t="n"/>
      <c r="J29" s="12" t="n">
        <v>55</v>
      </c>
      <c r="K29" s="13" t="n">
        <v>111</v>
      </c>
      <c r="L29" s="7" t="n"/>
      <c r="M29" s="7" t="n"/>
      <c r="N29" s="7" t="inlineStr">
        <is>
          <t>Courtney Griffith</t>
        </is>
      </c>
      <c r="O29" s="7" t="inlineStr">
        <is>
          <t>Sage Hospitality</t>
        </is>
      </c>
      <c r="P29" s="7" t="n"/>
      <c r="Q29" s="7" t="inlineStr">
        <is>
          <t>LAZ</t>
        </is>
      </c>
      <c r="R29" s="7" t="inlineStr">
        <is>
          <t>LAZ</t>
        </is>
      </c>
      <c r="S29" s="7" t="inlineStr">
        <is>
          <t>upper-upscale</t>
        </is>
      </c>
      <c r="T29" s="7" t="inlineStr">
        <is>
          <t>Boutique luxury theater district hotel. LAZ likely operates valet per garage operator pattern. Sold June 2024.</t>
        </is>
      </c>
    </row>
    <row r="30" ht="15.75" customHeight="1" s="34">
      <c r="A30" s="7" t="inlineStr">
        <is>
          <t>Kimpton Claret Hotel</t>
        </is>
      </c>
      <c r="B30" s="7" t="inlineStr">
        <is>
          <t>Hotel</t>
        </is>
      </c>
      <c r="C30" s="7" t="inlineStr">
        <is>
          <t>False</t>
        </is>
      </c>
      <c r="D30" s="7" t="inlineStr">
        <is>
          <t>6985 E. Chenango Ave, Denver, CO 80237</t>
        </is>
      </c>
      <c r="E30" s="7" t="inlineStr">
        <is>
          <t>NO</t>
        </is>
      </c>
      <c r="F30" s="7" t="inlineStr">
        <is>
          <t>(983) 999-0310</t>
        </is>
      </c>
      <c r="G30" s="7" t="n"/>
      <c r="H30" s="11" t="inlineStr">
        <is>
          <t>https://www.clarethotel.com/</t>
        </is>
      </c>
      <c r="I30" s="7" t="n"/>
      <c r="J30" s="12" t="n">
        <v>55</v>
      </c>
      <c r="K30" s="13" t="n">
        <v>190</v>
      </c>
      <c r="L30" s="7" t="n"/>
      <c r="M30" s="7" t="n"/>
      <c r="N30" s="7" t="inlineStr">
        <is>
          <t>Keith Siebenaler</t>
        </is>
      </c>
      <c r="O30" s="7" t="inlineStr">
        <is>
          <t>IHG / Kimpton</t>
        </is>
      </c>
      <c r="P30" s="7" t="n"/>
      <c r="Q30" s="7" t="n"/>
      <c r="R30" s="7" t="n"/>
      <c r="S30" s="7" t="inlineStr">
        <is>
          <t>upper-upscale</t>
        </is>
      </c>
      <c r="T30" s="7" t="inlineStr">
        <is>
          <t>Opened July 2024. 19-story Kimpton with rooftop Halo Bar. 190 rooms. $55/night valet. Near Belleview Station.</t>
        </is>
      </c>
    </row>
    <row r="31" ht="15.75" customHeight="1" s="34">
      <c r="A31" s="7" t="inlineStr">
        <is>
          <t>Apiary Hotel Belleview Station</t>
        </is>
      </c>
      <c r="B31" s="7" t="inlineStr">
        <is>
          <t>Hotel</t>
        </is>
      </c>
      <c r="C31" s="7" t="inlineStr">
        <is>
          <t>False</t>
        </is>
      </c>
      <c r="D31" s="7" t="inlineStr">
        <is>
          <t>4855 S Quebec, Suite 150, Denver, CO 80237</t>
        </is>
      </c>
      <c r="E31" s="7" t="inlineStr">
        <is>
          <t>NO</t>
        </is>
      </c>
      <c r="F31" s="7" t="inlineStr">
        <is>
          <t>(720) 791-4700</t>
        </is>
      </c>
      <c r="G31" s="7" t="n"/>
      <c r="H31" s="11" t="inlineStr">
        <is>
          <t>https://www.apiaryhotel.com/</t>
        </is>
      </c>
      <c r="I31" s="7" t="n"/>
      <c r="J31" s="12" t="n">
        <v>55</v>
      </c>
      <c r="K31" s="13" t="n">
        <v>175</v>
      </c>
      <c r="L31" s="7" t="n"/>
      <c r="M31" s="7" t="n"/>
      <c r="N31" s="7" t="n"/>
      <c r="O31" s="7" t="inlineStr">
        <is>
          <t>Marriott / Residence Inn</t>
        </is>
      </c>
      <c r="P31" s="7" t="n"/>
      <c r="Q31" s="7" t="n"/>
      <c r="R31" s="7" t="n"/>
      <c r="S31" s="7" t="inlineStr">
        <is>
          <t>upscale</t>
        </is>
      </c>
      <c r="T31" s="7" t="inlineStr">
        <is>
          <t>Opened January 2026. Boutique Residence Inn-affiliated extended stay. 175 suites with kitchenettes. Near DTC and Belleview Station lightrail. Valet $55/night.</t>
        </is>
      </c>
    </row>
    <row r="32" ht="15.75" customHeight="1" s="34">
      <c r="A32" s="7" t="inlineStr">
        <is>
          <t>The Art Hotel Denver, Curio Collection by Hilton</t>
        </is>
      </c>
      <c r="B32" s="7" t="inlineStr">
        <is>
          <t>Hotel</t>
        </is>
      </c>
      <c r="C32" s="7" t="inlineStr">
        <is>
          <t>False</t>
        </is>
      </c>
      <c r="D32" s="7" t="inlineStr">
        <is>
          <t>1201 Broadway, Denver, CO 80203</t>
        </is>
      </c>
      <c r="E32" s="7" t="inlineStr">
        <is>
          <t>NO</t>
        </is>
      </c>
      <c r="F32" s="7" t="inlineStr">
        <is>
          <t>(303) 572-8000</t>
        </is>
      </c>
      <c r="G32" s="7" t="n"/>
      <c r="H32" s="11" t="inlineStr">
        <is>
          <t>https://www.hilton.com/en/hotels/denrtqq-the-art-hotel-denver/</t>
        </is>
      </c>
      <c r="I32" s="7" t="n"/>
      <c r="J32" s="12" t="n">
        <v>54</v>
      </c>
      <c r="K32" s="13" t="n">
        <v>165</v>
      </c>
      <c r="L32" s="7" t="n"/>
      <c r="M32" s="7" t="n"/>
      <c r="N32" s="7" t="inlineStr">
        <is>
          <t>Dorian Phillips</t>
        </is>
      </c>
      <c r="O32" s="7" t="n"/>
      <c r="P32" s="7" t="n"/>
      <c r="Q32" s="7" t="n"/>
      <c r="R32" s="7" t="n"/>
      <c r="S32" s="7" t="inlineStr">
        <is>
          <t>upscale</t>
        </is>
      </c>
      <c r="T32" s="7" t="inlineStr">
        <is>
          <t>Near Denver Art Museum. Curio Collection by Hilton. Valet-only parking.</t>
        </is>
      </c>
    </row>
    <row r="33" ht="15.75" customHeight="1" s="34">
      <c r="A33" s="7" t="inlineStr">
        <is>
          <t>The Westin Denver Downtown</t>
        </is>
      </c>
      <c r="B33" s="7" t="inlineStr">
        <is>
          <t>Hotel</t>
        </is>
      </c>
      <c r="C33" s="7" t="inlineStr">
        <is>
          <t>False</t>
        </is>
      </c>
      <c r="D33" s="7" t="inlineStr">
        <is>
          <t>1672 Lawrence St, Denver, CO 80202</t>
        </is>
      </c>
      <c r="E33" s="7" t="inlineStr">
        <is>
          <t>NO</t>
        </is>
      </c>
      <c r="F33" s="7" t="inlineStr">
        <is>
          <t>(303) 572-9100</t>
        </is>
      </c>
      <c r="G33" s="7" t="n"/>
      <c r="H33" s="11" t="inlineStr">
        <is>
          <t>https://www.marriott.com/en-us/hotels/denwi-the-westin-denver-downtown/overview/</t>
        </is>
      </c>
      <c r="I33" s="12" t="n">
        <v>40</v>
      </c>
      <c r="J33" s="12" t="n">
        <v>54</v>
      </c>
      <c r="K33" s="13" t="n">
        <v>432</v>
      </c>
      <c r="L33" s="7" t="n"/>
      <c r="M33" s="7" t="n"/>
      <c r="N33" s="7" t="inlineStr">
        <is>
          <t>Jerry Caliguire</t>
        </is>
      </c>
      <c r="O33" s="7" t="n"/>
      <c r="P33" s="7" t="n"/>
      <c r="Q33" s="7" t="n"/>
      <c r="R33" s="7" t="n"/>
      <c r="S33" s="7" t="inlineStr">
        <is>
          <t>upper-upscale</t>
        </is>
      </c>
      <c r="T33" s="7" t="inlineStr">
        <is>
          <t>Full-service Westin in LoDo. Large conference hotel.</t>
        </is>
      </c>
    </row>
    <row r="34" ht="15.75" customHeight="1" s="34">
      <c r="A34" s="7" t="inlineStr">
        <is>
          <t>The Westin Denver International Airport</t>
        </is>
      </c>
      <c r="B34" s="7" t="inlineStr">
        <is>
          <t>Hotel</t>
        </is>
      </c>
      <c r="C34" s="7" t="inlineStr">
        <is>
          <t>False</t>
        </is>
      </c>
      <c r="D34" s="7" t="inlineStr">
        <is>
          <t>8300 Peña Boulevard, Denver, CO 80249</t>
        </is>
      </c>
      <c r="E34" s="7" t="inlineStr">
        <is>
          <t>NO</t>
        </is>
      </c>
      <c r="F34" s="7" t="inlineStr">
        <is>
          <t>(303) 317-1800</t>
        </is>
      </c>
      <c r="G34" s="7" t="n"/>
      <c r="H34" s="11" t="inlineStr">
        <is>
          <t>https://www.marriott.com/en-us/hotels/denaw-the-westin-denver-international-airport/overview/</t>
        </is>
      </c>
      <c r="I34" s="12" t="n">
        <v>54</v>
      </c>
      <c r="J34" s="12" t="n">
        <v>54</v>
      </c>
      <c r="K34" s="13" t="n">
        <v>519</v>
      </c>
      <c r="L34" s="7" t="n"/>
      <c r="M34" s="7" t="n"/>
      <c r="N34" s="7" t="n"/>
      <c r="O34" s="7" t="inlineStr">
        <is>
          <t>Marriott International</t>
        </is>
      </c>
      <c r="P34" s="7" t="n"/>
      <c r="Q34" s="7" t="inlineStr">
        <is>
          <t>Pro Park</t>
        </is>
      </c>
      <c r="R34" s="7" t="inlineStr">
        <is>
          <t>Pro Park</t>
        </is>
      </c>
      <c r="S34" s="7" t="inlineStr">
        <is>
          <t>upper-upscale</t>
        </is>
      </c>
      <c r="T34" s="7" t="inlineStr">
        <is>
          <t>Only hotel connected to DIA terminal. 519 rooms. Pro Park is exclusive valet at DIA. Hotel guests $54/night; airport guests $59. After 5 days: $35/night.</t>
        </is>
      </c>
    </row>
    <row r="35" ht="15.75" customHeight="1" s="34">
      <c r="A35" s="7" t="inlineStr">
        <is>
          <t>The Maven Hotel at Dairy Block</t>
        </is>
      </c>
      <c r="B35" s="7" t="inlineStr">
        <is>
          <t>Hotel</t>
        </is>
      </c>
      <c r="C35" s="7" t="inlineStr">
        <is>
          <t>False</t>
        </is>
      </c>
      <c r="D35" s="7" t="inlineStr">
        <is>
          <t>1850 Wazee St, Denver, CO 80202</t>
        </is>
      </c>
      <c r="E35" s="7" t="inlineStr">
        <is>
          <t>NO</t>
        </is>
      </c>
      <c r="F35" s="7" t="inlineStr">
        <is>
          <t>(720) 460-2727</t>
        </is>
      </c>
      <c r="G35" s="7" t="n"/>
      <c r="H35" s="11" t="inlineStr">
        <is>
          <t>https://www.themavenhotel.com/</t>
        </is>
      </c>
      <c r="I35" s="7" t="n"/>
      <c r="J35" s="12" t="n">
        <v>53</v>
      </c>
      <c r="K35" s="13" t="n">
        <v>172</v>
      </c>
      <c r="L35" s="7" t="n"/>
      <c r="M35" s="7" t="n"/>
      <c r="N35" s="7" t="inlineStr">
        <is>
          <t>Jennifer Cottingias</t>
        </is>
      </c>
      <c r="O35" s="7" t="inlineStr">
        <is>
          <t>Sage Hospitality</t>
        </is>
      </c>
      <c r="P35" s="7" t="n"/>
      <c r="Q35" s="7" t="inlineStr">
        <is>
          <t>Sage Hospitality</t>
        </is>
      </c>
      <c r="R35" s="7" t="n"/>
      <c r="S35" s="7" t="inlineStr">
        <is>
          <t>upscale</t>
        </is>
      </c>
      <c r="T35" s="7" t="inlineStr">
        <is>
          <t>Part of the Dairy Block mixed-use development. Sage operates garage.</t>
        </is>
      </c>
    </row>
    <row r="36" ht="15.75" customHeight="1" s="34">
      <c r="A36" s="7" t="inlineStr">
        <is>
          <t>Catbird Hotel</t>
        </is>
      </c>
      <c r="B36" s="7" t="inlineStr">
        <is>
          <t>Hotel</t>
        </is>
      </c>
      <c r="C36" s="7" t="inlineStr">
        <is>
          <t>False</t>
        </is>
      </c>
      <c r="D36" s="7" t="inlineStr">
        <is>
          <t>3770 Walnut St, Denver, CO 80205</t>
        </is>
      </c>
      <c r="E36" s="7" t="inlineStr">
        <is>
          <t>NO</t>
        </is>
      </c>
      <c r="F36" s="7" t="inlineStr">
        <is>
          <t>(720) 990-5555</t>
        </is>
      </c>
      <c r="G36" s="7" t="n"/>
      <c r="H36" s="11" t="inlineStr">
        <is>
          <t>https://www.catbirdhotel.com/</t>
        </is>
      </c>
      <c r="I36" s="12" t="n">
        <v>34</v>
      </c>
      <c r="J36" s="12" t="n">
        <v>52</v>
      </c>
      <c r="K36" s="13" t="n">
        <v>165</v>
      </c>
      <c r="L36" s="7" t="n"/>
      <c r="M36" s="7" t="n"/>
      <c r="N36" s="7" t="n"/>
      <c r="O36" s="7" t="inlineStr">
        <is>
          <t>Sage Hospitality</t>
        </is>
      </c>
      <c r="P36" s="7" t="n"/>
      <c r="Q36" s="7" t="n"/>
      <c r="R36" s="7" t="n"/>
      <c r="S36" s="7" t="inlineStr">
        <is>
          <t>upscale</t>
        </is>
      </c>
      <c r="T36" s="7" t="inlineStr">
        <is>
          <t>Boutique lifestyle hotel in River North Arts District.</t>
        </is>
      </c>
    </row>
    <row r="37" ht="15.75" customHeight="1" s="34">
      <c r="A37" s="7" t="inlineStr">
        <is>
          <t>Limelight Denver</t>
        </is>
      </c>
      <c r="B37" s="7" t="inlineStr">
        <is>
          <t>Hotel</t>
        </is>
      </c>
      <c r="C37" s="7" t="inlineStr">
        <is>
          <t>False</t>
        </is>
      </c>
      <c r="D37" s="7" t="inlineStr">
        <is>
          <t>2020 Little Raven St, Denver, CO 80202</t>
        </is>
      </c>
      <c r="E37" s="7" t="inlineStr">
        <is>
          <t>NO</t>
        </is>
      </c>
      <c r="F37" s="7" t="inlineStr">
        <is>
          <t>(303) 323-0024</t>
        </is>
      </c>
      <c r="G37" s="7" t="n"/>
      <c r="H37" s="11" t="inlineStr">
        <is>
          <t>https://limelighthotels.com/denver</t>
        </is>
      </c>
      <c r="I37" s="7" t="n"/>
      <c r="J37" s="12" t="n">
        <v>50</v>
      </c>
      <c r="K37" s="13" t="n">
        <v>200</v>
      </c>
      <c r="L37" s="7" t="n"/>
      <c r="M37" s="7" t="n"/>
      <c r="N37" s="7" t="inlineStr">
        <is>
          <t>Kim Corrigan</t>
        </is>
      </c>
      <c r="O37" s="7" t="inlineStr">
        <is>
          <t>Aspen Hospitality</t>
        </is>
      </c>
      <c r="P37" s="7" t="n"/>
      <c r="Q37" s="7" t="n"/>
      <c r="R37" s="7" t="n"/>
      <c r="S37" s="7" t="inlineStr">
        <is>
          <t>upscale</t>
        </is>
      </c>
      <c r="T37" s="7" t="inlineStr">
        <is>
          <t>Formerly Kimpton Hotel Born. Rebranded 2023. Near Union Station. Aspen Hospitality flagship urban property.</t>
        </is>
      </c>
    </row>
    <row r="38" ht="15.75" customHeight="1" s="34">
      <c r="A38" s="7" t="inlineStr">
        <is>
          <t>The Crawford Hotel</t>
        </is>
      </c>
      <c r="B38" s="7" t="inlineStr">
        <is>
          <t>Hotel</t>
        </is>
      </c>
      <c r="C38" s="7" t="inlineStr">
        <is>
          <t>False</t>
        </is>
      </c>
      <c r="D38" s="7" t="inlineStr">
        <is>
          <t>1701 Wynkoop St, Denver, CO 80202</t>
        </is>
      </c>
      <c r="E38" s="7" t="inlineStr">
        <is>
          <t>NO</t>
        </is>
      </c>
      <c r="F38" s="7" t="inlineStr">
        <is>
          <t>(720) 460-3700</t>
        </is>
      </c>
      <c r="G38" s="7" t="n"/>
      <c r="H38" s="11" t="inlineStr">
        <is>
          <t>https://thecrawfordhotel.com/</t>
        </is>
      </c>
      <c r="I38" s="7" t="n"/>
      <c r="J38" s="12" t="n">
        <v>50</v>
      </c>
      <c r="K38" s="13" t="n">
        <v>112</v>
      </c>
      <c r="L38" s="7" t="n"/>
      <c r="M38" s="7" t="n"/>
      <c r="N38" s="7" t="n"/>
      <c r="O38" s="7" t="inlineStr">
        <is>
          <t>Sage Hospitality</t>
        </is>
      </c>
      <c r="P38" s="7" t="n"/>
      <c r="Q38" s="7" t="n"/>
      <c r="R38" s="7" t="n"/>
      <c r="S38" s="7" t="inlineStr">
        <is>
          <t>upper-upscale</t>
        </is>
      </c>
      <c r="T38" s="7" t="inlineStr">
        <is>
          <t>Historic hotel inside Denver Union Station. $11M renovation completed July 2024. Michelin One Key designation 2024.</t>
        </is>
      </c>
    </row>
    <row r="39" ht="15.75" customHeight="1" s="34">
      <c r="A39" s="7" t="inlineStr">
        <is>
          <t>Warwick Denver</t>
        </is>
      </c>
      <c r="B39" s="7" t="inlineStr">
        <is>
          <t>Hotel</t>
        </is>
      </c>
      <c r="C39" s="7" t="inlineStr">
        <is>
          <t>False</t>
        </is>
      </c>
      <c r="D39" s="7" t="inlineStr">
        <is>
          <t>1776 Grant St, Denver, CO 80203</t>
        </is>
      </c>
      <c r="E39" s="7" t="inlineStr">
        <is>
          <t>NO</t>
        </is>
      </c>
      <c r="F39" s="7" t="inlineStr">
        <is>
          <t>(303) 861-2000</t>
        </is>
      </c>
      <c r="G39" s="7" t="n"/>
      <c r="H39" s="11" t="inlineStr">
        <is>
          <t>https://www.warwickhotels.com/warwick-denver</t>
        </is>
      </c>
      <c r="I39" s="12" t="n">
        <v>50</v>
      </c>
      <c r="J39" s="12" t="n">
        <v>50</v>
      </c>
      <c r="K39" s="13" t="n">
        <v>216</v>
      </c>
      <c r="L39" s="7" t="n"/>
      <c r="M39" s="7" t="n"/>
      <c r="N39" s="7" t="inlineStr">
        <is>
          <t>Chad Hansen</t>
        </is>
      </c>
      <c r="O39" s="7" t="n"/>
      <c r="P39" s="7" t="n"/>
      <c r="Q39" s="7" t="inlineStr">
        <is>
          <t>SP Plus Corporation</t>
        </is>
      </c>
      <c r="R39" s="7" t="inlineStr">
        <is>
          <t>SP+</t>
        </is>
      </c>
      <c r="S39" s="7" t="inlineStr">
        <is>
          <t>upscale</t>
        </is>
      </c>
      <c r="T39" s="7" t="inlineStr">
        <is>
          <t>Independent European chain. SP+ operates both self-park and valet.</t>
        </is>
      </c>
    </row>
    <row r="40" ht="15.75" customHeight="1" s="34">
      <c r="A40" s="7" t="inlineStr">
        <is>
          <t>Moxy Denver Cherry Creek</t>
        </is>
      </c>
      <c r="B40" s="7" t="inlineStr">
        <is>
          <t>Hotel</t>
        </is>
      </c>
      <c r="C40" s="7" t="inlineStr">
        <is>
          <t>False</t>
        </is>
      </c>
      <c r="D40" s="7" t="inlineStr">
        <is>
          <t>2401 E. 2nd Ave, Denver, CO 80206</t>
        </is>
      </c>
      <c r="E40" s="7" t="inlineStr">
        <is>
          <t>NO</t>
        </is>
      </c>
      <c r="F40" s="7" t="inlineStr">
        <is>
          <t>(720) 707-3247</t>
        </is>
      </c>
      <c r="G40" s="7" t="n"/>
      <c r="H40" s="11" t="inlineStr">
        <is>
          <t>https://www.marriott.com/en-us/hotels/denox-moxy-denver-cherry-creek/overview/</t>
        </is>
      </c>
      <c r="I40" s="7" t="n"/>
      <c r="J40" s="12" t="n">
        <v>49</v>
      </c>
      <c r="K40" s="13" t="n">
        <v>140</v>
      </c>
      <c r="L40" s="7" t="n"/>
      <c r="M40" s="7" t="n"/>
      <c r="N40" s="7" t="inlineStr">
        <is>
          <t>Emily Jackson</t>
        </is>
      </c>
      <c r="O40" s="7" t="inlineStr">
        <is>
          <t>Sage Hospitality</t>
        </is>
      </c>
      <c r="P40" s="7" t="n"/>
      <c r="Q40" s="7" t="n"/>
      <c r="R40" s="7" t="n"/>
      <c r="S40" s="7" t="inlineStr">
        <is>
          <t>upscale</t>
        </is>
      </c>
      <c r="T40" s="7" t="inlineStr">
        <is>
          <t>Trendy Marriott Moxy brand in Cherry Creek.</t>
        </is>
      </c>
    </row>
    <row r="41" ht="15.75" customHeight="1" s="34">
      <c r="A41" s="7" t="inlineStr">
        <is>
          <t>SpringHill Suites Denver Downtown</t>
        </is>
      </c>
      <c r="B41" s="7" t="inlineStr">
        <is>
          <t>Hotel</t>
        </is>
      </c>
      <c r="C41" s="7" t="inlineStr">
        <is>
          <t>False</t>
        </is>
      </c>
      <c r="D41" s="7" t="inlineStr">
        <is>
          <t>1190 Auraria Parkway, Denver, CO 80204</t>
        </is>
      </c>
      <c r="E41" s="7" t="inlineStr">
        <is>
          <t>NO</t>
        </is>
      </c>
      <c r="F41" s="7" t="inlineStr">
        <is>
          <t>(303) 825-7000</t>
        </is>
      </c>
      <c r="G41" s="7" t="n"/>
      <c r="H41" s="11" t="inlineStr">
        <is>
          <t>https://www.marriott.com/en-us/hotels/densd-springhill-suites-denver-downtown/overview/</t>
        </is>
      </c>
      <c r="I41" s="7" t="n"/>
      <c r="J41" s="12" t="n">
        <v>49</v>
      </c>
      <c r="K41" s="13" t="n">
        <v>150</v>
      </c>
      <c r="L41" s="7" t="n"/>
      <c r="M41" s="7" t="n"/>
      <c r="N41" s="7" t="inlineStr">
        <is>
          <t>Ryan Kensinger</t>
        </is>
      </c>
      <c r="O41" s="7" t="inlineStr">
        <is>
          <t>Sage Hospitality</t>
        </is>
      </c>
      <c r="P41" s="7" t="n"/>
      <c r="Q41" s="7" t="n"/>
      <c r="R41" s="7" t="n"/>
      <c r="S41" s="7" t="inlineStr">
        <is>
          <t>upper-midscale</t>
        </is>
      </c>
      <c r="T41" s="7" t="inlineStr">
        <is>
          <t>Near Auraria Campus. Extended stay suites.</t>
        </is>
      </c>
    </row>
    <row r="42" ht="15.75" customHeight="1" s="34">
      <c r="A42" s="7" t="inlineStr">
        <is>
          <t>Hilton Garden Inn Denver Union Station</t>
        </is>
      </c>
      <c r="B42" s="7" t="inlineStr">
        <is>
          <t>Hotel</t>
        </is>
      </c>
      <c r="C42" s="7" t="inlineStr">
        <is>
          <t>False</t>
        </is>
      </c>
      <c r="D42" s="7" t="inlineStr">
        <is>
          <t>1999 Chestnut Pl, Denver, CO 80202</t>
        </is>
      </c>
      <c r="E42" s="7" t="inlineStr">
        <is>
          <t>YES</t>
        </is>
      </c>
      <c r="F42" s="7" t="inlineStr">
        <is>
          <t>(720) 643-1999</t>
        </is>
      </c>
      <c r="G42" s="7" t="n"/>
      <c r="H42" s="11" t="inlineStr">
        <is>
          <t>https://www.hilton.com/en/hotels/denungi-hilton-garden-inn-denver-union-station/</t>
        </is>
      </c>
      <c r="I42" s="7" t="n"/>
      <c r="J42" s="12" t="n">
        <v>49</v>
      </c>
      <c r="K42" s="13" t="n">
        <v>223</v>
      </c>
      <c r="L42" s="7" t="n"/>
      <c r="M42" s="7" t="n"/>
      <c r="N42" s="7" t="n"/>
      <c r="O42" s="7" t="n"/>
      <c r="P42" s="7" t="n"/>
      <c r="Q42" s="7" t="n"/>
      <c r="R42" s="7" t="n"/>
      <c r="S42" s="7" t="inlineStr">
        <is>
          <t>upscale</t>
        </is>
      </c>
      <c r="T42" s="7" t="inlineStr">
        <is>
          <t>Hilton Garden Inn near Union Station transit hub.</t>
        </is>
      </c>
    </row>
    <row r="43" ht="15.75" customHeight="1" s="34">
      <c r="A43" s="7" t="inlineStr">
        <is>
          <t>Gaylord Rockies Resort &amp; Convention Center</t>
        </is>
      </c>
      <c r="B43" s="7" t="inlineStr">
        <is>
          <t>Hotel</t>
        </is>
      </c>
      <c r="C43" s="7" t="inlineStr">
        <is>
          <t>False</t>
        </is>
      </c>
      <c r="D43" s="7" t="inlineStr">
        <is>
          <t>6700 North Gaylord Rockies Blvd, Aurora, CO 80019</t>
        </is>
      </c>
      <c r="E43" s="7" t="inlineStr">
        <is>
          <t>NO</t>
        </is>
      </c>
      <c r="F43" s="7" t="inlineStr">
        <is>
          <t>(720) 452-6900</t>
        </is>
      </c>
      <c r="G43" s="7" t="n"/>
      <c r="H43" s="11" t="inlineStr">
        <is>
          <t>https://www.marriott.com/en-us/hotels/dengr-gaylord-rockies-resort-and-convention-center/overview/</t>
        </is>
      </c>
      <c r="I43" s="12" t="n">
        <v>33</v>
      </c>
      <c r="J43" s="12" t="n">
        <v>48</v>
      </c>
      <c r="K43" s="13" t="n">
        <v>1501</v>
      </c>
      <c r="L43" s="7" t="n"/>
      <c r="M43" s="7" t="n"/>
      <c r="N43" s="7" t="inlineStr">
        <is>
          <t>Suzy Hart</t>
        </is>
      </c>
      <c r="O43" s="7" t="inlineStr">
        <is>
          <t>Marriott International / Gaylord Hotels</t>
        </is>
      </c>
      <c r="P43" s="7" t="n"/>
      <c r="Q43" s="7" t="n"/>
      <c r="R43" s="7" t="n"/>
      <c r="S43" s="7" t="inlineStr">
        <is>
          <t>upper-upscale</t>
        </is>
      </c>
      <c r="T43" s="7" t="inlineStr">
        <is>
          <t>Largest resort in Colorado. 1,501 rooms. Near DIA. Arapahoe Springs water park. Self-park $33, valet $48 daily (2026 rates). Suzy Hart is GM since 2020.</t>
        </is>
      </c>
    </row>
    <row r="44" ht="15.75" customHeight="1" s="34">
      <c r="A44" s="7" t="inlineStr">
        <is>
          <t>The Rally Hotel at McGregor Square</t>
        </is>
      </c>
      <c r="B44" s="7" t="inlineStr">
        <is>
          <t>Hotel</t>
        </is>
      </c>
      <c r="C44" s="7" t="inlineStr">
        <is>
          <t>False</t>
        </is>
      </c>
      <c r="D44" s="7" t="inlineStr">
        <is>
          <t>1600 20th St, Denver, CO 80202</t>
        </is>
      </c>
      <c r="E44" s="7" t="inlineStr">
        <is>
          <t>NO</t>
        </is>
      </c>
      <c r="F44" s="7" t="inlineStr">
        <is>
          <t>(303) 623-8500</t>
        </is>
      </c>
      <c r="G44" s="7" t="n"/>
      <c r="H44" s="11" t="inlineStr">
        <is>
          <t>https://www.therallyhotelatmcgregorsquare.com/</t>
        </is>
      </c>
      <c r="I44" s="7" t="n"/>
      <c r="J44" s="12" t="n">
        <v>46</v>
      </c>
      <c r="K44" s="13" t="n">
        <v>182</v>
      </c>
      <c r="L44" s="7" t="n"/>
      <c r="M44" s="7" t="n"/>
      <c r="N44" s="7" t="inlineStr">
        <is>
          <t>Maria DeLibero</t>
        </is>
      </c>
      <c r="O44" s="7" t="inlineStr">
        <is>
          <t>Sage Hospitality</t>
        </is>
      </c>
      <c r="P44" s="7" t="n"/>
      <c r="Q44" s="7" t="n"/>
      <c r="R44" s="7" t="n"/>
      <c r="S44" s="7" t="inlineStr">
        <is>
          <t>upscale</t>
        </is>
      </c>
      <c r="T44" s="7" t="inlineStr">
        <is>
          <t>Part of McGregor Square development adjacent to Coors Field.</t>
        </is>
      </c>
    </row>
    <row r="45" ht="15.75" customHeight="1" s="34">
      <c r="A45" s="7" t="inlineStr">
        <is>
          <t>Hampton Inn &amp; Suites Denver-Downtown</t>
        </is>
      </c>
      <c r="B45" s="7" t="inlineStr">
        <is>
          <t>Hotel</t>
        </is>
      </c>
      <c r="C45" s="7" t="inlineStr">
        <is>
          <t>False</t>
        </is>
      </c>
      <c r="D45" s="7" t="inlineStr">
        <is>
          <t>1845 Sherman St, Denver, CO 80203</t>
        </is>
      </c>
      <c r="E45" s="7" t="inlineStr">
        <is>
          <t>NO</t>
        </is>
      </c>
      <c r="F45" s="7" t="inlineStr">
        <is>
          <t>(303) 864-8000</t>
        </is>
      </c>
      <c r="G45" s="7" t="n"/>
      <c r="H45" s="11" t="inlineStr">
        <is>
          <t>https://www.hilton.com/en/hotels/dendthx-hampton-suites-denver-downtown/</t>
        </is>
      </c>
      <c r="I45" s="7" t="n"/>
      <c r="J45" s="12" t="n">
        <v>45</v>
      </c>
      <c r="K45" s="13" t="n">
        <v>156</v>
      </c>
      <c r="L45" s="7" t="n"/>
      <c r="M45" s="7" t="n"/>
      <c r="N45" s="7" t="n"/>
      <c r="O45" s="7" t="n"/>
      <c r="P45" s="7" t="n"/>
      <c r="Q45" s="7" t="n"/>
      <c r="R45" s="7" t="n"/>
      <c r="S45" s="7" t="inlineStr">
        <is>
          <t>upper-midscale</t>
        </is>
      </c>
      <c r="T45" s="7" t="inlineStr">
        <is>
          <t>Hampton near Capitol Hill neighborhood.</t>
        </is>
      </c>
    </row>
    <row r="46" ht="15.75" customHeight="1" s="34">
      <c r="A46" s="7" t="inlineStr">
        <is>
          <t>Renaissance Denver Downtown City Center Hotel</t>
        </is>
      </c>
      <c r="B46" s="7" t="inlineStr">
        <is>
          <t>Hotel</t>
        </is>
      </c>
      <c r="C46" s="7" t="inlineStr">
        <is>
          <t>False</t>
        </is>
      </c>
      <c r="D46" s="7" t="inlineStr">
        <is>
          <t>918 17th St, Denver, CO 80202</t>
        </is>
      </c>
      <c r="E46" s="7" t="inlineStr">
        <is>
          <t>YES</t>
        </is>
      </c>
      <c r="F46" s="7" t="inlineStr">
        <is>
          <t>(303) 312-9100</t>
        </is>
      </c>
      <c r="G46" s="7" t="n"/>
      <c r="H46" s="11" t="inlineStr">
        <is>
          <t>https://www.marriott.com/en-us/hotels/denrn-renaissance-denver-downtown-city-center-hotel/overview/</t>
        </is>
      </c>
      <c r="I46" s="7" t="n"/>
      <c r="J46" s="12" t="n">
        <v>43</v>
      </c>
      <c r="K46" s="13" t="n">
        <v>230</v>
      </c>
      <c r="L46" s="7" t="n"/>
      <c r="M46" s="7" t="n"/>
      <c r="N46" s="7" t="inlineStr">
        <is>
          <t>Brian Leiker</t>
        </is>
      </c>
      <c r="O46" s="7" t="inlineStr">
        <is>
          <t>Stonebridge Companies</t>
        </is>
      </c>
      <c r="P46" s="7" t="n"/>
      <c r="Q46" s="7" t="n"/>
      <c r="R46" s="7" t="n"/>
      <c r="S46" s="7" t="inlineStr">
        <is>
          <t>upper-upscale</t>
        </is>
      </c>
      <c r="T46" s="7" t="inlineStr">
        <is>
          <t>Stonebridge managed Renaissance on 17th Street financial district.</t>
        </is>
      </c>
    </row>
    <row r="47" ht="15.75" customHeight="1" s="34">
      <c r="A47" s="7" t="inlineStr">
        <is>
          <t>Hyatt House Denver/Downtown</t>
        </is>
      </c>
      <c r="B47" s="7" t="inlineStr">
        <is>
          <t>Hotel</t>
        </is>
      </c>
      <c r="C47" s="7" t="inlineStr">
        <is>
          <t>False</t>
        </is>
      </c>
      <c r="D47" s="7" t="inlineStr">
        <is>
          <t>440 14th St, Denver, CO 80202</t>
        </is>
      </c>
      <c r="E47" s="7" t="inlineStr">
        <is>
          <t>NO</t>
        </is>
      </c>
      <c r="F47" s="7" t="inlineStr">
        <is>
          <t>(303) 893-3100</t>
        </is>
      </c>
      <c r="G47" s="7" t="n"/>
      <c r="H47" s="11" t="inlineStr">
        <is>
          <t>https://www.hyatt.com/hyatt-house/en-US/denxd-hyatt-house-denver-downtown</t>
        </is>
      </c>
      <c r="I47" s="7" t="n"/>
      <c r="J47" s="12" t="n">
        <v>42</v>
      </c>
      <c r="K47" s="13" t="n">
        <v>113</v>
      </c>
      <c r="L47" s="7" t="n"/>
      <c r="M47" s="7" t="n"/>
      <c r="N47" s="7" t="n"/>
      <c r="O47" s="7" t="n"/>
      <c r="P47" s="7" t="n"/>
      <c r="Q47" s="7" t="n"/>
      <c r="R47" s="7" t="n"/>
      <c r="S47" s="7" t="inlineStr">
        <is>
          <t>upscale</t>
        </is>
      </c>
      <c r="T47" s="7" t="inlineStr">
        <is>
          <t>Extended-stay Hyatt House at 440 14th. Shares address with Hyatt Place. Valet ~$42/night per reviews.</t>
        </is>
      </c>
    </row>
    <row r="48" ht="15.75" customHeight="1" s="34">
      <c r="A48" s="7" t="inlineStr">
        <is>
          <t>The Oxford Hotel</t>
        </is>
      </c>
      <c r="B48" s="7" t="inlineStr">
        <is>
          <t>Hotel</t>
        </is>
      </c>
      <c r="C48" s="7" t="inlineStr">
        <is>
          <t>False</t>
        </is>
      </c>
      <c r="D48" s="7" t="inlineStr">
        <is>
          <t>1600 17th St, Denver, CO 80202</t>
        </is>
      </c>
      <c r="E48" s="7" t="inlineStr">
        <is>
          <t>YES</t>
        </is>
      </c>
      <c r="F48" s="7" t="inlineStr">
        <is>
          <t>(303) 628-5400</t>
        </is>
      </c>
      <c r="G48" s="7" t="n"/>
      <c r="H48" s="11" t="inlineStr">
        <is>
          <t>https://www.theoxfordhotel.com/</t>
        </is>
      </c>
      <c r="I48" s="7" t="n"/>
      <c r="J48" s="12" t="n">
        <v>40</v>
      </c>
      <c r="K48" s="13" t="n">
        <v>80</v>
      </c>
      <c r="L48" s="7" t="n"/>
      <c r="M48" s="7" t="n"/>
      <c r="N48" s="7" t="n"/>
      <c r="O48" s="7" t="inlineStr">
        <is>
          <t>Sage Hospitality</t>
        </is>
      </c>
      <c r="P48" s="7" t="n"/>
      <c r="Q48" s="7" t="n"/>
      <c r="R48" s="7" t="inlineStr">
        <is>
          <t>In House</t>
        </is>
      </c>
      <c r="S48" s="7" t="inlineStr">
        <is>
          <t>upper-upscale</t>
        </is>
      </c>
      <c r="T48" s="7" t="inlineStr">
        <is>
          <t>Historic landmark LoDo hotel. Denver's most historic hotel; valet operated in-house.</t>
        </is>
      </c>
    </row>
    <row r="49" ht="15.75" customHeight="1" s="34">
      <c r="A49" s="7" t="inlineStr">
        <is>
          <t>Benson Hotel &amp; Faculty Club</t>
        </is>
      </c>
      <c r="B49" s="7" t="inlineStr">
        <is>
          <t>Hotel</t>
        </is>
      </c>
      <c r="C49" s="7" t="inlineStr">
        <is>
          <t>False</t>
        </is>
      </c>
      <c r="D49" s="7" t="inlineStr">
        <is>
          <t>13025 E Montview Blvd, Aurora, CO 80045</t>
        </is>
      </c>
      <c r="E49" s="7" t="inlineStr">
        <is>
          <t>NO</t>
        </is>
      </c>
      <c r="F49" s="7" t="inlineStr">
        <is>
          <t>(720) 627-5958</t>
        </is>
      </c>
      <c r="G49" s="7" t="n"/>
      <c r="H49" s="11" t="inlineStr">
        <is>
          <t>https://thebensonhotel.com/</t>
        </is>
      </c>
      <c r="I49" s="12" t="n">
        <v>22</v>
      </c>
      <c r="J49" s="12" t="n">
        <v>39</v>
      </c>
      <c r="K49" s="13" t="n">
        <v>106</v>
      </c>
      <c r="L49" s="7" t="n"/>
      <c r="M49" s="7" t="n"/>
      <c r="N49" s="7" t="n"/>
      <c r="O49" s="7" t="n"/>
      <c r="P49" s="7" t="n"/>
      <c r="Q49" s="7" t="n"/>
      <c r="R49" s="7" t="n"/>
      <c r="S49" s="7" t="inlineStr">
        <is>
          <t>upscale</t>
        </is>
      </c>
      <c r="T49" s="7" t="inlineStr">
        <is>
          <t>Faculty club hotel at University of Colorado Anschutz Medical Campus.</t>
        </is>
      </c>
    </row>
    <row r="50" ht="15.75" customHeight="1" s="34">
      <c r="A50" s="7" t="inlineStr">
        <is>
          <t>The Ramble Hotel</t>
        </is>
      </c>
      <c r="B50" s="7" t="inlineStr">
        <is>
          <t>Hotel</t>
        </is>
      </c>
      <c r="C50" s="7" t="inlineStr">
        <is>
          <t>False</t>
        </is>
      </c>
      <c r="D50" s="7" t="inlineStr">
        <is>
          <t>1280 25th St, Denver, CO 80205</t>
        </is>
      </c>
      <c r="E50" s="7" t="inlineStr">
        <is>
          <t>NO</t>
        </is>
      </c>
      <c r="F50" s="7" t="inlineStr">
        <is>
          <t>(720) 996-6300</t>
        </is>
      </c>
      <c r="G50" s="7" t="n"/>
      <c r="H50" s="11" t="inlineStr">
        <is>
          <t>https://www.theramblehotel.com/</t>
        </is>
      </c>
      <c r="I50" s="7" t="n"/>
      <c r="J50" s="12" t="n">
        <v>35</v>
      </c>
      <c r="K50" s="13" t="n">
        <v>50</v>
      </c>
      <c r="L50" s="7" t="n"/>
      <c r="M50" s="7" t="n"/>
      <c r="N50" s="7" t="inlineStr">
        <is>
          <t>Andrew Guerra</t>
        </is>
      </c>
      <c r="O50" s="7" t="n"/>
      <c r="P50" s="7" t="n"/>
      <c r="Q50" s="7" t="n"/>
      <c r="R50" s="7" t="n"/>
      <c r="S50" s="7" t="inlineStr">
        <is>
          <t>upper-upscale</t>
        </is>
      </c>
      <c r="T50" s="7" t="inlineStr">
        <is>
          <t>Boutique 50-room hotel in RiNo. At the threshold of valet worthiness by room count.</t>
        </is>
      </c>
    </row>
    <row r="51" ht="15.75" customHeight="1" s="34">
      <c r="A51" s="7" t="inlineStr">
        <is>
          <t>Denver Marriott Tech Center</t>
        </is>
      </c>
      <c r="B51" s="7" t="inlineStr">
        <is>
          <t>Hotel</t>
        </is>
      </c>
      <c r="C51" s="7" t="inlineStr">
        <is>
          <t>False</t>
        </is>
      </c>
      <c r="D51" s="7" t="inlineStr">
        <is>
          <t>4900 S. Syracuse Street, Denver, CO 80237</t>
        </is>
      </c>
      <c r="E51" s="7" t="inlineStr">
        <is>
          <t>NO</t>
        </is>
      </c>
      <c r="F51" s="7" t="inlineStr">
        <is>
          <t>(303) 779-1100</t>
        </is>
      </c>
      <c r="G51" s="7" t="n"/>
      <c r="H51" s="11" t="inlineStr">
        <is>
          <t>https://www.marriott.com/en-us/hotels/dentc-denver-marriott-tech-center/overview/</t>
        </is>
      </c>
      <c r="I51" s="12" t="n">
        <v>20</v>
      </c>
      <c r="J51" s="12" t="n">
        <v>25</v>
      </c>
      <c r="K51" s="13" t="n">
        <v>605</v>
      </c>
      <c r="L51" s="7" t="n"/>
      <c r="M51" s="7" t="n"/>
      <c r="N51" s="7" t="inlineStr">
        <is>
          <t>Jeff Bolton</t>
        </is>
      </c>
      <c r="O51" s="7" t="inlineStr">
        <is>
          <t>Sage Hospitality</t>
        </is>
      </c>
      <c r="P51" s="7" t="n"/>
      <c r="Q51" s="7" t="n"/>
      <c r="R51" s="7" t="n"/>
      <c r="S51" s="7" t="inlineStr">
        <is>
          <t>upper-upscale</t>
        </is>
      </c>
      <c r="T51" s="7" t="inlineStr">
        <is>
          <t>605-room full-service Marriott in DTC. Sage Hospitality managed. Jeff Bolton is GM (as of March 2023+). Official hotel of Denver Summit FC.</t>
        </is>
      </c>
    </row>
    <row r="52" ht="15.75" customHeight="1" s="34">
      <c r="A52" s="7" t="inlineStr">
        <is>
          <t>Hyatt Regency Denver Tech Center</t>
        </is>
      </c>
      <c r="B52" s="7" t="inlineStr">
        <is>
          <t>Hotel</t>
        </is>
      </c>
      <c r="C52" s="7" t="inlineStr">
        <is>
          <t>False</t>
        </is>
      </c>
      <c r="D52" s="7" t="inlineStr">
        <is>
          <t>7800 E Tufts Ave, Denver, CO 80237</t>
        </is>
      </c>
      <c r="E52" s="7" t="inlineStr">
        <is>
          <t>NO</t>
        </is>
      </c>
      <c r="F52" s="7" t="inlineStr">
        <is>
          <t>(303) 779-1234</t>
        </is>
      </c>
      <c r="G52" s="7" t="n"/>
      <c r="H52" s="11" t="inlineStr">
        <is>
          <t>https://www.hyatt.com/hyatt-regency/en-US/denve-hyatt-regency-denver-tech-center</t>
        </is>
      </c>
      <c r="I52" s="12" t="n">
        <v>15</v>
      </c>
      <c r="J52" s="12" t="n">
        <v>25</v>
      </c>
      <c r="K52" s="13" t="n">
        <v>451</v>
      </c>
      <c r="L52" s="7" t="n"/>
      <c r="M52" s="7" t="n"/>
      <c r="N52" s="7" t="n"/>
      <c r="O52" s="7" t="n"/>
      <c r="P52" s="7" t="n"/>
      <c r="Q52" s="7" t="n"/>
      <c r="R52" s="7" t="n"/>
      <c r="S52" s="7" t="inlineStr">
        <is>
          <t>upper-upscale</t>
        </is>
      </c>
      <c r="T52" s="7" t="inlineStr">
        <is>
          <t>451 rooms in DTC. 30,000 sq ft meeting space. Near Belleview light rail. Self-park $15, valet $25 per historical rates (may have increased).</t>
        </is>
      </c>
    </row>
    <row r="53" ht="15.75" customHeight="1" s="34">
      <c r="A53" s="7" t="inlineStr">
        <is>
          <t>Renaissance Denver Hotel &amp; Conference Center</t>
        </is>
      </c>
      <c r="B53" s="7" t="inlineStr">
        <is>
          <t>Hotel</t>
        </is>
      </c>
      <c r="C53" s="7" t="inlineStr">
        <is>
          <t>False</t>
        </is>
      </c>
      <c r="D53" s="7" t="inlineStr">
        <is>
          <t>3801 Quebec Street, Denver, CO 80207</t>
        </is>
      </c>
      <c r="E53" s="7" t="inlineStr">
        <is>
          <t>NO</t>
        </is>
      </c>
      <c r="F53" s="7" t="inlineStr">
        <is>
          <t>(303) 399-7500</t>
        </is>
      </c>
      <c r="G53" s="7" t="n"/>
      <c r="H53" s="11" t="inlineStr">
        <is>
          <t>https://www.marriott.com/en-us/hotels/densa-renaissance-denver-hotel-and-conference-center/overview/</t>
        </is>
      </c>
      <c r="I53" s="12" t="n">
        <v>21</v>
      </c>
      <c r="J53" s="12" t="n">
        <v>19</v>
      </c>
      <c r="K53" s="13" t="n">
        <v>399</v>
      </c>
      <c r="L53" s="7" t="n"/>
      <c r="M53" s="7" t="n"/>
      <c r="N53" s="7" t="n"/>
      <c r="O53" s="7" t="n"/>
      <c r="P53" s="7" t="n"/>
      <c r="Q53" s="7" t="n"/>
      <c r="R53" s="7" t="n"/>
      <c r="S53" s="7" t="inlineStr">
        <is>
          <t>upper-upscale</t>
        </is>
      </c>
      <c r="T53" s="7" t="inlineStr">
        <is>
          <t>399 rooms. Between downtown and DIA near I-70/Quebec. Valet $19 (lower-cost market). Self-park $21. Covered 5-floor garage.</t>
        </is>
      </c>
    </row>
    <row r="54" ht="15.75" customHeight="1" s="34">
      <c r="A54" s="7" t="inlineStr">
        <is>
          <t>DoubleTree by Hilton Hotel Denver</t>
        </is>
      </c>
      <c r="B54" s="7" t="inlineStr">
        <is>
          <t>Hotel</t>
        </is>
      </c>
      <c r="C54" s="7" t="inlineStr">
        <is>
          <t>False</t>
        </is>
      </c>
      <c r="D54" s="7" t="inlineStr">
        <is>
          <t>3203 Quebec St, Denver, CO 80207</t>
        </is>
      </c>
      <c r="E54" s="7" t="inlineStr">
        <is>
          <t>NO</t>
        </is>
      </c>
      <c r="F54" s="7" t="inlineStr">
        <is>
          <t>(303) 321-3333</t>
        </is>
      </c>
      <c r="G54" s="7" t="n"/>
      <c r="H54" s="11" t="inlineStr">
        <is>
          <t>https://www.hilton.com/en/hotels/rldv-dt-doubletree-denver/</t>
        </is>
      </c>
      <c r="I54" s="12" t="n">
        <v>18</v>
      </c>
      <c r="J54" s="7" t="inlineStr">
        <is>
          <t>No Valet</t>
        </is>
      </c>
      <c r="K54" s="13" t="n">
        <v>561</v>
      </c>
      <c r="L54" s="7" t="n"/>
      <c r="M54" s="7" t="n"/>
      <c r="N54" s="7" t="inlineStr">
        <is>
          <t>Cheryl Biggins</t>
        </is>
      </c>
      <c r="O54" s="7" t="n"/>
      <c r="P54" s="7" t="n"/>
      <c r="Q54" s="7" t="n"/>
      <c r="R54" s="7" t="n"/>
      <c r="S54" s="7" t="inlineStr">
        <is>
          <t>upscale</t>
        </is>
      </c>
      <c r="T54" s="7" t="inlineStr">
        <is>
          <t>Large full-service DoubleTree near I-70 / Quebec. Completed $18M renovation 2024.</t>
        </is>
      </c>
    </row>
    <row r="55" ht="15.75" customHeight="1" s="34">
      <c r="A55" s="7" t="inlineStr">
        <is>
          <t>Courtyard Denver Central Park</t>
        </is>
      </c>
      <c r="B55" s="7" t="inlineStr">
        <is>
          <t>Hotel</t>
        </is>
      </c>
      <c r="C55" s="7" t="inlineStr">
        <is>
          <t>False</t>
        </is>
      </c>
      <c r="D55" s="7" t="inlineStr">
        <is>
          <t>7415 E 41st Ave, Denver, CO 80216</t>
        </is>
      </c>
      <c r="E55" s="7" t="inlineStr">
        <is>
          <t>NO</t>
        </is>
      </c>
      <c r="F55" s="7" t="inlineStr">
        <is>
          <t>(303) 333-3303</t>
        </is>
      </c>
      <c r="G55" s="7" t="n"/>
      <c r="H55" s="11" t="inlineStr">
        <is>
          <t>https://www.marriott.com/en-us/hotels/denca-courtyard-denver-central-park/overview/</t>
        </is>
      </c>
      <c r="I55" s="12" t="n">
        <v>5</v>
      </c>
      <c r="J55" s="7" t="inlineStr">
        <is>
          <t>No Valet</t>
        </is>
      </c>
      <c r="K55" s="13" t="n">
        <v>146</v>
      </c>
      <c r="L55" s="7" t="n"/>
      <c r="M55" s="7" t="n"/>
      <c r="N55" s="7" t="inlineStr">
        <is>
          <t>Chris Davis</t>
        </is>
      </c>
      <c r="O55" s="7" t="inlineStr">
        <is>
          <t>Sage Hospitality</t>
        </is>
      </c>
      <c r="P55" s="7" t="n"/>
      <c r="Q55" s="7" t="n"/>
      <c r="R55" s="7" t="n"/>
      <c r="S55" s="7" t="inlineStr">
        <is>
          <t>upscale</t>
        </is>
      </c>
      <c r="T55" s="7" t="inlineStr">
        <is>
          <t>Near Central Park neighborhood.</t>
        </is>
      </c>
    </row>
    <row r="56" ht="15.75" customHeight="1" s="34">
      <c r="A56" s="7" t="inlineStr">
        <is>
          <t>Hampton Inn &amp; Suites Denver-Speer Boulevard</t>
        </is>
      </c>
      <c r="B56" s="7" t="inlineStr">
        <is>
          <t>Hotel</t>
        </is>
      </c>
      <c r="C56" s="7" t="inlineStr">
        <is>
          <t>False</t>
        </is>
      </c>
      <c r="D56" s="7" t="inlineStr">
        <is>
          <t>2728 Zuni St, Denver, CO 80211</t>
        </is>
      </c>
      <c r="E56" s="7" t="inlineStr">
        <is>
          <t>NO</t>
        </is>
      </c>
      <c r="F56" s="7" t="inlineStr">
        <is>
          <t>(303) 825-0500</t>
        </is>
      </c>
      <c r="G56" s="7" t="n"/>
      <c r="H56" s="11" t="inlineStr">
        <is>
          <t>https://www.hilton.com/en/hotels/densphi-hampton-inn-suites-denver-speer-boulevard/</t>
        </is>
      </c>
      <c r="I56" s="7" t="inlineStr">
        <is>
          <t>Free</t>
        </is>
      </c>
      <c r="J56" s="7" t="inlineStr">
        <is>
          <t>No Valet</t>
        </is>
      </c>
      <c r="K56" s="13" t="n">
        <v>153</v>
      </c>
      <c r="L56" s="7" t="n"/>
      <c r="M56" s="7" t="n"/>
      <c r="N56" s="7" t="n"/>
      <c r="O56" s="7" t="n"/>
      <c r="P56" s="7" t="n"/>
      <c r="Q56" s="7" t="n"/>
      <c r="R56" s="7" t="n"/>
      <c r="S56" s="7" t="inlineStr">
        <is>
          <t>upper-midscale</t>
        </is>
      </c>
      <c r="T56" s="7" t="inlineStr">
        <is>
          <t>Free parking. Limited valet potential.</t>
        </is>
      </c>
    </row>
    <row r="57" ht="15.75" customHeight="1" s="34">
      <c r="A57" s="7" t="inlineStr">
        <is>
          <t>Drury Inn &amp; Suites Denver Central Park</t>
        </is>
      </c>
      <c r="B57" s="7" t="inlineStr">
        <is>
          <t>Hotel</t>
        </is>
      </c>
      <c r="C57" s="7" t="inlineStr">
        <is>
          <t>False</t>
        </is>
      </c>
      <c r="D57" s="7" t="inlineStr">
        <is>
          <t>4550 N. Central Park Blvd, Denver, CO 80238</t>
        </is>
      </c>
      <c r="E57" s="7" t="inlineStr">
        <is>
          <t>NO</t>
        </is>
      </c>
      <c r="F57" s="7" t="inlineStr">
        <is>
          <t>(303) 373-2313</t>
        </is>
      </c>
      <c r="G57" s="7" t="n"/>
      <c r="H57" s="11" t="inlineStr">
        <is>
          <t>https://www.druryhotels.com/locations/denver-co/drury-inn-and-suites-denver-central-park/</t>
        </is>
      </c>
      <c r="I57" s="7" t="inlineStr">
        <is>
          <t>Free</t>
        </is>
      </c>
      <c r="J57" s="7" t="inlineStr">
        <is>
          <t>No Valet</t>
        </is>
      </c>
      <c r="K57" s="13" t="n">
        <v>209</v>
      </c>
      <c r="L57" s="7" t="n"/>
      <c r="M57" s="7" t="n"/>
      <c r="N57" s="7" t="n"/>
      <c r="O57" s="7" t="inlineStr">
        <is>
          <t>Drury Hotels</t>
        </is>
      </c>
      <c r="P57" s="7" t="n"/>
      <c r="Q57" s="7" t="n"/>
      <c r="R57" s="7" t="n"/>
      <c r="S57" s="7" t="inlineStr">
        <is>
          <t>upper-midscale</t>
        </is>
      </c>
      <c r="T57" s="7" t="inlineStr">
        <is>
          <t>Drury-managed. Free parking. Rooms corrected from erroneous 1479 in original data.</t>
        </is>
      </c>
    </row>
    <row r="58" ht="15.75" customHeight="1" s="34">
      <c r="A58" s="7" t="inlineStr">
        <is>
          <t>Cambria Hotel Denver Downtown RiNo</t>
        </is>
      </c>
      <c r="B58" s="7" t="inlineStr">
        <is>
          <t>Hotel</t>
        </is>
      </c>
      <c r="C58" s="7" t="inlineStr">
        <is>
          <t>False</t>
        </is>
      </c>
      <c r="D58" s="7" t="inlineStr">
        <is>
          <t>3601 Brighton Blvd, Denver, CO 80216</t>
        </is>
      </c>
      <c r="E58" s="7" t="inlineStr">
        <is>
          <t>NO</t>
        </is>
      </c>
      <c r="F58" s="7" t="inlineStr">
        <is>
          <t>(720) 806-7251</t>
        </is>
      </c>
      <c r="G58" s="7" t="n"/>
      <c r="H58" s="11" t="inlineStr">
        <is>
          <t>https://www.choicehotels.com/colorado/denver/cambria-hotels/co482</t>
        </is>
      </c>
      <c r="I58" s="12" t="n">
        <v>20</v>
      </c>
      <c r="J58" s="7" t="inlineStr">
        <is>
          <t>No Valet</t>
        </is>
      </c>
      <c r="K58" s="13" t="n">
        <v>153</v>
      </c>
      <c r="L58" s="7" t="n"/>
      <c r="M58" s="7" t="n"/>
      <c r="N58" s="7" t="inlineStr">
        <is>
          <t>Phyllis Meyer</t>
        </is>
      </c>
      <c r="O58" s="7" t="n"/>
      <c r="P58" s="7" t="n"/>
      <c r="Q58" s="7" t="n"/>
      <c r="R58" s="7" t="n"/>
      <c r="S58" s="7" t="inlineStr">
        <is>
          <t>upscale</t>
        </is>
      </c>
      <c r="T58" s="7" t="inlineStr">
        <is>
          <t>Opened September 2024. Choice Hotels Cambria brand in RiNo.</t>
        </is>
      </c>
    </row>
    <row r="59" ht="15.75" customHeight="1" s="34">
      <c r="A59" s="7" t="inlineStr">
        <is>
          <t>The Source Hotel</t>
        </is>
      </c>
      <c r="B59" s="7" t="inlineStr">
        <is>
          <t>Hotel</t>
        </is>
      </c>
      <c r="C59" s="7" t="inlineStr">
        <is>
          <t>False</t>
        </is>
      </c>
      <c r="D59" s="7" t="inlineStr">
        <is>
          <t>3330 Brighton Blvd, Denver, CO 80216</t>
        </is>
      </c>
      <c r="E59" s="7" t="inlineStr">
        <is>
          <t>NO</t>
        </is>
      </c>
      <c r="F59" s="7" t="inlineStr">
        <is>
          <t>(720) 409-1200</t>
        </is>
      </c>
      <c r="G59" s="7" t="n"/>
      <c r="H59" s="11" t="inlineStr">
        <is>
          <t>https://www.thesourcehotel.com/</t>
        </is>
      </c>
      <c r="I59" s="12" t="n">
        <v>24</v>
      </c>
      <c r="J59" s="7" t="inlineStr">
        <is>
          <t>No Valet</t>
        </is>
      </c>
      <c r="K59" s="13" t="n">
        <v>100</v>
      </c>
      <c r="L59" s="7" t="n"/>
      <c r="M59" s="7" t="n"/>
      <c r="N59" s="7" t="inlineStr">
        <is>
          <t>HC Noll</t>
        </is>
      </c>
      <c r="O59" s="7" t="inlineStr">
        <is>
          <t>Stockdale Capital Partners</t>
        </is>
      </c>
      <c r="P59" s="7" t="n"/>
      <c r="Q59" s="7" t="inlineStr">
        <is>
          <t>LAZ</t>
        </is>
      </c>
      <c r="R59" s="7" t="n"/>
      <c r="S59" s="7" t="inlineStr">
        <is>
          <t>upscale</t>
        </is>
      </c>
      <c r="T59" s="7" t="inlineStr">
        <is>
          <t>Boutique hotel attached to The Source food hall in RiNo. LAZ manages garage.</t>
        </is>
      </c>
    </row>
    <row r="60" ht="15.75" customHeight="1" s="34">
      <c r="A60" s="7" t="inlineStr">
        <is>
          <t>the Curtis Denver - a DoubleTree by Hilton Hotel</t>
        </is>
      </c>
      <c r="B60" s="7" t="inlineStr">
        <is>
          <t>Hotel</t>
        </is>
      </c>
      <c r="C60" s="7" t="inlineStr">
        <is>
          <t>False</t>
        </is>
      </c>
      <c r="D60" s="7" t="inlineStr">
        <is>
          <t>1405 Curtis Street, Denver, CO 80202</t>
        </is>
      </c>
      <c r="E60" s="7" t="inlineStr">
        <is>
          <t>YES</t>
        </is>
      </c>
      <c r="F60" s="7" t="inlineStr">
        <is>
          <t>(303) 571-0300</t>
        </is>
      </c>
      <c r="G60" s="7" t="n"/>
      <c r="H60" s="11" t="inlineStr">
        <is>
          <t>https://www.hilton.com/en/hotels/denchdt-the-curtis-denver/</t>
        </is>
      </c>
      <c r="I60" s="12" t="n">
        <v>45</v>
      </c>
      <c r="J60" s="7" t="inlineStr">
        <is>
          <t>No Valet</t>
        </is>
      </c>
      <c r="K60" s="13" t="n">
        <v>336</v>
      </c>
      <c r="L60" s="7" t="n"/>
      <c r="M60" s="7" t="n"/>
      <c r="N60" s="7" t="inlineStr">
        <is>
          <t>Lizzie Raudenbush</t>
        </is>
      </c>
      <c r="O60" s="7" t="inlineStr">
        <is>
          <t>Sage Hospitality</t>
        </is>
      </c>
      <c r="P60" s="7" t="n"/>
      <c r="Q60" s="7" t="inlineStr">
        <is>
          <t>Hilton</t>
        </is>
      </c>
      <c r="R60" s="7" t="n"/>
      <c r="S60" s="7" t="inlineStr">
        <is>
          <t>upscale</t>
        </is>
      </c>
      <c r="T60" s="7" t="inlineStr">
        <is>
          <t>Pop culture-themed DoubleTree. Self-park only - no valet. Prospect for valet upgrade.</t>
        </is>
      </c>
    </row>
    <row r="61" ht="15.75" customHeight="1" s="34">
      <c r="A61" s="7" t="inlineStr">
        <is>
          <t>Courtyard Denver Downtown</t>
        </is>
      </c>
      <c r="B61" s="7" t="inlineStr">
        <is>
          <t>Hotel</t>
        </is>
      </c>
      <c r="C61" s="7" t="inlineStr">
        <is>
          <t>False</t>
        </is>
      </c>
      <c r="D61" s="7" t="inlineStr">
        <is>
          <t>934 16th St, Denver, CO 80202</t>
        </is>
      </c>
      <c r="E61" s="7" t="inlineStr">
        <is>
          <t>NO</t>
        </is>
      </c>
      <c r="F61" s="7" t="inlineStr">
        <is>
          <t>(303) 571-1114</t>
        </is>
      </c>
      <c r="G61" s="7" t="n"/>
      <c r="H61" s="11" t="inlineStr">
        <is>
          <t>https://www.marriott.com/en-us/hotels/dencd-courtyard-denver-downtown/overview/</t>
        </is>
      </c>
      <c r="I61" s="12" t="n">
        <v>46</v>
      </c>
      <c r="J61" s="7" t="inlineStr">
        <is>
          <t>No Valet</t>
        </is>
      </c>
      <c r="K61" s="13" t="n">
        <v>177</v>
      </c>
      <c r="L61" s="7" t="n"/>
      <c r="M61" s="7" t="n"/>
      <c r="N61" s="7" t="inlineStr">
        <is>
          <t>Craig</t>
        </is>
      </c>
      <c r="O61" s="7" t="inlineStr">
        <is>
          <t>Sage Hospitality</t>
        </is>
      </c>
      <c r="P61" s="7" t="n"/>
      <c r="Q61" s="7" t="inlineStr">
        <is>
          <t>Marriott</t>
        </is>
      </c>
      <c r="R61" s="7" t="n"/>
      <c r="S61" s="7" t="inlineStr">
        <is>
          <t>upscale</t>
        </is>
      </c>
      <c r="T61" s="7" t="inlineStr">
        <is>
          <t>On 16th Street Mall. Self-park only at $46/night.</t>
        </is>
      </c>
    </row>
    <row r="62" ht="15.75" customHeight="1" s="34">
      <c r="A62" s="7" t="inlineStr">
        <is>
          <t>Hyatt Regency Aurora-Denver Conference Center</t>
        </is>
      </c>
      <c r="B62" s="7" t="inlineStr">
        <is>
          <t>Hotel</t>
        </is>
      </c>
      <c r="C62" s="7" t="inlineStr">
        <is>
          <t>False</t>
        </is>
      </c>
      <c r="D62" s="7" t="inlineStr">
        <is>
          <t>13200 E 14th Pl, Aurora, CO 80011</t>
        </is>
      </c>
      <c r="E62" s="7" t="inlineStr">
        <is>
          <t>NO</t>
        </is>
      </c>
      <c r="F62" s="7" t="inlineStr">
        <is>
          <t>(303) 365-1234</t>
        </is>
      </c>
      <c r="G62" s="7" t="n"/>
      <c r="H62" s="11" t="inlineStr">
        <is>
          <t>https://www.hyatt.com/hyatt-regency/en-US/denhy-hyatt-regency-aurora-denver-conference-center</t>
        </is>
      </c>
      <c r="I62" s="7" t="n"/>
      <c r="J62" s="7" t="n"/>
      <c r="K62" s="13" t="n">
        <v>249</v>
      </c>
      <c r="L62" s="7" t="n"/>
      <c r="M62" s="7" t="n"/>
      <c r="N62" s="7" t="inlineStr">
        <is>
          <t>Daniel Benton</t>
        </is>
      </c>
      <c r="O62" s="7" t="n"/>
      <c r="P62" s="7" t="n"/>
      <c r="Q62" s="7" t="n"/>
      <c r="R62" s="7" t="n"/>
      <c r="S62" s="7" t="inlineStr">
        <is>
          <t>upper-upscale</t>
        </is>
      </c>
      <c r="T62" s="7" t="inlineStr">
        <is>
          <t>Full-service Hyatt Regency near Anschutz Medical Campus and Veterans Hospital.</t>
        </is>
      </c>
    </row>
    <row r="63" ht="15.75" customHeight="1" s="34">
      <c r="A63" s="7" t="inlineStr">
        <is>
          <t>Sonesta Denver Downtown</t>
        </is>
      </c>
      <c r="B63" s="7" t="inlineStr">
        <is>
          <t>Hotel</t>
        </is>
      </c>
      <c r="C63" s="7" t="inlineStr">
        <is>
          <t>False</t>
        </is>
      </c>
      <c r="D63" s="7" t="inlineStr">
        <is>
          <t>1450 Glenarm Pl, Denver, CO 80202</t>
        </is>
      </c>
      <c r="E63" s="7" t="inlineStr">
        <is>
          <t>YES</t>
        </is>
      </c>
      <c r="F63" s="7" t="inlineStr">
        <is>
          <t>(303) 573-1450</t>
        </is>
      </c>
      <c r="G63" s="7" t="n"/>
      <c r="H63" s="11" t="inlineStr">
        <is>
          <t>https://www.sonesta.com/sonesta-hotels-resorts/co/denver/sonesta-denver-downtown</t>
        </is>
      </c>
      <c r="I63" s="12" t="n">
        <v>47</v>
      </c>
      <c r="J63" s="7" t="inlineStr">
        <is>
          <t>No Valet</t>
        </is>
      </c>
      <c r="K63" s="13" t="n">
        <v>380</v>
      </c>
      <c r="L63" s="7" t="n"/>
      <c r="M63" s="7" t="n"/>
      <c r="N63" s="7" t="inlineStr">
        <is>
          <t>Jason Polland</t>
        </is>
      </c>
      <c r="O63" s="7" t="n"/>
      <c r="P63" s="7" t="n"/>
      <c r="Q63" s="7" t="n"/>
      <c r="R63" s="7" t="n"/>
      <c r="S63" s="7" t="inlineStr">
        <is>
          <t>upper-upscale</t>
        </is>
      </c>
      <c r="T63" s="7" t="inlineStr">
        <is>
          <t>Large downtown full-service hotel. No valet currently - good prospect.</t>
        </is>
      </c>
    </row>
    <row r="64" ht="15.75" customHeight="1" s="34">
      <c r="A64" s="7" t="inlineStr">
        <is>
          <t>Vīb Hotel by Best Western Denver RiNo</t>
        </is>
      </c>
      <c r="B64" s="7" t="inlineStr">
        <is>
          <t>Hotel</t>
        </is>
      </c>
      <c r="C64" s="7" t="inlineStr">
        <is>
          <t>False</t>
        </is>
      </c>
      <c r="D64" s="7" t="inlineStr">
        <is>
          <t>3560 Brighton Blvd, Denver, CO 80216</t>
        </is>
      </c>
      <c r="E64" s="7" t="inlineStr">
        <is>
          <t>NO</t>
        </is>
      </c>
      <c r="F64" s="7" t="inlineStr">
        <is>
          <t>(720) 844-3100</t>
        </is>
      </c>
      <c r="G64" s="7" t="n"/>
      <c r="H64" s="11" t="inlineStr">
        <is>
          <t>https://www.bestwestern.com/en_US/book/hotels-in-denver/v%C4%ABb-hotel-by-best-western-denver-rino/propertyCode.06199.html</t>
        </is>
      </c>
      <c r="I64" s="12" t="n">
        <v>15</v>
      </c>
      <c r="J64" s="7" t="inlineStr">
        <is>
          <t>No Valet</t>
        </is>
      </c>
      <c r="K64" s="13" t="n">
        <v>140</v>
      </c>
      <c r="L64" s="7" t="n"/>
      <c r="M64" s="7" t="n"/>
      <c r="N64" s="7" t="n"/>
      <c r="O64" s="7" t="inlineStr">
        <is>
          <t>TWC Management</t>
        </is>
      </c>
      <c r="P64" s="7" t="n"/>
      <c r="Q64" s="7" t="n"/>
      <c r="R64" s="7" t="n"/>
      <c r="S64" s="7" t="inlineStr">
        <is>
          <t>midscale</t>
        </is>
      </c>
      <c r="T64" s="7" t="inlineStr">
        <is>
          <t>Best Western Vib lifestyle brand in RiNo.</t>
        </is>
      </c>
    </row>
    <row r="65" ht="15.75" customHeight="1" s="34">
      <c r="A65" s="7" t="inlineStr">
        <is>
          <t>Element Denver Downtown East</t>
        </is>
      </c>
      <c r="B65" s="7" t="inlineStr">
        <is>
          <t>Hotel</t>
        </is>
      </c>
      <c r="C65" s="7" t="inlineStr">
        <is>
          <t>False</t>
        </is>
      </c>
      <c r="D65" s="7" t="inlineStr">
        <is>
          <t>1314 Elati St, Denver, CO 80204</t>
        </is>
      </c>
      <c r="E65" s="7" t="inlineStr">
        <is>
          <t>NO</t>
        </is>
      </c>
      <c r="F65" s="7" t="inlineStr">
        <is>
          <t>(720) 614-5555</t>
        </is>
      </c>
      <c r="G65" s="7" t="n"/>
      <c r="H65" s="11" t="inlineStr">
        <is>
          <t>https://www.marriott.com/en-us/hotels/dened-element-denver-downtown-east/overview/</t>
        </is>
      </c>
      <c r="I65" s="12" t="n">
        <v>35</v>
      </c>
      <c r="J65" s="7" t="inlineStr">
        <is>
          <t>No Valet</t>
        </is>
      </c>
      <c r="K65" s="13" t="n">
        <v>157</v>
      </c>
      <c r="L65" s="7" t="n"/>
      <c r="M65" s="7" t="n"/>
      <c r="N65" s="7" t="inlineStr">
        <is>
          <t>Alexa</t>
        </is>
      </c>
      <c r="O65" s="7" t="n"/>
      <c r="P65" s="7" t="n"/>
      <c r="Q65" s="7" t="n"/>
      <c r="R65" s="7" t="n"/>
      <c r="S65" s="7" t="inlineStr">
        <is>
          <t>upscale</t>
        </is>
      </c>
      <c r="T65" s="7" t="inlineStr">
        <is>
          <t>Extended stay Marriott Element brand.</t>
        </is>
      </c>
    </row>
    <row r="66" ht="15.75" customHeight="1" s="34">
      <c r="A66" s="7" t="inlineStr">
        <is>
          <t>DoubleTree by Hilton Hotel Denver Tech Center</t>
        </is>
      </c>
      <c r="B66" s="7" t="inlineStr">
        <is>
          <t>Hotel</t>
        </is>
      </c>
      <c r="C66" s="7" t="inlineStr">
        <is>
          <t>False</t>
        </is>
      </c>
      <c r="D66" s="7" t="inlineStr">
        <is>
          <t>7801 East Orchard Rd, Greenwood Village, CO 80111</t>
        </is>
      </c>
      <c r="E66" s="7" t="inlineStr">
        <is>
          <t>NO</t>
        </is>
      </c>
      <c r="F66" s="7" t="inlineStr">
        <is>
          <t>(303) 779-6161</t>
        </is>
      </c>
      <c r="G66" s="7" t="n"/>
      <c r="H66" s="11" t="inlineStr">
        <is>
          <t>https://www.hilton.com/en/hotels/denewdt-doubletree-denver-tech-center/</t>
        </is>
      </c>
      <c r="I66" s="7" t="inlineStr">
        <is>
          <t>Free</t>
        </is>
      </c>
      <c r="J66" s="7" t="inlineStr">
        <is>
          <t>No Valet</t>
        </is>
      </c>
      <c r="K66" s="13" t="n">
        <v>305</v>
      </c>
      <c r="L66" s="7" t="n"/>
      <c r="M66" s="7" t="n"/>
      <c r="N66" s="7" t="n"/>
      <c r="O66" s="7" t="n"/>
      <c r="P66" s="7" t="n"/>
      <c r="Q66" s="7" t="n"/>
      <c r="R66" s="7" t="n"/>
      <c r="S66" s="7" t="inlineStr">
        <is>
          <t>upscale</t>
        </is>
      </c>
      <c r="T66" s="7" t="inlineStr">
        <is>
          <t>Free self-parking. No valet. Prospect for valet program. Near Oracle, Deloitte. Free shuttle.</t>
        </is>
      </c>
    </row>
    <row r="67" ht="15.75" customHeight="1" s="34">
      <c r="A67" s="7" t="inlineStr">
        <is>
          <t>Embassy Suites by Hilton Denver Tech Center</t>
        </is>
      </c>
      <c r="B67" s="7" t="inlineStr">
        <is>
          <t>Hotel</t>
        </is>
      </c>
      <c r="C67" s="7" t="inlineStr">
        <is>
          <t>False</t>
        </is>
      </c>
      <c r="D67" s="7" t="inlineStr">
        <is>
          <t>10250 East Costilla Avenue, Centennial, CO 80112</t>
        </is>
      </c>
      <c r="E67" s="7" t="inlineStr">
        <is>
          <t>NO</t>
        </is>
      </c>
      <c r="F67" s="7" t="inlineStr">
        <is>
          <t>(855) 605-0319</t>
        </is>
      </c>
      <c r="G67" s="7" t="n"/>
      <c r="H67" s="11" t="inlineStr">
        <is>
          <t>https://www.hilton.com/en/hotels/dentces-embassy-suites-denver-tech-center/</t>
        </is>
      </c>
      <c r="I67" s="12" t="n">
        <v>20</v>
      </c>
      <c r="J67" s="7" t="inlineStr">
        <is>
          <t>No Valet</t>
        </is>
      </c>
      <c r="K67" s="13" t="n">
        <v>236</v>
      </c>
      <c r="L67" s="7" t="n"/>
      <c r="M67" s="7" t="n"/>
      <c r="N67" s="7" t="n"/>
      <c r="O67" s="7" t="n"/>
      <c r="P67" s="7" t="n"/>
      <c r="Q67" s="7" t="n"/>
      <c r="R67" s="7" t="n"/>
      <c r="S67" s="7" t="inlineStr">
        <is>
          <t>upper-upscale</t>
        </is>
      </c>
      <c r="T67" s="7" t="inlineStr">
        <is>
          <t>236 rooms. No valet available. Self-park $20/day. Near Inverness Business Park, TopGolf. Good prospect for valet.</t>
        </is>
      </c>
    </row>
    <row r="68" ht="15.75" customHeight="1" s="34">
      <c r="A68" s="7" t="inlineStr">
        <is>
          <t>The Inverness Denver, a Hilton Golf &amp; Spa Resort</t>
        </is>
      </c>
      <c r="B68" s="7" t="inlineStr">
        <is>
          <t>Hotel</t>
        </is>
      </c>
      <c r="C68" s="7" t="inlineStr">
        <is>
          <t>False</t>
        </is>
      </c>
      <c r="D68" s="7" t="inlineStr">
        <is>
          <t>200 Inverness Drive West, Englewood, CO 80112</t>
        </is>
      </c>
      <c r="E68" s="7" t="inlineStr">
        <is>
          <t>NO</t>
        </is>
      </c>
      <c r="F68" s="7" t="inlineStr">
        <is>
          <t>(303) 799-5800</t>
        </is>
      </c>
      <c r="G68" s="7" t="n"/>
      <c r="H68" s="11" t="inlineStr">
        <is>
          <t>https://www.hilton.com/en/hotels/denirhh-the-inverness-denver-a-hilton-golf-and-spa-resort/</t>
        </is>
      </c>
      <c r="I68" s="7" t="inlineStr">
        <is>
          <t>Free</t>
        </is>
      </c>
      <c r="J68" s="7" t="inlineStr">
        <is>
          <t>Free (included in resort fee)</t>
        </is>
      </c>
      <c r="K68" s="13" t="n">
        <v>302</v>
      </c>
      <c r="L68" s="7" t="n"/>
      <c r="M68" s="7" t="n"/>
      <c r="N68" s="7" t="n"/>
      <c r="O68" s="7" t="n"/>
      <c r="P68" s="7" t="n"/>
      <c r="Q68" s="7" t="n"/>
      <c r="R68" s="7" t="inlineStr">
        <is>
          <t>In House</t>
        </is>
      </c>
      <c r="S68" s="7" t="inlineStr">
        <is>
          <t>upper-upscale</t>
        </is>
      </c>
      <c r="T68" s="7" t="inlineStr">
        <is>
          <t>Full resort with 18-hole golf, spa. 302 rooms. Valet included in resort fee. Valet operated in-house.</t>
        </is>
      </c>
    </row>
    <row r="69" ht="15.75" customHeight="1" s="34">
      <c r="A69" s="7" t="inlineStr">
        <is>
          <t>Embassy Suites by Hilton Denver Tech Center North</t>
        </is>
      </c>
      <c r="B69" s="7" t="inlineStr">
        <is>
          <t>Hotel</t>
        </is>
      </c>
      <c r="C69" s="7" t="inlineStr">
        <is>
          <t>False</t>
        </is>
      </c>
      <c r="D69" s="7" t="inlineStr">
        <is>
          <t>7525 East Hampden Ave, Denver, CO 80231</t>
        </is>
      </c>
      <c r="E69" s="7" t="inlineStr">
        <is>
          <t>NO</t>
        </is>
      </c>
      <c r="F69" s="7" t="inlineStr">
        <is>
          <t>(303) 696-6644</t>
        </is>
      </c>
      <c r="G69" s="7" t="n"/>
      <c r="H69" s="11" t="inlineStr">
        <is>
          <t>https://www.hilton.com/en/hotels/deneses-embassy-suites-denver-tech-center-north/</t>
        </is>
      </c>
      <c r="I69" s="7" t="inlineStr">
        <is>
          <t>Free</t>
        </is>
      </c>
      <c r="J69" s="7" t="inlineStr">
        <is>
          <t>No Valet</t>
        </is>
      </c>
      <c r="K69" s="13" t="n">
        <v>205</v>
      </c>
      <c r="L69" s="7" t="n"/>
      <c r="M69" s="7" t="n"/>
      <c r="N69" s="7" t="n"/>
      <c r="O69" s="7" t="n"/>
      <c r="P69" s="7" t="n"/>
      <c r="Q69" s="7" t="n"/>
      <c r="R69" s="7" t="n"/>
      <c r="S69" s="7" t="inlineStr">
        <is>
          <t>upper-upscale</t>
        </is>
      </c>
      <c r="T69" s="7" t="inlineStr">
        <is>
          <t>205 rooms (sold April 2024). Near Cherry Creek, Aurora, DTC North. Free parking. Good valet prospect.</t>
        </is>
      </c>
    </row>
    <row r="70" ht="15.75" customHeight="1" s="34">
      <c r="A70" s="7" t="inlineStr">
        <is>
          <t>Denver Marriott South at Park Meadows</t>
        </is>
      </c>
      <c r="B70" s="7" t="inlineStr">
        <is>
          <t>Hotel</t>
        </is>
      </c>
      <c r="C70" s="7" t="inlineStr">
        <is>
          <t>False</t>
        </is>
      </c>
      <c r="D70" s="7" t="inlineStr">
        <is>
          <t>10345 Park Meadows Drive, Lone Tree, CO 80124</t>
        </is>
      </c>
      <c r="E70" s="7" t="inlineStr">
        <is>
          <t>NO</t>
        </is>
      </c>
      <c r="F70" s="7" t="inlineStr">
        <is>
          <t>(303) 925-0004</t>
        </is>
      </c>
      <c r="G70" s="7" t="n"/>
      <c r="H70" s="11" t="inlineStr">
        <is>
          <t>https://www.marriott.com/en-us/hotels/denms-denver-marriott-south-at-park-meadows/overview/</t>
        </is>
      </c>
      <c r="I70" s="12" t="n">
        <v>12</v>
      </c>
      <c r="J70" s="7" t="inlineStr">
        <is>
          <t>No Valet</t>
        </is>
      </c>
      <c r="K70" s="13" t="n">
        <v>279</v>
      </c>
      <c r="L70" s="7" t="n"/>
      <c r="M70" s="7" t="n"/>
      <c r="N70" s="7" t="n"/>
      <c r="O70" s="7" t="n"/>
      <c r="P70" s="7" t="n"/>
      <c r="Q70" s="7" t="n"/>
      <c r="R70" s="7" t="n"/>
      <c r="S70" s="7" t="inlineStr">
        <is>
          <t>upper-upscale</t>
        </is>
      </c>
      <c r="T70" s="7" t="inlineStr">
        <is>
          <t>Full-service Marriott near Park Meadows Mall. 279 committable rooms. No valet - strong prospect.</t>
        </is>
      </c>
    </row>
    <row r="71" ht="15.75" customHeight="1" s="34">
      <c r="A71" s="7" t="inlineStr">
        <is>
          <t>Hilton Garden Inn Denver Tech Center</t>
        </is>
      </c>
      <c r="B71" s="7" t="inlineStr">
        <is>
          <t>Hotel</t>
        </is>
      </c>
      <c r="C71" s="7" t="inlineStr">
        <is>
          <t>False</t>
        </is>
      </c>
      <c r="D71" s="7" t="inlineStr">
        <is>
          <t>7675 East Union Ave., Denver, CO 80237</t>
        </is>
      </c>
      <c r="E71" s="7" t="inlineStr">
        <is>
          <t>NO</t>
        </is>
      </c>
      <c r="F71" s="7" t="inlineStr">
        <is>
          <t>(303) 770-7800</t>
        </is>
      </c>
      <c r="G71" s="7" t="n"/>
      <c r="H71" s="11" t="inlineStr">
        <is>
          <t>https://www.hilton.com/en/hotels/dentrgi-hilton-garden-inn-denver-tech-center/</t>
        </is>
      </c>
      <c r="I71" s="12" t="n">
        <v>14</v>
      </c>
      <c r="J71" s="7" t="inlineStr">
        <is>
          <t>No Valet</t>
        </is>
      </c>
      <c r="K71" s="13" t="n">
        <v>180</v>
      </c>
      <c r="L71" s="7" t="n"/>
      <c r="M71" s="7" t="n"/>
      <c r="N71" s="7" t="n"/>
      <c r="O71" s="7" t="n"/>
      <c r="P71" s="7" t="n"/>
      <c r="Q71" s="7" t="n"/>
      <c r="R71" s="7" t="n"/>
      <c r="S71" s="7" t="inlineStr">
        <is>
          <t>upscale</t>
        </is>
      </c>
      <c r="T71" s="7" t="inlineStr">
        <is>
          <t>180 rooms (sold Jan 2024). Near Belleview Station lightrail. Self-park $14/day. No valet - prospect.</t>
        </is>
      </c>
    </row>
    <row r="72" ht="15.75" customHeight="1" s="34">
      <c r="A72" s="7" t="inlineStr">
        <is>
          <t>DoubleTree by Hilton Hotel Denver - Aurora</t>
        </is>
      </c>
      <c r="B72" s="7" t="inlineStr">
        <is>
          <t>Hotel</t>
        </is>
      </c>
      <c r="C72" s="7" t="inlineStr">
        <is>
          <t>False</t>
        </is>
      </c>
      <c r="D72" s="7" t="inlineStr">
        <is>
          <t>3203 N. Peoria St, Aurora, CO 80010</t>
        </is>
      </c>
      <c r="E72" s="7" t="inlineStr">
        <is>
          <t>NO</t>
        </is>
      </c>
      <c r="F72" s="7" t="inlineStr">
        <is>
          <t>(303) 371-0800</t>
        </is>
      </c>
      <c r="G72" s="7" t="n"/>
      <c r="H72" s="11" t="inlineStr">
        <is>
          <t>https://www.hilton.com/en/hotels/denitdt-doubletree-denver-aurora/</t>
        </is>
      </c>
      <c r="I72" s="7" t="inlineStr">
        <is>
          <t>Free</t>
        </is>
      </c>
      <c r="J72" s="7" t="inlineStr">
        <is>
          <t>No Valet</t>
        </is>
      </c>
      <c r="K72" s="13" t="n">
        <v>248</v>
      </c>
      <c r="L72" s="7" t="n"/>
      <c r="M72" s="7" t="n"/>
      <c r="N72" s="7" t="n"/>
      <c r="O72" s="7" t="n"/>
      <c r="P72" s="7" t="n"/>
      <c r="Q72" s="7" t="n"/>
      <c r="R72" s="7" t="n"/>
      <c r="S72" s="7" t="inlineStr">
        <is>
          <t>upscale</t>
        </is>
      </c>
      <c r="T72" s="7" t="inlineStr">
        <is>
          <t>Free parking and free airport shuttle. Near I-225 and I-70. 14,000 sq ft event space.</t>
        </is>
      </c>
    </row>
    <row r="73" ht="15.75" customHeight="1" s="34">
      <c r="A73" s="7" t="inlineStr">
        <is>
          <t>Crowne Plaza Denver Airport Convention Center</t>
        </is>
      </c>
      <c r="B73" s="7" t="inlineStr">
        <is>
          <t>Hotel</t>
        </is>
      </c>
      <c r="C73" s="7" t="inlineStr">
        <is>
          <t>False</t>
        </is>
      </c>
      <c r="D73" s="7" t="inlineStr">
        <is>
          <t>15500 East 40th Ave, Denver, CO 80239</t>
        </is>
      </c>
      <c r="E73" s="7" t="inlineStr">
        <is>
          <t>NO</t>
        </is>
      </c>
      <c r="F73" s="7" t="inlineStr">
        <is>
          <t>(303) 371-9494</t>
        </is>
      </c>
      <c r="G73" s="7" t="n"/>
      <c r="H73" s="11" t="inlineStr">
        <is>
          <t>https://www.ihg.com/crowneplaza/hotels/us/en/denver/denap/hoteldetail</t>
        </is>
      </c>
      <c r="I73" s="12" t="n">
        <v>10</v>
      </c>
      <c r="J73" s="7" t="inlineStr">
        <is>
          <t>No Valet</t>
        </is>
      </c>
      <c r="K73" s="13" t="n">
        <v>255</v>
      </c>
      <c r="L73" s="7" t="n"/>
      <c r="M73" s="7" t="n"/>
      <c r="N73" s="7" t="n"/>
      <c r="O73" s="7" t="inlineStr">
        <is>
          <t>IHG</t>
        </is>
      </c>
      <c r="P73" s="7" t="n"/>
      <c r="Q73" s="7" t="n"/>
      <c r="R73" s="7" t="n"/>
      <c r="S73" s="7" t="inlineStr">
        <is>
          <t>upscale</t>
        </is>
      </c>
      <c r="T73" s="7" t="inlineStr">
        <is>
          <t>255 rooms. 24/7 airport shuttle. Near DIA. Sold June 2024. Park and fly hotel. Note: reported as closed in some reviews - verify status.</t>
        </is>
      </c>
    </row>
    <row r="74" ht="15.75" customHeight="1" s="34">
      <c r="A74" s="7" t="inlineStr">
        <is>
          <t>Courtyard Denver Downtown West (Stadium Area)</t>
        </is>
      </c>
      <c r="B74" s="7" t="inlineStr">
        <is>
          <t>Hotel</t>
        </is>
      </c>
      <c r="C74" s="7" t="inlineStr">
        <is>
          <t>False</t>
        </is>
      </c>
      <c r="D74" s="7" t="inlineStr">
        <is>
          <t>1800 Federal Blvd, Denver, CO 80204</t>
        </is>
      </c>
      <c r="E74" s="7" t="inlineStr">
        <is>
          <t>NO</t>
        </is>
      </c>
      <c r="F74" s="7" t="inlineStr">
        <is>
          <t>(720) 617-0700</t>
        </is>
      </c>
      <c r="G74" s="7" t="n"/>
      <c r="H74" s="11" t="inlineStr">
        <is>
          <t>https://www.marriott.com/en-us/hotels/dencs-courtyard-denver-downtown-west/overview/</t>
        </is>
      </c>
      <c r="I74" s="12" t="n">
        <v>49</v>
      </c>
      <c r="J74" s="7" t="inlineStr">
        <is>
          <t>No Valet</t>
        </is>
      </c>
      <c r="K74" s="13" t="n">
        <v>118</v>
      </c>
      <c r="L74" s="7" t="n"/>
      <c r="M74" s="7" t="n"/>
      <c r="N74" s="7" t="n"/>
      <c r="O74" s="7" t="n"/>
      <c r="P74" s="7" t="n"/>
      <c r="Q74" s="7" t="n"/>
      <c r="R74" s="7" t="n"/>
      <c r="S74" s="7" t="inlineStr">
        <is>
          <t>upscale</t>
        </is>
      </c>
      <c r="T74" s="7" t="inlineStr">
        <is>
          <t>Opened January 2025. Adjacent to Empower Field at Mile High. 118 rooms. Panoramic city views, rooftop event space. Self-park $49/night.</t>
        </is>
      </c>
    </row>
    <row r="75" ht="15.75" customHeight="1" s="34">
      <c r="A75" s="7" t="inlineStr">
        <is>
          <t>Urban Cowboy Denver</t>
        </is>
      </c>
      <c r="B75" s="7" t="inlineStr">
        <is>
          <t>Hotel</t>
        </is>
      </c>
      <c r="C75" s="7" t="inlineStr">
        <is>
          <t>False</t>
        </is>
      </c>
      <c r="D75" s="7" t="inlineStr">
        <is>
          <t>1665 Grant St, Denver, CO 80203</t>
        </is>
      </c>
      <c r="E75" s="7" t="inlineStr">
        <is>
          <t>NO</t>
        </is>
      </c>
      <c r="F75" s="7" t="n"/>
      <c r="G75" s="7" t="n"/>
      <c r="H75" s="11" t="inlineStr">
        <is>
          <t>https://www.urbancowboy.com/denver/</t>
        </is>
      </c>
      <c r="I75" s="7" t="inlineStr">
        <is>
          <t>Free</t>
        </is>
      </c>
      <c r="J75" s="7" t="inlineStr">
        <is>
          <t>No Valet</t>
        </is>
      </c>
      <c r="K75" s="13" t="n">
        <v>9</v>
      </c>
      <c r="L75" s="7" t="n"/>
      <c r="M75" s="7" t="n"/>
      <c r="N75" s="7" t="n"/>
      <c r="O75" s="7" t="inlineStr">
        <is>
          <t>Urban Cowboy Hotels</t>
        </is>
      </c>
      <c r="P75" s="7" t="n"/>
      <c r="Q75" s="7" t="n"/>
      <c r="R75" s="7" t="n"/>
      <c r="S75" s="7" t="inlineStr">
        <is>
          <t>luxury</t>
        </is>
      </c>
      <c r="T75" s="7" t="inlineStr">
        <is>
          <t>Opened October 2024. Boutique hotel in historic George Schleier Mansion (1886). 9 rooms - below valet threshold but notable new luxury opening. Wood-fire pizza restaurant.</t>
        </is>
      </c>
    </row>
    <row r="76" ht="15.75" customHeight="1" s="34">
      <c r="A76" s="7" t="inlineStr">
        <is>
          <t>Hyatt Place Denver/Cherry Creek</t>
        </is>
      </c>
      <c r="B76" s="7" t="inlineStr">
        <is>
          <t>Hotel</t>
        </is>
      </c>
      <c r="C76" s="7" t="inlineStr">
        <is>
          <t>False</t>
        </is>
      </c>
      <c r="D76" s="7" t="inlineStr">
        <is>
          <t>4150 East Mississippi Avenue, Glendale, CO 80246</t>
        </is>
      </c>
      <c r="E76" s="7" t="inlineStr">
        <is>
          <t>NO</t>
        </is>
      </c>
      <c r="F76" s="7" t="inlineStr">
        <is>
          <t>(303) 782-9300</t>
        </is>
      </c>
      <c r="G76" s="7" t="n"/>
      <c r="H76" s="11" t="inlineStr">
        <is>
          <t>https://www.hyatt.com/hyatt-place/en-US/dengc-hyatt-place-denver-cherry-creek</t>
        </is>
      </c>
      <c r="I76" s="7" t="inlineStr">
        <is>
          <t>Free</t>
        </is>
      </c>
      <c r="J76" s="7" t="inlineStr">
        <is>
          <t>No Valet</t>
        </is>
      </c>
      <c r="K76" s="13" t="n">
        <v>133</v>
      </c>
      <c r="L76" s="7" t="n"/>
      <c r="M76" s="7" t="n"/>
      <c r="N76" s="7" t="n"/>
      <c r="O76" s="7" t="n"/>
      <c r="P76" s="7" t="n"/>
      <c r="Q76" s="7" t="n"/>
      <c r="R76" s="7" t="n"/>
      <c r="S76" s="7" t="inlineStr">
        <is>
          <t>upscale</t>
        </is>
      </c>
      <c r="T76" s="7" t="inlineStr">
        <is>
          <t>Near Cherry Creek and University of Denver. Free parking.</t>
        </is>
      </c>
    </row>
    <row r="77" ht="15.75" customHeight="1" s="34">
      <c r="A77" s="7" t="inlineStr">
        <is>
          <t>Hyatt Place Denver Tech Center</t>
        </is>
      </c>
      <c r="B77" s="7" t="inlineStr">
        <is>
          <t>Hotel</t>
        </is>
      </c>
      <c r="C77" s="7" t="inlineStr">
        <is>
          <t>False</t>
        </is>
      </c>
      <c r="D77" s="7" t="inlineStr">
        <is>
          <t>8300 East Crescent Parkway, Greenwood Village, CO 80111</t>
        </is>
      </c>
      <c r="E77" s="7" t="inlineStr">
        <is>
          <t>NO</t>
        </is>
      </c>
      <c r="F77" s="7" t="inlineStr">
        <is>
          <t>(303) 804-0700</t>
        </is>
      </c>
      <c r="G77" s="7" t="n"/>
      <c r="H77" s="11" t="inlineStr">
        <is>
          <t>https://www.hyatt.com/hyatt-place/en-US/denzt-hyatt-place-denver-tech-center</t>
        </is>
      </c>
      <c r="I77" s="7" t="inlineStr">
        <is>
          <t>Free</t>
        </is>
      </c>
      <c r="J77" s="7" t="inlineStr">
        <is>
          <t>No Valet</t>
        </is>
      </c>
      <c r="K77" s="13" t="n">
        <v>126</v>
      </c>
      <c r="L77" s="7" t="n"/>
      <c r="M77" s="7" t="n"/>
      <c r="N77" s="7" t="n"/>
      <c r="O77" s="7" t="n"/>
      <c r="P77" s="7" t="n"/>
      <c r="Q77" s="7" t="n"/>
      <c r="R77" s="7" t="n"/>
      <c r="S77" s="7" t="inlineStr">
        <is>
          <t>upscale</t>
        </is>
      </c>
      <c r="T77" s="7" t="inlineStr">
        <is>
          <t>In DTC Greenwood Village. Free parking. Near Park Meadows Mall.</t>
        </is>
      </c>
    </row>
    <row r="78" ht="15.75" customHeight="1" s="34">
      <c r="A78" s="7" t="inlineStr">
        <is>
          <t>Hyatt Place Denver Airport</t>
        </is>
      </c>
      <c r="B78" s="7" t="inlineStr">
        <is>
          <t>Hotel</t>
        </is>
      </c>
      <c r="C78" s="7" t="inlineStr">
        <is>
          <t>False</t>
        </is>
      </c>
      <c r="D78" s="7" t="inlineStr">
        <is>
          <t>16250 East 40th Avenue, Aurora, CO 80011</t>
        </is>
      </c>
      <c r="E78" s="7" t="inlineStr">
        <is>
          <t>NO</t>
        </is>
      </c>
      <c r="F78" s="7" t="inlineStr">
        <is>
          <t>(720) 875-2200</t>
        </is>
      </c>
      <c r="G78" s="7" t="n"/>
      <c r="H78" s="11" t="inlineStr">
        <is>
          <t>https://www.hyatt.com/hyatt-place/en-US/denza-hyatt-place-denver-airport</t>
        </is>
      </c>
      <c r="I78" s="7" t="inlineStr">
        <is>
          <t>Free</t>
        </is>
      </c>
      <c r="J78" s="7" t="inlineStr">
        <is>
          <t>No Valet</t>
        </is>
      </c>
      <c r="K78" s="13" t="n">
        <v>127</v>
      </c>
      <c r="L78" s="7" t="n"/>
      <c r="M78" s="7" t="n"/>
      <c r="N78" s="7" t="n"/>
      <c r="O78" s="7" t="n"/>
      <c r="P78" s="7" t="n"/>
      <c r="Q78" s="7" t="n"/>
      <c r="R78" s="7" t="n"/>
      <c r="S78" s="7" t="inlineStr">
        <is>
          <t>upscale</t>
        </is>
      </c>
      <c r="T78" s="7" t="inlineStr">
        <is>
          <t>Free parking and free airport shuttle. Near Gateway Park business district.</t>
        </is>
      </c>
    </row>
    <row r="79" ht="15.75" customHeight="1" s="34">
      <c r="A79" s="7" t="inlineStr">
        <is>
          <t>Hyatt Place Peña Station / Denver Airport</t>
        </is>
      </c>
      <c r="B79" s="7" t="inlineStr">
        <is>
          <t>Hotel</t>
        </is>
      </c>
      <c r="C79" s="7" t="inlineStr">
        <is>
          <t>False</t>
        </is>
      </c>
      <c r="D79" s="7" t="inlineStr">
        <is>
          <t>6110 North Panasonic Way, Denver, CO 80249</t>
        </is>
      </c>
      <c r="E79" s="7" t="inlineStr">
        <is>
          <t>NO</t>
        </is>
      </c>
      <c r="F79" s="7" t="inlineStr">
        <is>
          <t>(720) 484-9300</t>
        </is>
      </c>
      <c r="G79" s="7" t="n"/>
      <c r="H79" s="11" t="inlineStr">
        <is>
          <t>https://www.hyatt.com/hyatt-place/en-US/denps-hyatt-place-pena-station-denver-airport</t>
        </is>
      </c>
      <c r="I79" s="7" t="inlineStr">
        <is>
          <t>Free</t>
        </is>
      </c>
      <c r="J79" s="7" t="inlineStr">
        <is>
          <t>No Valet</t>
        </is>
      </c>
      <c r="K79" s="13" t="n">
        <v>150</v>
      </c>
      <c r="L79" s="7" t="n"/>
      <c r="M79" s="7" t="n"/>
      <c r="N79" s="7" t="n"/>
      <c r="O79" s="7" t="n"/>
      <c r="P79" s="7" t="n"/>
      <c r="Q79" s="7" t="n"/>
      <c r="R79" s="7" t="n"/>
      <c r="S79" s="7" t="inlineStr">
        <is>
          <t>upscale</t>
        </is>
      </c>
      <c r="T79" s="7" t="inlineStr">
        <is>
          <t>Near DIA at Peña Station development. Free parking.</t>
        </is>
      </c>
    </row>
    <row r="80" ht="15.75" customHeight="1" s="34">
      <c r="A80" s="7" t="inlineStr">
        <is>
          <t>Aloft Denver Airport at Gateway Park</t>
        </is>
      </c>
      <c r="B80" s="7" t="inlineStr">
        <is>
          <t>Hotel</t>
        </is>
      </c>
      <c r="C80" s="7" t="inlineStr">
        <is>
          <t>False</t>
        </is>
      </c>
      <c r="D80" s="7" t="inlineStr">
        <is>
          <t>16470 East 40th Circle, Aurora, CO 80011</t>
        </is>
      </c>
      <c r="E80" s="7" t="inlineStr">
        <is>
          <t>NO</t>
        </is>
      </c>
      <c r="F80" s="7" t="inlineStr">
        <is>
          <t>(303) 371-9500</t>
        </is>
      </c>
      <c r="G80" s="7" t="n"/>
      <c r="H80" s="11" t="inlineStr">
        <is>
          <t>https://www.marriott.com/en-us/hotels/denia-aloft-denver-airport-at-gateway-park/overview/</t>
        </is>
      </c>
      <c r="I80" s="12" t="n">
        <v>16</v>
      </c>
      <c r="J80" s="7" t="inlineStr">
        <is>
          <t>No Valet</t>
        </is>
      </c>
      <c r="K80" s="13" t="n">
        <v>136</v>
      </c>
      <c r="L80" s="7" t="n"/>
      <c r="M80" s="7" t="n"/>
      <c r="N80" s="7" t="n"/>
      <c r="O80" s="7" t="n"/>
      <c r="P80" s="7" t="n"/>
      <c r="Q80" s="7" t="n"/>
      <c r="R80" s="7" t="n"/>
      <c r="S80" s="7" t="inlineStr">
        <is>
          <t>upscale</t>
        </is>
      </c>
      <c r="T80" s="7" t="inlineStr">
        <is>
          <t>Self-park $16/day. Airport area. SpotHero lists as cheapest airport parking option ($4-6/day for guests).</t>
        </is>
      </c>
    </row>
    <row r="81" ht="15.75" customHeight="1" s="34">
      <c r="A81" s="7" t="inlineStr">
        <is>
          <t>Four Points by Sheraton Englewood Centennial Airport</t>
        </is>
      </c>
      <c r="B81" s="7" t="inlineStr">
        <is>
          <t>Hotel</t>
        </is>
      </c>
      <c r="C81" s="7" t="inlineStr">
        <is>
          <t>False</t>
        </is>
      </c>
      <c r="D81" s="7" t="inlineStr">
        <is>
          <t>7770 South Peoria Street, Englewood, CO 80112</t>
        </is>
      </c>
      <c r="E81" s="7" t="inlineStr">
        <is>
          <t>NO</t>
        </is>
      </c>
      <c r="F81" s="7" t="inlineStr">
        <is>
          <t>(720) 500-5750</t>
        </is>
      </c>
      <c r="G81" s="7" t="n"/>
      <c r="H81" s="11" t="inlineStr">
        <is>
          <t>https://www.marriott.com/en-us/hotels/deneu-four-points-englewood-centennial-airport/overview/</t>
        </is>
      </c>
      <c r="I81" s="7" t="inlineStr">
        <is>
          <t>Free</t>
        </is>
      </c>
      <c r="J81" s="7" t="inlineStr">
        <is>
          <t>No Valet</t>
        </is>
      </c>
      <c r="K81" s="13" t="n">
        <v>132</v>
      </c>
      <c r="L81" s="7" t="n"/>
      <c r="M81" s="7" t="n"/>
      <c r="N81" s="7" t="n"/>
      <c r="O81" s="7" t="n"/>
      <c r="P81" s="7" t="n"/>
      <c r="Q81" s="7" t="n"/>
      <c r="R81" s="7" t="n"/>
      <c r="S81" s="7" t="inlineStr">
        <is>
          <t>upscale</t>
        </is>
      </c>
      <c r="T81" s="7" t="inlineStr">
        <is>
          <t>New hotel (opened 2025, renovated June 2025). Near Centennial Airport and DTC. Free parking.</t>
        </is>
      </c>
    </row>
    <row r="82" ht="15.75" customHeight="1" s="34">
      <c r="A82" s="7" t="inlineStr">
        <is>
          <t>Mint House Denver - Downtown Union Station</t>
        </is>
      </c>
      <c r="B82" s="7" t="inlineStr">
        <is>
          <t>Hotel</t>
        </is>
      </c>
      <c r="C82" s="7" t="inlineStr">
        <is>
          <t>False</t>
        </is>
      </c>
      <c r="D82" s="7" t="inlineStr">
        <is>
          <t>1777 Chestnut Place, Denver, CO 80202</t>
        </is>
      </c>
      <c r="E82" s="7" t="inlineStr">
        <is>
          <t>YES</t>
        </is>
      </c>
      <c r="F82" s="7" t="inlineStr">
        <is>
          <t>(855) 972-9090</t>
        </is>
      </c>
      <c r="G82" s="7" t="n"/>
      <c r="H82" s="11" t="inlineStr">
        <is>
          <t>https://minthouse.com/denver/downtown-union-station/</t>
        </is>
      </c>
      <c r="I82" s="7" t="n"/>
      <c r="J82" s="7" t="inlineStr">
        <is>
          <t>No Valet</t>
        </is>
      </c>
      <c r="K82" s="13" t="n">
        <v>40</v>
      </c>
      <c r="L82" s="7" t="n"/>
      <c r="M82" s="7" t="n"/>
      <c r="N82" s="7" t="n"/>
      <c r="O82" s="7" t="inlineStr">
        <is>
          <t>Mint House</t>
        </is>
      </c>
      <c r="P82" s="7" t="n"/>
      <c r="Q82" s="7" t="n"/>
      <c r="R82" s="7" t="n"/>
      <c r="S82" s="7" t="inlineStr">
        <is>
          <t>upscale</t>
        </is>
      </c>
      <c r="T82" s="7" t="inlineStr">
        <is>
          <t>Tech-forward apartment-hotel hybrid near Union Station. Small property.</t>
        </is>
      </c>
    </row>
    <row r="83" ht="15.75" customHeight="1" s="34">
      <c r="A83" s="7" t="inlineStr">
        <is>
          <t>Sonder at Skyline</t>
        </is>
      </c>
      <c r="B83" s="7" t="inlineStr">
        <is>
          <t>Hotel</t>
        </is>
      </c>
      <c r="C83" s="7" t="inlineStr">
        <is>
          <t>False</t>
        </is>
      </c>
      <c r="D83" s="7" t="inlineStr">
        <is>
          <t>2602 Bryant St, Denver, CO 80211</t>
        </is>
      </c>
      <c r="E83" s="7" t="inlineStr">
        <is>
          <t>NO</t>
        </is>
      </c>
      <c r="F83" s="7" t="inlineStr">
        <is>
          <t>(617) 300-0956</t>
        </is>
      </c>
      <c r="G83" s="7" t="n"/>
      <c r="H83" s="11" t="inlineStr">
        <is>
          <t>https://www.sonder.com/destinations/denver/skyline/</t>
        </is>
      </c>
      <c r="I83" s="12" t="n">
        <v>30</v>
      </c>
      <c r="J83" s="7" t="inlineStr">
        <is>
          <t>No Valet</t>
        </is>
      </c>
      <c r="K83" s="13" t="n">
        <v>93</v>
      </c>
      <c r="L83" s="7" t="n"/>
      <c r="M83" s="7" t="n"/>
      <c r="N83" s="7" t="n"/>
      <c r="O83" s="7" t="inlineStr">
        <is>
          <t>Sonder</t>
        </is>
      </c>
      <c r="P83" s="7" t="n"/>
      <c r="Q83" s="7" t="n"/>
      <c r="R83" s="7" t="n"/>
      <c r="S83" s="7" t="inlineStr">
        <is>
          <t>upscale</t>
        </is>
      </c>
      <c r="T83" s="7" t="inlineStr">
        <is>
          <t>Opened April 2024. 93 apartment-style rooms at Highland/LoHi border.</t>
        </is>
      </c>
    </row>
    <row r="84" ht="15.75" customHeight="1" s="34">
      <c r="A84" s="7" t="inlineStr">
        <is>
          <t>Hyatt House Denver Tech Center</t>
        </is>
      </c>
      <c r="B84" s="7" t="inlineStr">
        <is>
          <t>Hotel</t>
        </is>
      </c>
      <c r="C84" s="7" t="inlineStr">
        <is>
          <t>False</t>
        </is>
      </c>
      <c r="D84" s="7" t="inlineStr">
        <is>
          <t>9280 E. Costilla Avenue, Englewood, CO 80112</t>
        </is>
      </c>
      <c r="E84" s="7" t="inlineStr">
        <is>
          <t>NO</t>
        </is>
      </c>
      <c r="F84" s="7" t="inlineStr">
        <is>
          <t>(303) 799-2000</t>
        </is>
      </c>
      <c r="G84" s="7" t="n"/>
      <c r="H84" s="11" t="inlineStr">
        <is>
          <t>https://www.hyatt.com/hyatt-house/en-US/denyh-hyatt-house-denver-tech-center</t>
        </is>
      </c>
      <c r="I84" s="7" t="inlineStr">
        <is>
          <t>Free</t>
        </is>
      </c>
      <c r="J84" s="7" t="inlineStr">
        <is>
          <t>No Valet</t>
        </is>
      </c>
      <c r="K84" s="13" t="n">
        <v>128</v>
      </c>
      <c r="L84" s="7" t="n"/>
      <c r="M84" s="7" t="n"/>
      <c r="N84" s="7" t="n"/>
      <c r="O84" s="7" t="n"/>
      <c r="P84" s="7" t="n"/>
      <c r="Q84" s="7" t="n"/>
      <c r="R84" s="7" t="n"/>
      <c r="S84" s="7" t="inlineStr">
        <is>
          <t>upscale</t>
        </is>
      </c>
      <c r="T84" s="7" t="inlineStr">
        <is>
          <t>Extended-stay Hyatt House in DTC. Free parking. Near I-25.</t>
        </is>
      </c>
    </row>
    <row r="85" ht="15.75" customHeight="1" s="34">
      <c r="A85" s="7" t="inlineStr">
        <is>
          <t>Springhill Suites by Marriott Denver Airport at Gateway Park</t>
        </is>
      </c>
      <c r="B85" s="7" t="inlineStr">
        <is>
          <t>Hotel</t>
        </is>
      </c>
      <c r="C85" s="7" t="inlineStr">
        <is>
          <t>False</t>
        </is>
      </c>
      <c r="D85" s="7" t="inlineStr">
        <is>
          <t>18350 E 68th Ave, Denver, CO 80249</t>
        </is>
      </c>
      <c r="E85" s="7" t="inlineStr">
        <is>
          <t>NO</t>
        </is>
      </c>
      <c r="F85" s="7" t="inlineStr">
        <is>
          <t>(720) 458-5000</t>
        </is>
      </c>
      <c r="G85" s="7" t="n"/>
      <c r="H85" s="11" t="inlineStr">
        <is>
          <t>https://www.marriott.com/en-us/hotels/densg-springhill-suites-denver-airport-at-gateway-park/overview/</t>
        </is>
      </c>
      <c r="I85" s="7" t="inlineStr">
        <is>
          <t>Free</t>
        </is>
      </c>
      <c r="J85" s="7" t="inlineStr">
        <is>
          <t>No Valet</t>
        </is>
      </c>
      <c r="K85" s="13" t="n">
        <v>124</v>
      </c>
      <c r="L85" s="7" t="n"/>
      <c r="M85" s="7" t="n"/>
      <c r="N85" s="7" t="n"/>
      <c r="O85" s="7" t="n"/>
      <c r="P85" s="7" t="n"/>
      <c r="Q85" s="7" t="n"/>
      <c r="R85" s="7" t="n"/>
      <c r="S85" s="7" t="inlineStr">
        <is>
          <t>upper-midscale</t>
        </is>
      </c>
      <c r="T85" s="7" t="inlineStr">
        <is>
          <t>New hotel near DIA Gateway Park. Marriott new build.</t>
        </is>
      </c>
    </row>
    <row r="86" ht="15.75" customHeight="1" s="34">
      <c r="A86" s="7" t="inlineStr">
        <is>
          <t>Hyatt House Denver Aurora Anschutz Medical Campus</t>
        </is>
      </c>
      <c r="B86" s="7" t="inlineStr">
        <is>
          <t>Hotel</t>
        </is>
      </c>
      <c r="C86" s="7" t="inlineStr">
        <is>
          <t>False</t>
        </is>
      </c>
      <c r="D86" s="7" t="inlineStr">
        <is>
          <t>12230 E. Colfax Ave., Aurora, CO 80011</t>
        </is>
      </c>
      <c r="E86" s="7" t="inlineStr">
        <is>
          <t>NO</t>
        </is>
      </c>
      <c r="F86" s="7" t="inlineStr">
        <is>
          <t>(303) 344-9600</t>
        </is>
      </c>
      <c r="G86" s="7" t="n"/>
      <c r="H86" s="11" t="inlineStr">
        <is>
          <t>https://www.hyatt.com/hyatt-house/en-US/denau-hyatt-house-denver-aurora-anschutz-medical-campus</t>
        </is>
      </c>
      <c r="I86" s="7" t="inlineStr">
        <is>
          <t>Free</t>
        </is>
      </c>
      <c r="J86" s="7" t="inlineStr">
        <is>
          <t>No Valet</t>
        </is>
      </c>
      <c r="K86" s="13" t="n">
        <v>124</v>
      </c>
      <c r="L86" s="7" t="n"/>
      <c r="M86" s="7" t="n"/>
      <c r="N86" s="7" t="n"/>
      <c r="O86" s="7" t="n"/>
      <c r="P86" s="7" t="n"/>
      <c r="Q86" s="7" t="n"/>
      <c r="R86" s="7" t="n"/>
      <c r="S86" s="7" t="inlineStr">
        <is>
          <t>upscale</t>
        </is>
      </c>
      <c r="T86" s="7" t="inlineStr">
        <is>
          <t>Extended-stay Hyatt House near Anschutz Medical Campus. 8 miles from downtown.</t>
        </is>
      </c>
    </row>
    <row r="87" ht="15.75" customHeight="1" s="34">
      <c r="A87" s="7" t="inlineStr">
        <is>
          <t>Home2 Suites by Hilton Denver Central Park</t>
        </is>
      </c>
      <c r="B87" s="7" t="inlineStr">
        <is>
          <t>Hotel</t>
        </is>
      </c>
      <c r="C87" s="7" t="inlineStr">
        <is>
          <t>False</t>
        </is>
      </c>
      <c r="D87" s="7" t="inlineStr">
        <is>
          <t>6675 N. Gaylord Rockies Blvd, Denver, CO 80238</t>
        </is>
      </c>
      <c r="E87" s="7" t="inlineStr">
        <is>
          <t>NO</t>
        </is>
      </c>
      <c r="F87" s="7" t="inlineStr">
        <is>
          <t>(303) 373-2200</t>
        </is>
      </c>
      <c r="G87" s="7" t="n"/>
      <c r="H87" s="11" t="inlineStr">
        <is>
          <t>https://www.hilton.com/en/hotels/dennfht-home2-suites-denver-central-park/</t>
        </is>
      </c>
      <c r="I87" s="7" t="inlineStr">
        <is>
          <t>Free</t>
        </is>
      </c>
      <c r="J87" s="7" t="inlineStr">
        <is>
          <t>No Valet</t>
        </is>
      </c>
      <c r="K87" s="13" t="n">
        <v>117</v>
      </c>
      <c r="L87" s="7" t="n"/>
      <c r="M87" s="7" t="n"/>
      <c r="N87" s="7" t="n"/>
      <c r="O87" s="7" t="n"/>
      <c r="P87" s="7" t="n"/>
      <c r="Q87" s="7" t="n"/>
      <c r="R87" s="7" t="n"/>
      <c r="S87" s="7" t="inlineStr">
        <is>
          <t>upper-midscale</t>
        </is>
      </c>
      <c r="T87" s="7" t="inlineStr">
        <is>
          <t>Free parking. Extended stay suites in Central Park neighborhood.</t>
        </is>
      </c>
    </row>
    <row r="88" ht="15.75" customHeight="1" s="34">
      <c r="A88" s="7" t="inlineStr">
        <is>
          <t>The Capital Grille - Denver</t>
        </is>
      </c>
      <c r="B88" s="7" t="inlineStr">
        <is>
          <t>Restaurant</t>
        </is>
      </c>
      <c r="C88" s="7" t="inlineStr">
        <is>
          <t>False</t>
        </is>
      </c>
      <c r="D88" s="7" t="inlineStr">
        <is>
          <t>1450 Larimer Street, Denver, CO 80202</t>
        </is>
      </c>
      <c r="E88" s="7" t="n"/>
      <c r="F88" s="7" t="inlineStr">
        <is>
          <t>(303) 539-2500</t>
        </is>
      </c>
      <c r="G88" s="7" t="n"/>
      <c r="H88" s="11" t="inlineStr">
        <is>
          <t>https://www.thecapitalgrille.com/locations/co/denver/denver/8018</t>
        </is>
      </c>
      <c r="I88" s="7" t="inlineStr">
        <is>
          <t>Validated parking available in nearby garages</t>
        </is>
      </c>
      <c r="J88" s="7" t="inlineStr">
        <is>
          <t>Complimentary valet (free) for private dining; standard valet available at front</t>
        </is>
      </c>
      <c r="L88" s="7" t="n"/>
      <c r="M88" s="7" t="n"/>
      <c r="N88" s="7" t="n"/>
      <c r="O88" s="7" t="inlineStr">
        <is>
          <t>Darden Restaurants</t>
        </is>
      </c>
      <c r="P88" s="7" t="n"/>
      <c r="Q88" s="7" t="n"/>
      <c r="R88" s="7" t="inlineStr">
        <is>
          <t>Unknown (Darden Restaurants brand)</t>
        </is>
      </c>
      <c r="S88" s="7" t="inlineStr">
        <is>
          <t>Fine Dining - Steakhouse</t>
        </is>
      </c>
      <c r="T88" s="7" t="inlineStr">
        <is>
          <t>Valet directly out front on Larimer Street at 15th. LoDo / Larimer Square location. $50+ avg check.</t>
        </is>
      </c>
    </row>
    <row r="89" ht="15.75" customHeight="1" s="34">
      <c r="A89" s="7" t="inlineStr">
        <is>
          <t>Ocean Prime - Denver (Larimer Square)</t>
        </is>
      </c>
      <c r="B89" s="7" t="inlineStr">
        <is>
          <t>Restaurant</t>
        </is>
      </c>
      <c r="C89" s="7" t="inlineStr">
        <is>
          <t>False</t>
        </is>
      </c>
      <c r="D89" s="7" t="inlineStr">
        <is>
          <t>1465 Larimer Street, Denver, CO 80202</t>
        </is>
      </c>
      <c r="E89" s="7" t="n"/>
      <c r="F89" s="7" t="inlineStr">
        <is>
          <t>(303) 825-3663</t>
        </is>
      </c>
      <c r="G89" s="7" t="n"/>
      <c r="H89" s="11" t="inlineStr">
        <is>
          <t>https://ocean-prime.com/locations-menus/denver-larimer-square/</t>
        </is>
      </c>
      <c r="I89" s="7" t="inlineStr">
        <is>
          <t>$15 with validation in nearby garage</t>
        </is>
      </c>
      <c r="J89" s="7" t="inlineStr">
        <is>
          <t>$25 valet or $15 validated at host desk</t>
        </is>
      </c>
      <c r="L89" s="7" t="n"/>
      <c r="M89" s="7" t="n"/>
      <c r="N89" s="7" t="n"/>
      <c r="O89" s="7" t="inlineStr">
        <is>
          <t>Cameron Mitchell Restaurants</t>
        </is>
      </c>
      <c r="P89" s="7" t="n"/>
      <c r="Q89" s="7" t="n"/>
      <c r="R89" s="7" t="inlineStr">
        <is>
          <t>Cameron Mitchell Restaurants</t>
        </is>
      </c>
      <c r="S89" s="7" t="inlineStr">
        <is>
          <t>Fine Dining - Seafood/Steakhouse</t>
        </is>
      </c>
      <c r="T89" s="7" t="inlineStr">
        <is>
          <t>LoDo / Larimer Square. Corner of 15th and Larimer. Avg check $50+. Valet confirmed via OpenTable.</t>
        </is>
      </c>
    </row>
    <row r="90" ht="15.75" customHeight="1" s="34">
      <c r="A90" s="7" t="inlineStr">
        <is>
          <t>Ruth's Chris Steak House - Denver</t>
        </is>
      </c>
      <c r="B90" s="7" t="inlineStr">
        <is>
          <t>Restaurant</t>
        </is>
      </c>
      <c r="C90" s="7" t="inlineStr">
        <is>
          <t>False</t>
        </is>
      </c>
      <c r="D90" s="7" t="inlineStr">
        <is>
          <t>707 15th Street, Denver, CO 80202</t>
        </is>
      </c>
      <c r="E90" s="7" t="n"/>
      <c r="F90" s="7" t="inlineStr">
        <is>
          <t>(303) 825-0713</t>
        </is>
      </c>
      <c r="G90" s="7" t="n"/>
      <c r="H90" s="11" t="inlineStr">
        <is>
          <t>https://www.ruthschris.com/restaurant-locations/denver/</t>
        </is>
      </c>
      <c r="I90" s="7" t="inlineStr">
        <is>
          <t>Nearby public garages; Embassy Suites valet nearby at $185/month</t>
        </is>
      </c>
      <c r="J90" s="7" t="inlineStr">
        <is>
          <t>Available (rate not published)</t>
        </is>
      </c>
      <c r="L90" s="7" t="n"/>
      <c r="M90" s="7" t="n"/>
      <c r="N90" s="7" t="n"/>
      <c r="O90" s="7" t="inlineStr">
        <is>
          <t>Ruth's Hospitality Group (Dine Brands)</t>
        </is>
      </c>
      <c r="P90" s="7" t="n"/>
      <c r="Q90" s="7" t="n"/>
      <c r="R90" s="7" t="inlineStr">
        <is>
          <t>Ruth's Hospitality Group</t>
        </is>
      </c>
      <c r="S90" s="7" t="inlineStr">
        <is>
          <t>Fine Dining - Steakhouse</t>
        </is>
      </c>
      <c r="T90" s="7" t="inlineStr">
        <is>
          <t>Downtown Denver / CBD. Valet confirmed via OpenTable and TripAdvisor. Avg check $75+.</t>
        </is>
      </c>
    </row>
    <row r="91" ht="15.75" customHeight="1" s="34">
      <c r="A91" s="7" t="inlineStr">
        <is>
          <t>STK Steakhouse Denver</t>
        </is>
      </c>
      <c r="B91" s="7" t="inlineStr">
        <is>
          <t>Restaurant</t>
        </is>
      </c>
      <c r="C91" s="7" t="inlineStr">
        <is>
          <t>False</t>
        </is>
      </c>
      <c r="D91" s="7" t="inlineStr">
        <is>
          <t>1550 Market Street, Denver, CO 80202</t>
        </is>
      </c>
      <c r="E91" s="7" t="n"/>
      <c r="F91" s="7" t="inlineStr">
        <is>
          <t>(720) 597-8010</t>
        </is>
      </c>
      <c r="G91" s="7" t="n"/>
      <c r="H91" s="11" t="inlineStr">
        <is>
          <t>https://stksteakhouse.com/en-us/location/denver/</t>
        </is>
      </c>
      <c r="I91" s="7" t="inlineStr">
        <is>
          <t>Free garage parking for lunch patrons until 4 PM. Market Station Valet Only Garage nearby at ~$23.</t>
        </is>
      </c>
      <c r="J91" s="7" t="inlineStr">
        <is>
          <t>No Valet</t>
        </is>
      </c>
      <c r="L91" s="7" t="n"/>
      <c r="M91" s="7" t="n"/>
      <c r="N91" s="7" t="n"/>
      <c r="O91" s="7" t="inlineStr">
        <is>
          <t>ONE Group Hospitality</t>
        </is>
      </c>
      <c r="P91" s="7" t="n"/>
      <c r="Q91" s="7" t="n"/>
      <c r="R91" s="7" t="inlineStr">
        <is>
          <t>ONE Group Hospitality</t>
        </is>
      </c>
      <c r="S91" s="7" t="inlineStr">
        <is>
          <t>Fine Dining - Steakhouse</t>
        </is>
      </c>
      <c r="T91" s="7" t="inlineStr">
        <is>
          <t>LoDo near Market Street and Union Station. Guests directed to nearby LoDo garages. Strong candidate for valet program. Avg check $60+.</t>
        </is>
      </c>
    </row>
    <row r="92" ht="15.75" customHeight="1" s="34">
      <c r="A92" s="7" t="inlineStr">
        <is>
          <t>Guard &amp; Grace</t>
        </is>
      </c>
      <c r="B92" s="7" t="inlineStr">
        <is>
          <t>Restaurant</t>
        </is>
      </c>
      <c r="C92" s="7" t="inlineStr">
        <is>
          <t>False</t>
        </is>
      </c>
      <c r="D92" s="7" t="inlineStr">
        <is>
          <t>1801 California Street, Denver, CO 80202</t>
        </is>
      </c>
      <c r="E92" s="7" t="n"/>
      <c r="F92" s="7" t="inlineStr">
        <is>
          <t>(720) 328-0550</t>
        </is>
      </c>
      <c r="G92" s="7" t="n"/>
      <c r="H92" s="11" t="inlineStr">
        <is>
          <t>https://www.guardandgrace.com</t>
        </is>
      </c>
      <c r="I92" s="7" t="inlineStr">
        <is>
          <t>1801 California St. Garage adjacent</t>
        </is>
      </c>
      <c r="J92" s="7" t="n"/>
      <c r="L92" s="7" t="n"/>
      <c r="M92" s="7" t="n"/>
      <c r="N92" s="7" t="n"/>
      <c r="O92" s="7" t="inlineStr">
        <is>
          <t>TAG Restaurant Group</t>
        </is>
      </c>
      <c r="P92" s="7" t="n"/>
      <c r="Q92" s="7" t="n"/>
      <c r="R92" s="7" t="inlineStr">
        <is>
          <t>Chef/Owner Troy Guard (TAG Restaurant Group)</t>
        </is>
      </c>
      <c r="S92" s="7" t="inlineStr">
        <is>
          <t>Fine Dining - Modern Steakhouse</t>
        </is>
      </c>
      <c r="T92" s="7" t="inlineStr">
        <is>
          <t>9,000 sq ft steakhouse in heart of downtown Denver. One of Denver's largest patios. Strong candidate for valet. Avg check $60+.</t>
        </is>
      </c>
    </row>
    <row r="93" ht="15.75" customHeight="1" s="34">
      <c r="A93" s="7" t="inlineStr">
        <is>
          <t>Elway's Downtown</t>
        </is>
      </c>
      <c r="B93" s="7" t="inlineStr">
        <is>
          <t>Restaurant</t>
        </is>
      </c>
      <c r="C93" s="7" t="inlineStr">
        <is>
          <t>False</t>
        </is>
      </c>
      <c r="D93" s="7" t="inlineStr">
        <is>
          <t>1881 Curtis Street, Denver, CO 80202</t>
        </is>
      </c>
      <c r="E93" s="7" t="n"/>
      <c r="F93" s="7" t="inlineStr">
        <is>
          <t>(303) 312-3107</t>
        </is>
      </c>
      <c r="G93" s="7" t="n"/>
      <c r="H93" s="11" t="inlineStr">
        <is>
          <t>https://www.elways.com/downtown-home/</t>
        </is>
      </c>
      <c r="I93" s="7" t="inlineStr">
        <is>
          <t>Ritz-Carlton valet at approx. $400/month</t>
        </is>
      </c>
      <c r="J93" s="7" t="inlineStr">
        <is>
          <t>Via Ritz-Carlton Denver hotel valet (adjacent)</t>
        </is>
      </c>
      <c r="L93" s="7" t="n"/>
      <c r="M93" s="7" t="n"/>
      <c r="N93" s="7" t="n"/>
      <c r="O93" s="7" t="inlineStr">
        <is>
          <t>John Elway Enterprises</t>
        </is>
      </c>
      <c r="P93" s="7" t="n"/>
      <c r="Q93" s="7" t="n"/>
      <c r="R93" s="7" t="inlineStr">
        <is>
          <t>John Elway Enterprises / Ritz-Carlton hotel valet</t>
        </is>
      </c>
      <c r="S93" s="7" t="inlineStr">
        <is>
          <t>Fine Dining - Steakhouse</t>
        </is>
      </c>
      <c r="T93" s="7" t="inlineStr">
        <is>
          <t>Located at The Ritz-Carlton, Denver. Breakfast, lunch, and dinner. Hotel valet accessible. Avg check $60+.</t>
        </is>
      </c>
    </row>
    <row r="94" ht="15.75" customHeight="1" s="34">
      <c r="A94" s="7" t="inlineStr">
        <is>
          <t>Elway's Cherry Creek</t>
        </is>
      </c>
      <c r="B94" s="7" t="inlineStr">
        <is>
          <t>Restaurant</t>
        </is>
      </c>
      <c r="C94" s="7" t="inlineStr">
        <is>
          <t>False</t>
        </is>
      </c>
      <c r="D94" s="7" t="inlineStr">
        <is>
          <t>2500 E 1st Avenue, Denver, CO 80206</t>
        </is>
      </c>
      <c r="E94" s="7" t="n"/>
      <c r="F94" s="7" t="inlineStr">
        <is>
          <t>(303) 399-5353</t>
        </is>
      </c>
      <c r="G94" s="7" t="n"/>
      <c r="H94" s="11" t="inlineStr">
        <is>
          <t>https://www.elways.com/cherry-creek-home/</t>
        </is>
      </c>
      <c r="I94" s="7" t="inlineStr">
        <is>
          <t>Validated parking in adjacent garage</t>
        </is>
      </c>
      <c r="J94" s="7" t="inlineStr">
        <is>
          <t>Not confirmed, parking available and validated</t>
        </is>
      </c>
      <c r="L94" s="7" t="n"/>
      <c r="M94" s="7" t="n"/>
      <c r="N94" s="7" t="n"/>
      <c r="O94" s="7" t="inlineStr">
        <is>
          <t>John Elway Enterprises</t>
        </is>
      </c>
      <c r="P94" s="7" t="n"/>
      <c r="Q94" s="7" t="n"/>
      <c r="R94" s="7" t="inlineStr">
        <is>
          <t>John Elway Enterprises</t>
        </is>
      </c>
      <c r="S94" s="7" t="inlineStr">
        <is>
          <t>Fine Dining - Steakhouse</t>
        </is>
      </c>
      <c r="T94" s="7" t="inlineStr">
        <is>
          <t>Cherry Creek location. TripAdvisor notes 'Parking Available, Validated Parking'. Strong candidate for valet program. Avg check $60+.</t>
        </is>
      </c>
    </row>
    <row r="95" ht="15.75" customHeight="1" s="34">
      <c r="A95" s="7" t="inlineStr">
        <is>
          <t>Shanahan's Steakhouse</t>
        </is>
      </c>
      <c r="B95" s="7" t="inlineStr">
        <is>
          <t>Restaurant</t>
        </is>
      </c>
      <c r="C95" s="7" t="inlineStr">
        <is>
          <t>False</t>
        </is>
      </c>
      <c r="D95" s="7" t="inlineStr">
        <is>
          <t>5085 S Syracuse Street, Denver, CO 80237</t>
        </is>
      </c>
      <c r="E95" s="7" t="n"/>
      <c r="F95" s="7" t="inlineStr">
        <is>
          <t>(303) 770-7300</t>
        </is>
      </c>
      <c r="G95" s="7" t="n"/>
      <c r="H95" s="11" t="inlineStr">
        <is>
          <t>https://www.shanahanssteakhouse.com</t>
        </is>
      </c>
      <c r="I95" s="7" t="inlineStr">
        <is>
          <t>Private parking lot on-site</t>
        </is>
      </c>
      <c r="J95" s="7" t="inlineStr">
        <is>
          <t>Available (rate not published)</t>
        </is>
      </c>
      <c r="L95" s="7" t="n"/>
      <c r="M95" s="7" t="n"/>
      <c r="N95" s="7" t="n"/>
      <c r="O95" s="7" t="inlineStr">
        <is>
          <t>Shanahan's Restaurant Group</t>
        </is>
      </c>
      <c r="P95" s="7" t="n"/>
      <c r="Q95" s="7" t="n"/>
      <c r="R95" s="7" t="inlineStr">
        <is>
          <t>Shanahan's Restaurant Group</t>
        </is>
      </c>
      <c r="S95" s="7" t="inlineStr">
        <is>
          <t>Fine Dining - Steakhouse</t>
        </is>
      </c>
      <c r="T95" s="7" t="inlineStr">
        <is>
          <t>SE Denver/DTC area. TripAdvisor confirms 'Valet Parking, Validated Parking'. #1 steakhouse in Denver per Zagat. Avg check $75+.</t>
        </is>
      </c>
    </row>
    <row r="96" ht="15.75" customHeight="1" s="34">
      <c r="A96" s="7" t="inlineStr">
        <is>
          <t>Del Frisco's Double Eagle Steakhouse</t>
        </is>
      </c>
      <c r="B96" s="7" t="inlineStr">
        <is>
          <t>Restaurant</t>
        </is>
      </c>
      <c r="C96" s="7" t="inlineStr">
        <is>
          <t>False</t>
        </is>
      </c>
      <c r="D96" s="7" t="inlineStr">
        <is>
          <t>8100 E Orchard Road, Denver, CO 80111</t>
        </is>
      </c>
      <c r="E96" s="7" t="n"/>
      <c r="F96" s="7" t="inlineStr">
        <is>
          <t>(303) 796-0100</t>
        </is>
      </c>
      <c r="G96" s="7" t="n"/>
      <c r="H96" s="11" t="inlineStr">
        <is>
          <t>https://www.delfriscos.com/location/del-friscos-double-eagle-steakhouse-denver-co/</t>
        </is>
      </c>
      <c r="I96" s="7" t="inlineStr">
        <is>
          <t>Private parking lot on-site</t>
        </is>
      </c>
      <c r="J96" s="7" t="inlineStr">
        <is>
          <t>Available (own parking lot and valet service)</t>
        </is>
      </c>
      <c r="L96" s="7" t="n"/>
      <c r="M96" s="7" t="n"/>
      <c r="N96" s="7" t="n"/>
      <c r="O96" s="7" t="inlineStr">
        <is>
          <t>Del Frisco's Restaurant Group</t>
        </is>
      </c>
      <c r="P96" s="7" t="n"/>
      <c r="Q96" s="7" t="n"/>
      <c r="R96" s="7" t="inlineStr">
        <is>
          <t>Del Frisco's Restaurant Group / Lone Star Funds</t>
        </is>
      </c>
      <c r="S96" s="7" t="inlineStr">
        <is>
          <t>Fine Dining - Steakhouse</t>
        </is>
      </c>
      <c r="T96" s="7" t="inlineStr">
        <is>
          <t>Greenwood Village / DTC. Yelp reviewer confirms own parking lot and valet service. Avg check $70+.</t>
        </is>
      </c>
    </row>
    <row r="97" ht="15.75" customHeight="1" s="34">
      <c r="A97" s="7" t="inlineStr">
        <is>
          <t>Del Frisco's Grille - Cherry Creek</t>
        </is>
      </c>
      <c r="B97" s="7" t="inlineStr">
        <is>
          <t>Restaurant</t>
        </is>
      </c>
      <c r="C97" s="7" t="inlineStr">
        <is>
          <t>False</t>
        </is>
      </c>
      <c r="D97" s="7" t="inlineStr">
        <is>
          <t>100 St Paul Street, Suite 140, Denver, CO 80206</t>
        </is>
      </c>
      <c r="E97" s="7" t="n"/>
      <c r="F97" s="7" t="inlineStr">
        <is>
          <t>(303) 320-8529</t>
        </is>
      </c>
      <c r="G97" s="7" t="n"/>
      <c r="H97" s="11" t="inlineStr">
        <is>
          <t>https://www.delfriscosgrille.com/location/del-friscos-grille-cherry-creek-co/</t>
        </is>
      </c>
      <c r="I97" s="7" t="inlineStr">
        <is>
          <t>Complimentary parking in attached garage</t>
        </is>
      </c>
      <c r="J97" s="7" t="inlineStr">
        <is>
          <t>No Valet</t>
        </is>
      </c>
      <c r="L97" s="7" t="n"/>
      <c r="M97" s="7" t="n"/>
      <c r="N97" s="7" t="n"/>
      <c r="O97" s="7" t="inlineStr">
        <is>
          <t>Del Frisco's Restaurant Group</t>
        </is>
      </c>
      <c r="P97" s="7" t="n"/>
      <c r="Q97" s="7" t="n"/>
      <c r="R97" s="7" t="inlineStr">
        <is>
          <t>Del Frisco's Restaurant Group</t>
        </is>
      </c>
      <c r="S97" s="7" t="inlineStr">
        <is>
          <t>Upscale Casual - Bar &amp; Grill</t>
        </is>
      </c>
      <c r="T97" s="7" t="inlineStr">
        <is>
          <t>Cherry Creek location. Complimentary parking in attached garage — not currently using valet. Avg check $40-60.</t>
        </is>
      </c>
    </row>
    <row r="98" ht="15.75" customHeight="1" s="34">
      <c r="A98" s="7" t="inlineStr">
        <is>
          <t>Tavernetta</t>
        </is>
      </c>
      <c r="B98" s="7" t="inlineStr">
        <is>
          <t>Restaurant</t>
        </is>
      </c>
      <c r="C98" s="7" t="inlineStr">
        <is>
          <t>False</t>
        </is>
      </c>
      <c r="D98" s="7" t="inlineStr">
        <is>
          <t>1889 Sixteenth Street, Denver, CO 80202</t>
        </is>
      </c>
      <c r="E98" s="7" t="n"/>
      <c r="F98" s="7" t="inlineStr">
        <is>
          <t>(720) 605-1889</t>
        </is>
      </c>
      <c r="G98" s="7" t="n"/>
      <c r="H98" s="11" t="inlineStr">
        <is>
          <t>https://www.tavernettadenver.com</t>
        </is>
      </c>
      <c r="I98" s="7" t="inlineStr">
        <is>
          <t>$10 with validation at Park Union Station Garage (1881 16th St)</t>
        </is>
      </c>
      <c r="J98" s="7" t="inlineStr">
        <is>
          <t>$15 with restaurant validation at Limelight Hotel (1600 Wewatta St)</t>
        </is>
      </c>
      <c r="L98" s="7" t="n"/>
      <c r="M98" s="7" t="n"/>
      <c r="N98" s="7" t="n"/>
      <c r="O98" s="7" t="inlineStr">
        <is>
          <t>Frasca Hospitality Group (Chef Lachlan Mackinnon-Patterson, MS Bobby Stuckey)</t>
        </is>
      </c>
      <c r="P98" s="7" t="n"/>
      <c r="Q98" s="7" t="n"/>
      <c r="R98" s="7" t="inlineStr">
        <is>
          <t>Frasca Hospitality Group / Limelight Hotel valet</t>
        </is>
      </c>
      <c r="S98" s="7" t="inlineStr">
        <is>
          <t>Fine Dining - Italian</t>
        </is>
      </c>
      <c r="T98" s="7" t="inlineStr">
        <is>
          <t>Union Station neighborhood. James Beard Award-winning team. Valet confirmed at Limelight Hotel ($15 with validation). Avg check $70+.</t>
        </is>
      </c>
    </row>
    <row r="99" ht="15.75" customHeight="1" s="34">
      <c r="A99" s="7" t="inlineStr">
        <is>
          <t>Sunday Vinyl</t>
        </is>
      </c>
      <c r="B99" s="7" t="inlineStr">
        <is>
          <t>Restaurant</t>
        </is>
      </c>
      <c r="C99" s="7" t="inlineStr">
        <is>
          <t>False</t>
        </is>
      </c>
      <c r="D99" s="7" t="inlineStr">
        <is>
          <t>1803 16th Street Mall, Denver, CO 80202</t>
        </is>
      </c>
      <c r="E99" s="7" t="n"/>
      <c r="F99" s="7" t="inlineStr">
        <is>
          <t>(720) 738-1803</t>
        </is>
      </c>
      <c r="G99" s="7" t="n"/>
      <c r="H99" s="11" t="inlineStr">
        <is>
          <t>https://sundayvinyldenver.com</t>
        </is>
      </c>
      <c r="I99" s="7" t="inlineStr">
        <is>
          <t>Street parking and nearby garages along 16th Street Mall</t>
        </is>
      </c>
      <c r="J99" s="7" t="n"/>
      <c r="L99" s="7" t="n"/>
      <c r="M99" s="7" t="n"/>
      <c r="N99" s="7" t="n"/>
      <c r="O99" s="7" t="inlineStr">
        <is>
          <t>Frasca Hospitality Group</t>
        </is>
      </c>
      <c r="P99" s="7" t="n"/>
      <c r="Q99" s="7" t="n"/>
      <c r="R99" s="7" t="inlineStr">
        <is>
          <t>Frasca Hospitality Group</t>
        </is>
      </c>
      <c r="S99" s="7" t="inlineStr">
        <is>
          <t>Upscale - European Wine Bar &amp; Restaurant</t>
        </is>
      </c>
      <c r="T99" s="7" t="inlineStr">
        <is>
          <t>LoDo / 16th Street Mall. Part of Frasca Hospitality Group. European-inspired wine bar with full menu. Strong candidate if volumes justify valet.</t>
        </is>
      </c>
    </row>
    <row r="100" ht="15.75" customHeight="1" s="34">
      <c r="A100" s="7" t="inlineStr">
        <is>
          <t>Frasca Food and Wine</t>
        </is>
      </c>
      <c r="B100" s="7" t="inlineStr">
        <is>
          <t>Restaurant</t>
        </is>
      </c>
      <c r="C100" s="7" t="inlineStr">
        <is>
          <t>False</t>
        </is>
      </c>
      <c r="D100" s="7" t="inlineStr">
        <is>
          <t>1738 Pearl Street, Boulder, CO 80302</t>
        </is>
      </c>
      <c r="E100" s="7" t="n"/>
      <c r="F100" s="7" t="inlineStr">
        <is>
          <t>(303) 442-6966</t>
        </is>
      </c>
      <c r="G100" s="7" t="n"/>
      <c r="H100" s="11" t="inlineStr">
        <is>
          <t>https://www.frascafoodandwine.com</t>
        </is>
      </c>
      <c r="I100" s="7" t="inlineStr">
        <is>
          <t>Public garage at 15th and Pearl St</t>
        </is>
      </c>
      <c r="J100" s="7" t="inlineStr">
        <is>
          <t>No Valet</t>
        </is>
      </c>
      <c r="L100" s="7" t="n"/>
      <c r="M100" s="7" t="n"/>
      <c r="N100" s="7" t="n"/>
      <c r="O100" s="7" t="inlineStr">
        <is>
          <t>Frasca Hospitality Group</t>
        </is>
      </c>
      <c r="P100" s="7" t="n"/>
      <c r="Q100" s="7" t="n"/>
      <c r="R100" s="7" t="inlineStr">
        <is>
          <t>Frasca Hospitality Group</t>
        </is>
      </c>
      <c r="S100" s="7" t="inlineStr">
        <is>
          <t>Fine Dining - Italian (Friuli)</t>
        </is>
      </c>
      <c r="T100" s="7" t="inlineStr">
        <is>
          <t>Boulder, CO (not Denver). Michelin-starred. No valet offered — website confirms parking at public garage. Included for completeness as flagship Frasca brand.</t>
        </is>
      </c>
    </row>
    <row r="101" ht="15.75" customHeight="1" s="34">
      <c r="A101" s="7" t="inlineStr">
        <is>
          <t>Rioja</t>
        </is>
      </c>
      <c r="B101" s="7" t="inlineStr">
        <is>
          <t>Restaurant</t>
        </is>
      </c>
      <c r="C101" s="7" t="inlineStr">
        <is>
          <t>False</t>
        </is>
      </c>
      <c r="D101" s="7" t="inlineStr">
        <is>
          <t>1431 Larimer Street, Denver, CO 80202</t>
        </is>
      </c>
      <c r="E101" s="7" t="n"/>
      <c r="F101" s="7" t="inlineStr">
        <is>
          <t>(303) 820-2282</t>
        </is>
      </c>
      <c r="G101" s="7" t="n"/>
      <c r="H101" s="11" t="inlineStr">
        <is>
          <t>https://www.riojadenver.com</t>
        </is>
      </c>
      <c r="I101" s="7" t="inlineStr">
        <is>
          <t>Parking garage directly behind restaurant on Market Street</t>
        </is>
      </c>
      <c r="J101" s="7" t="inlineStr">
        <is>
          <t>$10 off with Rioja validation (Larimer Square shared valet)</t>
        </is>
      </c>
      <c r="L101" s="7" t="n"/>
      <c r="M101" s="7" t="n"/>
      <c r="N101" s="7" t="n"/>
      <c r="O101" s="7" t="inlineStr">
        <is>
          <t>Crafted Concepts (Chef Jennifer Jasinski, Beth Gruitch)</t>
        </is>
      </c>
      <c r="P101" s="7" t="n"/>
      <c r="Q101" s="7" t="n"/>
      <c r="R101" s="7" t="inlineStr">
        <is>
          <t>Crafted Concepts restaurant group / Larimer Square valet operator</t>
        </is>
      </c>
      <c r="S101" s="7" t="inlineStr">
        <is>
          <t>Fine Dining - Mediterranean</t>
        </is>
      </c>
      <c r="T101" s="7" t="inlineStr">
        <is>
          <t>Larimer Square, between 14th &amp; 15th. Valet available nightly for dinner via Larimer Square. $10 off with validation. Avg check $50+.</t>
        </is>
      </c>
    </row>
    <row r="102" ht="15.75" customHeight="1" s="34">
      <c r="A102" s="7" t="inlineStr">
        <is>
          <t>Barolo Grill</t>
        </is>
      </c>
      <c r="B102" s="7" t="inlineStr">
        <is>
          <t>Restaurant</t>
        </is>
      </c>
      <c r="C102" s="7" t="inlineStr">
        <is>
          <t>False</t>
        </is>
      </c>
      <c r="D102" s="7" t="inlineStr">
        <is>
          <t>3030 E 6th Avenue, Denver, CO 80206</t>
        </is>
      </c>
      <c r="E102" s="7" t="n"/>
      <c r="F102" s="7" t="inlineStr">
        <is>
          <t>(303) 393-1040</t>
        </is>
      </c>
      <c r="G102" s="7" t="n"/>
      <c r="H102" s="11" t="inlineStr">
        <is>
          <t>https://www.barologrilldenver.com</t>
        </is>
      </c>
      <c r="I102" s="7" t="inlineStr">
        <is>
          <t>Complimentary SOL parking lot (west side) and street parking</t>
        </is>
      </c>
      <c r="J102" s="7" t="inlineStr">
        <is>
          <t>No Valet</t>
        </is>
      </c>
      <c r="L102" s="7" t="n"/>
      <c r="M102" s="7" t="n"/>
      <c r="N102" s="7" t="n"/>
      <c r="O102" s="7" t="inlineStr">
        <is>
          <t>Barolo Grill (Independent)</t>
        </is>
      </c>
      <c r="P102" s="7" t="n"/>
      <c r="Q102" s="7" t="n"/>
      <c r="R102" s="7" t="inlineStr">
        <is>
          <t>Barolo Grill</t>
        </is>
      </c>
      <c r="S102" s="7" t="inlineStr">
        <is>
          <t>Fine Dining - Northern Italian</t>
        </is>
      </c>
      <c r="T102" s="7" t="inlineStr">
        <is>
          <t>Congress Park / Cherry Creek area. Website explicitly states 'We ARE NOT offering valet parking at this time.' Complimentary self-parking available. Avg check $60+.</t>
        </is>
      </c>
    </row>
    <row r="103" ht="15.75" customHeight="1" s="34">
      <c r="A103" s="7" t="inlineStr">
        <is>
          <t>Mizuna</t>
        </is>
      </c>
      <c r="B103" s="7" t="inlineStr">
        <is>
          <t>Restaurant</t>
        </is>
      </c>
      <c r="C103" s="7" t="inlineStr">
        <is>
          <t>False</t>
        </is>
      </c>
      <c r="D103" s="7" t="inlineStr">
        <is>
          <t>225 E 7th Avenue, Denver, CO 80203</t>
        </is>
      </c>
      <c r="E103" s="7" t="n"/>
      <c r="F103" s="7" t="inlineStr">
        <is>
          <t>(303) 832-4778</t>
        </is>
      </c>
      <c r="G103" s="7" t="n"/>
      <c r="H103" s="11" t="inlineStr">
        <is>
          <t>https://www.mizunadenver.com</t>
        </is>
      </c>
      <c r="I103" s="7" t="inlineStr">
        <is>
          <t>Free off-street parking, street parking</t>
        </is>
      </c>
      <c r="J103" s="7" t="inlineStr">
        <is>
          <t>Available (rate not published)</t>
        </is>
      </c>
      <c r="L103" s="7" t="n"/>
      <c r="M103" s="7" t="n"/>
      <c r="N103" s="7" t="n"/>
      <c r="O103" s="7" t="inlineStr">
        <is>
          <t>Bonanno Concepts (Chef Frank Bonanno)</t>
        </is>
      </c>
      <c r="P103" s="7" t="n"/>
      <c r="Q103" s="7" t="n"/>
      <c r="R103" s="7" t="inlineStr">
        <is>
          <t>Frank Bonanno / Bonanno Concepts</t>
        </is>
      </c>
      <c r="S103" s="7" t="inlineStr">
        <is>
          <t>Fine Dining - Contemporary American</t>
        </is>
      </c>
      <c r="T103" s="7" t="inlineStr">
        <is>
          <t>Capitol Hill neighborhood. TripAdvisor confirms 'Valet Parking' amenity. Free off-street parking also available. Avg check $75+. Opened April 2001.</t>
        </is>
      </c>
    </row>
    <row r="104" ht="15.75" customHeight="1" s="34">
      <c r="A104" s="7" t="inlineStr">
        <is>
          <t>Wildflower</t>
        </is>
      </c>
      <c r="B104" s="7" t="inlineStr">
        <is>
          <t>Restaurant</t>
        </is>
      </c>
      <c r="C104" s="7" t="inlineStr">
        <is>
          <t>False</t>
        </is>
      </c>
      <c r="D104" s="7" t="inlineStr">
        <is>
          <t>3638 Navajo Street, Denver, CO 80211</t>
        </is>
      </c>
      <c r="E104" s="7" t="n"/>
      <c r="F104" s="7" t="inlineStr">
        <is>
          <t>(720) 372-7999</t>
        </is>
      </c>
      <c r="G104" s="7" t="n"/>
      <c r="H104" s="11" t="inlineStr">
        <is>
          <t>https://www.wildflower-lohi.com/</t>
        </is>
      </c>
      <c r="I104" s="7" t="inlineStr">
        <is>
          <t>Abundant street parking on Navajo St, 36th Ave, 37th Ave, Mariposa St</t>
        </is>
      </c>
      <c r="J104" s="7" t="inlineStr">
        <is>
          <t>No Valet</t>
        </is>
      </c>
      <c r="L104" s="7" t="n"/>
      <c r="M104" s="7" t="n"/>
      <c r="N104" s="7" t="n"/>
      <c r="O104" s="7" t="inlineStr">
        <is>
          <t>Located inside Gravity Haus hotel, LoHi</t>
        </is>
      </c>
      <c r="P104" s="7" t="n"/>
      <c r="Q104" s="7" t="n"/>
      <c r="R104" s="7" t="inlineStr">
        <is>
          <t>Gravity Haus (hotel operator); restaurant independent management</t>
        </is>
      </c>
      <c r="S104" s="7" t="inlineStr">
        <is>
          <t>Fine Dining - Contemporary American / Farm-to-Table</t>
        </is>
      </c>
      <c r="T104" s="7" t="inlineStr">
        <is>
          <t>LoHi / Highlands neighborhood. OpenTable confirms street parking only. Avg check $50+. Rated 4.9 on OpenTable. Potential candidate given growth and prestige.</t>
        </is>
      </c>
    </row>
    <row r="105" ht="15.75" customHeight="1" s="34">
      <c r="A105" s="7" t="inlineStr">
        <is>
          <t>Le Colonial Denver</t>
        </is>
      </c>
      <c r="B105" s="7" t="inlineStr">
        <is>
          <t>Restaurant</t>
        </is>
      </c>
      <c r="C105" s="7" t="inlineStr">
        <is>
          <t>False</t>
        </is>
      </c>
      <c r="D105" s="7" t="inlineStr">
        <is>
          <t>255 Fillmore Street, Denver, CO 80206</t>
        </is>
      </c>
      <c r="E105" s="7" t="n"/>
      <c r="F105" s="7" t="inlineStr">
        <is>
          <t>(720) 994-5255</t>
        </is>
      </c>
      <c r="G105" s="7" t="n"/>
      <c r="H105" s="11" t="inlineStr">
        <is>
          <t>https://www.lecolonial.com/denver/</t>
        </is>
      </c>
      <c r="I105" s="7" t="inlineStr">
        <is>
          <t>Cherry Creek Shopping Center garages; 250 Columbine St garage nearby</t>
        </is>
      </c>
      <c r="J105" s="7" t="inlineStr">
        <is>
          <t>Available (rate not published; Yelp confirms valet during weeknights and weekends)</t>
        </is>
      </c>
      <c r="L105" s="7" t="n"/>
      <c r="M105" s="7" t="n"/>
      <c r="N105" s="7" t="n"/>
      <c r="O105" s="7" t="inlineStr">
        <is>
          <t>Le Colonial Restaurant Group</t>
        </is>
      </c>
      <c r="P105" s="7" t="n"/>
      <c r="Q105" s="7" t="n"/>
      <c r="R105" s="7" t="inlineStr">
        <is>
          <t>Le Colonial Restaurant Group</t>
        </is>
      </c>
      <c r="S105" s="7" t="inlineStr">
        <is>
          <t>Fine Dining - French-Vietnamese</t>
        </is>
      </c>
      <c r="T105" s="7" t="inlineStr">
        <is>
          <t>Cherry Creek neighborhood. Valet confirmed by Yelp Q&amp;A. OpenTable also confirms valet parking. Avg check $60+.</t>
        </is>
      </c>
    </row>
    <row r="106" ht="15.75" customHeight="1" s="34">
      <c r="A106" s="7" t="inlineStr">
        <is>
          <t>Water Grill Denver</t>
        </is>
      </c>
      <c r="B106" s="7" t="inlineStr">
        <is>
          <t>Restaurant</t>
        </is>
      </c>
      <c r="C106" s="7" t="inlineStr">
        <is>
          <t>False</t>
        </is>
      </c>
      <c r="D106" s="7" t="inlineStr">
        <is>
          <t>1691 Market Street, Denver, CO 80202</t>
        </is>
      </c>
      <c r="E106" s="7" t="n"/>
      <c r="F106" s="7" t="inlineStr">
        <is>
          <t>(303) 727-5711</t>
        </is>
      </c>
      <c r="G106" s="7" t="n"/>
      <c r="H106" s="11" t="inlineStr">
        <is>
          <t>https://www.watergrill.com/denver</t>
        </is>
      </c>
      <c r="I106" s="7" t="inlineStr">
        <is>
          <t>Market Station Garage</t>
        </is>
      </c>
      <c r="J106" s="7" t="inlineStr">
        <is>
          <t>Covered parking with valet service at Market Station Garage</t>
        </is>
      </c>
      <c r="L106" s="7" t="n"/>
      <c r="M106" s="7" t="n"/>
      <c r="N106" s="7" t="n"/>
      <c r="O106" s="7" t="inlineStr">
        <is>
          <t>King's Seafood Company</t>
        </is>
      </c>
      <c r="P106" s="7" t="n"/>
      <c r="Q106" s="7" t="n"/>
      <c r="R106" s="7" t="inlineStr">
        <is>
          <t>King's Seafood Company</t>
        </is>
      </c>
      <c r="S106" s="7" t="inlineStr">
        <is>
          <t>Fine Dining - Seafood</t>
        </is>
      </c>
      <c r="T106" s="7" t="inlineStr">
        <is>
          <t>LoDo, corner of 17th and Market Street. Valet service at Market Station Garage confirmed on website. Avg check $70+.</t>
        </is>
      </c>
    </row>
    <row r="107" ht="15.75" customHeight="1" s="34">
      <c r="A107" s="7" t="inlineStr">
        <is>
          <t>Corinne Denver</t>
        </is>
      </c>
      <c r="B107" s="7" t="inlineStr">
        <is>
          <t>Restaurant</t>
        </is>
      </c>
      <c r="C107" s="7" t="inlineStr">
        <is>
          <t>False</t>
        </is>
      </c>
      <c r="D107" s="7" t="inlineStr">
        <is>
          <t>1455 California Street, Denver, CO 80202</t>
        </is>
      </c>
      <c r="E107" s="7" t="n"/>
      <c r="F107" s="7" t="inlineStr">
        <is>
          <t>(720) 460-2828</t>
        </is>
      </c>
      <c r="G107" s="7" t="n"/>
      <c r="H107" s="11" t="inlineStr">
        <is>
          <t>https://www.corinnedenver.com</t>
        </is>
      </c>
      <c r="I107" s="7" t="inlineStr">
        <is>
          <t>Paid covered parking across street at 1521 Welton Street</t>
        </is>
      </c>
      <c r="J107" s="7" t="inlineStr">
        <is>
          <t>Complimentary / hotel valet through Le Meridien Denver Downtown</t>
        </is>
      </c>
      <c r="L107" s="7" t="n"/>
      <c r="M107" s="7" t="n"/>
      <c r="N107" s="7" t="n"/>
      <c r="O107" s="7" t="inlineStr">
        <is>
          <t>Marriott International (Le Meridien brand) / Restaurant group</t>
        </is>
      </c>
      <c r="P107" s="7" t="n"/>
      <c r="Q107" s="7" t="n"/>
      <c r="R107" s="7" t="inlineStr">
        <is>
          <t>Le Meridien Denver Downtown hotel valet</t>
        </is>
      </c>
      <c r="S107" s="7" t="inlineStr">
        <is>
          <t>Fine Dining - Contemporary American</t>
        </is>
      </c>
      <c r="T107" s="7" t="inlineStr">
        <is>
          <t>Located in and adjacent to Le Meridien Denver Downtown. Restaurant FAQ confirms valet via hotel. Avg check $55+.</t>
        </is>
      </c>
    </row>
    <row r="108" ht="15.75" customHeight="1" s="34">
      <c r="A108" s="7" t="inlineStr">
        <is>
          <t>Salt Water Social</t>
        </is>
      </c>
      <c r="B108" s="7" t="inlineStr">
        <is>
          <t>Restaurant</t>
        </is>
      </c>
      <c r="C108" s="7" t="inlineStr">
        <is>
          <t>False</t>
        </is>
      </c>
      <c r="D108" s="7" t="inlineStr">
        <is>
          <t>201 Columbine Street, Denver, CO 80206</t>
        </is>
      </c>
      <c r="E108" s="7" t="n"/>
      <c r="F108" s="7" t="inlineStr">
        <is>
          <t>(720) 678-9523</t>
        </is>
      </c>
      <c r="G108" s="7" t="n"/>
      <c r="H108" s="11" t="inlineStr">
        <is>
          <t>https://saltwatersocial.com</t>
        </is>
      </c>
      <c r="I108" s="7" t="inlineStr">
        <is>
          <t>Cherry Creek Shopping Center garages; 250 Columbine St garage</t>
        </is>
      </c>
      <c r="J108" s="7" t="inlineStr">
        <is>
          <t>Available (website confirms valet outside restaurant)</t>
        </is>
      </c>
      <c r="L108" s="7" t="n"/>
      <c r="M108" s="7" t="n"/>
      <c r="N108" s="7" t="n"/>
      <c r="O108" s="7" t="inlineStr">
        <is>
          <t>Independent</t>
        </is>
      </c>
      <c r="P108" s="7" t="n"/>
      <c r="Q108" s="7" t="n"/>
      <c r="R108" s="7" t="inlineStr">
        <is>
          <t>Salt Water Social (independent)</t>
        </is>
      </c>
      <c r="S108" s="7" t="inlineStr">
        <is>
          <t>Fine Dining - Seafood &amp; Steakhouse</t>
        </is>
      </c>
      <c r="T108" s="7" t="inlineStr">
        <is>
          <t>Cherry Creek, steps from Cherry Creek Shopping Center. Website FAQ confirms valet parking outside restaurant. Avg check $60+.</t>
        </is>
      </c>
    </row>
    <row r="109" ht="15.75" customHeight="1" s="34">
      <c r="A109" s="7" t="inlineStr">
        <is>
          <t>Alma Fonda Fina</t>
        </is>
      </c>
      <c r="B109" s="7" t="inlineStr">
        <is>
          <t>Restaurant</t>
        </is>
      </c>
      <c r="C109" s="7" t="inlineStr">
        <is>
          <t>False</t>
        </is>
      </c>
      <c r="D109" s="7" t="inlineStr">
        <is>
          <t>2556 15th Street, Denver, CO 80211</t>
        </is>
      </c>
      <c r="E109" s="7" t="n"/>
      <c r="F109" s="7" t="inlineStr">
        <is>
          <t>(303) 455-9463</t>
        </is>
      </c>
      <c r="G109" s="7" t="n"/>
      <c r="H109" s="11" t="inlineStr">
        <is>
          <t>https://www.almalohidenver.com</t>
        </is>
      </c>
      <c r="I109" s="7" t="inlineStr">
        <is>
          <t>Street parking in LoHi neighborhood</t>
        </is>
      </c>
      <c r="J109" s="7" t="n"/>
      <c r="L109" s="7" t="n"/>
      <c r="M109" s="7" t="n"/>
      <c r="N109" s="7" t="n"/>
      <c r="O109" s="7" t="inlineStr">
        <is>
          <t>Independent (Chef Johnny Curiel)</t>
        </is>
      </c>
      <c r="P109" s="7" t="n"/>
      <c r="Q109" s="7" t="n"/>
      <c r="R109" s="7" t="inlineStr">
        <is>
          <t>Chef Johnny Curiel (independent)</t>
        </is>
      </c>
      <c r="S109" s="7" t="inlineStr">
        <is>
          <t>Fine Dining - Contemporary Mexican</t>
        </is>
      </c>
      <c r="T109" s="7" t="inlineStr">
        <is>
          <t>LoHi / Highlands neighborhood. Highly rated (4.9 on OpenTable). No known valet currently. Strong candidate given prestige and avg check $70+. Formerly occupied space at 15th &amp; Boulder.</t>
        </is>
      </c>
    </row>
    <row r="110" ht="15.75" customHeight="1" s="34">
      <c r="A110" s="7" t="inlineStr">
        <is>
          <t>UCHealth University of Colorado Hospital</t>
        </is>
      </c>
      <c r="B110" s="7" t="inlineStr">
        <is>
          <t>Hospital</t>
        </is>
      </c>
      <c r="C110" s="7" t="inlineStr">
        <is>
          <t>False</t>
        </is>
      </c>
      <c r="D110" s="7" t="inlineStr">
        <is>
          <t>12605 E 16th Avenue (Anschutz Inpatient Pavilion), Aurora, CO 80045</t>
        </is>
      </c>
      <c r="E110" s="7" t="n"/>
      <c r="F110" s="7" t="inlineStr">
        <is>
          <t>(720) 848-0000</t>
        </is>
      </c>
      <c r="G110" s="7" t="n"/>
      <c r="H110" s="11" t="inlineStr">
        <is>
          <t>https://www.uchealth.org/locations/uchealth-university-of-colorado-hospital-uch/</t>
        </is>
      </c>
      <c r="I110" s="7" t="inlineStr">
        <is>
          <t>Free patient/visitor lots (Lots 5, 6, 7 and Garage 2)</t>
        </is>
      </c>
      <c r="J110" s="7" t="inlineStr">
        <is>
          <t>Free (no tipping required)</t>
        </is>
      </c>
      <c r="L110" s="7" t="n"/>
      <c r="M110" s="7" t="n"/>
      <c r="N110" s="7" t="n"/>
      <c r="O110" s="7" t="inlineStr">
        <is>
          <t>UCHealth (public non-profit, University of Colorado system)</t>
        </is>
      </c>
      <c r="P110" s="7" t="n"/>
      <c r="Q110" s="7" t="n"/>
      <c r="R110" s="7" t="inlineStr">
        <is>
          <t>UCHealth (self-operated)</t>
        </is>
      </c>
      <c r="S110" s="7" t="n"/>
      <c r="T110" s="7" t="inlineStr">
        <is>
          <t>Free valet at Eye Center, Cancer Pavilion (Anschutz Cancer Pavilion), Inpatient Pavilion, and Emergency entrance. Hours: 7 AM start. Free courtesy cart shuttle also available. Address per parking map: AIP at 12605 E 16th Ave; AOP at 1635 Aurora Ct; ACP at 1665 Aurora Court. Part of Anschutz Medical Campus in Aurora.</t>
        </is>
      </c>
    </row>
    <row r="111" ht="15.75" customHeight="1" s="34">
      <c r="A111" s="7" t="inlineStr">
        <is>
          <t>Denver Health Medical Center</t>
        </is>
      </c>
      <c r="B111" s="7" t="inlineStr">
        <is>
          <t>Hospital</t>
        </is>
      </c>
      <c r="C111" s="7" t="inlineStr">
        <is>
          <t>False</t>
        </is>
      </c>
      <c r="D111" s="7" t="inlineStr">
        <is>
          <t>777 Bannock Street, Denver, CO 80204</t>
        </is>
      </c>
      <c r="E111" s="7" t="n"/>
      <c r="F111" s="7" t="inlineStr">
        <is>
          <t>(303) 436-6000</t>
        </is>
      </c>
      <c r="G111" s="7" t="n"/>
      <c r="H111" s="11" t="inlineStr">
        <is>
          <t>https://www.denverhealth.org</t>
        </is>
      </c>
      <c r="I111" s="7" t="inlineStr">
        <is>
          <t>Free in Delaware Garage (P2) and OMC Parking Garage (P4); $1.50-$2/day in nearby public pay lots</t>
        </is>
      </c>
      <c r="J111" s="7" t="inlineStr">
        <is>
          <t>$5 per car</t>
        </is>
      </c>
      <c r="L111" s="7" t="n"/>
      <c r="M111" s="7" t="n"/>
      <c r="N111" s="7" t="n"/>
      <c r="O111" s="7" t="inlineStr">
        <is>
          <t>City and County of Denver (public hospital authority)</t>
        </is>
      </c>
      <c r="P111" s="7" t="n"/>
      <c r="Q111" s="7" t="n"/>
      <c r="R111" s="7" t="inlineStr">
        <is>
          <t>Denver Health (self-operated)</t>
        </is>
      </c>
      <c r="S111" s="7" t="n"/>
      <c r="T111" s="7" t="inlineStr">
        <is>
          <t>Valet at entrance of Outpatient Medical Center (Pavilion L), 645 Delaware St. Hours: Drop-off 8 AM–4 PM, Pickup 8 AM–8 PM, Mon–Fri. Security holds keys after 9 PM. Valet phone: 303-602-2358.</t>
        </is>
      </c>
    </row>
    <row r="112" ht="15.75" customHeight="1" s="34">
      <c r="A112" s="7" t="inlineStr">
        <is>
          <t>National Jewish Health</t>
        </is>
      </c>
      <c r="B112" s="7" t="inlineStr">
        <is>
          <t>Hospital</t>
        </is>
      </c>
      <c r="C112" s="7" t="inlineStr">
        <is>
          <t>False</t>
        </is>
      </c>
      <c r="D112" s="7" t="inlineStr">
        <is>
          <t>1400 Jackson Street, Denver, CO 80206</t>
        </is>
      </c>
      <c r="E112" s="7" t="n"/>
      <c r="F112" s="7" t="inlineStr">
        <is>
          <t>(877) 225-5654</t>
        </is>
      </c>
      <c r="G112" s="7" t="n"/>
      <c r="H112" s="11" t="inlineStr">
        <is>
          <t>https://www.nationaljewish.org</t>
        </is>
      </c>
      <c r="I112" s="7" t="inlineStr">
        <is>
          <t>Free patient/visitor parking in on-campus lots and garage</t>
        </is>
      </c>
      <c r="J112" s="7" t="inlineStr">
        <is>
          <t>Free</t>
        </is>
      </c>
      <c r="L112" s="7" t="n"/>
      <c r="M112" s="7" t="n"/>
      <c r="N112" s="7" t="n"/>
      <c r="O112" s="7" t="inlineStr">
        <is>
          <t>National Jewish Health (non-profit independent)</t>
        </is>
      </c>
      <c r="P112" s="7" t="n"/>
      <c r="Q112" s="7" t="n"/>
      <c r="R112" s="7" t="inlineStr">
        <is>
          <t>National Jewish Health (self-operated)</t>
        </is>
      </c>
      <c r="S112" s="7" t="n"/>
      <c r="T112" s="7" t="inlineStr">
        <is>
          <t>At corner of Colorado Blvd &amp; Colfax Ave. Free valet Mon–Fri 6:30 AM–5:30 PM. Free valet also at Center for Outpatient Health. Also partners with Saint Joseph Hospital (1375 E 19th Ave), where free valet is offered at main entrance.</t>
        </is>
      </c>
    </row>
    <row r="113" ht="15.75" customHeight="1" s="34">
      <c r="A113" s="7" t="inlineStr">
        <is>
          <t>Rose Medical Center (HCA HealthONE Rose)</t>
        </is>
      </c>
      <c r="B113" s="7" t="inlineStr">
        <is>
          <t>Hospital</t>
        </is>
      </c>
      <c r="C113" s="7" t="inlineStr">
        <is>
          <t>False</t>
        </is>
      </c>
      <c r="D113" s="7" t="inlineStr">
        <is>
          <t>4567 E 9th Avenue, Denver, CO 80220</t>
        </is>
      </c>
      <c r="E113" s="7" t="n"/>
      <c r="F113" s="7" t="inlineStr">
        <is>
          <t>(303) 320-2121</t>
        </is>
      </c>
      <c r="G113" s="7" t="n"/>
      <c r="H113" s="11" t="inlineStr">
        <is>
          <t>https://www.healthonecares.com/locations/rose</t>
        </is>
      </c>
      <c r="I113" s="7" t="inlineStr">
        <is>
          <t>Hospital Parking Garage (on-site)</t>
        </is>
      </c>
      <c r="J113" s="7" t="inlineStr">
        <is>
          <t>Rate not confirmed publicly</t>
        </is>
      </c>
      <c r="L113" s="7" t="n"/>
      <c r="M113" s="7" t="n"/>
      <c r="N113" s="7" t="n"/>
      <c r="O113" s="7" t="inlineStr">
        <is>
          <t>HCA Healthcare / HealthONE</t>
        </is>
      </c>
      <c r="P113" s="7" t="n"/>
      <c r="Q113" s="7" t="n"/>
      <c r="R113" s="7" t="inlineStr">
        <is>
          <t>HCA HealthONE</t>
        </is>
      </c>
      <c r="S113" s="7" t="n"/>
      <c r="T113" s="7" t="inlineStr">
        <is>
          <t>Parking map PDF confirms valet at Founders Entrance (4700 E Hale Pkwy). 422 licensed beds. Founded 1949. Level IV trauma. Part of HCA HealthONE system.</t>
        </is>
      </c>
    </row>
    <row r="114" ht="15.75" customHeight="1" s="34">
      <c r="A114" s="7" t="inlineStr">
        <is>
          <t>Presbyterian/St. Luke's Medical Center (HCA HealthONE PSL)</t>
        </is>
      </c>
      <c r="B114" s="7" t="inlineStr">
        <is>
          <t>Hospital</t>
        </is>
      </c>
      <c r="C114" s="7" t="inlineStr">
        <is>
          <t>False</t>
        </is>
      </c>
      <c r="D114" s="7" t="inlineStr">
        <is>
          <t>1719 E 19th Avenue, Denver, CO 80218</t>
        </is>
      </c>
      <c r="E114" s="7" t="n"/>
      <c r="F114" s="7" t="inlineStr">
        <is>
          <t>(303) 839-6000</t>
        </is>
      </c>
      <c r="G114" s="7" t="n"/>
      <c r="H114" s="11" t="inlineStr">
        <is>
          <t>https://www.healthonecares.com/locations/presbyterian-st-lukes</t>
        </is>
      </c>
      <c r="I114" s="7" t="inlineStr">
        <is>
          <t>Free self-parking in parking garages at all times</t>
        </is>
      </c>
      <c r="J114" s="7" t="inlineStr">
        <is>
          <t>Free</t>
        </is>
      </c>
      <c r="L114" s="7" t="n"/>
      <c r="M114" s="7" t="n"/>
      <c r="N114" s="7" t="n"/>
      <c r="O114" s="7" t="inlineStr">
        <is>
          <t>HCA Healthcare / HealthONE</t>
        </is>
      </c>
      <c r="P114" s="7" t="n"/>
      <c r="Q114" s="7" t="n"/>
      <c r="R114" s="7" t="inlineStr">
        <is>
          <t>HCA HealthONE</t>
        </is>
      </c>
      <c r="S114" s="7" t="n"/>
      <c r="T114" s="7" t="inlineStr">
        <is>
          <t>Enter campus from 19th Ave &amp; Gilpin Street entrance. Free valet at main entrance Mon–Fri 7:00 AM–4:30 PM. After hours: call (720) 754-7000. Also home to Rocky Mountain Hospital for Children (84-bed NICU).</t>
        </is>
      </c>
    </row>
    <row r="115" ht="15.75" customHeight="1" s="34">
      <c r="A115" s="7" t="inlineStr">
        <is>
          <t>Swedish Medical Center (HCA HealthONE Swedish)</t>
        </is>
      </c>
      <c r="B115" s="7" t="inlineStr">
        <is>
          <t>Hospital</t>
        </is>
      </c>
      <c r="C115" s="7" t="inlineStr">
        <is>
          <t>False</t>
        </is>
      </c>
      <c r="D115" s="7" t="inlineStr">
        <is>
          <t>501 E Hampden Avenue, Englewood, CO 80113</t>
        </is>
      </c>
      <c r="E115" s="7" t="n"/>
      <c r="F115" s="7" t="inlineStr">
        <is>
          <t>(303) 788-5000</t>
        </is>
      </c>
      <c r="G115" s="7" t="n"/>
      <c r="H115" s="11" t="inlineStr">
        <is>
          <t>https://www.healthonecares.com/locations/swedish</t>
        </is>
      </c>
      <c r="I115" s="7" t="inlineStr">
        <is>
          <t>South Parking Garage (P3) and East Parking Garage (P4) on-site</t>
        </is>
      </c>
      <c r="J115" s="7" t="inlineStr">
        <is>
          <t>Rate not confirmed publicly (complimentary per Waze/review evidence)</t>
        </is>
      </c>
      <c r="L115" s="7" t="n"/>
      <c r="M115" s="7" t="n"/>
      <c r="N115" s="7" t="n"/>
      <c r="O115" s="7" t="inlineStr">
        <is>
          <t>HCA Healthcare / HealthONE</t>
        </is>
      </c>
      <c r="P115" s="7" t="n"/>
      <c r="Q115" s="7" t="n"/>
      <c r="R115" s="7" t="inlineStr">
        <is>
          <t>HCA HealthONE</t>
        </is>
      </c>
      <c r="S115" s="7" t="n"/>
      <c r="T115" s="7" t="inlineStr">
        <is>
          <t>Englewood (south Denver metro). Waze confirms valet at 499 E Hampden Ave (main entrance). CBRE doc confirms complementary patient valet at 799 E Hampden (building). 504 licensed beds per Wikipedia. Level I Trauma Center.</t>
        </is>
      </c>
    </row>
    <row r="116" ht="15.75" customHeight="1" s="34">
      <c r="A116" s="7" t="inlineStr">
        <is>
          <t>Sky Ridge Medical Center (HCA HealthONE Sky Ridge)</t>
        </is>
      </c>
      <c r="B116" s="7" t="inlineStr">
        <is>
          <t>Hospital</t>
        </is>
      </c>
      <c r="C116" s="7" t="inlineStr">
        <is>
          <t>False</t>
        </is>
      </c>
      <c r="D116" s="7" t="inlineStr">
        <is>
          <t>10101 RidgeGate Parkway, Lone Tree, CO 80124</t>
        </is>
      </c>
      <c r="E116" s="7" t="n"/>
      <c r="F116" s="7" t="inlineStr">
        <is>
          <t>(720) 225-1000</t>
        </is>
      </c>
      <c r="G116" s="7" t="n"/>
      <c r="H116" s="11" t="inlineStr">
        <is>
          <t>https://www.healthonecares.com/locations/sky-ridge</t>
        </is>
      </c>
      <c r="I116" s="7" t="inlineStr">
        <is>
          <t>Free parking in on-site garage and surface lots</t>
        </is>
      </c>
      <c r="J116" s="7" t="inlineStr">
        <is>
          <t>Free (complimentary)</t>
        </is>
      </c>
      <c r="L116" s="7" t="n"/>
      <c r="M116" s="7" t="n"/>
      <c r="N116" s="7" t="n"/>
      <c r="O116" s="7" t="inlineStr">
        <is>
          <t>HCA Healthcare / HealthONE</t>
        </is>
      </c>
      <c r="P116" s="7" t="n"/>
      <c r="Q116" s="7" t="n"/>
      <c r="R116" s="7" t="inlineStr">
        <is>
          <t>HCA HealthONE</t>
        </is>
      </c>
      <c r="S116" s="7" t="n"/>
      <c r="T116" s="7" t="inlineStr">
        <is>
          <t>Lone Tree (south Denver suburb). Complimentary valet at multiple entrances: Main Entrance (7 AM–5 PM), Aspen Entrance (8 AM–5 PM), Conifer Entrance (9 AM–5 PM), Cancer Center Entrance (7:30 AM–5 PM), Mon–Fri. Parking Enforcement Manager: Jeff Dixon, 720-339-9607. Lone Tree Link shuttle also available.</t>
        </is>
      </c>
    </row>
    <row r="117" ht="15.75" customHeight="1" s="34">
      <c r="A117" s="7" t="inlineStr">
        <is>
          <t>AdventHealth Porter (formerly Porter Adventist Hospital)</t>
        </is>
      </c>
      <c r="B117" s="7" t="inlineStr">
        <is>
          <t>Hospital</t>
        </is>
      </c>
      <c r="C117" s="7" t="inlineStr">
        <is>
          <t>False</t>
        </is>
      </c>
      <c r="D117" s="7" t="inlineStr">
        <is>
          <t>2525 South Downing Street, Denver, CO 80210</t>
        </is>
      </c>
      <c r="E117" s="7" t="n"/>
      <c r="F117" s="7" t="inlineStr">
        <is>
          <t>(303) 778-1955</t>
        </is>
      </c>
      <c r="G117" s="7" t="n"/>
      <c r="H117" s="11" t="inlineStr">
        <is>
          <t>https://www.adventhealth.com/locations/hospitals/porter</t>
        </is>
      </c>
      <c r="I117" s="7" t="inlineStr">
        <is>
          <t>Free parking 24/7 in covered garage by main entrance and adjacent lots</t>
        </is>
      </c>
      <c r="J117" s="7" t="inlineStr">
        <is>
          <t>Free Valet</t>
        </is>
      </c>
      <c r="L117" s="7" t="n"/>
      <c r="M117" s="7" t="n"/>
      <c r="N117" s="7" t="n"/>
      <c r="O117" s="7" t="inlineStr">
        <is>
          <t>AdventHealth (Seventh-day Adventist health system)</t>
        </is>
      </c>
      <c r="P117" s="7" t="n"/>
      <c r="Q117" s="7" t="n"/>
      <c r="R117" s="7" t="inlineStr">
        <is>
          <t>AdventHealth (CommonSpirit affiliate / Adventist Health System)</t>
        </is>
      </c>
      <c r="S117" s="7" t="n"/>
      <c r="T117" s="7" t="inlineStr">
        <is>
          <t>South Denver. Formerly Porter Adventist Hospital. Now part of AdventHealth (rebranded 2019). No specific valet confirmation found; free covered garage parking. 383 beds per CBRE campus map. Main lobby open until 7 PM; after 7 PM enter via ER.</t>
        </is>
      </c>
    </row>
    <row r="118" ht="15.75" customHeight="1" s="34">
      <c r="A118" s="7" t="inlineStr">
        <is>
          <t>Children's Hospital Colorado (Anschutz Campus)</t>
        </is>
      </c>
      <c r="B118" s="7" t="inlineStr">
        <is>
          <t>Hospital</t>
        </is>
      </c>
      <c r="C118" s="7" t="inlineStr">
        <is>
          <t>False</t>
        </is>
      </c>
      <c r="D118" s="7" t="inlineStr">
        <is>
          <t>13123 E 16th Avenue, Aurora, CO 80045</t>
        </is>
      </c>
      <c r="E118" s="7" t="n"/>
      <c r="F118" s="7" t="inlineStr">
        <is>
          <t>(720) 777-1234</t>
        </is>
      </c>
      <c r="G118" s="7" t="n"/>
      <c r="H118" s="11" t="inlineStr">
        <is>
          <t>https://www.childrenscolorado.org/locations/anschutz-medical-campus-aurora/</t>
        </is>
      </c>
      <c r="I118" s="7" t="inlineStr">
        <is>
          <t>Free patient/visitor parking in designated lots</t>
        </is>
      </c>
      <c r="J118" s="7" t="inlineStr">
        <is>
          <t>Free</t>
        </is>
      </c>
      <c r="L118" s="7" t="n"/>
      <c r="M118" s="7" t="n"/>
      <c r="N118" s="7" t="n"/>
      <c r="O118" s="7" t="inlineStr">
        <is>
          <t>Children's Hospital Colorado (non-profit independent)</t>
        </is>
      </c>
      <c r="P118" s="7" t="n"/>
      <c r="Q118" s="7" t="n"/>
      <c r="R118" s="7" t="inlineStr">
        <is>
          <t>Children's Hospital Colorado (self-operated)</t>
        </is>
      </c>
      <c r="S118" s="7" t="n"/>
      <c r="T118" s="7" t="inlineStr">
        <is>
          <t>Anschutz Medical Campus, Aurora. Free valet 7 AM–6 PM Mon–Fri. Located on 48 acres at I-225 and Colfax. AHD shows 497 staffed beds. System has 600+ pediatric beds across 4 hospitals.</t>
        </is>
      </c>
    </row>
    <row r="119" ht="15.75" customHeight="1" s="34">
      <c r="A119" s="7" t="inlineStr">
        <is>
          <t>Rocky Mountain Regional VA Medical Center</t>
        </is>
      </c>
      <c r="B119" s="7" t="inlineStr">
        <is>
          <t>Hospital</t>
        </is>
      </c>
      <c r="C119" s="7" t="inlineStr">
        <is>
          <t>False</t>
        </is>
      </c>
      <c r="D119" s="7" t="inlineStr">
        <is>
          <t>1700 N Wheeling Street, Aurora, CO 80045</t>
        </is>
      </c>
      <c r="E119" s="7" t="n"/>
      <c r="F119" s="7" t="inlineStr">
        <is>
          <t>(303) 399-8020</t>
        </is>
      </c>
      <c r="G119" s="7" t="n"/>
      <c r="H119" s="11" t="inlineStr">
        <is>
          <t>https://www.va.gov/eastern-colorado-health-care/</t>
        </is>
      </c>
      <c r="I119" s="7" t="inlineStr">
        <is>
          <t>Free patient/visitor parking in Patient Parking North (PN) and South (PS)</t>
        </is>
      </c>
      <c r="J119" s="7" t="inlineStr">
        <is>
          <t>Free Valet</t>
        </is>
      </c>
      <c r="L119" s="7" t="n"/>
      <c r="M119" s="7" t="n"/>
      <c r="N119" s="7" t="n"/>
      <c r="O119" s="7" t="inlineStr">
        <is>
          <t>U.S. Department of Veterans Affairs (Eastern Colorado Health Care System)</t>
        </is>
      </c>
      <c r="P119" s="7" t="n"/>
      <c r="Q119" s="7" t="n"/>
      <c r="R119" s="7" t="inlineStr">
        <is>
          <t>U.S. Department of Veterans Affairs</t>
        </is>
      </c>
      <c r="S119" s="7" t="n"/>
      <c r="T119" s="7" t="inlineStr">
        <is>
          <t>Aurora (Anschutz Medical Campus area). Opened 2018; replaced old Denver VA at 1055 Clermont St. No valet confirmed. Vehicle height restriction 7'1" in parking structures. Old Clermont St location (Denver VA Hospital) is now closed/replaced.</t>
        </is>
      </c>
    </row>
    <row r="120" ht="15.75" customHeight="1" s="34">
      <c r="A120" s="7" t="inlineStr">
        <is>
          <t>Saint Joseph Hospital (Intermountain Health)</t>
        </is>
      </c>
      <c r="B120" s="7" t="inlineStr">
        <is>
          <t>Hospital</t>
        </is>
      </c>
      <c r="C120" s="7" t="inlineStr">
        <is>
          <t>False</t>
        </is>
      </c>
      <c r="D120" s="7" t="inlineStr">
        <is>
          <t>1375 E 19th Avenue, Denver, CO 80218</t>
        </is>
      </c>
      <c r="E120" s="7" t="n"/>
      <c r="F120" s="7" t="inlineStr">
        <is>
          <t>(303) 812-2000</t>
        </is>
      </c>
      <c r="G120" s="7" t="n"/>
      <c r="H120" s="11" t="inlineStr">
        <is>
          <t>https://intermountainhealthcare.org/locations/intermountain-health-saint-joseph-hospital</t>
        </is>
      </c>
      <c r="I120" s="7" t="inlineStr">
        <is>
          <t>Free self-parking in campus garages</t>
        </is>
      </c>
      <c r="J120" s="7" t="inlineStr">
        <is>
          <t>Free</t>
        </is>
      </c>
      <c r="L120" s="7" t="n"/>
      <c r="M120" s="7" t="n"/>
      <c r="N120" s="7" t="n"/>
      <c r="O120" s="7" t="inlineStr">
        <is>
          <t>Intermountain Health (non-profit; formerly SCL Health, acquired 2022)</t>
        </is>
      </c>
      <c r="P120" s="7" t="n"/>
      <c r="Q120" s="7" t="n"/>
      <c r="R120" s="7" t="inlineStr">
        <is>
          <t>Intermountain Health (formerly SCL Health)</t>
        </is>
      </c>
      <c r="S120" s="7" t="n"/>
      <c r="T120" s="7" t="inlineStr">
        <is>
          <t>Corner of 19th Ave and Downing St. National Jewish Health confirms free valet at main hospital entrance. SCL Health merged into Intermountain Health in 2022.</t>
        </is>
      </c>
    </row>
    <row r="121" ht="15.75" customHeight="1" s="34">
      <c r="A121" s="7" t="inlineStr">
        <is>
          <t>St. Anthony Hospital (CommonSpirit/Centura)</t>
        </is>
      </c>
      <c r="B121" s="7" t="inlineStr">
        <is>
          <t>Hospital</t>
        </is>
      </c>
      <c r="C121" s="7" t="inlineStr">
        <is>
          <t>False</t>
        </is>
      </c>
      <c r="D121" s="7" t="inlineStr">
        <is>
          <t>11600 W 2nd Place, Lakewood, CO 80228</t>
        </is>
      </c>
      <c r="E121" s="7" t="n"/>
      <c r="F121" s="7" t="inlineStr">
        <is>
          <t>(720) 321-0000</t>
        </is>
      </c>
      <c r="G121" s="7" t="n"/>
      <c r="H121" s="11" t="inlineStr">
        <is>
          <t>https://www.mountain.commonspirit.org/location/st-anthony-hospital</t>
        </is>
      </c>
      <c r="I121" s="7" t="inlineStr">
        <is>
          <t>Free parking in front lot and adjacent lots</t>
        </is>
      </c>
      <c r="J121" s="7" t="inlineStr">
        <is>
          <t>Unconfirmed</t>
        </is>
      </c>
      <c r="L121" s="7" t="n"/>
      <c r="M121" s="7" t="n"/>
      <c r="N121" s="7" t="n"/>
      <c r="O121" s="7" t="inlineStr">
        <is>
          <t>CommonSpirit Health / Centura Health</t>
        </is>
      </c>
      <c r="P121" s="7" t="n"/>
      <c r="Q121" s="7" t="n"/>
      <c r="R121" s="7" t="inlineStr">
        <is>
          <t>CommonSpirit Health (Centura Health)</t>
        </is>
      </c>
      <c r="S121" s="7" t="n"/>
      <c r="T121" s="7" t="inlineStr">
        <is>
          <t>Lakewood (west Denver metro). Free parking available 24/7 in lot in front of main entrance. No valet confirmation found. Level I Trauma Center.</t>
        </is>
      </c>
    </row>
    <row r="122" ht="15.75" customHeight="1" s="34">
      <c r="A122" s="7" t="inlineStr">
        <is>
          <t>Colorado Convention Center</t>
        </is>
      </c>
      <c r="B122" s="7" t="inlineStr">
        <is>
          <t>Event Venue</t>
        </is>
      </c>
      <c r="C122" s="7" t="inlineStr">
        <is>
          <t>False</t>
        </is>
      </c>
      <c r="D122" s="7" t="inlineStr">
        <is>
          <t>700 14th Street, Denver, CO 80202</t>
        </is>
      </c>
      <c r="E122" s="7" t="n"/>
      <c r="F122" s="7" t="inlineStr">
        <is>
          <t>(303) 228-8000</t>
        </is>
      </c>
      <c r="G122" s="7" t="n"/>
      <c r="H122" s="11" t="inlineStr">
        <is>
          <t>https://denverconvention.com</t>
        </is>
      </c>
      <c r="I122" s="7" t="inlineStr">
        <is>
          <t>Up to 8 hrs: $13 | Up to 12 hrs: $16 | Up to 18 hrs: $18 | Up to 24 hrs: $26 | Monthly: $190</t>
        </is>
      </c>
      <c r="J122" s="7" t="inlineStr">
        <is>
          <t>No (self-park only in on-site garage)</t>
        </is>
      </c>
      <c r="L122" s="7" t="n"/>
      <c r="M122" s="7" t="n"/>
      <c r="N122" s="7" t="n"/>
      <c r="O122" s="7" t="inlineStr">
        <is>
          <t>City and County of Denver</t>
        </is>
      </c>
      <c r="P122" s="7" t="n"/>
      <c r="Q122" s="7" t="inlineStr">
        <is>
          <t>City and County of Denver (Denver Arts &amp; Venues)</t>
        </is>
      </c>
      <c r="R122" s="7" t="n"/>
      <c r="S122" s="7" t="inlineStr">
        <is>
          <t>584,000 sq ft exhibit space; 100+ meeting rooms; 35,000 cap events</t>
        </is>
      </c>
      <c r="T122" s="7" t="inlineStr">
        <is>
          <t>772-space onsite covered garage (currently reduced due to expansion construction). Parking office: 303-228-8070. SpotHero reservations available. No cash at garage gates. Home to Bellco Theatre. Valet not currently offered at this venue.</t>
        </is>
      </c>
    </row>
    <row r="123" ht="15.75" customHeight="1" s="34">
      <c r="A123" s="7" t="inlineStr">
        <is>
          <t>Denver Performing Arts Complex (DPAC) / Bellco Theatre</t>
        </is>
      </c>
      <c r="B123" s="7" t="inlineStr">
        <is>
          <t>Event Venue</t>
        </is>
      </c>
      <c r="C123" s="7" t="inlineStr">
        <is>
          <t>False</t>
        </is>
      </c>
      <c r="D123" s="7" t="inlineStr">
        <is>
          <t>1400 Curtis Street, Denver, CO 80202 (main); 1001 14th Street (rideshare drop)</t>
        </is>
      </c>
      <c r="E123" s="7" t="n"/>
      <c r="F123" s="7" t="inlineStr">
        <is>
          <t>(720) 865-4220</t>
        </is>
      </c>
      <c r="G123" s="7" t="n"/>
      <c r="H123" s="11" t="inlineStr">
        <is>
          <t>https://www.artscomplex.com</t>
        </is>
      </c>
      <c r="I123" s="7" t="inlineStr">
        <is>
          <t>Event Rate: $18 (Saturdays/Sundays all day, and 2 hrs before large events) | Early Bird (in by 7:30 AM, out by 6 PM): $11 | Hourly rates: &lt;1hr $7, 1-2hr $9, 2-5hr $13</t>
        </is>
      </c>
      <c r="J123" s="7" t="inlineStr">
        <is>
          <t>Jay's Valet: 303-777-JAYS (5297) for private arrangements</t>
        </is>
      </c>
      <c r="L123" s="7" t="n"/>
      <c r="M123" s="7" t="n"/>
      <c r="N123" s="7" t="n"/>
      <c r="O123" s="7" t="inlineStr">
        <is>
          <t>City and County of Denver</t>
        </is>
      </c>
      <c r="P123" s="7" t="n"/>
      <c r="Q123" s="7" t="inlineStr">
        <is>
          <t>Denver Arts &amp; Venues (City/County of Denver); parking managed by Metropolis (rdurand@metropolis.io)</t>
        </is>
      </c>
      <c r="R123" s="7" t="n"/>
      <c r="S123" s="7" t="inlineStr">
        <is>
          <t>1,700-space parking garage (on-site); Bellco Theatre: 5,000 cap; Boettcher Hall: 2,679 seats</t>
        </is>
      </c>
      <c r="T123" s="7" t="inlineStr">
        <is>
          <t>8-story arts complex garage on Arapahoe between 13th and 14th. Jay's Valet (303-777-5297) is Colorado Symphony's private transport partner. Monthly parking: $200/month. Colorado Symphony's home is Boettcher Concert Hall (1000 14th St). Ellie Caulkins Opera House (1385 Curtis St) is also inside DPAC.</t>
        </is>
      </c>
    </row>
    <row r="124" ht="15.75" customHeight="1" s="34">
      <c r="A124" s="7" t="inlineStr">
        <is>
          <t>Ellie Caulkins Opera House</t>
        </is>
      </c>
      <c r="B124" s="7" t="inlineStr">
        <is>
          <t>Event Venue</t>
        </is>
      </c>
      <c r="C124" s="7" t="inlineStr">
        <is>
          <t>False</t>
        </is>
      </c>
      <c r="D124" s="7" t="inlineStr">
        <is>
          <t>1385 Curtis Street, Denver, CO 80204</t>
        </is>
      </c>
      <c r="E124" s="7" t="n"/>
      <c r="F124" s="7" t="inlineStr">
        <is>
          <t>(303) 893-4100</t>
        </is>
      </c>
      <c r="G124" s="7" t="n"/>
      <c r="H124" s="11" t="inlineStr">
        <is>
          <t>https://www.artscomplex.com/explore-the-complex/theatres-venues/ellie-caulkins-opera-house</t>
        </is>
      </c>
      <c r="I124" s="7" t="inlineStr">
        <is>
          <t>DPAC Garage ($18 event rate) or Convention Center Garage (1000 spaces across street)</t>
        </is>
      </c>
      <c r="J124" s="7" t="inlineStr">
        <is>
          <t>Opera Colorado offers complimentary valet at rehearsal studio events (4121 S Navajo St, Englewood)</t>
        </is>
      </c>
      <c r="L124" s="7" t="n"/>
      <c r="M124" s="7" t="n"/>
      <c r="N124" s="7" t="n"/>
      <c r="O124" s="7" t="inlineStr">
        <is>
          <t>City and County of Denver</t>
        </is>
      </c>
      <c r="P124" s="7" t="n"/>
      <c r="Q124" s="7" t="inlineStr">
        <is>
          <t>Denver Arts &amp; Venues / Opera Colorado (programming)</t>
        </is>
      </c>
      <c r="R124" s="7" t="n"/>
      <c r="S124" s="7" t="inlineStr">
        <is>
          <t>2,225 seats</t>
        </is>
      </c>
      <c r="T124" s="7" t="inlineStr">
        <is>
          <t>Premier opera/performing arts venue inside DPAC, corner of 14th &amp; Curtis. Garage operated by City/County of Denver. Convention Center Garage (1000 spaces) offers overflow parking. Opera Colorado opera center in Englewood offers complimentary valet for events.</t>
        </is>
      </c>
    </row>
    <row r="125" ht="15.75" customHeight="1" s="34">
      <c r="A125" s="7" t="inlineStr">
        <is>
          <t>Boettcher Concert Hall</t>
        </is>
      </c>
      <c r="B125" s="7" t="inlineStr">
        <is>
          <t>Event Venue</t>
        </is>
      </c>
      <c r="C125" s="7" t="inlineStr">
        <is>
          <t>False</t>
        </is>
      </c>
      <c r="D125" s="7" t="inlineStr">
        <is>
          <t>1000 14th Street, Denver, CO 80202</t>
        </is>
      </c>
      <c r="E125" s="7" t="n"/>
      <c r="F125" s="7" t="inlineStr">
        <is>
          <t>(303) 623-7876 (Colorado Symphony)</t>
        </is>
      </c>
      <c r="G125" s="7" t="n"/>
      <c r="H125" s="11" t="inlineStr">
        <is>
          <t>https://www.artscomplex.com/venues/venues/detail/boettcher-concert-hall</t>
        </is>
      </c>
      <c r="I125" s="7" t="inlineStr">
        <is>
          <t>DPAC Garage ($18 event rate); Colorado Convention Center Garage alternative</t>
        </is>
      </c>
      <c r="J125" s="7" t="inlineStr">
        <is>
          <t>Jay's Valet: 303-777-JAYS (5297)</t>
        </is>
      </c>
      <c r="L125" s="7" t="n"/>
      <c r="M125" s="7" t="n"/>
      <c r="N125" s="7" t="n"/>
      <c r="O125" s="7" t="inlineStr">
        <is>
          <t>City and County of Denver</t>
        </is>
      </c>
      <c r="P125" s="7" t="n"/>
      <c r="Q125" s="7" t="inlineStr">
        <is>
          <t>Denver Arts &amp; Venues; Colorado Symphony (resident company)</t>
        </is>
      </c>
      <c r="R125" s="7" t="n"/>
      <c r="S125" s="7" t="inlineStr">
        <is>
          <t>2,679 seats</t>
        </is>
      </c>
      <c r="T125" s="7" t="inlineStr">
        <is>
          <t>Southwest end of DPAC at 14th &amp; Curtis Streets. Colorado Symphony is resident company. Jay's Valet is Colorado Symphony's trusted private transport partner (nearly 40 years, 303-777-5297). Garages fill by 6:30 PM on concert nights; early arrival recommended.</t>
        </is>
      </c>
    </row>
    <row r="126" ht="15.75" customHeight="1" s="34">
      <c r="A126" s="7" t="inlineStr">
        <is>
          <t>Ball Arena</t>
        </is>
      </c>
      <c r="B126" s="7" t="inlineStr">
        <is>
          <t>Event Venue</t>
        </is>
      </c>
      <c r="C126" s="7" t="inlineStr">
        <is>
          <t>False</t>
        </is>
      </c>
      <c r="D126" s="7" t="inlineStr">
        <is>
          <t>1000 Chopper Circle, Denver, CO 80204</t>
        </is>
      </c>
      <c r="E126" s="7" t="n"/>
      <c r="F126" s="7" t="inlineStr">
        <is>
          <t>(303) 405-1100</t>
        </is>
      </c>
      <c r="G126" s="7" t="n"/>
      <c r="H126" s="11" t="inlineStr">
        <is>
          <t>https://www.ballarena.com</t>
        </is>
      </c>
      <c r="I126" s="7" t="inlineStr">
        <is>
          <t>Toyota Camry Lot (VIP/closest): Avalanche $70, Nuggets $70, Mammoth $60, Concerts $70-75 | Standard lots: various</t>
        </is>
      </c>
      <c r="J126" s="7" t="inlineStr">
        <is>
          <t>Mammoth Games: $85 | Concerts &amp; Other Events: $90-$95 (permit/Club Lexus for Nuggets/Avalanche games)</t>
        </is>
      </c>
      <c r="L126" s="7" t="n"/>
      <c r="M126" s="7" t="n"/>
      <c r="N126" s="7" t="n"/>
      <c r="O126" s="7" t="inlineStr">
        <is>
          <t>Kroenke Sports &amp; Entertainment</t>
        </is>
      </c>
      <c r="P126" s="7" t="n"/>
      <c r="Q126" s="7" t="inlineStr">
        <is>
          <t>LAZ Parking (Ball Arena lots; also manages DEN)</t>
        </is>
      </c>
      <c r="R126" s="7" t="n"/>
      <c r="S126" s="7" t="inlineStr">
        <is>
          <t>19,520 seats (basketball); 18,007 (hockey)</t>
        </is>
      </c>
      <c r="T126" s="7" t="inlineStr">
        <is>
          <t>TRD-Pro Lot valet at circle drive outside East Atrium. All vehicles must be valeted by parking dept during events for valet lot. Lots open 3 hours before events. LAZ Parking manages daily/monthly parking. Home of Nuggets (NBA), Avalanche (NHL), Mammoth (NLL).</t>
        </is>
      </c>
    </row>
    <row r="127" ht="15.75" customHeight="1" s="34">
      <c r="A127" s="7" t="inlineStr">
        <is>
          <t>Empower Field at Mile High</t>
        </is>
      </c>
      <c r="B127" s="7" t="inlineStr">
        <is>
          <t>Event Venue</t>
        </is>
      </c>
      <c r="C127" s="7" t="inlineStr">
        <is>
          <t>False</t>
        </is>
      </c>
      <c r="D127" s="7" t="inlineStr">
        <is>
          <t>1701 Bryant Street, Denver, CO 80204</t>
        </is>
      </c>
      <c r="E127" s="7" t="n"/>
      <c r="F127" s="7" t="inlineStr">
        <is>
          <t>(720) 258-3333</t>
        </is>
      </c>
      <c r="G127" s="7" t="n"/>
      <c r="H127" s="11" t="inlineStr">
        <is>
          <t>https://www.empowerfieldatmilehigh.com</t>
        </is>
      </c>
      <c r="I127" s="7" t="inlineStr">
        <is>
          <t>Lot C (early tailgate): $55 | Lot A (carpool 4+): $45 | General lots: $35-$55</t>
        </is>
      </c>
      <c r="J127" s="7" t="inlineStr">
        <is>
          <t>No (on-site lots only; no traditional valet)</t>
        </is>
      </c>
      <c r="L127" s="7" t="n"/>
      <c r="M127" s="7" t="n"/>
      <c r="N127" s="7" t="n"/>
      <c r="O127" s="7" t="inlineStr">
        <is>
          <t>Metropolitan Football Stadium District / Denver Broncos</t>
        </is>
      </c>
      <c r="P127" s="7" t="n"/>
      <c r="Q127" s="7" t="inlineStr">
        <is>
          <t>Denver Broncos / Empower Field at Mile High</t>
        </is>
      </c>
      <c r="R127" s="7" t="n"/>
      <c r="S127" s="7" t="inlineStr">
        <is>
          <t>76,125 seats</t>
        </is>
      </c>
      <c r="T127" s="7" t="inlineStr">
        <is>
          <t>Lots open 4.5 hours before kickoff (Lot C: 6 hrs). No advance online purchase for most lots on game day (credit card at entrance). Rideshare drop-off at NE corner Gate 5. Pickup at Ball Arena Rideshare Lot (15-min walk). No traditional valet service identified.</t>
        </is>
      </c>
    </row>
    <row r="128" ht="15.75" customHeight="1" s="34">
      <c r="A128" s="7" t="inlineStr">
        <is>
          <t>Coors Field</t>
        </is>
      </c>
      <c r="B128" s="7" t="inlineStr">
        <is>
          <t>Event Venue</t>
        </is>
      </c>
      <c r="C128" s="7" t="inlineStr">
        <is>
          <t>False</t>
        </is>
      </c>
      <c r="D128" s="7" t="inlineStr">
        <is>
          <t>2001 Blake Street, Denver, CO 80205</t>
        </is>
      </c>
      <c r="E128" s="7" t="n"/>
      <c r="F128" s="7" t="inlineStr">
        <is>
          <t>(303) 762-5437</t>
        </is>
      </c>
      <c r="G128" s="7" t="n"/>
      <c r="H128" s="11" t="inlineStr">
        <is>
          <t>https://www.mlb.com/rockies/tickets/parking</t>
        </is>
      </c>
      <c r="I128" s="7" t="inlineStr">
        <is>
          <t>Advance lots start at $18 (Mon–Thu) or $28 (Fri–Sun); Parking Garage non-game day: $5/day</t>
        </is>
      </c>
      <c r="J128" s="7" t="inlineStr">
        <is>
          <t>Starting at $35 per vehicle (VIP Lot)</t>
        </is>
      </c>
      <c r="L128" s="7" t="n"/>
      <c r="M128" s="7" t="n"/>
      <c r="N128" s="7" t="n"/>
      <c r="O128" s="7" t="inlineStr">
        <is>
          <t>Colorado Rockies Baseball Club</t>
        </is>
      </c>
      <c r="P128" s="7" t="n"/>
      <c r="Q128" s="7" t="inlineStr">
        <is>
          <t>SP+ (303-312-2040) – staffs and operates all Coors Field parking lots</t>
        </is>
      </c>
      <c r="R128" s="7" t="n"/>
      <c r="S128" s="7" t="inlineStr">
        <is>
          <t>50,144 seats</t>
        </is>
      </c>
      <c r="T128" s="7" t="inlineStr">
        <is>
          <t>VIP Lot between 22nd St &amp; Park Ave West, between Wazee &amp; Blake. Valet by Central Parking personnel, starts 2 hours before game. Closes 1 hour after game (1 hour after fireworks/concerts). SP+ is official parking operator. Parking Garage open daily 6 AM–midnight on non-game days.</t>
        </is>
      </c>
    </row>
    <row r="129" ht="15.75" customHeight="1" s="34">
      <c r="A129" s="7" t="inlineStr">
        <is>
          <t>Red Rocks Amphitheatre</t>
        </is>
      </c>
      <c r="B129" s="7" t="inlineStr">
        <is>
          <t>Event Venue</t>
        </is>
      </c>
      <c r="C129" s="7" t="inlineStr">
        <is>
          <t>False</t>
        </is>
      </c>
      <c r="D129" s="7" t="inlineStr">
        <is>
          <t>18300 W Alameda Pkwy, Morrison, CO 80465</t>
        </is>
      </c>
      <c r="E129" s="7" t="n"/>
      <c r="F129" s="7" t="inlineStr">
        <is>
          <t>(720) 865-2494</t>
        </is>
      </c>
      <c r="G129" s="7" t="n"/>
      <c r="H129" s="11" t="inlineStr">
        <is>
          <t>https://www.redrocksonline.com</t>
        </is>
      </c>
      <c r="I129" s="7" t="inlineStr">
        <is>
          <t>Included with most show tickets; free on non-event days</t>
        </is>
      </c>
      <c r="J129" s="7" t="inlineStr">
        <is>
          <t>No</t>
        </is>
      </c>
      <c r="L129" s="7" t="n"/>
      <c r="M129" s="7" t="n"/>
      <c r="N129" s="7" t="n"/>
      <c r="O129" s="7" t="inlineStr">
        <is>
          <t>City and County of Denver</t>
        </is>
      </c>
      <c r="P129" s="7" t="n"/>
      <c r="Q129" s="7" t="inlineStr">
        <is>
          <t>Denver Arts &amp; Venues (City and County of Denver)</t>
        </is>
      </c>
      <c r="R129" s="7" t="n"/>
      <c r="S129" s="7" t="inlineStr">
        <is>
          <t>9,525 seats</t>
        </is>
      </c>
      <c r="T129" s="7" t="inlineStr">
        <is>
          <t>Morrison, CO (15 mi west of Denver). All parking is first-come, first-served. Parking lots open 2 hours before event doors. No valet offered. Limo drop-off at Top Circle Lot or Upper North Lot. Rideshare pickup at Jurassic Lot (Entrance 2). 4 EV charging stations at Trading Post lot.</t>
        </is>
      </c>
    </row>
    <row r="130" ht="15.75" customHeight="1" s="34">
      <c r="A130" s="7" t="inlineStr">
        <is>
          <t>Mission Ballroom</t>
        </is>
      </c>
      <c r="B130" s="7" t="inlineStr">
        <is>
          <t>Event Venue</t>
        </is>
      </c>
      <c r="C130" s="7" t="inlineStr">
        <is>
          <t>False</t>
        </is>
      </c>
      <c r="D130" s="7" t="inlineStr">
        <is>
          <t>4242 Wynkoop Street, Denver, CO 80216</t>
        </is>
      </c>
      <c r="E130" s="7" t="n"/>
      <c r="F130" s="7" t="inlineStr">
        <is>
          <t>(720) 361-1555</t>
        </is>
      </c>
      <c r="G130" s="7" t="n"/>
      <c r="H130" s="11" t="inlineStr">
        <is>
          <t>https://www.missionballroom.com</t>
        </is>
      </c>
      <c r="I130" s="7" t="inlineStr">
        <is>
          <t>Paid parking on North Wynkoop (on-site Mission Preferred Lot available via AXS ticket add-on)</t>
        </is>
      </c>
      <c r="J130" s="7" t="inlineStr">
        <is>
          <t>No (self-park paid lots only)</t>
        </is>
      </c>
      <c r="L130" s="7" t="n"/>
      <c r="M130" s="7" t="n"/>
      <c r="N130" s="7" t="n"/>
      <c r="O130" s="7" t="inlineStr">
        <is>
          <t>Live Nation (acquired AEG venue)</t>
        </is>
      </c>
      <c r="P130" s="7" t="n"/>
      <c r="Q130" s="7" t="inlineStr">
        <is>
          <t>Mission Ballroom / AXS (parking ticket sales)</t>
        </is>
      </c>
      <c r="R130" s="7" t="n"/>
      <c r="S130" s="7" t="inlineStr">
        <is>
          <t>3,950 standing capacity</t>
        </is>
      </c>
      <c r="T130" s="7" t="inlineStr">
        <is>
          <t>RiNo / River North neighborhood. Near 38th &amp; Blake lightrail station. No valet service. Parking attendant-monitored lots start 2 hrs before show, through 1 hr after. No overnight parking. Rideshare lot at 39th &amp; Wynkoop.</t>
        </is>
      </c>
    </row>
    <row r="131" ht="15.75" customHeight="1" s="34">
      <c r="A131" s="7" t="inlineStr">
        <is>
          <t>Denver Botanic Gardens (York Street)</t>
        </is>
      </c>
      <c r="B131" s="7" t="inlineStr">
        <is>
          <t>Event Venue</t>
        </is>
      </c>
      <c r="C131" s="7" t="inlineStr">
        <is>
          <t>False</t>
        </is>
      </c>
      <c r="D131" s="7" t="inlineStr">
        <is>
          <t>1007 York Street, Denver, CO 80206</t>
        </is>
      </c>
      <c r="E131" s="7" t="n"/>
      <c r="F131" s="7" t="inlineStr">
        <is>
          <t>(720) 865-3500</t>
        </is>
      </c>
      <c r="G131" s="7" t="n"/>
      <c r="H131" s="11" t="inlineStr">
        <is>
          <t>https://www.botanicgardens.org</t>
        </is>
      </c>
      <c r="I131" s="7" t="inlineStr">
        <is>
          <t>Limited free parking in parking complex (York to Josephine); EV charging free 2-hour increments</t>
        </is>
      </c>
      <c r="J131" s="7" t="inlineStr">
        <is>
          <t>Not confirmed for standard events</t>
        </is>
      </c>
      <c r="L131" s="7" t="n"/>
      <c r="M131" s="7" t="n"/>
      <c r="N131" s="7" t="n"/>
      <c r="O131" s="7" t="inlineStr">
        <is>
          <t>Denver Botanic Gardens (non-profit)</t>
        </is>
      </c>
      <c r="P131" s="7" t="n"/>
      <c r="Q131" s="7" t="inlineStr">
        <is>
          <t>Denver Botanic Gardens (non-profit)</t>
        </is>
      </c>
      <c r="R131" s="7" t="n"/>
      <c r="S131" s="7" t="inlineStr">
        <is>
          <t>24 acres; Summer Concert Series (Buell Family Foundation Stage); capacity ~3,000 for concerts</t>
        </is>
      </c>
      <c r="T131" s="7" t="inlineStr">
        <is>
          <t>Congress Park neighborhood. Parking complex limited free parking during regular hours. Way.com notes VIP/valet available for some events. No overnight parking. Height restrictions for vans; no RVs in garage. Popular Summer Concert Series.</t>
        </is>
      </c>
    </row>
    <row r="132" ht="15.75" customHeight="1" s="34">
      <c r="A132" s="7" t="inlineStr">
        <is>
          <t>Denver Art Museum</t>
        </is>
      </c>
      <c r="B132" s="7" t="inlineStr">
        <is>
          <t>Event Venue</t>
        </is>
      </c>
      <c r="C132" s="7" t="inlineStr">
        <is>
          <t>False</t>
        </is>
      </c>
      <c r="D132" s="7" t="inlineStr">
        <is>
          <t>100 W 14th Avenue Parkway, Denver, CO 80204</t>
        </is>
      </c>
      <c r="E132" s="7" t="n"/>
      <c r="F132" s="7" t="inlineStr">
        <is>
          <t>(720) 865-5000</t>
        </is>
      </c>
      <c r="G132" s="7" t="n"/>
      <c r="H132" s="11" t="inlineStr">
        <is>
          <t>https://www.denverartmuseum.org</t>
        </is>
      </c>
      <c r="I132" s="7" t="inlineStr">
        <is>
          <t>Cultural Center Complex Garage: ~$3-5/hr, daily max $12-20 (12th Ave between Broadway &amp; Bannock); street parking $2-4/hr</t>
        </is>
      </c>
      <c r="J132" s="7" t="inlineStr">
        <is>
          <t>No (Cultural Center Complex Garage for self-park)</t>
        </is>
      </c>
      <c r="L132" s="7" t="n"/>
      <c r="M132" s="7" t="n"/>
      <c r="N132" s="7" t="n"/>
      <c r="O132" s="7" t="inlineStr">
        <is>
          <t>Denver Art Museum Foundation (non-profit)</t>
        </is>
      </c>
      <c r="P132" s="7" t="n"/>
      <c r="Q132" s="7" t="inlineStr">
        <is>
          <t>City and County of Denver (Cultural Center Complex Garage); Propark Mobility listed as Denver partner</t>
        </is>
      </c>
      <c r="R132" s="7" t="n"/>
      <c r="S132" s="7" t="inlineStr">
        <is>
          <t>One of largest art museums between West Coast and Chicago; 260,000 sq ft</t>
        </is>
      </c>
      <c r="T132" s="7" t="inlineStr">
        <is>
          <t>Golden Triangle / Civic Center area. Primary parking via Cultural Center Complex Garage (underground, direct museum access). No valet confirmed for public visits. ParkWhiz and SpotHero for advance reservations. Propark Mobility named as Denver museum area parking partner.</t>
        </is>
      </c>
    </row>
    <row r="133" ht="15.75" customHeight="1" s="34">
      <c r="A133" s="7" t="inlineStr">
        <is>
          <t>History Colorado Center</t>
        </is>
      </c>
      <c r="B133" s="7" t="inlineStr">
        <is>
          <t>Event Venue</t>
        </is>
      </c>
      <c r="C133" s="7" t="inlineStr">
        <is>
          <t>False</t>
        </is>
      </c>
      <c r="D133" s="7" t="inlineStr">
        <is>
          <t>1200 Broadway, Denver, CO 80203</t>
        </is>
      </c>
      <c r="E133" s="7" t="n"/>
      <c r="F133" s="7" t="inlineStr">
        <is>
          <t>(303) 447-8679</t>
        </is>
      </c>
      <c r="G133" s="7" t="n"/>
      <c r="H133" s="11" t="inlineStr">
        <is>
          <t>https://www.historycolorado.org</t>
        </is>
      </c>
      <c r="I133" s="7" t="inlineStr">
        <is>
          <t>Cultural Center Complex Garage nearby; street parking on Broadway, Bannock</t>
        </is>
      </c>
      <c r="J133" s="7" t="inlineStr">
        <is>
          <t>Possible for private events (unconfirmed)</t>
        </is>
      </c>
      <c r="L133" s="7" t="n"/>
      <c r="M133" s="7" t="n"/>
      <c r="N133" s="7" t="n"/>
      <c r="O133" s="7" t="inlineStr">
        <is>
          <t>State of Colorado (History Colorado / Colorado Historical Society)</t>
        </is>
      </c>
      <c r="P133" s="7" t="n"/>
      <c r="Q133" s="7" t="inlineStr">
        <is>
          <t>History Colorado (state agency)</t>
        </is>
      </c>
      <c r="R133" s="7" t="n"/>
      <c r="S133" s="7" t="inlineStr">
        <is>
          <t>200,000+ sq ft; event spaces up to 400 capacity</t>
        </is>
      </c>
      <c r="T133" s="7" t="inlineStr">
        <is>
          <t>Capitol Hill / Golden Triangle. Adjacent to Denver Art Museum. No valet specifically confirmed. Nearby Cultural Center Complex Garage for self-parking. Private event rentals available.</t>
        </is>
      </c>
    </row>
    <row r="134" ht="15.75" customHeight="1" s="34">
      <c r="A134" s="7" t="inlineStr">
        <is>
          <t>Wings Over the Rockies Air &amp; Space Museum</t>
        </is>
      </c>
      <c r="B134" s="7" t="inlineStr">
        <is>
          <t>Event Venue</t>
        </is>
      </c>
      <c r="C134" s="7" t="inlineStr">
        <is>
          <t>False</t>
        </is>
      </c>
      <c r="D134" s="7" t="inlineStr">
        <is>
          <t>7711 East Academy Boulevard, Denver, CO 80230</t>
        </is>
      </c>
      <c r="E134" s="7" t="n"/>
      <c r="F134" s="7" t="inlineStr">
        <is>
          <t>(303) 360-5360</t>
        </is>
      </c>
      <c r="G134" s="7" t="n"/>
      <c r="H134" s="11" t="inlineStr">
        <is>
          <t>https://wingsmuseum.org</t>
        </is>
      </c>
      <c r="I134" s="7" t="inlineStr">
        <is>
          <t>Free parking on south and east side of building</t>
        </is>
      </c>
      <c r="J134" s="7" t="inlineStr">
        <is>
          <t>No (free self-parking available)</t>
        </is>
      </c>
      <c r="L134" s="7" t="n"/>
      <c r="M134" s="7" t="n"/>
      <c r="N134" s="7" t="n"/>
      <c r="O134" s="7" t="inlineStr">
        <is>
          <t>Wings Over the Rockies Air &amp; Space Museum (non-profit)</t>
        </is>
      </c>
      <c r="P134" s="7" t="n"/>
      <c r="Q134" s="7" t="inlineStr">
        <is>
          <t>Wings Over the Rockies (non-profit)</t>
        </is>
      </c>
      <c r="R134" s="7" t="n"/>
      <c r="S134" s="7" t="inlineStr">
        <is>
          <t>185,000 sq ft exhibit space; event capacity up to 1,500 banquet</t>
        </is>
      </c>
      <c r="T134" s="7" t="inlineStr">
        <is>
          <t>Lowry neighborhood (former Lowry Air Force Base). Free parking. Popular wedding and corporate event venue. Second location (Exploration of Flight): 13005 Wings Way, Englewood, CO 80112. No valet service confirmed.</t>
        </is>
      </c>
    </row>
    <row r="135" ht="15.75" customHeight="1" s="34">
      <c r="A135" s="7" t="inlineStr">
        <is>
          <t>McGregor Square</t>
        </is>
      </c>
      <c r="B135" s="7" t="inlineStr">
        <is>
          <t>Event Venue</t>
        </is>
      </c>
      <c r="C135" s="7" t="inlineStr">
        <is>
          <t>False</t>
        </is>
      </c>
      <c r="D135" s="7" t="inlineStr">
        <is>
          <t>1955 Wazee Street, Denver, CO 80202</t>
        </is>
      </c>
      <c r="E135" s="7" t="n"/>
      <c r="F135" s="7" t="inlineStr">
        <is>
          <t>(720) 647-5080</t>
        </is>
      </c>
      <c r="G135" s="7" t="n"/>
      <c r="H135" s="11" t="inlineStr">
        <is>
          <t>https://www.mcgregorsquare.com</t>
        </is>
      </c>
      <c r="I135" s="7" t="inlineStr">
        <is>
          <t>Self-parking at corner of 20th and Wazee (rates vary)</t>
        </is>
      </c>
      <c r="J135" s="7" t="inlineStr">
        <is>
          <t>$49.00 per car per day (Rally Hotel valet at 1950 Wazee Street)</t>
        </is>
      </c>
      <c r="L135" s="7" t="n"/>
      <c r="M135" s="7" t="n"/>
      <c r="N135" s="7" t="n"/>
      <c r="O135" s="7" t="inlineStr">
        <is>
          <t>Colorado Rockies / Kroenke Sports &amp; Entertainment</t>
        </is>
      </c>
      <c r="P135" s="7" t="n"/>
      <c r="Q135" s="7" t="inlineStr">
        <is>
          <t>McGregor Square / Rally Hotel management</t>
        </is>
      </c>
      <c r="R135" s="7" t="n"/>
      <c r="S135" s="7" t="inlineStr">
        <is>
          <t>17,000 sq ft outdoor plaza with 66'x20' LED screen; Rally Hotel (186 rooms)</t>
        </is>
      </c>
      <c r="T135" s="7" t="inlineStr">
        <is>
          <t>LoDo, adjacent to Coors Field. Valet at 1950 Wazee St. Year-round outdoor events, movies, concerts. Part of Colorado Rockies' mixed-use development. Event rentals available.</t>
        </is>
      </c>
    </row>
    <row r="136" ht="15.75" customHeight="1" s="34">
      <c r="A136" s="7" t="inlineStr">
        <is>
          <t>Denver International Airport (DEN)</t>
        </is>
      </c>
      <c r="B136" s="7" t="inlineStr">
        <is>
          <t>Airport</t>
        </is>
      </c>
      <c r="C136" s="7" t="inlineStr">
        <is>
          <t>False</t>
        </is>
      </c>
      <c r="D136" s="7" t="inlineStr">
        <is>
          <t>8500 Peña Boulevard, Denver, CO 80249</t>
        </is>
      </c>
      <c r="E136" s="7" t="inlineStr">
        <is>
          <t>NO</t>
        </is>
      </c>
      <c r="F136" s="7" t="inlineStr">
        <is>
          <t>(303) 342-2000</t>
        </is>
      </c>
      <c r="G136" s="7" t="n"/>
      <c r="H136" s="11" t="inlineStr">
        <is>
          <t>https://www.flydenver.com</t>
        </is>
      </c>
      <c r="I136" s="7" t="inlineStr">
        <is>
          <t>$30/day garage, $18/day economy</t>
        </is>
      </c>
      <c r="J136" s="7" t="inlineStr">
        <is>
          <t>$54-$59/day</t>
        </is>
      </c>
      <c r="L136" s="7" t="n"/>
      <c r="M136" s="7" t="n"/>
      <c r="N136" s="7" t="n"/>
      <c r="O136" s="7" t="inlineStr">
        <is>
          <t>City and County of Denver</t>
        </is>
      </c>
      <c r="P136" s="7" t="n"/>
      <c r="Q136" s="7" t="inlineStr">
        <is>
          <t>LAZ Parking</t>
        </is>
      </c>
      <c r="R136" s="7" t="inlineStr">
        <is>
          <t>LAZ Parking</t>
        </is>
      </c>
      <c r="S136" s="7" t="inlineStr">
        <is>
          <t>50,000+ spaces</t>
        </is>
      </c>
      <c r="T136" s="7" t="inlineStr">
        <is>
          <t>LAZ Parking won 5-year contract in Feb 2024 (announced Feb 9, 2024 via PR Newswire), making DEN the largest airport parking operation in North America by revenue and spaces. Contract includes two parking garages and seven surface lots. Services: revenue collection, traffic control, courtesy emergency vehicle services (jump starts, lockouts, air for tires; call 303-342-4645). Nationwide Parking Services (Denver-based, nearly 30 years at DEN) is LAZ's local partner. Valet parking is operated by the Westin Denver International Airport Hotel (on-site at terminal). Real-time parking info: 303-DIA-PARK option 1. West Garage/Economy Lot: capacity reduced due to construction (as of mid-2025). Recent RFPs: No open RFP found as of research date (contract awarded 2024 for 5 years + two 1-year renewal options).</t>
        </is>
      </c>
    </row>
    <row r="137" ht="15.75" customHeight="1" s="34">
      <c r="H137" s="17" t="n"/>
    </row>
    <row r="138" ht="15.75" customHeight="1" s="34">
      <c r="H138" s="17" t="n"/>
    </row>
    <row r="139" ht="15.75" customHeight="1" s="34">
      <c r="H139" s="17" t="n"/>
    </row>
    <row r="140" ht="15.75" customHeight="1" s="34">
      <c r="H140" s="17" t="n"/>
    </row>
    <row r="141" ht="15.75" customHeight="1" s="34">
      <c r="H141" s="17" t="n"/>
    </row>
    <row r="142" ht="15.75" customHeight="1" s="34">
      <c r="H142" s="17" t="n"/>
    </row>
    <row r="143" ht="15.75" customHeight="1" s="34">
      <c r="H143" s="17" t="n"/>
    </row>
    <row r="144" ht="15.75" customHeight="1" s="34">
      <c r="H144" s="17" t="n"/>
    </row>
    <row r="145" ht="15.75" customHeight="1" s="34">
      <c r="H145" s="17" t="n"/>
    </row>
    <row r="146" ht="15.75" customHeight="1" s="34">
      <c r="H146" s="17" t="n"/>
    </row>
    <row r="147" ht="15.75" customHeight="1" s="34">
      <c r="H147" s="17" t="n"/>
    </row>
    <row r="148" ht="15.75" customHeight="1" s="34">
      <c r="H148" s="17" t="n"/>
    </row>
    <row r="149" ht="15.75" customHeight="1" s="34">
      <c r="H149" s="17" t="n"/>
    </row>
    <row r="150" ht="15.75" customHeight="1" s="34">
      <c r="H150" s="17" t="n"/>
    </row>
    <row r="151" ht="15.75" customHeight="1" s="34">
      <c r="H151" s="17" t="n"/>
    </row>
    <row r="152" ht="15.75" customHeight="1" s="34">
      <c r="H152" s="17" t="n"/>
    </row>
    <row r="153" ht="15.75" customHeight="1" s="34">
      <c r="H153" s="17" t="n"/>
    </row>
    <row r="154" ht="15.75" customHeight="1" s="34">
      <c r="H154" s="17" t="n"/>
    </row>
    <row r="155" ht="15.75" customHeight="1" s="34">
      <c r="H155" s="17" t="n"/>
    </row>
    <row r="156" ht="15.75" customHeight="1" s="34">
      <c r="H156" s="17" t="n"/>
    </row>
    <row r="157" ht="15.75" customHeight="1" s="34">
      <c r="H157" s="17" t="n"/>
    </row>
    <row r="158" ht="15.75" customHeight="1" s="34">
      <c r="H158" s="17" t="n"/>
    </row>
    <row r="159" ht="15.75" customHeight="1" s="34">
      <c r="H159" s="17" t="n"/>
    </row>
    <row r="160" ht="15.75" customHeight="1" s="34">
      <c r="H160" s="17" t="n"/>
    </row>
    <row r="161" ht="15.75" customHeight="1" s="34">
      <c r="H161" s="17" t="n"/>
    </row>
    <row r="162" ht="15.75" customHeight="1" s="34">
      <c r="H162" s="17" t="n"/>
    </row>
    <row r="163" ht="15.75" customHeight="1" s="34">
      <c r="H163" s="17" t="n"/>
    </row>
    <row r="164" ht="15.75" customHeight="1" s="34">
      <c r="H164" s="17" t="n"/>
    </row>
    <row r="165" ht="15.75" customHeight="1" s="34">
      <c r="H165" s="17" t="n"/>
    </row>
    <row r="166" ht="15.75" customHeight="1" s="34">
      <c r="H166" s="17" t="n"/>
    </row>
    <row r="167" ht="15.75" customHeight="1" s="34">
      <c r="H167" s="17" t="n"/>
    </row>
    <row r="168" ht="15.75" customHeight="1" s="34">
      <c r="H168" s="17" t="n"/>
    </row>
    <row r="169" ht="15.75" customHeight="1" s="34">
      <c r="H169" s="17" t="n"/>
    </row>
    <row r="170" ht="15.75" customHeight="1" s="34">
      <c r="H170" s="17" t="n"/>
    </row>
    <row r="171" ht="15.75" customHeight="1" s="34">
      <c r="H171" s="17" t="n"/>
    </row>
    <row r="172" ht="15.75" customHeight="1" s="34">
      <c r="H172" s="17" t="n"/>
    </row>
    <row r="173" ht="15.75" customHeight="1" s="34">
      <c r="H173" s="17" t="n"/>
    </row>
    <row r="174" ht="15.75" customHeight="1" s="34">
      <c r="H174" s="17" t="n"/>
    </row>
    <row r="175" ht="15.75" customHeight="1" s="34">
      <c r="H175" s="17" t="n"/>
    </row>
    <row r="176" ht="15.75" customHeight="1" s="34">
      <c r="H176" s="17" t="n"/>
    </row>
    <row r="177" ht="15.75" customHeight="1" s="34">
      <c r="H177" s="17" t="n"/>
    </row>
    <row r="178" ht="15.75" customHeight="1" s="34">
      <c r="H178" s="17" t="n"/>
    </row>
    <row r="179" ht="15.75" customHeight="1" s="34">
      <c r="H179" s="17" t="n"/>
    </row>
    <row r="180" ht="15.75" customHeight="1" s="34">
      <c r="H180" s="17" t="n"/>
    </row>
    <row r="181" ht="15.75" customHeight="1" s="34">
      <c r="H181" s="17" t="n"/>
    </row>
    <row r="182" ht="15.75" customHeight="1" s="34">
      <c r="H182" s="17" t="n"/>
    </row>
    <row r="183" ht="15.75" customHeight="1" s="34">
      <c r="H183" s="17" t="n"/>
    </row>
    <row r="184" ht="15.75" customHeight="1" s="34">
      <c r="H184" s="17" t="n"/>
    </row>
    <row r="185" ht="15.75" customHeight="1" s="34">
      <c r="H185" s="17" t="n"/>
    </row>
    <row r="186" ht="15.75" customHeight="1" s="34">
      <c r="H186" s="17" t="n"/>
    </row>
    <row r="187" ht="15.75" customHeight="1" s="34">
      <c r="H187" s="17" t="n"/>
    </row>
    <row r="188" ht="15.75" customHeight="1" s="34">
      <c r="H188" s="17" t="n"/>
    </row>
    <row r="189" ht="15.75" customHeight="1" s="34">
      <c r="H189" s="17" t="n"/>
    </row>
    <row r="190" ht="15.75" customHeight="1" s="34">
      <c r="H190" s="17" t="n"/>
    </row>
    <row r="191" ht="15.75" customHeight="1" s="34">
      <c r="H191" s="17" t="n"/>
    </row>
    <row r="192" ht="15.75" customHeight="1" s="34">
      <c r="H192" s="17" t="n"/>
    </row>
    <row r="193" ht="15.75" customHeight="1" s="34">
      <c r="H193" s="17" t="n"/>
    </row>
    <row r="194" ht="15.75" customHeight="1" s="34">
      <c r="H194" s="17" t="n"/>
    </row>
    <row r="195" ht="15.75" customHeight="1" s="34">
      <c r="H195" s="17" t="n"/>
    </row>
    <row r="196" ht="15.75" customHeight="1" s="34">
      <c r="H196" s="17" t="n"/>
    </row>
    <row r="197" ht="15.75" customHeight="1" s="34">
      <c r="H197" s="17" t="n"/>
    </row>
    <row r="198" ht="15.75" customHeight="1" s="34">
      <c r="H198" s="17" t="n"/>
    </row>
    <row r="199" ht="15.75" customHeight="1" s="34">
      <c r="H199" s="17" t="n"/>
    </row>
    <row r="200" ht="15.75" customHeight="1" s="34">
      <c r="H200" s="17" t="n"/>
    </row>
    <row r="201" ht="15.75" customHeight="1" s="34">
      <c r="H201" s="17" t="n"/>
    </row>
    <row r="202" ht="15.75" customHeight="1" s="34">
      <c r="H202" s="17" t="n"/>
    </row>
    <row r="203" ht="15.75" customHeight="1" s="34">
      <c r="H203" s="17" t="n"/>
    </row>
    <row r="204" ht="15.75" customHeight="1" s="34">
      <c r="H204" s="17" t="n"/>
    </row>
    <row r="205" ht="15.75" customHeight="1" s="34">
      <c r="H205" s="17" t="n"/>
    </row>
    <row r="206" ht="15.75" customHeight="1" s="34">
      <c r="H206" s="17" t="n"/>
    </row>
    <row r="207" ht="15.75" customHeight="1" s="34">
      <c r="H207" s="17" t="n"/>
    </row>
    <row r="208" ht="15.75" customHeight="1" s="34">
      <c r="H208" s="17" t="n"/>
    </row>
    <row r="209" ht="15.75" customHeight="1" s="34">
      <c r="H209" s="17" t="n"/>
    </row>
    <row r="210" ht="15.75" customHeight="1" s="34">
      <c r="H210" s="17" t="n"/>
    </row>
    <row r="211" ht="15.75" customHeight="1" s="34">
      <c r="H211" s="17" t="n"/>
    </row>
    <row r="212" ht="15.75" customHeight="1" s="34">
      <c r="H212" s="17" t="n"/>
    </row>
    <row r="213" ht="15.75" customHeight="1" s="34">
      <c r="H213" s="17" t="n"/>
    </row>
    <row r="214" ht="15.75" customHeight="1" s="34">
      <c r="H214" s="17" t="n"/>
    </row>
    <row r="215" ht="15.75" customHeight="1" s="34">
      <c r="H215" s="17" t="n"/>
    </row>
    <row r="216" ht="15.75" customHeight="1" s="34">
      <c r="H216" s="17" t="n"/>
    </row>
    <row r="217" ht="15.75" customHeight="1" s="34">
      <c r="H217" s="17" t="n"/>
    </row>
    <row r="218" ht="15.75" customHeight="1" s="34">
      <c r="H218" s="17" t="n"/>
    </row>
    <row r="219" ht="15.75" customHeight="1" s="34">
      <c r="H219" s="17" t="n"/>
    </row>
    <row r="220" ht="15.75" customHeight="1" s="34">
      <c r="H220" s="17" t="n"/>
    </row>
    <row r="221" ht="15.75" customHeight="1" s="34">
      <c r="H221" s="17" t="n"/>
    </row>
    <row r="222" ht="15.75" customHeight="1" s="34">
      <c r="H222" s="17" t="n"/>
    </row>
    <row r="223" ht="15.75" customHeight="1" s="34">
      <c r="H223" s="17" t="n"/>
    </row>
    <row r="224" ht="15.75" customHeight="1" s="34">
      <c r="H224" s="17" t="n"/>
    </row>
    <row r="225" ht="15.75" customHeight="1" s="34">
      <c r="H225" s="17" t="n"/>
    </row>
    <row r="226" ht="15.75" customHeight="1" s="34">
      <c r="H226" s="17" t="n"/>
    </row>
    <row r="227" ht="15.75" customHeight="1" s="34">
      <c r="H227" s="17" t="n"/>
    </row>
    <row r="228" ht="15.75" customHeight="1" s="34">
      <c r="H228" s="17" t="n"/>
    </row>
    <row r="229" ht="15.75" customHeight="1" s="34">
      <c r="H229" s="17" t="n"/>
    </row>
    <row r="230" ht="15.75" customHeight="1" s="34">
      <c r="H230" s="17" t="n"/>
    </row>
    <row r="231" ht="15.75" customHeight="1" s="34">
      <c r="H231" s="17" t="n"/>
    </row>
    <row r="232" ht="15.75" customHeight="1" s="34">
      <c r="H232" s="17" t="n"/>
    </row>
    <row r="233" ht="15.75" customHeight="1" s="34">
      <c r="H233" s="17" t="n"/>
    </row>
    <row r="234" ht="15.75" customHeight="1" s="34">
      <c r="H234" s="17" t="n"/>
    </row>
    <row r="235" ht="15.75" customHeight="1" s="34">
      <c r="H235" s="17" t="n"/>
    </row>
    <row r="236" ht="15.75" customHeight="1" s="34">
      <c r="H236" s="17" t="n"/>
    </row>
    <row r="237" ht="15.75" customHeight="1" s="34">
      <c r="H237" s="17" t="n"/>
    </row>
    <row r="238" ht="15.75" customHeight="1" s="34">
      <c r="H238" s="17" t="n"/>
    </row>
    <row r="239" ht="15.75" customHeight="1" s="34">
      <c r="H239" s="17" t="n"/>
    </row>
    <row r="240" ht="15.75" customHeight="1" s="34">
      <c r="H240" s="17" t="n"/>
    </row>
    <row r="241" ht="15.75" customHeight="1" s="34">
      <c r="H241" s="17" t="n"/>
    </row>
    <row r="242" ht="15.75" customHeight="1" s="34">
      <c r="H242" s="17" t="n"/>
    </row>
    <row r="243" ht="15.75" customHeight="1" s="34">
      <c r="H243" s="17" t="n"/>
    </row>
    <row r="244" ht="15.75" customHeight="1" s="34">
      <c r="H244" s="17" t="n"/>
    </row>
    <row r="245" ht="15.75" customHeight="1" s="34">
      <c r="H245" s="17" t="n"/>
    </row>
    <row r="246" ht="15.75" customHeight="1" s="34">
      <c r="H246" s="17" t="n"/>
    </row>
    <row r="247" ht="15.75" customHeight="1" s="34">
      <c r="H247" s="17" t="n"/>
    </row>
    <row r="248" ht="15.75" customHeight="1" s="34">
      <c r="H248" s="17" t="n"/>
    </row>
    <row r="249" ht="15.75" customHeight="1" s="34">
      <c r="H249" s="17" t="n"/>
    </row>
    <row r="250" ht="15.75" customHeight="1" s="34">
      <c r="H250" s="17" t="n"/>
    </row>
    <row r="251" ht="15.75" customHeight="1" s="34">
      <c r="H251" s="17" t="n"/>
    </row>
    <row r="252" ht="15.75" customHeight="1" s="34">
      <c r="H252" s="17" t="n"/>
    </row>
    <row r="253" ht="15.75" customHeight="1" s="34">
      <c r="H253" s="17" t="n"/>
    </row>
    <row r="254" ht="15.75" customHeight="1" s="34">
      <c r="H254" s="17" t="n"/>
    </row>
    <row r="255" ht="15.75" customHeight="1" s="34">
      <c r="H255" s="17" t="n"/>
    </row>
    <row r="256" ht="15.75" customHeight="1" s="34">
      <c r="H256" s="17" t="n"/>
    </row>
    <row r="257" ht="15.75" customHeight="1" s="34">
      <c r="H257" s="17" t="n"/>
    </row>
    <row r="258" ht="15.75" customHeight="1" s="34">
      <c r="H258" s="17" t="n"/>
    </row>
    <row r="259" ht="15.75" customHeight="1" s="34">
      <c r="H259" s="17" t="n"/>
    </row>
    <row r="260" ht="15.75" customHeight="1" s="34">
      <c r="H260" s="17" t="n"/>
    </row>
    <row r="261" ht="15.75" customHeight="1" s="34">
      <c r="H261" s="17" t="n"/>
    </row>
    <row r="262" ht="15.75" customHeight="1" s="34">
      <c r="H262" s="17" t="n"/>
    </row>
    <row r="263" ht="15.75" customHeight="1" s="34">
      <c r="H263" s="17" t="n"/>
    </row>
    <row r="264" ht="15.75" customHeight="1" s="34">
      <c r="H264" s="17" t="n"/>
    </row>
    <row r="265" ht="15.75" customHeight="1" s="34">
      <c r="H265" s="17" t="n"/>
    </row>
    <row r="266" ht="15.75" customHeight="1" s="34">
      <c r="H266" s="17" t="n"/>
    </row>
    <row r="267" ht="15.75" customHeight="1" s="34">
      <c r="H267" s="17" t="n"/>
    </row>
    <row r="268" ht="15.75" customHeight="1" s="34">
      <c r="H268" s="17" t="n"/>
    </row>
    <row r="269" ht="15.75" customHeight="1" s="34">
      <c r="H269" s="17" t="n"/>
    </row>
    <row r="270" ht="15.75" customHeight="1" s="34">
      <c r="H270" s="17" t="n"/>
    </row>
    <row r="271" ht="15.75" customHeight="1" s="34">
      <c r="H271" s="17" t="n"/>
    </row>
    <row r="272" ht="15.75" customHeight="1" s="34">
      <c r="H272" s="17" t="n"/>
    </row>
    <row r="273" ht="15.75" customHeight="1" s="34">
      <c r="H273" s="17" t="n"/>
    </row>
    <row r="274" ht="15.75" customHeight="1" s="34">
      <c r="H274" s="17" t="n"/>
    </row>
    <row r="275" ht="15.75" customHeight="1" s="34">
      <c r="H275" s="17" t="n"/>
    </row>
    <row r="276" ht="15.75" customHeight="1" s="34">
      <c r="H276" s="17" t="n"/>
    </row>
    <row r="277" ht="15.75" customHeight="1" s="34">
      <c r="H277" s="17" t="n"/>
    </row>
    <row r="278" ht="15.75" customHeight="1" s="34">
      <c r="H278" s="17" t="n"/>
    </row>
    <row r="279" ht="15.75" customHeight="1" s="34">
      <c r="H279" s="17" t="n"/>
    </row>
    <row r="280" ht="15.75" customHeight="1" s="34">
      <c r="H280" s="17" t="n"/>
    </row>
    <row r="281" ht="15.75" customHeight="1" s="34">
      <c r="H281" s="17" t="n"/>
    </row>
    <row r="282" ht="15.75" customHeight="1" s="34">
      <c r="H282" s="17" t="n"/>
    </row>
    <row r="283" ht="15.75" customHeight="1" s="34">
      <c r="H283" s="17" t="n"/>
    </row>
    <row r="284" ht="15.75" customHeight="1" s="34">
      <c r="H284" s="17" t="n"/>
    </row>
    <row r="285" ht="15.75" customHeight="1" s="34">
      <c r="H285" s="17" t="n"/>
    </row>
    <row r="286" ht="15.75" customHeight="1" s="34">
      <c r="H286" s="17" t="n"/>
    </row>
    <row r="287" ht="15.75" customHeight="1" s="34">
      <c r="H287" s="17" t="n"/>
    </row>
    <row r="288" ht="15.75" customHeight="1" s="34">
      <c r="H288" s="17" t="n"/>
    </row>
    <row r="289" ht="15.75" customHeight="1" s="34">
      <c r="H289" s="17" t="n"/>
    </row>
    <row r="290" ht="15.75" customHeight="1" s="34">
      <c r="H290" s="17" t="n"/>
    </row>
    <row r="291" ht="15.75" customHeight="1" s="34">
      <c r="H291" s="17" t="n"/>
    </row>
    <row r="292" ht="15.75" customHeight="1" s="34">
      <c r="H292" s="17" t="n"/>
    </row>
    <row r="293" ht="15.75" customHeight="1" s="34">
      <c r="H293" s="17" t="n"/>
    </row>
    <row r="294" ht="15.75" customHeight="1" s="34">
      <c r="H294" s="17" t="n"/>
    </row>
    <row r="295" ht="15.75" customHeight="1" s="34">
      <c r="H295" s="17" t="n"/>
    </row>
    <row r="296" ht="15.75" customHeight="1" s="34">
      <c r="H296" s="17" t="n"/>
    </row>
    <row r="297" ht="15.75" customHeight="1" s="34">
      <c r="H297" s="17" t="n"/>
    </row>
    <row r="298" ht="15.75" customHeight="1" s="34">
      <c r="H298" s="17" t="n"/>
    </row>
    <row r="299" ht="15.75" customHeight="1" s="34">
      <c r="H299" s="17" t="n"/>
    </row>
    <row r="300" ht="15.75" customHeight="1" s="34">
      <c r="H300" s="17" t="n"/>
    </row>
    <row r="301" ht="15.75" customHeight="1" s="34">
      <c r="H301" s="17" t="n"/>
    </row>
    <row r="302" ht="15.75" customHeight="1" s="34">
      <c r="H302" s="17" t="n"/>
    </row>
    <row r="303" ht="15.75" customHeight="1" s="34">
      <c r="H303" s="17" t="n"/>
    </row>
    <row r="304" ht="15.75" customHeight="1" s="34">
      <c r="H304" s="17" t="n"/>
    </row>
    <row r="305" ht="15.75" customHeight="1" s="34">
      <c r="H305" s="17" t="n"/>
    </row>
    <row r="306" ht="15.75" customHeight="1" s="34">
      <c r="H306" s="17" t="n"/>
    </row>
    <row r="307" ht="15.75" customHeight="1" s="34">
      <c r="H307" s="17" t="n"/>
    </row>
    <row r="308" ht="15.75" customHeight="1" s="34">
      <c r="H308" s="17" t="n"/>
    </row>
    <row r="309" ht="15.75" customHeight="1" s="34">
      <c r="H309" s="17" t="n"/>
    </row>
    <row r="310" ht="15.75" customHeight="1" s="34">
      <c r="H310" s="17" t="n"/>
    </row>
    <row r="311" ht="15.75" customHeight="1" s="34">
      <c r="H311" s="17" t="n"/>
    </row>
    <row r="312" ht="15.75" customHeight="1" s="34">
      <c r="H312" s="17" t="n"/>
    </row>
    <row r="313" ht="15.75" customHeight="1" s="34">
      <c r="H313" s="17" t="n"/>
    </row>
    <row r="314" ht="15.75" customHeight="1" s="34">
      <c r="H314" s="17" t="n"/>
    </row>
    <row r="315" ht="15.75" customHeight="1" s="34">
      <c r="H315" s="17" t="n"/>
    </row>
    <row r="316" ht="15.75" customHeight="1" s="34">
      <c r="H316" s="17" t="n"/>
    </row>
    <row r="317" ht="15.75" customHeight="1" s="34">
      <c r="H317" s="17" t="n"/>
    </row>
    <row r="318" ht="15.75" customHeight="1" s="34">
      <c r="H318" s="17" t="n"/>
    </row>
    <row r="319" ht="15.75" customHeight="1" s="34">
      <c r="H319" s="17" t="n"/>
    </row>
    <row r="320" ht="15.75" customHeight="1" s="34">
      <c r="H320" s="17" t="n"/>
    </row>
    <row r="321" ht="15.75" customHeight="1" s="34">
      <c r="H321" s="17" t="n"/>
    </row>
    <row r="322" ht="15.75" customHeight="1" s="34">
      <c r="H322" s="17" t="n"/>
    </row>
    <row r="323" ht="15.75" customHeight="1" s="34">
      <c r="H323" s="17" t="n"/>
    </row>
    <row r="324" ht="15.75" customHeight="1" s="34">
      <c r="H324" s="17" t="n"/>
    </row>
    <row r="325" ht="15.75" customHeight="1" s="34">
      <c r="H325" s="17" t="n"/>
    </row>
    <row r="326" ht="15.75" customHeight="1" s="34">
      <c r="H326" s="17" t="n"/>
    </row>
    <row r="327" ht="15.75" customHeight="1" s="34">
      <c r="H327" s="17" t="n"/>
    </row>
    <row r="328" ht="15.75" customHeight="1" s="34">
      <c r="H328" s="17" t="n"/>
    </row>
    <row r="329" ht="15.75" customHeight="1" s="34">
      <c r="H329" s="17" t="n"/>
    </row>
    <row r="330" ht="15.75" customHeight="1" s="34">
      <c r="H330" s="17" t="n"/>
    </row>
    <row r="331" ht="15.75" customHeight="1" s="34">
      <c r="H331" s="17" t="n"/>
    </row>
    <row r="332" ht="15.75" customHeight="1" s="34">
      <c r="H332" s="17" t="n"/>
    </row>
    <row r="333" ht="15.75" customHeight="1" s="34">
      <c r="H333" s="17" t="n"/>
    </row>
    <row r="334" ht="15.75" customHeight="1" s="34">
      <c r="H334" s="17" t="n"/>
    </row>
    <row r="335" ht="15.75" customHeight="1" s="34">
      <c r="H335" s="17" t="n"/>
    </row>
    <row r="336" ht="15.75" customHeight="1" s="34">
      <c r="H336" s="17" t="n"/>
    </row>
    <row r="337" ht="15.75" customHeight="1" s="34">
      <c r="H337" s="17" t="n"/>
    </row>
    <row r="338" ht="15.75" customHeight="1" s="34">
      <c r="H338" s="17" t="n"/>
    </row>
    <row r="339" ht="15.75" customHeight="1" s="34">
      <c r="H339" s="17" t="n"/>
    </row>
    <row r="340" ht="15.75" customHeight="1" s="34">
      <c r="H340" s="17" t="n"/>
    </row>
    <row r="341" ht="15.75" customHeight="1" s="34">
      <c r="H341" s="17" t="n"/>
    </row>
    <row r="342" ht="15.75" customHeight="1" s="34">
      <c r="H342" s="17" t="n"/>
    </row>
    <row r="343" ht="15.75" customHeight="1" s="34">
      <c r="H343" s="17" t="n"/>
    </row>
    <row r="344" ht="15.75" customHeight="1" s="34">
      <c r="H344" s="17" t="n"/>
    </row>
    <row r="345" ht="15.75" customHeight="1" s="34">
      <c r="H345" s="17" t="n"/>
    </row>
    <row r="346" ht="15.75" customHeight="1" s="34">
      <c r="H346" s="17" t="n"/>
    </row>
    <row r="347" ht="15.75" customHeight="1" s="34">
      <c r="H347" s="17" t="n"/>
    </row>
    <row r="348" ht="15.75" customHeight="1" s="34">
      <c r="H348" s="17" t="n"/>
    </row>
    <row r="349" ht="15.75" customHeight="1" s="34">
      <c r="H349" s="17" t="n"/>
    </row>
    <row r="350" ht="15.75" customHeight="1" s="34">
      <c r="H350" s="17" t="n"/>
    </row>
    <row r="351" ht="15.75" customHeight="1" s="34">
      <c r="H351" s="17" t="n"/>
    </row>
    <row r="352" ht="15.75" customHeight="1" s="34">
      <c r="H352" s="17" t="n"/>
    </row>
    <row r="353" ht="15.75" customHeight="1" s="34">
      <c r="H353" s="17" t="n"/>
    </row>
    <row r="354" ht="15.75" customHeight="1" s="34">
      <c r="H354" s="17" t="n"/>
    </row>
    <row r="355" ht="15.75" customHeight="1" s="34">
      <c r="H355" s="17" t="n"/>
    </row>
    <row r="356" ht="15.75" customHeight="1" s="34">
      <c r="H356" s="17" t="n"/>
    </row>
    <row r="357" ht="15.75" customHeight="1" s="34">
      <c r="H357" s="17" t="n"/>
    </row>
    <row r="358" ht="15.75" customHeight="1" s="34">
      <c r="H358" s="17" t="n"/>
    </row>
    <row r="359" ht="15.75" customHeight="1" s="34">
      <c r="H359" s="17" t="n"/>
    </row>
    <row r="360" ht="15.75" customHeight="1" s="34">
      <c r="H360" s="17" t="n"/>
    </row>
    <row r="361" ht="15.75" customHeight="1" s="34">
      <c r="H361" s="17" t="n"/>
    </row>
    <row r="362" ht="15.75" customHeight="1" s="34">
      <c r="H362" s="17" t="n"/>
    </row>
    <row r="363" ht="15.75" customHeight="1" s="34">
      <c r="H363" s="17" t="n"/>
    </row>
    <row r="364" ht="15.75" customHeight="1" s="34">
      <c r="H364" s="17" t="n"/>
    </row>
    <row r="365" ht="15.75" customHeight="1" s="34">
      <c r="H365" s="17" t="n"/>
    </row>
    <row r="366" ht="15.75" customHeight="1" s="34">
      <c r="H366" s="17" t="n"/>
    </row>
    <row r="367" ht="15.75" customHeight="1" s="34">
      <c r="H367" s="17" t="n"/>
    </row>
    <row r="368" ht="15.75" customHeight="1" s="34">
      <c r="H368" s="17" t="n"/>
    </row>
    <row r="369" ht="15.75" customHeight="1" s="34">
      <c r="H369" s="17" t="n"/>
    </row>
    <row r="370" ht="15.75" customHeight="1" s="34">
      <c r="H370" s="17" t="n"/>
    </row>
    <row r="371" ht="15.75" customHeight="1" s="34">
      <c r="H371" s="17" t="n"/>
    </row>
    <row r="372" ht="15.75" customHeight="1" s="34">
      <c r="H372" s="17" t="n"/>
    </row>
    <row r="373" ht="15.75" customHeight="1" s="34">
      <c r="H373" s="17" t="n"/>
    </row>
    <row r="374" ht="15.75" customHeight="1" s="34">
      <c r="H374" s="17" t="n"/>
    </row>
    <row r="375" ht="15.75" customHeight="1" s="34">
      <c r="H375" s="17" t="n"/>
    </row>
    <row r="376" ht="15.75" customHeight="1" s="34">
      <c r="H376" s="17" t="n"/>
    </row>
    <row r="377" ht="15.75" customHeight="1" s="34">
      <c r="H377" s="17" t="n"/>
    </row>
    <row r="378" ht="15.75" customHeight="1" s="34">
      <c r="H378" s="17" t="n"/>
    </row>
    <row r="379" ht="15.75" customHeight="1" s="34">
      <c r="H379" s="17" t="n"/>
    </row>
    <row r="380" ht="15.75" customHeight="1" s="34">
      <c r="H380" s="17" t="n"/>
    </row>
    <row r="381" ht="15.75" customHeight="1" s="34">
      <c r="H381" s="17" t="n"/>
    </row>
    <row r="382" ht="15.75" customHeight="1" s="34">
      <c r="H382" s="17" t="n"/>
    </row>
    <row r="383" ht="15.75" customHeight="1" s="34">
      <c r="H383" s="17" t="n"/>
    </row>
    <row r="384" ht="15.75" customHeight="1" s="34">
      <c r="H384" s="17" t="n"/>
    </row>
    <row r="385" ht="15.75" customHeight="1" s="34">
      <c r="H385" s="17" t="n"/>
    </row>
    <row r="386" ht="15.75" customHeight="1" s="34">
      <c r="H386" s="17" t="n"/>
    </row>
    <row r="387" ht="15.75" customHeight="1" s="34">
      <c r="H387" s="17" t="n"/>
    </row>
    <row r="388" ht="15.75" customHeight="1" s="34">
      <c r="H388" s="17" t="n"/>
    </row>
    <row r="389" ht="15.75" customHeight="1" s="34">
      <c r="H389" s="17" t="n"/>
    </row>
    <row r="390" ht="15.75" customHeight="1" s="34">
      <c r="H390" s="17" t="n"/>
    </row>
    <row r="391" ht="15.75" customHeight="1" s="34">
      <c r="H391" s="17" t="n"/>
    </row>
    <row r="392" ht="15.75" customHeight="1" s="34">
      <c r="H392" s="17" t="n"/>
    </row>
    <row r="393" ht="15.75" customHeight="1" s="34">
      <c r="H393" s="17" t="n"/>
    </row>
    <row r="394" ht="15.75" customHeight="1" s="34">
      <c r="H394" s="17" t="n"/>
    </row>
    <row r="395" ht="15.75" customHeight="1" s="34">
      <c r="H395" s="17" t="n"/>
    </row>
    <row r="396" ht="15.75" customHeight="1" s="34">
      <c r="H396" s="17" t="n"/>
    </row>
    <row r="397" ht="15.75" customHeight="1" s="34">
      <c r="H397" s="17" t="n"/>
    </row>
    <row r="398" ht="15.75" customHeight="1" s="34">
      <c r="H398" s="17" t="n"/>
    </row>
    <row r="399" ht="15.75" customHeight="1" s="34">
      <c r="H399" s="17" t="n"/>
    </row>
    <row r="400" ht="15.75" customHeight="1" s="34">
      <c r="H400" s="17" t="n"/>
    </row>
    <row r="401" ht="15.75" customHeight="1" s="34">
      <c r="H401" s="17" t="n"/>
    </row>
    <row r="402" ht="15.75" customHeight="1" s="34">
      <c r="H402" s="17" t="n"/>
    </row>
    <row r="403" ht="15.75" customHeight="1" s="34">
      <c r="H403" s="17" t="n"/>
    </row>
    <row r="404" ht="15.75" customHeight="1" s="34">
      <c r="H404" s="17" t="n"/>
    </row>
    <row r="405" ht="15.75" customHeight="1" s="34">
      <c r="H405" s="17" t="n"/>
    </row>
    <row r="406" ht="15.75" customHeight="1" s="34">
      <c r="H406" s="17" t="n"/>
    </row>
    <row r="407" ht="15.75" customHeight="1" s="34">
      <c r="H407" s="17" t="n"/>
    </row>
    <row r="408" ht="15.75" customHeight="1" s="34">
      <c r="H408" s="17" t="n"/>
    </row>
    <row r="409" ht="15.75" customHeight="1" s="34">
      <c r="H409" s="17" t="n"/>
    </row>
    <row r="410" ht="15.75" customHeight="1" s="34">
      <c r="H410" s="17" t="n"/>
    </row>
    <row r="411" ht="15.75" customHeight="1" s="34">
      <c r="H411" s="17" t="n"/>
    </row>
    <row r="412" ht="15.75" customHeight="1" s="34">
      <c r="H412" s="17" t="n"/>
    </row>
    <row r="413" ht="15.75" customHeight="1" s="34">
      <c r="H413" s="17" t="n"/>
    </row>
    <row r="414" ht="15.75" customHeight="1" s="34">
      <c r="H414" s="17" t="n"/>
    </row>
    <row r="415" ht="15.75" customHeight="1" s="34">
      <c r="H415" s="17" t="n"/>
    </row>
    <row r="416" ht="15.75" customHeight="1" s="34">
      <c r="H416" s="17" t="n"/>
    </row>
    <row r="417" ht="15.75" customHeight="1" s="34">
      <c r="H417" s="17" t="n"/>
    </row>
    <row r="418" ht="15.75" customHeight="1" s="34">
      <c r="H418" s="17" t="n"/>
    </row>
    <row r="419" ht="15.75" customHeight="1" s="34">
      <c r="H419" s="17" t="n"/>
    </row>
    <row r="420" ht="15.75" customHeight="1" s="34">
      <c r="H420" s="17" t="n"/>
    </row>
    <row r="421" ht="15.75" customHeight="1" s="34">
      <c r="H421" s="17" t="n"/>
    </row>
    <row r="422" ht="15.75" customHeight="1" s="34">
      <c r="H422" s="17" t="n"/>
    </row>
    <row r="423" ht="15.75" customHeight="1" s="34">
      <c r="H423" s="17" t="n"/>
    </row>
    <row r="424" ht="15.75" customHeight="1" s="34">
      <c r="H424" s="17" t="n"/>
    </row>
    <row r="425" ht="15.75" customHeight="1" s="34">
      <c r="H425" s="17" t="n"/>
    </row>
    <row r="426" ht="15.75" customHeight="1" s="34">
      <c r="H426" s="17" t="n"/>
    </row>
    <row r="427" ht="15.75" customHeight="1" s="34">
      <c r="H427" s="17" t="n"/>
    </row>
    <row r="428" ht="15.75" customHeight="1" s="34">
      <c r="H428" s="17" t="n"/>
    </row>
    <row r="429" ht="15.75" customHeight="1" s="34">
      <c r="H429" s="17" t="n"/>
    </row>
    <row r="430" ht="15.75" customHeight="1" s="34">
      <c r="H430" s="17" t="n"/>
    </row>
    <row r="431" ht="15.75" customHeight="1" s="34">
      <c r="H431" s="17" t="n"/>
    </row>
    <row r="432" ht="15.75" customHeight="1" s="34">
      <c r="H432" s="17" t="n"/>
    </row>
    <row r="433" ht="15.75" customHeight="1" s="34">
      <c r="H433" s="17" t="n"/>
    </row>
    <row r="434" ht="15.75" customHeight="1" s="34">
      <c r="H434" s="17" t="n"/>
    </row>
    <row r="435" ht="15.75" customHeight="1" s="34">
      <c r="H435" s="17" t="n"/>
    </row>
    <row r="436" ht="15.75" customHeight="1" s="34">
      <c r="H436" s="17" t="n"/>
    </row>
    <row r="437" ht="15.75" customHeight="1" s="34">
      <c r="H437" s="17" t="n"/>
    </row>
    <row r="438" ht="15.75" customHeight="1" s="34">
      <c r="H438" s="17" t="n"/>
    </row>
    <row r="439" ht="15.75" customHeight="1" s="34">
      <c r="H439" s="17" t="n"/>
    </row>
    <row r="440" ht="15.75" customHeight="1" s="34">
      <c r="H440" s="17" t="n"/>
    </row>
    <row r="441" ht="15.75" customHeight="1" s="34">
      <c r="H441" s="17" t="n"/>
    </row>
    <row r="442" ht="15.75" customHeight="1" s="34">
      <c r="H442" s="17" t="n"/>
    </row>
    <row r="443" ht="15.75" customHeight="1" s="34">
      <c r="H443" s="17" t="n"/>
    </row>
    <row r="444" ht="15.75" customHeight="1" s="34">
      <c r="H444" s="17" t="n"/>
    </row>
    <row r="445" ht="15.75" customHeight="1" s="34">
      <c r="H445" s="17" t="n"/>
    </row>
    <row r="446" ht="15.75" customHeight="1" s="34">
      <c r="H446" s="17" t="n"/>
    </row>
    <row r="447" ht="15.75" customHeight="1" s="34">
      <c r="H447" s="17" t="n"/>
    </row>
    <row r="448" ht="15.75" customHeight="1" s="34">
      <c r="H448" s="17" t="n"/>
    </row>
    <row r="449" ht="15.75" customHeight="1" s="34">
      <c r="H449" s="17" t="n"/>
    </row>
    <row r="450" ht="15.75" customHeight="1" s="34">
      <c r="H450" s="17" t="n"/>
    </row>
    <row r="451" ht="15.75" customHeight="1" s="34">
      <c r="H451" s="17" t="n"/>
    </row>
    <row r="452" ht="15.75" customHeight="1" s="34">
      <c r="H452" s="17" t="n"/>
    </row>
    <row r="453" ht="15.75" customHeight="1" s="34">
      <c r="H453" s="17" t="n"/>
    </row>
    <row r="454" ht="15.75" customHeight="1" s="34">
      <c r="H454" s="17" t="n"/>
    </row>
    <row r="455" ht="15.75" customHeight="1" s="34">
      <c r="H455" s="17" t="n"/>
    </row>
    <row r="456" ht="15.75" customHeight="1" s="34">
      <c r="H456" s="17" t="n"/>
    </row>
    <row r="457" ht="15.75" customHeight="1" s="34">
      <c r="H457" s="17" t="n"/>
    </row>
    <row r="458" ht="15.75" customHeight="1" s="34">
      <c r="H458" s="17" t="n"/>
    </row>
    <row r="459" ht="15.75" customHeight="1" s="34">
      <c r="H459" s="17" t="n"/>
    </row>
    <row r="460" ht="15.75" customHeight="1" s="34">
      <c r="H460" s="17" t="n"/>
    </row>
    <row r="461" ht="15.75" customHeight="1" s="34">
      <c r="H461" s="17" t="n"/>
    </row>
    <row r="462" ht="15.75" customHeight="1" s="34">
      <c r="H462" s="17" t="n"/>
    </row>
    <row r="463" ht="15.75" customHeight="1" s="34">
      <c r="H463" s="17" t="n"/>
    </row>
    <row r="464" ht="15.75" customHeight="1" s="34">
      <c r="H464" s="17" t="n"/>
    </row>
    <row r="465" ht="15.75" customHeight="1" s="34">
      <c r="H465" s="17" t="n"/>
    </row>
    <row r="466" ht="15.75" customHeight="1" s="34">
      <c r="H466" s="17" t="n"/>
    </row>
    <row r="467" ht="15.75" customHeight="1" s="34">
      <c r="H467" s="17" t="n"/>
    </row>
    <row r="468" ht="15.75" customHeight="1" s="34">
      <c r="H468" s="17" t="n"/>
    </row>
    <row r="469" ht="15.75" customHeight="1" s="34">
      <c r="H469" s="17" t="n"/>
    </row>
    <row r="470" ht="15.75" customHeight="1" s="34">
      <c r="H470" s="17" t="n"/>
    </row>
    <row r="471" ht="15.75" customHeight="1" s="34">
      <c r="H471" s="17" t="n"/>
    </row>
    <row r="472" ht="15.75" customHeight="1" s="34">
      <c r="H472" s="17" t="n"/>
    </row>
    <row r="473" ht="15.75" customHeight="1" s="34">
      <c r="H473" s="17" t="n"/>
    </row>
    <row r="474" ht="15.75" customHeight="1" s="34">
      <c r="H474" s="17" t="n"/>
    </row>
    <row r="475" ht="15.75" customHeight="1" s="34">
      <c r="H475" s="17" t="n"/>
    </row>
    <row r="476" ht="15.75" customHeight="1" s="34">
      <c r="H476" s="17" t="n"/>
    </row>
    <row r="477" ht="15.75" customHeight="1" s="34">
      <c r="H477" s="17" t="n"/>
    </row>
    <row r="478" ht="15.75" customHeight="1" s="34">
      <c r="H478" s="17" t="n"/>
    </row>
    <row r="479" ht="15.75" customHeight="1" s="34">
      <c r="H479" s="17" t="n"/>
    </row>
    <row r="480" ht="15.75" customHeight="1" s="34">
      <c r="H480" s="17" t="n"/>
    </row>
    <row r="481" ht="15.75" customHeight="1" s="34">
      <c r="H481" s="17" t="n"/>
    </row>
    <row r="482" ht="15.75" customHeight="1" s="34">
      <c r="H482" s="17" t="n"/>
    </row>
    <row r="483" ht="15.75" customHeight="1" s="34">
      <c r="H483" s="17" t="n"/>
    </row>
    <row r="484" ht="15.75" customHeight="1" s="34">
      <c r="H484" s="17" t="n"/>
    </row>
    <row r="485" ht="15.75" customHeight="1" s="34">
      <c r="H485" s="17" t="n"/>
    </row>
    <row r="486" ht="15.75" customHeight="1" s="34">
      <c r="H486" s="17" t="n"/>
    </row>
    <row r="487" ht="15.75" customHeight="1" s="34">
      <c r="H487" s="17" t="n"/>
    </row>
    <row r="488" ht="15.75" customHeight="1" s="34">
      <c r="H488" s="17" t="n"/>
    </row>
    <row r="489" ht="15.75" customHeight="1" s="34">
      <c r="H489" s="17" t="n"/>
    </row>
    <row r="490" ht="15.75" customHeight="1" s="34">
      <c r="H490" s="17" t="n"/>
    </row>
    <row r="491" ht="15.75" customHeight="1" s="34">
      <c r="H491" s="17" t="n"/>
    </row>
    <row r="492" ht="15.75" customHeight="1" s="34">
      <c r="H492" s="17" t="n"/>
    </row>
    <row r="493" ht="15.75" customHeight="1" s="34">
      <c r="H493" s="17" t="n"/>
    </row>
    <row r="494" ht="15.75" customHeight="1" s="34">
      <c r="H494" s="17" t="n"/>
    </row>
    <row r="495" ht="15.75" customHeight="1" s="34">
      <c r="H495" s="17" t="n"/>
    </row>
    <row r="496" ht="15.75" customHeight="1" s="34">
      <c r="H496" s="17" t="n"/>
    </row>
    <row r="497" ht="15.75" customHeight="1" s="34">
      <c r="H497" s="17" t="n"/>
    </row>
    <row r="498" ht="15.75" customHeight="1" s="34">
      <c r="H498" s="17" t="n"/>
    </row>
    <row r="499" ht="15.75" customHeight="1" s="34">
      <c r="H499" s="17" t="n"/>
    </row>
    <row r="500" ht="15.75" customHeight="1" s="34">
      <c r="H500" s="17" t="n"/>
    </row>
    <row r="501" ht="15.75" customHeight="1" s="34">
      <c r="H501" s="17" t="n"/>
    </row>
    <row r="502" ht="15.75" customHeight="1" s="34">
      <c r="H502" s="17" t="n"/>
    </row>
    <row r="503" ht="15.75" customHeight="1" s="34">
      <c r="H503" s="17" t="n"/>
    </row>
    <row r="504" ht="15.75" customHeight="1" s="34">
      <c r="H504" s="17" t="n"/>
    </row>
    <row r="505" ht="15.75" customHeight="1" s="34">
      <c r="H505" s="17" t="n"/>
    </row>
    <row r="506" ht="15.75" customHeight="1" s="34">
      <c r="H506" s="17" t="n"/>
    </row>
    <row r="507" ht="15.75" customHeight="1" s="34">
      <c r="H507" s="17" t="n"/>
    </row>
    <row r="508" ht="15.75" customHeight="1" s="34">
      <c r="H508" s="17" t="n"/>
    </row>
    <row r="509" ht="15.75" customHeight="1" s="34">
      <c r="H509" s="17" t="n"/>
    </row>
    <row r="510" ht="15.75" customHeight="1" s="34">
      <c r="H510" s="17" t="n"/>
    </row>
    <row r="511" ht="15.75" customHeight="1" s="34">
      <c r="H511" s="17" t="n"/>
    </row>
    <row r="512" ht="15.75" customHeight="1" s="34">
      <c r="H512" s="17" t="n"/>
    </row>
    <row r="513" ht="15.75" customHeight="1" s="34">
      <c r="H513" s="17" t="n"/>
    </row>
    <row r="514" ht="15.75" customHeight="1" s="34">
      <c r="H514" s="17" t="n"/>
    </row>
    <row r="515" ht="15.75" customHeight="1" s="34">
      <c r="H515" s="17" t="n"/>
    </row>
    <row r="516" ht="15.75" customHeight="1" s="34">
      <c r="H516" s="17" t="n"/>
    </row>
    <row r="517" ht="15.75" customHeight="1" s="34">
      <c r="H517" s="17" t="n"/>
    </row>
    <row r="518" ht="15.75" customHeight="1" s="34">
      <c r="H518" s="17" t="n"/>
    </row>
    <row r="519" ht="15.75" customHeight="1" s="34">
      <c r="H519" s="17" t="n"/>
    </row>
    <row r="520" ht="15.75" customHeight="1" s="34">
      <c r="H520" s="17" t="n"/>
    </row>
    <row r="521" ht="15.75" customHeight="1" s="34">
      <c r="H521" s="17" t="n"/>
    </row>
    <row r="522" ht="15.75" customHeight="1" s="34">
      <c r="H522" s="17" t="n"/>
    </row>
    <row r="523" ht="15.75" customHeight="1" s="34">
      <c r="H523" s="17" t="n"/>
    </row>
    <row r="524" ht="15.75" customHeight="1" s="34">
      <c r="H524" s="17" t="n"/>
    </row>
    <row r="525" ht="15.75" customHeight="1" s="34">
      <c r="H525" s="17" t="n"/>
    </row>
    <row r="526" ht="15.75" customHeight="1" s="34">
      <c r="H526" s="17" t="n"/>
    </row>
    <row r="527" ht="15.75" customHeight="1" s="34">
      <c r="H527" s="17" t="n"/>
    </row>
    <row r="528" ht="15.75" customHeight="1" s="34">
      <c r="H528" s="17" t="n"/>
    </row>
    <row r="529" ht="15.75" customHeight="1" s="34">
      <c r="H529" s="17" t="n"/>
    </row>
    <row r="530" ht="15.75" customHeight="1" s="34">
      <c r="H530" s="17" t="n"/>
    </row>
    <row r="531" ht="15.75" customHeight="1" s="34">
      <c r="H531" s="17" t="n"/>
    </row>
    <row r="532" ht="15.75" customHeight="1" s="34">
      <c r="H532" s="17" t="n"/>
    </row>
    <row r="533" ht="15.75" customHeight="1" s="34">
      <c r="H533" s="17" t="n"/>
    </row>
    <row r="534" ht="15.75" customHeight="1" s="34">
      <c r="H534" s="17" t="n"/>
    </row>
    <row r="535" ht="15.75" customHeight="1" s="34">
      <c r="H535" s="17" t="n"/>
    </row>
    <row r="536" ht="15.75" customHeight="1" s="34">
      <c r="H536" s="17" t="n"/>
    </row>
    <row r="537" ht="15.75" customHeight="1" s="34">
      <c r="H537" s="17" t="n"/>
    </row>
    <row r="538" ht="15.75" customHeight="1" s="34">
      <c r="H538" s="17" t="n"/>
    </row>
    <row r="539" ht="15.75" customHeight="1" s="34">
      <c r="H539" s="17" t="n"/>
    </row>
    <row r="540" ht="15.75" customHeight="1" s="34">
      <c r="H540" s="17" t="n"/>
    </row>
    <row r="541" ht="15.75" customHeight="1" s="34">
      <c r="H541" s="17" t="n"/>
    </row>
    <row r="542" ht="15.75" customHeight="1" s="34">
      <c r="H542" s="17" t="n"/>
    </row>
    <row r="543" ht="15.75" customHeight="1" s="34">
      <c r="H543" s="17" t="n"/>
    </row>
    <row r="544" ht="15.75" customHeight="1" s="34">
      <c r="H544" s="17" t="n"/>
    </row>
    <row r="545" ht="15.75" customHeight="1" s="34">
      <c r="H545" s="17" t="n"/>
    </row>
    <row r="546" ht="15.75" customHeight="1" s="34">
      <c r="H546" s="17" t="n"/>
    </row>
    <row r="547" ht="15.75" customHeight="1" s="34">
      <c r="H547" s="17" t="n"/>
    </row>
    <row r="548" ht="15.75" customHeight="1" s="34">
      <c r="H548" s="17" t="n"/>
    </row>
    <row r="549" ht="15.75" customHeight="1" s="34">
      <c r="H549" s="17" t="n"/>
    </row>
    <row r="550" ht="15.75" customHeight="1" s="34">
      <c r="H550" s="17" t="n"/>
    </row>
    <row r="551" ht="15.75" customHeight="1" s="34">
      <c r="H551" s="17" t="n"/>
    </row>
    <row r="552" ht="15.75" customHeight="1" s="34">
      <c r="H552" s="17" t="n"/>
    </row>
    <row r="553" ht="15.75" customHeight="1" s="34">
      <c r="H553" s="17" t="n"/>
    </row>
    <row r="554" ht="15.75" customHeight="1" s="34">
      <c r="H554" s="17" t="n"/>
    </row>
    <row r="555" ht="15.75" customHeight="1" s="34">
      <c r="H555" s="17" t="n"/>
    </row>
    <row r="556" ht="15.75" customHeight="1" s="34">
      <c r="H556" s="17" t="n"/>
    </row>
    <row r="557" ht="15.75" customHeight="1" s="34">
      <c r="H557" s="17" t="n"/>
    </row>
    <row r="558" ht="15.75" customHeight="1" s="34">
      <c r="H558" s="17" t="n"/>
    </row>
    <row r="559" ht="15.75" customHeight="1" s="34">
      <c r="H559" s="17" t="n"/>
    </row>
    <row r="560" ht="15.75" customHeight="1" s="34">
      <c r="H560" s="17" t="n"/>
    </row>
    <row r="561" ht="15.75" customHeight="1" s="34">
      <c r="H561" s="17" t="n"/>
    </row>
    <row r="562" ht="15.75" customHeight="1" s="34">
      <c r="H562" s="17" t="n"/>
    </row>
    <row r="563" ht="15.75" customHeight="1" s="34">
      <c r="H563" s="17" t="n"/>
    </row>
    <row r="564" ht="15.75" customHeight="1" s="34">
      <c r="H564" s="17" t="n"/>
    </row>
    <row r="565" ht="15.75" customHeight="1" s="34">
      <c r="H565" s="17" t="n"/>
    </row>
    <row r="566" ht="15.75" customHeight="1" s="34">
      <c r="H566" s="17" t="n"/>
    </row>
    <row r="567" ht="15.75" customHeight="1" s="34">
      <c r="H567" s="17" t="n"/>
    </row>
    <row r="568" ht="15.75" customHeight="1" s="34">
      <c r="H568" s="17" t="n"/>
    </row>
    <row r="569" ht="15.75" customHeight="1" s="34">
      <c r="H569" s="17" t="n"/>
    </row>
    <row r="570" ht="15.75" customHeight="1" s="34">
      <c r="H570" s="17" t="n"/>
    </row>
    <row r="571" ht="15.75" customHeight="1" s="34">
      <c r="H571" s="17" t="n"/>
    </row>
    <row r="572" ht="15.75" customHeight="1" s="34">
      <c r="H572" s="17" t="n"/>
    </row>
    <row r="573" ht="15.75" customHeight="1" s="34">
      <c r="H573" s="17" t="n"/>
    </row>
    <row r="574" ht="15.75" customHeight="1" s="34">
      <c r="H574" s="17" t="n"/>
    </row>
    <row r="575" ht="15.75" customHeight="1" s="34">
      <c r="H575" s="17" t="n"/>
    </row>
    <row r="576" ht="15.75" customHeight="1" s="34">
      <c r="H576" s="17" t="n"/>
    </row>
    <row r="577" ht="15.75" customHeight="1" s="34">
      <c r="H577" s="17" t="n"/>
    </row>
    <row r="578" ht="15.75" customHeight="1" s="34">
      <c r="H578" s="17" t="n"/>
    </row>
    <row r="579" ht="15.75" customHeight="1" s="34">
      <c r="H579" s="17" t="n"/>
    </row>
    <row r="580" ht="15.75" customHeight="1" s="34">
      <c r="H580" s="17" t="n"/>
    </row>
    <row r="581" ht="15.75" customHeight="1" s="34">
      <c r="H581" s="17" t="n"/>
    </row>
    <row r="582" ht="15.75" customHeight="1" s="34">
      <c r="H582" s="17" t="n"/>
    </row>
    <row r="583" ht="15.75" customHeight="1" s="34">
      <c r="H583" s="17" t="n"/>
    </row>
    <row r="584" ht="15.75" customHeight="1" s="34">
      <c r="H584" s="17" t="n"/>
    </row>
    <row r="585" ht="15.75" customHeight="1" s="34">
      <c r="H585" s="17" t="n"/>
    </row>
    <row r="586" ht="15.75" customHeight="1" s="34">
      <c r="H586" s="17" t="n"/>
    </row>
    <row r="587" ht="15.75" customHeight="1" s="34">
      <c r="H587" s="17" t="n"/>
    </row>
    <row r="588" ht="15.75" customHeight="1" s="34">
      <c r="H588" s="17" t="n"/>
    </row>
    <row r="589" ht="15.75" customHeight="1" s="34">
      <c r="H589" s="17" t="n"/>
    </row>
    <row r="590" ht="15.75" customHeight="1" s="34">
      <c r="H590" s="17" t="n"/>
    </row>
    <row r="591" ht="15.75" customHeight="1" s="34">
      <c r="H591" s="17" t="n"/>
    </row>
    <row r="592" ht="15.75" customHeight="1" s="34">
      <c r="H592" s="17" t="n"/>
    </row>
    <row r="593" ht="15.75" customHeight="1" s="34">
      <c r="H593" s="17" t="n"/>
    </row>
    <row r="594" ht="15.75" customHeight="1" s="34">
      <c r="H594" s="17" t="n"/>
    </row>
    <row r="595" ht="15.75" customHeight="1" s="34">
      <c r="H595" s="17" t="n"/>
    </row>
    <row r="596" ht="15.75" customHeight="1" s="34">
      <c r="H596" s="17" t="n"/>
    </row>
    <row r="597" ht="15.75" customHeight="1" s="34">
      <c r="H597" s="17" t="n"/>
    </row>
    <row r="598" ht="15.75" customHeight="1" s="34">
      <c r="H598" s="17" t="n"/>
    </row>
    <row r="599" ht="15.75" customHeight="1" s="34">
      <c r="H599" s="17" t="n"/>
    </row>
    <row r="600" ht="15.75" customHeight="1" s="34">
      <c r="H600" s="17" t="n"/>
    </row>
    <row r="601" ht="15.75" customHeight="1" s="34">
      <c r="H601" s="17" t="n"/>
    </row>
    <row r="602" ht="15.75" customHeight="1" s="34">
      <c r="H602" s="17" t="n"/>
    </row>
    <row r="603" ht="15.75" customHeight="1" s="34">
      <c r="H603" s="17" t="n"/>
    </row>
    <row r="604" ht="15.75" customHeight="1" s="34">
      <c r="H604" s="17" t="n"/>
    </row>
    <row r="605" ht="15.75" customHeight="1" s="34">
      <c r="H605" s="17" t="n"/>
    </row>
    <row r="606" ht="15.75" customHeight="1" s="34">
      <c r="H606" s="17" t="n"/>
    </row>
    <row r="607" ht="15.75" customHeight="1" s="34">
      <c r="H607" s="17" t="n"/>
    </row>
    <row r="608" ht="15.75" customHeight="1" s="34">
      <c r="H608" s="17" t="n"/>
    </row>
    <row r="609" ht="15.75" customHeight="1" s="34">
      <c r="H609" s="17" t="n"/>
    </row>
    <row r="610" ht="15.75" customHeight="1" s="34">
      <c r="H610" s="17" t="n"/>
    </row>
    <row r="611" ht="15.75" customHeight="1" s="34">
      <c r="H611" s="17" t="n"/>
    </row>
    <row r="612" ht="15.75" customHeight="1" s="34">
      <c r="H612" s="17" t="n"/>
    </row>
    <row r="613" ht="15.75" customHeight="1" s="34">
      <c r="H613" s="17" t="n"/>
    </row>
    <row r="614" ht="15.75" customHeight="1" s="34">
      <c r="H614" s="17" t="n"/>
    </row>
    <row r="615" ht="15.75" customHeight="1" s="34">
      <c r="H615" s="17" t="n"/>
    </row>
    <row r="616" ht="15.75" customHeight="1" s="34">
      <c r="H616" s="17" t="n"/>
    </row>
    <row r="617" ht="15.75" customHeight="1" s="34">
      <c r="H617" s="17" t="n"/>
    </row>
    <row r="618" ht="15.75" customHeight="1" s="34">
      <c r="H618" s="17" t="n"/>
    </row>
    <row r="619" ht="15.75" customHeight="1" s="34">
      <c r="H619" s="17" t="n"/>
    </row>
    <row r="620" ht="15.75" customHeight="1" s="34">
      <c r="H620" s="17" t="n"/>
    </row>
    <row r="621" ht="15.75" customHeight="1" s="34">
      <c r="H621" s="17" t="n"/>
    </row>
    <row r="622" ht="15.75" customHeight="1" s="34">
      <c r="H622" s="17" t="n"/>
    </row>
    <row r="623" ht="15.75" customHeight="1" s="34">
      <c r="H623" s="17" t="n"/>
    </row>
    <row r="624" ht="15.75" customHeight="1" s="34">
      <c r="H624" s="17" t="n"/>
    </row>
    <row r="625" ht="15.75" customHeight="1" s="34">
      <c r="H625" s="17" t="n"/>
    </row>
    <row r="626" ht="15.75" customHeight="1" s="34">
      <c r="H626" s="17" t="n"/>
    </row>
    <row r="627" ht="15.75" customHeight="1" s="34">
      <c r="H627" s="17" t="n"/>
    </row>
    <row r="628" ht="15.75" customHeight="1" s="34">
      <c r="H628" s="17" t="n"/>
    </row>
    <row r="629" ht="15.75" customHeight="1" s="34">
      <c r="H629" s="17" t="n"/>
    </row>
    <row r="630" ht="15.75" customHeight="1" s="34">
      <c r="H630" s="17" t="n"/>
    </row>
    <row r="631" ht="15.75" customHeight="1" s="34">
      <c r="H631" s="17" t="n"/>
    </row>
    <row r="632" ht="15.75" customHeight="1" s="34">
      <c r="H632" s="17" t="n"/>
    </row>
    <row r="633" ht="15.75" customHeight="1" s="34">
      <c r="H633" s="17" t="n"/>
    </row>
    <row r="634" ht="15.75" customHeight="1" s="34">
      <c r="H634" s="17" t="n"/>
    </row>
    <row r="635" ht="15.75" customHeight="1" s="34">
      <c r="H635" s="17" t="n"/>
    </row>
    <row r="636" ht="15.75" customHeight="1" s="34">
      <c r="H636" s="17" t="n"/>
    </row>
    <row r="637" ht="15.75" customHeight="1" s="34">
      <c r="H637" s="17" t="n"/>
    </row>
    <row r="638" ht="15.75" customHeight="1" s="34">
      <c r="H638" s="17" t="n"/>
    </row>
    <row r="639" ht="15.75" customHeight="1" s="34">
      <c r="H639" s="17" t="n"/>
    </row>
    <row r="640" ht="15.75" customHeight="1" s="34">
      <c r="H640" s="17" t="n"/>
    </row>
    <row r="641" ht="15.75" customHeight="1" s="34">
      <c r="H641" s="17" t="n"/>
    </row>
    <row r="642" ht="15.75" customHeight="1" s="34">
      <c r="H642" s="17" t="n"/>
    </row>
    <row r="643" ht="15.75" customHeight="1" s="34">
      <c r="H643" s="17" t="n"/>
    </row>
    <row r="644" ht="15.75" customHeight="1" s="34">
      <c r="H644" s="17" t="n"/>
    </row>
    <row r="645" ht="15.75" customHeight="1" s="34">
      <c r="H645" s="17" t="n"/>
    </row>
    <row r="646" ht="15.75" customHeight="1" s="34">
      <c r="H646" s="17" t="n"/>
    </row>
    <row r="647" ht="15.75" customHeight="1" s="34">
      <c r="H647" s="17" t="n"/>
    </row>
    <row r="648" ht="15.75" customHeight="1" s="34">
      <c r="H648" s="17" t="n"/>
    </row>
    <row r="649" ht="15.75" customHeight="1" s="34">
      <c r="H649" s="17" t="n"/>
    </row>
    <row r="650" ht="15.75" customHeight="1" s="34">
      <c r="H650" s="17" t="n"/>
    </row>
    <row r="651" ht="15.75" customHeight="1" s="34">
      <c r="H651" s="17" t="n"/>
    </row>
    <row r="652" ht="15.75" customHeight="1" s="34">
      <c r="H652" s="17" t="n"/>
    </row>
    <row r="653" ht="15.75" customHeight="1" s="34">
      <c r="H653" s="17" t="n"/>
    </row>
    <row r="654" ht="15.75" customHeight="1" s="34">
      <c r="H654" s="17" t="n"/>
    </row>
    <row r="655" ht="15.75" customHeight="1" s="34">
      <c r="H655" s="17" t="n"/>
    </row>
    <row r="656" ht="15.75" customHeight="1" s="34">
      <c r="H656" s="17" t="n"/>
    </row>
    <row r="657" ht="15.75" customHeight="1" s="34">
      <c r="H657" s="17" t="n"/>
    </row>
    <row r="658" ht="15.75" customHeight="1" s="34">
      <c r="H658" s="17" t="n"/>
    </row>
    <row r="659" ht="15.75" customHeight="1" s="34">
      <c r="H659" s="17" t="n"/>
    </row>
    <row r="660" ht="15.75" customHeight="1" s="34">
      <c r="H660" s="17" t="n"/>
    </row>
    <row r="661" ht="15.75" customHeight="1" s="34">
      <c r="H661" s="17" t="n"/>
    </row>
    <row r="662" ht="15.75" customHeight="1" s="34">
      <c r="H662" s="17" t="n"/>
    </row>
    <row r="663" ht="15.75" customHeight="1" s="34">
      <c r="H663" s="17" t="n"/>
    </row>
    <row r="664" ht="15.75" customHeight="1" s="34">
      <c r="H664" s="17" t="n"/>
    </row>
    <row r="665" ht="15.75" customHeight="1" s="34">
      <c r="H665" s="17" t="n"/>
    </row>
    <row r="666" ht="15.75" customHeight="1" s="34">
      <c r="H666" s="17" t="n"/>
    </row>
    <row r="667" ht="15.75" customHeight="1" s="34">
      <c r="H667" s="17" t="n"/>
    </row>
    <row r="668" ht="15.75" customHeight="1" s="34">
      <c r="H668" s="17" t="n"/>
    </row>
    <row r="669" ht="15.75" customHeight="1" s="34">
      <c r="H669" s="17" t="n"/>
    </row>
    <row r="670" ht="15.75" customHeight="1" s="34">
      <c r="H670" s="17" t="n"/>
    </row>
    <row r="671" ht="15.75" customHeight="1" s="34">
      <c r="H671" s="17" t="n"/>
    </row>
    <row r="672" ht="15.75" customHeight="1" s="34">
      <c r="H672" s="17" t="n"/>
    </row>
    <row r="673" ht="15.75" customHeight="1" s="34">
      <c r="H673" s="17" t="n"/>
    </row>
    <row r="674" ht="15.75" customHeight="1" s="34">
      <c r="H674" s="17" t="n"/>
    </row>
    <row r="675" ht="15.75" customHeight="1" s="34">
      <c r="H675" s="17" t="n"/>
    </row>
    <row r="676" ht="15.75" customHeight="1" s="34">
      <c r="H676" s="17" t="n"/>
    </row>
    <row r="677" ht="15.75" customHeight="1" s="34">
      <c r="H677" s="17" t="n"/>
    </row>
    <row r="678" ht="15.75" customHeight="1" s="34">
      <c r="H678" s="17" t="n"/>
    </row>
    <row r="679" ht="15.75" customHeight="1" s="34">
      <c r="H679" s="17" t="n"/>
    </row>
    <row r="680" ht="15.75" customHeight="1" s="34">
      <c r="H680" s="17" t="n"/>
    </row>
    <row r="681" ht="15.75" customHeight="1" s="34">
      <c r="H681" s="17" t="n"/>
    </row>
    <row r="682" ht="15.75" customHeight="1" s="34">
      <c r="H682" s="17" t="n"/>
    </row>
    <row r="683" ht="15.75" customHeight="1" s="34">
      <c r="H683" s="17" t="n"/>
    </row>
    <row r="684" ht="15.75" customHeight="1" s="34">
      <c r="H684" s="17" t="n"/>
    </row>
    <row r="685" ht="15.75" customHeight="1" s="34">
      <c r="H685" s="17" t="n"/>
    </row>
    <row r="686" ht="15.75" customHeight="1" s="34">
      <c r="H686" s="17" t="n"/>
    </row>
    <row r="687" ht="15.75" customHeight="1" s="34">
      <c r="H687" s="17" t="n"/>
    </row>
    <row r="688" ht="15.75" customHeight="1" s="34">
      <c r="H688" s="17" t="n"/>
    </row>
    <row r="689" ht="15.75" customHeight="1" s="34">
      <c r="H689" s="17" t="n"/>
    </row>
    <row r="690" ht="15.75" customHeight="1" s="34">
      <c r="H690" s="17" t="n"/>
    </row>
    <row r="691" ht="15.75" customHeight="1" s="34">
      <c r="H691" s="17" t="n"/>
    </row>
    <row r="692" ht="15.75" customHeight="1" s="34">
      <c r="H692" s="17" t="n"/>
    </row>
    <row r="693" ht="15.75" customHeight="1" s="34">
      <c r="H693" s="17" t="n"/>
    </row>
    <row r="694" ht="15.75" customHeight="1" s="34">
      <c r="H694" s="17" t="n"/>
    </row>
    <row r="695" ht="15.75" customHeight="1" s="34">
      <c r="H695" s="17" t="n"/>
    </row>
    <row r="696" ht="15.75" customHeight="1" s="34">
      <c r="H696" s="17" t="n"/>
    </row>
    <row r="697" ht="15.75" customHeight="1" s="34">
      <c r="H697" s="17" t="n"/>
    </row>
    <row r="698" ht="15.75" customHeight="1" s="34">
      <c r="H698" s="17" t="n"/>
    </row>
    <row r="699" ht="15.75" customHeight="1" s="34">
      <c r="H699" s="17" t="n"/>
    </row>
    <row r="700" ht="15.75" customHeight="1" s="34">
      <c r="H700" s="17" t="n"/>
    </row>
    <row r="701" ht="15.75" customHeight="1" s="34">
      <c r="H701" s="17" t="n"/>
    </row>
    <row r="702" ht="15.75" customHeight="1" s="34">
      <c r="H702" s="17" t="n"/>
    </row>
    <row r="703" ht="15.75" customHeight="1" s="34">
      <c r="H703" s="17" t="n"/>
    </row>
    <row r="704" ht="15.75" customHeight="1" s="34">
      <c r="H704" s="17" t="n"/>
    </row>
    <row r="705" ht="15.75" customHeight="1" s="34">
      <c r="H705" s="17" t="n"/>
    </row>
    <row r="706" ht="15.75" customHeight="1" s="34">
      <c r="H706" s="17" t="n"/>
    </row>
    <row r="707" ht="15.75" customHeight="1" s="34">
      <c r="H707" s="17" t="n"/>
    </row>
    <row r="708" ht="15.75" customHeight="1" s="34">
      <c r="H708" s="17" t="n"/>
    </row>
    <row r="709" ht="15.75" customHeight="1" s="34">
      <c r="H709" s="17" t="n"/>
    </row>
    <row r="710" ht="15.75" customHeight="1" s="34">
      <c r="H710" s="17" t="n"/>
    </row>
    <row r="711" ht="15.75" customHeight="1" s="34">
      <c r="H711" s="17" t="n"/>
    </row>
    <row r="712" ht="15.75" customHeight="1" s="34">
      <c r="H712" s="17" t="n"/>
    </row>
    <row r="713" ht="15.75" customHeight="1" s="34">
      <c r="H713" s="17" t="n"/>
    </row>
    <row r="714" ht="15.75" customHeight="1" s="34">
      <c r="H714" s="17" t="n"/>
    </row>
    <row r="715" ht="15.75" customHeight="1" s="34">
      <c r="H715" s="17" t="n"/>
    </row>
    <row r="716" ht="15.75" customHeight="1" s="34">
      <c r="H716" s="17" t="n"/>
    </row>
    <row r="717" ht="15.75" customHeight="1" s="34">
      <c r="H717" s="17" t="n"/>
    </row>
    <row r="718" ht="15.75" customHeight="1" s="34">
      <c r="H718" s="17" t="n"/>
    </row>
    <row r="719" ht="15.75" customHeight="1" s="34">
      <c r="H719" s="17" t="n"/>
    </row>
    <row r="720" ht="15.75" customHeight="1" s="34">
      <c r="H720" s="17" t="n"/>
    </row>
    <row r="721" ht="15.75" customHeight="1" s="34">
      <c r="H721" s="17" t="n"/>
    </row>
    <row r="722" ht="15.75" customHeight="1" s="34">
      <c r="H722" s="17" t="n"/>
    </row>
    <row r="723" ht="15.75" customHeight="1" s="34">
      <c r="H723" s="17" t="n"/>
    </row>
    <row r="724" ht="15.75" customHeight="1" s="34">
      <c r="H724" s="17" t="n"/>
    </row>
    <row r="725" ht="15.75" customHeight="1" s="34">
      <c r="H725" s="17" t="n"/>
    </row>
    <row r="726" ht="15.75" customHeight="1" s="34">
      <c r="H726" s="17" t="n"/>
    </row>
    <row r="727" ht="15.75" customHeight="1" s="34">
      <c r="H727" s="17" t="n"/>
    </row>
    <row r="728" ht="15.75" customHeight="1" s="34">
      <c r="H728" s="17" t="n"/>
    </row>
    <row r="729" ht="15.75" customHeight="1" s="34">
      <c r="H729" s="17" t="n"/>
    </row>
    <row r="730" ht="15.75" customHeight="1" s="34">
      <c r="H730" s="17" t="n"/>
    </row>
    <row r="731" ht="15.75" customHeight="1" s="34">
      <c r="H731" s="17" t="n"/>
    </row>
    <row r="732" ht="15.75" customHeight="1" s="34">
      <c r="H732" s="17" t="n"/>
    </row>
    <row r="733" ht="15.75" customHeight="1" s="34">
      <c r="H733" s="17" t="n"/>
    </row>
    <row r="734" ht="15.75" customHeight="1" s="34">
      <c r="H734" s="17" t="n"/>
    </row>
    <row r="735" ht="15.75" customHeight="1" s="34">
      <c r="H735" s="17" t="n"/>
    </row>
    <row r="736" ht="15.75" customHeight="1" s="34">
      <c r="H736" s="17" t="n"/>
    </row>
    <row r="737" ht="15.75" customHeight="1" s="34">
      <c r="H737" s="17" t="n"/>
    </row>
    <row r="738" ht="15.75" customHeight="1" s="34">
      <c r="H738" s="17" t="n"/>
    </row>
    <row r="739" ht="15.75" customHeight="1" s="34">
      <c r="H739" s="17" t="n"/>
    </row>
    <row r="740" ht="15.75" customHeight="1" s="34">
      <c r="H740" s="17" t="n"/>
    </row>
    <row r="741" ht="15.75" customHeight="1" s="34">
      <c r="H741" s="17" t="n"/>
    </row>
    <row r="742" ht="15.75" customHeight="1" s="34">
      <c r="H742" s="17" t="n"/>
    </row>
    <row r="743" ht="15.75" customHeight="1" s="34">
      <c r="H743" s="17" t="n"/>
    </row>
    <row r="744" ht="15.75" customHeight="1" s="34">
      <c r="H744" s="17" t="n"/>
    </row>
    <row r="745" ht="15.75" customHeight="1" s="34">
      <c r="H745" s="17" t="n"/>
    </row>
    <row r="746" ht="15.75" customHeight="1" s="34">
      <c r="H746" s="17" t="n"/>
    </row>
    <row r="747" ht="15.75" customHeight="1" s="34">
      <c r="H747" s="17" t="n"/>
    </row>
    <row r="748" ht="15.75" customHeight="1" s="34">
      <c r="H748" s="17" t="n"/>
    </row>
    <row r="749" ht="15.75" customHeight="1" s="34">
      <c r="H749" s="17" t="n"/>
    </row>
    <row r="750" ht="15.75" customHeight="1" s="34">
      <c r="H750" s="17" t="n"/>
    </row>
    <row r="751" ht="15.75" customHeight="1" s="34">
      <c r="H751" s="17" t="n"/>
    </row>
    <row r="752" ht="15.75" customHeight="1" s="34">
      <c r="H752" s="17" t="n"/>
    </row>
    <row r="753" ht="15.75" customHeight="1" s="34">
      <c r="H753" s="17" t="n"/>
    </row>
    <row r="754" ht="15.75" customHeight="1" s="34">
      <c r="H754" s="17" t="n"/>
    </row>
    <row r="755" ht="15.75" customHeight="1" s="34">
      <c r="H755" s="17" t="n"/>
    </row>
    <row r="756" ht="15.75" customHeight="1" s="34">
      <c r="H756" s="17" t="n"/>
    </row>
    <row r="757" ht="15.75" customHeight="1" s="34">
      <c r="H757" s="17" t="n"/>
    </row>
    <row r="758" ht="15.75" customHeight="1" s="34">
      <c r="H758" s="17" t="n"/>
    </row>
    <row r="759" ht="15.75" customHeight="1" s="34">
      <c r="H759" s="17" t="n"/>
    </row>
    <row r="760" ht="15.75" customHeight="1" s="34">
      <c r="H760" s="17" t="n"/>
    </row>
    <row r="761" ht="15.75" customHeight="1" s="34">
      <c r="H761" s="17" t="n"/>
    </row>
    <row r="762" ht="15.75" customHeight="1" s="34">
      <c r="H762" s="17" t="n"/>
    </row>
    <row r="763" ht="15.75" customHeight="1" s="34">
      <c r="H763" s="17" t="n"/>
    </row>
    <row r="764" ht="15.75" customHeight="1" s="34">
      <c r="H764" s="17" t="n"/>
    </row>
    <row r="765" ht="15.75" customHeight="1" s="34">
      <c r="H765" s="17" t="n"/>
    </row>
    <row r="766" ht="15.75" customHeight="1" s="34">
      <c r="H766" s="17" t="n"/>
    </row>
    <row r="767" ht="15.75" customHeight="1" s="34">
      <c r="H767" s="17" t="n"/>
    </row>
    <row r="768" ht="15.75" customHeight="1" s="34">
      <c r="H768" s="17" t="n"/>
    </row>
    <row r="769" ht="15.75" customHeight="1" s="34">
      <c r="H769" s="17" t="n"/>
    </row>
    <row r="770" ht="15.75" customHeight="1" s="34">
      <c r="H770" s="17" t="n"/>
    </row>
    <row r="771" ht="15.75" customHeight="1" s="34">
      <c r="H771" s="17" t="n"/>
    </row>
    <row r="772" ht="15.75" customHeight="1" s="34">
      <c r="H772" s="17" t="n"/>
    </row>
    <row r="773" ht="15.75" customHeight="1" s="34">
      <c r="H773" s="17" t="n"/>
    </row>
    <row r="774" ht="15.75" customHeight="1" s="34">
      <c r="H774" s="17" t="n"/>
    </row>
    <row r="775" ht="15.75" customHeight="1" s="34">
      <c r="H775" s="17" t="n"/>
    </row>
    <row r="776" ht="15.75" customHeight="1" s="34">
      <c r="H776" s="17" t="n"/>
    </row>
    <row r="777" ht="15.75" customHeight="1" s="34">
      <c r="H777" s="17" t="n"/>
    </row>
    <row r="778" ht="15.75" customHeight="1" s="34">
      <c r="H778" s="17" t="n"/>
    </row>
    <row r="779" ht="15.75" customHeight="1" s="34">
      <c r="H779" s="17" t="n"/>
    </row>
    <row r="780" ht="15.75" customHeight="1" s="34">
      <c r="H780" s="17" t="n"/>
    </row>
    <row r="781" ht="15.75" customHeight="1" s="34">
      <c r="H781" s="17" t="n"/>
    </row>
    <row r="782" ht="15.75" customHeight="1" s="34">
      <c r="H782" s="17" t="n"/>
    </row>
    <row r="783" ht="15.75" customHeight="1" s="34">
      <c r="H783" s="17" t="n"/>
    </row>
    <row r="784" ht="15.75" customHeight="1" s="34">
      <c r="H784" s="17" t="n"/>
    </row>
    <row r="785" ht="15.75" customHeight="1" s="34">
      <c r="H785" s="17" t="n"/>
    </row>
    <row r="786" ht="15.75" customHeight="1" s="34">
      <c r="H786" s="17" t="n"/>
    </row>
    <row r="787" ht="15.75" customHeight="1" s="34">
      <c r="H787" s="17" t="n"/>
    </row>
    <row r="788" ht="15.75" customHeight="1" s="34">
      <c r="H788" s="17" t="n"/>
    </row>
    <row r="789" ht="15.75" customHeight="1" s="34">
      <c r="H789" s="17" t="n"/>
    </row>
    <row r="790" ht="15.75" customHeight="1" s="34">
      <c r="H790" s="17" t="n"/>
    </row>
    <row r="791" ht="15.75" customHeight="1" s="34">
      <c r="H791" s="17" t="n"/>
    </row>
    <row r="792" ht="15.75" customHeight="1" s="34">
      <c r="H792" s="17" t="n"/>
    </row>
    <row r="793" ht="15.75" customHeight="1" s="34">
      <c r="H793" s="17" t="n"/>
    </row>
    <row r="794" ht="15.75" customHeight="1" s="34">
      <c r="H794" s="17" t="n"/>
    </row>
    <row r="795" ht="15.75" customHeight="1" s="34">
      <c r="H795" s="17" t="n"/>
    </row>
    <row r="796" ht="15.75" customHeight="1" s="34">
      <c r="H796" s="17" t="n"/>
    </row>
    <row r="797" ht="15.75" customHeight="1" s="34">
      <c r="H797" s="17" t="n"/>
    </row>
    <row r="798" ht="15.75" customHeight="1" s="34">
      <c r="H798" s="17" t="n"/>
    </row>
    <row r="799" ht="15.75" customHeight="1" s="34">
      <c r="H799" s="17" t="n"/>
    </row>
    <row r="800" ht="15.75" customHeight="1" s="34">
      <c r="H800" s="17" t="n"/>
    </row>
    <row r="801" ht="15.75" customHeight="1" s="34">
      <c r="H801" s="17" t="n"/>
    </row>
    <row r="802" ht="15.75" customHeight="1" s="34">
      <c r="H802" s="17" t="n"/>
    </row>
    <row r="803" ht="15.75" customHeight="1" s="34">
      <c r="H803" s="17" t="n"/>
    </row>
    <row r="804" ht="15.75" customHeight="1" s="34">
      <c r="H804" s="17" t="n"/>
    </row>
    <row r="805" ht="15.75" customHeight="1" s="34">
      <c r="H805" s="17" t="n"/>
    </row>
    <row r="806" ht="15.75" customHeight="1" s="34">
      <c r="H806" s="17" t="n"/>
    </row>
    <row r="807" ht="15.75" customHeight="1" s="34">
      <c r="H807" s="17" t="n"/>
    </row>
    <row r="808" ht="15.75" customHeight="1" s="34">
      <c r="H808" s="17" t="n"/>
    </row>
    <row r="809" ht="15.75" customHeight="1" s="34">
      <c r="H809" s="17" t="n"/>
    </row>
    <row r="810" ht="15.75" customHeight="1" s="34">
      <c r="H810" s="17" t="n"/>
    </row>
    <row r="811" ht="15.75" customHeight="1" s="34">
      <c r="H811" s="17" t="n"/>
    </row>
    <row r="812" ht="15.75" customHeight="1" s="34">
      <c r="H812" s="17" t="n"/>
    </row>
    <row r="813" ht="15.75" customHeight="1" s="34">
      <c r="H813" s="17" t="n"/>
    </row>
    <row r="814" ht="15.75" customHeight="1" s="34">
      <c r="H814" s="17" t="n"/>
    </row>
    <row r="815" ht="15.75" customHeight="1" s="34">
      <c r="H815" s="17" t="n"/>
    </row>
    <row r="816" ht="15.75" customHeight="1" s="34">
      <c r="H816" s="17" t="n"/>
    </row>
    <row r="817" ht="15.75" customHeight="1" s="34">
      <c r="H817" s="17" t="n"/>
    </row>
    <row r="818" ht="15.75" customHeight="1" s="34">
      <c r="H818" s="17" t="n"/>
    </row>
    <row r="819" ht="15.75" customHeight="1" s="34">
      <c r="H819" s="17" t="n"/>
    </row>
    <row r="820" ht="15.75" customHeight="1" s="34">
      <c r="H820" s="17" t="n"/>
    </row>
    <row r="821" ht="15.75" customHeight="1" s="34">
      <c r="H821" s="17" t="n"/>
    </row>
    <row r="822" ht="15.75" customHeight="1" s="34">
      <c r="H822" s="17" t="n"/>
    </row>
    <row r="823" ht="15.75" customHeight="1" s="34">
      <c r="H823" s="17" t="n"/>
    </row>
    <row r="824" ht="15.75" customHeight="1" s="34">
      <c r="H824" s="17" t="n"/>
    </row>
    <row r="825" ht="15.75" customHeight="1" s="34">
      <c r="H825" s="17" t="n"/>
    </row>
    <row r="826" ht="15.75" customHeight="1" s="34">
      <c r="H826" s="17" t="n"/>
    </row>
    <row r="827" ht="15.75" customHeight="1" s="34">
      <c r="H827" s="17" t="n"/>
    </row>
    <row r="828" ht="15.75" customHeight="1" s="34">
      <c r="H828" s="17" t="n"/>
    </row>
    <row r="829" ht="15.75" customHeight="1" s="34">
      <c r="H829" s="17" t="n"/>
    </row>
    <row r="830" ht="15.75" customHeight="1" s="34">
      <c r="H830" s="17" t="n"/>
    </row>
    <row r="831" ht="15.75" customHeight="1" s="34">
      <c r="H831" s="17" t="n"/>
    </row>
    <row r="832" ht="15.75" customHeight="1" s="34">
      <c r="H832" s="17" t="n"/>
    </row>
    <row r="833" ht="15.75" customHeight="1" s="34">
      <c r="H833" s="17" t="n"/>
    </row>
    <row r="834" ht="15.75" customHeight="1" s="34">
      <c r="H834" s="17" t="n"/>
    </row>
    <row r="835" ht="15.75" customHeight="1" s="34">
      <c r="H835" s="17" t="n"/>
    </row>
    <row r="836" ht="15.75" customHeight="1" s="34">
      <c r="H836" s="17" t="n"/>
    </row>
    <row r="837" ht="15.75" customHeight="1" s="34">
      <c r="H837" s="17" t="n"/>
    </row>
    <row r="838" ht="15.75" customHeight="1" s="34">
      <c r="H838" s="17" t="n"/>
    </row>
    <row r="839" ht="15.75" customHeight="1" s="34">
      <c r="H839" s="17" t="n"/>
    </row>
    <row r="840" ht="15.75" customHeight="1" s="34">
      <c r="H840" s="17" t="n"/>
    </row>
    <row r="841" ht="15.75" customHeight="1" s="34">
      <c r="H841" s="17" t="n"/>
    </row>
    <row r="842" ht="15.75" customHeight="1" s="34">
      <c r="H842" s="17" t="n"/>
    </row>
    <row r="843" ht="15.75" customHeight="1" s="34">
      <c r="H843" s="17" t="n"/>
    </row>
    <row r="844" ht="15.75" customHeight="1" s="34">
      <c r="H844" s="17" t="n"/>
    </row>
    <row r="845" ht="15.75" customHeight="1" s="34">
      <c r="H845" s="17" t="n"/>
    </row>
    <row r="846" ht="15.75" customHeight="1" s="34">
      <c r="H846" s="17" t="n"/>
    </row>
    <row r="847" ht="15.75" customHeight="1" s="34">
      <c r="H847" s="17" t="n"/>
    </row>
    <row r="848" ht="15.75" customHeight="1" s="34">
      <c r="H848" s="17" t="n"/>
    </row>
    <row r="849" ht="15.75" customHeight="1" s="34">
      <c r="H849" s="17" t="n"/>
    </row>
    <row r="850" ht="15.75" customHeight="1" s="34">
      <c r="H850" s="17" t="n"/>
    </row>
    <row r="851" ht="15.75" customHeight="1" s="34">
      <c r="H851" s="17" t="n"/>
    </row>
    <row r="852" ht="15.75" customHeight="1" s="34">
      <c r="H852" s="17" t="n"/>
    </row>
    <row r="853" ht="15.75" customHeight="1" s="34">
      <c r="H853" s="17" t="n"/>
    </row>
    <row r="854" ht="15.75" customHeight="1" s="34">
      <c r="H854" s="17" t="n"/>
    </row>
    <row r="855" ht="15.75" customHeight="1" s="34">
      <c r="H855" s="17" t="n"/>
    </row>
    <row r="856" ht="15.75" customHeight="1" s="34">
      <c r="H856" s="17" t="n"/>
    </row>
    <row r="857" ht="15.75" customHeight="1" s="34">
      <c r="H857" s="17" t="n"/>
    </row>
    <row r="858" ht="15.75" customHeight="1" s="34">
      <c r="H858" s="17" t="n"/>
    </row>
    <row r="859" ht="15.75" customHeight="1" s="34">
      <c r="H859" s="17" t="n"/>
    </row>
    <row r="860" ht="15.75" customHeight="1" s="34">
      <c r="H860" s="17" t="n"/>
    </row>
    <row r="861" ht="15.75" customHeight="1" s="34">
      <c r="H861" s="17" t="n"/>
    </row>
    <row r="862" ht="15.75" customHeight="1" s="34">
      <c r="H862" s="17" t="n"/>
    </row>
    <row r="863" ht="15.75" customHeight="1" s="34">
      <c r="H863" s="17" t="n"/>
    </row>
    <row r="864" ht="15.75" customHeight="1" s="34">
      <c r="H864" s="17" t="n"/>
    </row>
    <row r="865" ht="15.75" customHeight="1" s="34">
      <c r="H865" s="17" t="n"/>
    </row>
    <row r="866" ht="15.75" customHeight="1" s="34">
      <c r="H866" s="17" t="n"/>
    </row>
    <row r="867" ht="15.75" customHeight="1" s="34">
      <c r="H867" s="17" t="n"/>
    </row>
    <row r="868" ht="15.75" customHeight="1" s="34">
      <c r="H868" s="17" t="n"/>
    </row>
    <row r="869" ht="15.75" customHeight="1" s="34">
      <c r="H869" s="17" t="n"/>
    </row>
    <row r="870" ht="15.75" customHeight="1" s="34">
      <c r="H870" s="17" t="n"/>
    </row>
    <row r="871" ht="15.75" customHeight="1" s="34">
      <c r="H871" s="17" t="n"/>
    </row>
    <row r="872" ht="15.75" customHeight="1" s="34">
      <c r="H872" s="17" t="n"/>
    </row>
    <row r="873" ht="15.75" customHeight="1" s="34">
      <c r="H873" s="17" t="n"/>
    </row>
    <row r="874" ht="15.75" customHeight="1" s="34">
      <c r="H874" s="17" t="n"/>
    </row>
    <row r="875" ht="15.75" customHeight="1" s="34">
      <c r="H875" s="17" t="n"/>
    </row>
    <row r="876" ht="15.75" customHeight="1" s="34">
      <c r="H876" s="17" t="n"/>
    </row>
    <row r="877" ht="15.75" customHeight="1" s="34">
      <c r="H877" s="17" t="n"/>
    </row>
    <row r="878" ht="15.75" customHeight="1" s="34">
      <c r="H878" s="17" t="n"/>
    </row>
    <row r="879" ht="15.75" customHeight="1" s="34">
      <c r="H879" s="17" t="n"/>
    </row>
    <row r="880" ht="15.75" customHeight="1" s="34">
      <c r="H880" s="17" t="n"/>
    </row>
    <row r="881" ht="15.75" customHeight="1" s="34">
      <c r="H881" s="17" t="n"/>
    </row>
    <row r="882" ht="15.75" customHeight="1" s="34">
      <c r="H882" s="17" t="n"/>
    </row>
    <row r="883" ht="15.75" customHeight="1" s="34">
      <c r="H883" s="17" t="n"/>
    </row>
    <row r="884" ht="15.75" customHeight="1" s="34">
      <c r="H884" s="17" t="n"/>
    </row>
    <row r="885" ht="15.75" customHeight="1" s="34">
      <c r="H885" s="17" t="n"/>
    </row>
    <row r="886" ht="15.75" customHeight="1" s="34">
      <c r="H886" s="17" t="n"/>
    </row>
    <row r="887" ht="15.75" customHeight="1" s="34">
      <c r="H887" s="17" t="n"/>
    </row>
    <row r="888" ht="15.75" customHeight="1" s="34">
      <c r="H888" s="17" t="n"/>
    </row>
    <row r="889" ht="15.75" customHeight="1" s="34">
      <c r="H889" s="17" t="n"/>
    </row>
    <row r="890" ht="15.75" customHeight="1" s="34">
      <c r="H890" s="17" t="n"/>
    </row>
    <row r="891" ht="15.75" customHeight="1" s="34">
      <c r="H891" s="17" t="n"/>
    </row>
    <row r="892" ht="15.75" customHeight="1" s="34">
      <c r="H892" s="17" t="n"/>
    </row>
    <row r="893" ht="15.75" customHeight="1" s="34">
      <c r="H893" s="17" t="n"/>
    </row>
    <row r="894" ht="15.75" customHeight="1" s="34">
      <c r="H894" s="17" t="n"/>
    </row>
    <row r="895" ht="15.75" customHeight="1" s="34">
      <c r="H895" s="17" t="n"/>
    </row>
    <row r="896" ht="15.75" customHeight="1" s="34">
      <c r="H896" s="17" t="n"/>
    </row>
    <row r="897" ht="15.75" customHeight="1" s="34">
      <c r="H897" s="17" t="n"/>
    </row>
    <row r="898" ht="15.75" customHeight="1" s="34">
      <c r="H898" s="17" t="n"/>
    </row>
    <row r="899" ht="15.75" customHeight="1" s="34">
      <c r="H899" s="17" t="n"/>
    </row>
    <row r="900" ht="15.75" customHeight="1" s="34">
      <c r="H900" s="17" t="n"/>
    </row>
    <row r="901" ht="15.75" customHeight="1" s="34">
      <c r="H901" s="17" t="n"/>
    </row>
    <row r="902" ht="15.75" customHeight="1" s="34">
      <c r="H902" s="17" t="n"/>
    </row>
    <row r="903" ht="15.75" customHeight="1" s="34">
      <c r="H903" s="17" t="n"/>
    </row>
    <row r="904" ht="15.75" customHeight="1" s="34">
      <c r="H904" s="17" t="n"/>
    </row>
    <row r="905" ht="15.75" customHeight="1" s="34">
      <c r="H905" s="17" t="n"/>
    </row>
    <row r="906" ht="15.75" customHeight="1" s="34">
      <c r="H906" s="17" t="n"/>
    </row>
    <row r="907" ht="15.75" customHeight="1" s="34">
      <c r="H907" s="17" t="n"/>
    </row>
    <row r="908" ht="15.75" customHeight="1" s="34">
      <c r="H908" s="17" t="n"/>
    </row>
    <row r="909" ht="15.75" customHeight="1" s="34">
      <c r="H909" s="17" t="n"/>
    </row>
    <row r="910" ht="15.75" customHeight="1" s="34">
      <c r="H910" s="17" t="n"/>
    </row>
    <row r="911" ht="15.75" customHeight="1" s="34">
      <c r="H911" s="17" t="n"/>
    </row>
    <row r="912" ht="15.75" customHeight="1" s="34">
      <c r="H912" s="17" t="n"/>
    </row>
    <row r="913" ht="15.75" customHeight="1" s="34">
      <c r="H913" s="17" t="n"/>
    </row>
    <row r="914" ht="15.75" customHeight="1" s="34">
      <c r="H914" s="17" t="n"/>
    </row>
    <row r="915" ht="15.75" customHeight="1" s="34">
      <c r="H915" s="17" t="n"/>
    </row>
    <row r="916" ht="15.75" customHeight="1" s="34">
      <c r="H916" s="17" t="n"/>
    </row>
    <row r="917" ht="15.75" customHeight="1" s="34">
      <c r="H917" s="17" t="n"/>
    </row>
    <row r="918" ht="15.75" customHeight="1" s="34">
      <c r="H918" s="17" t="n"/>
    </row>
    <row r="919" ht="15.75" customHeight="1" s="34">
      <c r="H919" s="17" t="n"/>
    </row>
    <row r="920" ht="15.75" customHeight="1" s="34">
      <c r="H920" s="17" t="n"/>
    </row>
    <row r="921" ht="15.75" customHeight="1" s="34">
      <c r="H921" s="17" t="n"/>
    </row>
    <row r="922" ht="15.75" customHeight="1" s="34">
      <c r="H922" s="17" t="n"/>
    </row>
    <row r="923" ht="15.75" customHeight="1" s="34">
      <c r="H923" s="17" t="n"/>
    </row>
    <row r="924" ht="15.75" customHeight="1" s="34">
      <c r="H924" s="17" t="n"/>
    </row>
    <row r="925" ht="15.75" customHeight="1" s="34">
      <c r="H925" s="17" t="n"/>
    </row>
    <row r="926" ht="15.75" customHeight="1" s="34">
      <c r="H926" s="17" t="n"/>
    </row>
    <row r="927" ht="15.75" customHeight="1" s="34">
      <c r="H927" s="17" t="n"/>
    </row>
    <row r="928" ht="15.75" customHeight="1" s="34">
      <c r="H928" s="17" t="n"/>
    </row>
    <row r="929" ht="15.75" customHeight="1" s="34">
      <c r="H929" s="17" t="n"/>
    </row>
    <row r="930" ht="15.75" customHeight="1" s="34">
      <c r="H930" s="17" t="n"/>
    </row>
    <row r="931" ht="15.75" customHeight="1" s="34">
      <c r="H931" s="17" t="n"/>
    </row>
    <row r="932" ht="15.75" customHeight="1" s="34">
      <c r="H932" s="17" t="n"/>
    </row>
    <row r="933" ht="15.75" customHeight="1" s="34">
      <c r="H933" s="17" t="n"/>
    </row>
    <row r="934" ht="15.75" customHeight="1" s="34">
      <c r="H934" s="17" t="n"/>
    </row>
    <row r="935" ht="15.75" customHeight="1" s="34">
      <c r="H935" s="17" t="n"/>
    </row>
    <row r="936" ht="15.75" customHeight="1" s="34">
      <c r="H936" s="17" t="n"/>
    </row>
    <row r="937" ht="15.75" customHeight="1" s="34">
      <c r="H937" s="17" t="n"/>
    </row>
    <row r="938" ht="15.75" customHeight="1" s="34">
      <c r="H938" s="17" t="n"/>
    </row>
    <row r="939" ht="15.75" customHeight="1" s="34">
      <c r="H939" s="17" t="n"/>
    </row>
    <row r="940" ht="15.75" customHeight="1" s="34">
      <c r="H940" s="17" t="n"/>
    </row>
    <row r="941" ht="15.75" customHeight="1" s="34">
      <c r="H941" s="17" t="n"/>
    </row>
    <row r="942" ht="15.75" customHeight="1" s="34">
      <c r="H942" s="17" t="n"/>
    </row>
    <row r="943" ht="15.75" customHeight="1" s="34">
      <c r="H943" s="17" t="n"/>
    </row>
    <row r="944" ht="15.75" customHeight="1" s="34">
      <c r="H944" s="17" t="n"/>
    </row>
    <row r="945" ht="15.75" customHeight="1" s="34">
      <c r="H945" s="17" t="n"/>
    </row>
    <row r="946" ht="15.75" customHeight="1" s="34">
      <c r="H946" s="17" t="n"/>
    </row>
    <row r="947" ht="15.75" customHeight="1" s="34">
      <c r="H947" s="17" t="n"/>
    </row>
    <row r="948" ht="15.75" customHeight="1" s="34">
      <c r="H948" s="17" t="n"/>
    </row>
    <row r="949" ht="15.75" customHeight="1" s="34">
      <c r="H949" s="17" t="n"/>
    </row>
    <row r="950" ht="15.75" customHeight="1" s="34">
      <c r="H950" s="17" t="n"/>
    </row>
    <row r="951" ht="15.75" customHeight="1" s="34">
      <c r="H951" s="17" t="n"/>
    </row>
    <row r="952" ht="15.75" customHeight="1" s="34">
      <c r="H952" s="17" t="n"/>
    </row>
    <row r="953" ht="15.75" customHeight="1" s="34">
      <c r="H953" s="17" t="n"/>
    </row>
    <row r="954" ht="15.75" customHeight="1" s="34">
      <c r="H954" s="17" t="n"/>
    </row>
    <row r="955" ht="15.75" customHeight="1" s="34">
      <c r="H955" s="17" t="n"/>
    </row>
    <row r="956" ht="15.75" customHeight="1" s="34">
      <c r="H956" s="17" t="n"/>
    </row>
    <row r="957" ht="15.75" customHeight="1" s="34">
      <c r="H957" s="17" t="n"/>
    </row>
    <row r="958" ht="15.75" customHeight="1" s="34">
      <c r="H958" s="17" t="n"/>
    </row>
    <row r="959" ht="15.75" customHeight="1" s="34">
      <c r="H959" s="17" t="n"/>
    </row>
    <row r="960" ht="15.75" customHeight="1" s="34">
      <c r="H960" s="17" t="n"/>
    </row>
    <row r="961" ht="15.75" customHeight="1" s="34">
      <c r="H961" s="17" t="n"/>
    </row>
    <row r="962" ht="15.75" customHeight="1" s="34">
      <c r="H962" s="17" t="n"/>
    </row>
    <row r="963" ht="15.75" customHeight="1" s="34">
      <c r="H963" s="17" t="n"/>
    </row>
    <row r="964" ht="15.75" customHeight="1" s="34">
      <c r="H964" s="17" t="n"/>
    </row>
    <row r="965" ht="15.75" customHeight="1" s="34">
      <c r="H965" s="17" t="n"/>
    </row>
    <row r="966" ht="15.75" customHeight="1" s="34">
      <c r="H966" s="17" t="n"/>
    </row>
    <row r="967" ht="15.75" customHeight="1" s="34">
      <c r="H967" s="17" t="n"/>
    </row>
    <row r="968" ht="15.75" customHeight="1" s="34">
      <c r="H968" s="17" t="n"/>
    </row>
    <row r="969" ht="15.75" customHeight="1" s="34">
      <c r="H969" s="17" t="n"/>
    </row>
    <row r="970" ht="15.75" customHeight="1" s="34">
      <c r="H970" s="17" t="n"/>
    </row>
    <row r="971" ht="15.75" customHeight="1" s="34">
      <c r="H971" s="17" t="n"/>
    </row>
    <row r="972" ht="15.75" customHeight="1" s="34">
      <c r="H972" s="17" t="n"/>
    </row>
    <row r="973" ht="15.75" customHeight="1" s="34">
      <c r="H973" s="17" t="n"/>
    </row>
    <row r="974" ht="15.75" customHeight="1" s="34">
      <c r="H974" s="17" t="n"/>
    </row>
    <row r="975" ht="15.75" customHeight="1" s="34">
      <c r="H975" s="17" t="n"/>
    </row>
    <row r="976" ht="15.75" customHeight="1" s="34">
      <c r="H976" s="17" t="n"/>
    </row>
    <row r="977" ht="15.75" customHeight="1" s="34">
      <c r="H977" s="17" t="n"/>
    </row>
    <row r="978" ht="15.75" customHeight="1" s="34">
      <c r="H978" s="17" t="n"/>
    </row>
    <row r="979" ht="15.75" customHeight="1" s="34">
      <c r="H979" s="17" t="n"/>
    </row>
    <row r="980" ht="15.75" customHeight="1" s="34">
      <c r="H980" s="17" t="n"/>
    </row>
    <row r="981" ht="15.75" customHeight="1" s="34">
      <c r="H981" s="17" t="n"/>
    </row>
    <row r="982" ht="15.75" customHeight="1" s="34">
      <c r="H982" s="17" t="n"/>
    </row>
    <row r="983" ht="15.75" customHeight="1" s="34">
      <c r="H983" s="17" t="n"/>
    </row>
    <row r="984" ht="15.75" customHeight="1" s="34">
      <c r="H984" s="17" t="n"/>
    </row>
    <row r="985" ht="15.75" customHeight="1" s="34">
      <c r="H985" s="17" t="n"/>
    </row>
    <row r="986" ht="15.75" customHeight="1" s="34">
      <c r="H986" s="17" t="n"/>
    </row>
    <row r="987" ht="15.75" customHeight="1" s="34">
      <c r="H987" s="17" t="n"/>
    </row>
    <row r="988" ht="15.75" customHeight="1" s="34">
      <c r="H988" s="17" t="n"/>
    </row>
    <row r="989" ht="15.75" customHeight="1" s="34">
      <c r="H989" s="17" t="n"/>
    </row>
    <row r="990" ht="15.75" customHeight="1" s="34">
      <c r="H990" s="17" t="n"/>
    </row>
    <row r="991" ht="15.75" customHeight="1" s="34">
      <c r="H991" s="17" t="n"/>
    </row>
    <row r="992" ht="15.75" customHeight="1" s="34">
      <c r="H992" s="17" t="n"/>
    </row>
    <row r="993" ht="15.75" customHeight="1" s="34">
      <c r="H993" s="17" t="n"/>
    </row>
    <row r="994" ht="15.75" customHeight="1" s="34">
      <c r="H994" s="17" t="n"/>
    </row>
    <row r="995" ht="15.75" customHeight="1" s="34">
      <c r="H995" s="17" t="n"/>
    </row>
    <row r="996" ht="15.75" customHeight="1" s="34">
      <c r="H996" s="17" t="n"/>
    </row>
    <row r="997" ht="15.75" customHeight="1" s="34">
      <c r="H997" s="17" t="n"/>
    </row>
    <row r="998" ht="15.75" customHeight="1" s="34">
      <c r="H998" s="17" t="n"/>
    </row>
    <row r="999" ht="15.75" customHeight="1" s="34">
      <c r="H999" s="17" t="n"/>
    </row>
    <row r="1000" ht="15.75" customHeight="1" s="34">
      <c r="H1000" s="17" t="n"/>
    </row>
  </sheetData>
  <autoFilter ref="$A$1:$T$13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tabColor rgb="FFA84B2F"/>
    <outlinePr summaryBelow="1" summaryRight="1"/>
    <pageSetUpPr/>
  </sheetPr>
  <dimension ref="A1:W136"/>
  <sheetViews>
    <sheetView workbookViewId="0">
      <pane ySplit="1" topLeftCell="A2" activePane="bottomLeft" state="frozen"/>
      <selection pane="bottomLeft" activeCell="B3" sqref="B3"/>
    </sheetView>
  </sheetViews>
  <sheetFormatPr baseColWidth="8" defaultColWidth="14.43" defaultRowHeight="15" customHeight="1"/>
  <cols>
    <col width="35" customWidth="1" style="34" min="1" max="1"/>
    <col width="14" customWidth="1" style="34" min="2" max="2"/>
    <col width="22" customWidth="1" style="34" min="3" max="3"/>
    <col width="20" customWidth="1" style="34" min="4" max="4"/>
    <col width="18" customWidth="1" style="34" min="5" max="7"/>
    <col width="14" customWidth="1" style="34" min="8" max="9"/>
    <col width="25" customWidth="1" style="34" min="10" max="10"/>
    <col width="35" customWidth="1" style="34" min="11" max="11"/>
    <col width="3" customWidth="1" style="34" min="12" max="12"/>
    <col width="12" customWidth="1" style="34" min="13" max="14"/>
    <col width="14" customWidth="1" style="34" min="15" max="15"/>
    <col width="12" customWidth="1" style="34" min="16" max="17"/>
    <col width="18" customWidth="1" style="34" min="18" max="18"/>
    <col width="12" customWidth="1" style="34" min="19" max="19"/>
    <col width="16" customWidth="1" style="34" min="20" max="20"/>
    <col width="14" customWidth="1" style="34" min="21" max="21"/>
    <col width="18" customWidth="1" style="34" min="22" max="23"/>
    <col width="8.710000000000001" customWidth="1" style="34" min="24" max="26"/>
  </cols>
  <sheetData>
    <row r="1">
      <c r="A1" s="10" t="inlineStr">
        <is>
          <t>Accounts</t>
        </is>
      </c>
      <c r="B1" s="10" t="inlineStr">
        <is>
          <t>Contact Created?</t>
        </is>
      </c>
      <c r="C1" s="10" t="inlineStr">
        <is>
          <t>GM Name</t>
        </is>
      </c>
      <c r="D1" s="10" t="inlineStr">
        <is>
          <t>GM Contact Info</t>
        </is>
      </c>
      <c r="E1" s="10" t="inlineStr">
        <is>
          <t>Phone Number</t>
        </is>
      </c>
      <c r="F1" s="10" t="inlineStr">
        <is>
          <t>Garage Operator</t>
        </is>
      </c>
      <c r="G1" s="10" t="inlineStr">
        <is>
          <t>Valet Operator</t>
        </is>
      </c>
      <c r="H1" s="10" t="inlineStr">
        <is>
          <t>Self Parking Rate</t>
        </is>
      </c>
      <c r="I1" s="10" t="inlineStr">
        <is>
          <t>Valet Rate</t>
        </is>
      </c>
      <c r="J1" s="10" t="inlineStr">
        <is>
          <t>Sourcing Notes</t>
        </is>
      </c>
      <c r="K1" s="10" t="inlineStr">
        <is>
          <t>SALES NOTES</t>
        </is>
      </c>
      <c r="L1" s="10" t="n"/>
      <c r="M1" s="10" t="inlineStr">
        <is>
          <t>1. LinkedIn</t>
        </is>
      </c>
      <c r="N1" s="10" t="inlineStr">
        <is>
          <t>2. Cold Call</t>
        </is>
      </c>
      <c r="O1" s="10" t="inlineStr">
        <is>
          <t>3. In Person Visit</t>
        </is>
      </c>
      <c r="P1" s="10" t="inlineStr">
        <is>
          <t>4. First Email</t>
        </is>
      </c>
      <c r="Q1" s="10" t="inlineStr">
        <is>
          <t>5. Cold Call</t>
        </is>
      </c>
      <c r="R1" s="10" t="inlineStr">
        <is>
          <t>6. Second Follow Up Email</t>
        </is>
      </c>
      <c r="S1" s="10" t="inlineStr">
        <is>
          <t>7. Cold Call</t>
        </is>
      </c>
      <c r="T1" s="10" t="inlineStr">
        <is>
          <t>8. 2nd In Person Visit</t>
        </is>
      </c>
      <c r="U1" s="10" t="inlineStr">
        <is>
          <t>9. Cold Call + VM</t>
        </is>
      </c>
      <c r="V1" s="10" t="inlineStr">
        <is>
          <t>10. Video Email - Owner</t>
        </is>
      </c>
      <c r="W1" s="10" t="inlineStr">
        <is>
          <t>11. 3rd Email - Temp Check</t>
        </is>
      </c>
    </row>
    <row r="2">
      <c r="A2" s="7" t="inlineStr">
        <is>
          <t>Le Méridien Denver Downtown</t>
        </is>
      </c>
      <c r="B2" s="7" t="inlineStr">
        <is>
          <t>False</t>
        </is>
      </c>
      <c r="C2" s="7" t="inlineStr">
        <is>
          <t>Ebrahim Ansari</t>
        </is>
      </c>
      <c r="D2" s="7" t="n"/>
      <c r="E2" s="7" t="inlineStr">
        <is>
          <t>(303) 893-1888</t>
        </is>
      </c>
      <c r="F2" s="7" t="inlineStr">
        <is>
          <t>Marriott</t>
        </is>
      </c>
      <c r="G2" s="7" t="n"/>
      <c r="I2" s="15" t="n">
        <v>72</v>
      </c>
      <c r="J2" s="7" t="inlineStr">
        <is>
          <t>upper-upscale</t>
        </is>
      </c>
      <c r="K2" s="7" t="n"/>
      <c r="M2" s="16" t="inlineStr">
        <is>
          <t>False</t>
        </is>
      </c>
      <c r="N2" s="16" t="inlineStr">
        <is>
          <t>False</t>
        </is>
      </c>
      <c r="O2" s="16" t="inlineStr">
        <is>
          <t>False</t>
        </is>
      </c>
      <c r="P2" s="16" t="inlineStr">
        <is>
          <t>False</t>
        </is>
      </c>
      <c r="Q2" s="16" t="inlineStr">
        <is>
          <t>False</t>
        </is>
      </c>
      <c r="R2" s="16" t="inlineStr">
        <is>
          <t>False</t>
        </is>
      </c>
      <c r="S2" s="16" t="inlineStr">
        <is>
          <t>False</t>
        </is>
      </c>
      <c r="T2" s="16" t="inlineStr">
        <is>
          <t>False</t>
        </is>
      </c>
      <c r="U2" s="16" t="inlineStr">
        <is>
          <t>False</t>
        </is>
      </c>
      <c r="V2" s="16" t="inlineStr">
        <is>
          <t>False</t>
        </is>
      </c>
      <c r="W2" s="16" t="inlineStr">
        <is>
          <t>False</t>
        </is>
      </c>
    </row>
    <row r="3">
      <c r="A3" s="7" t="inlineStr">
        <is>
          <t>The Ritz-Carlton, Denver</t>
        </is>
      </c>
      <c r="B3" s="7" t="inlineStr">
        <is>
          <t>False</t>
        </is>
      </c>
      <c r="C3" s="7" t="inlineStr">
        <is>
          <t>Brad Mills</t>
        </is>
      </c>
      <c r="D3" s="7" t="n"/>
      <c r="E3" s="7" t="inlineStr">
        <is>
          <t>(303) 312-3800</t>
        </is>
      </c>
      <c r="F3" s="7" t="n"/>
      <c r="G3" s="7" t="n"/>
      <c r="I3" s="15" t="n">
        <v>72</v>
      </c>
      <c r="J3" s="7" t="inlineStr">
        <is>
          <t>luxury</t>
        </is>
      </c>
      <c r="K3" s="7" t="n"/>
      <c r="M3" s="16" t="inlineStr">
        <is>
          <t>False</t>
        </is>
      </c>
      <c r="N3" s="16" t="inlineStr">
        <is>
          <t>False</t>
        </is>
      </c>
      <c r="O3" s="16" t="inlineStr">
        <is>
          <t>False</t>
        </is>
      </c>
      <c r="P3" s="16" t="inlineStr">
        <is>
          <t>False</t>
        </is>
      </c>
      <c r="Q3" s="16" t="inlineStr">
        <is>
          <t>False</t>
        </is>
      </c>
      <c r="R3" s="16" t="inlineStr">
        <is>
          <t>False</t>
        </is>
      </c>
      <c r="S3" s="16" t="inlineStr">
        <is>
          <t>False</t>
        </is>
      </c>
      <c r="T3" s="16" t="inlineStr">
        <is>
          <t>False</t>
        </is>
      </c>
      <c r="U3" s="16" t="inlineStr">
        <is>
          <t>False</t>
        </is>
      </c>
      <c r="V3" s="16" t="inlineStr">
        <is>
          <t>False</t>
        </is>
      </c>
      <c r="W3" s="16" t="inlineStr">
        <is>
          <t>False</t>
        </is>
      </c>
    </row>
    <row r="4">
      <c r="A4" s="7" t="inlineStr">
        <is>
          <t>AC Hotel Denver Downtown</t>
        </is>
      </c>
      <c r="B4" s="7" t="inlineStr">
        <is>
          <t>False</t>
        </is>
      </c>
      <c r="C4" s="7" t="inlineStr">
        <is>
          <t>Ebrahim Ansari</t>
        </is>
      </c>
      <c r="D4" s="7" t="n"/>
      <c r="E4" s="7" t="inlineStr">
        <is>
          <t>(303) 825-2888</t>
        </is>
      </c>
      <c r="F4" s="7" t="inlineStr">
        <is>
          <t>Towne Park</t>
        </is>
      </c>
      <c r="G4" s="7" t="inlineStr">
        <is>
          <t>Towne Park</t>
        </is>
      </c>
      <c r="I4" s="15" t="n">
        <v>72</v>
      </c>
      <c r="J4" s="7" t="inlineStr">
        <is>
          <t>upscale</t>
        </is>
      </c>
      <c r="K4" s="7" t="n"/>
      <c r="M4" s="16" t="inlineStr">
        <is>
          <t>False</t>
        </is>
      </c>
      <c r="N4" s="16" t="inlineStr">
        <is>
          <t>False</t>
        </is>
      </c>
      <c r="O4" s="16" t="inlineStr">
        <is>
          <t>False</t>
        </is>
      </c>
      <c r="P4" s="16" t="inlineStr">
        <is>
          <t>False</t>
        </is>
      </c>
      <c r="Q4" s="16" t="inlineStr">
        <is>
          <t>False</t>
        </is>
      </c>
      <c r="R4" s="16" t="inlineStr">
        <is>
          <t>False</t>
        </is>
      </c>
      <c r="S4" s="16" t="inlineStr">
        <is>
          <t>False</t>
        </is>
      </c>
      <c r="T4" s="16" t="inlineStr">
        <is>
          <t>False</t>
        </is>
      </c>
      <c r="U4" s="16" t="inlineStr">
        <is>
          <t>False</t>
        </is>
      </c>
      <c r="V4" s="16" t="inlineStr">
        <is>
          <t>False</t>
        </is>
      </c>
      <c r="W4" s="16" t="inlineStr">
        <is>
          <t>False</t>
        </is>
      </c>
    </row>
    <row r="5">
      <c r="A5" s="7" t="inlineStr">
        <is>
          <t>Embassy Suites by Hilton Denver Downtown Convention Center</t>
        </is>
      </c>
      <c r="B5" s="7" t="inlineStr">
        <is>
          <t>False</t>
        </is>
      </c>
      <c r="C5" s="7" t="inlineStr">
        <is>
          <t>Ed Decker</t>
        </is>
      </c>
      <c r="D5" s="7" t="n"/>
      <c r="E5" s="7" t="inlineStr">
        <is>
          <t>(303) 592-1000</t>
        </is>
      </c>
      <c r="F5" s="7" t="n"/>
      <c r="G5" s="7" t="inlineStr">
        <is>
          <t>SP+</t>
        </is>
      </c>
      <c r="I5" s="15" t="n">
        <v>70</v>
      </c>
      <c r="J5" s="7" t="inlineStr">
        <is>
          <t>upper-upscale</t>
        </is>
      </c>
      <c r="K5" s="7" t="n"/>
      <c r="M5" s="16" t="inlineStr">
        <is>
          <t>False</t>
        </is>
      </c>
      <c r="N5" s="16" t="inlineStr">
        <is>
          <t>False</t>
        </is>
      </c>
      <c r="O5" s="16" t="inlineStr">
        <is>
          <t>False</t>
        </is>
      </c>
      <c r="P5" s="16" t="inlineStr">
        <is>
          <t>False</t>
        </is>
      </c>
      <c r="Q5" s="16" t="inlineStr">
        <is>
          <t>False</t>
        </is>
      </c>
      <c r="R5" s="16" t="inlineStr">
        <is>
          <t>False</t>
        </is>
      </c>
      <c r="S5" s="16" t="inlineStr">
        <is>
          <t>False</t>
        </is>
      </c>
      <c r="T5" s="16" t="inlineStr">
        <is>
          <t>False</t>
        </is>
      </c>
      <c r="U5" s="16" t="inlineStr">
        <is>
          <t>False</t>
        </is>
      </c>
      <c r="V5" s="16" t="inlineStr">
        <is>
          <t>False</t>
        </is>
      </c>
      <c r="W5" s="16" t="inlineStr">
        <is>
          <t>False</t>
        </is>
      </c>
    </row>
    <row r="6">
      <c r="A6" s="7" t="inlineStr">
        <is>
          <t>Aloft Denver Downtown</t>
        </is>
      </c>
      <c r="B6" s="7" t="inlineStr">
        <is>
          <t>False</t>
        </is>
      </c>
      <c r="C6" s="7" t="n"/>
      <c r="D6" s="7" t="n"/>
      <c r="E6" s="7" t="inlineStr">
        <is>
          <t>(303) 623-3063</t>
        </is>
      </c>
      <c r="F6" s="7" t="inlineStr">
        <is>
          <t>LAZ</t>
        </is>
      </c>
      <c r="G6" s="7" t="inlineStr">
        <is>
          <t>LAZ</t>
        </is>
      </c>
      <c r="I6" s="15" t="n">
        <v>68</v>
      </c>
      <c r="J6" s="7" t="inlineStr">
        <is>
          <t>upscale</t>
        </is>
      </c>
      <c r="K6" s="7" t="n"/>
      <c r="M6" s="16" t="inlineStr">
        <is>
          <t>False</t>
        </is>
      </c>
      <c r="N6" s="16" t="inlineStr">
        <is>
          <t>False</t>
        </is>
      </c>
      <c r="O6" s="16" t="inlineStr">
        <is>
          <t>False</t>
        </is>
      </c>
      <c r="P6" s="16" t="inlineStr">
        <is>
          <t>False</t>
        </is>
      </c>
      <c r="Q6" s="16" t="inlineStr">
        <is>
          <t>False</t>
        </is>
      </c>
      <c r="R6" s="16" t="inlineStr">
        <is>
          <t>False</t>
        </is>
      </c>
      <c r="S6" s="16" t="inlineStr">
        <is>
          <t>False</t>
        </is>
      </c>
      <c r="T6" s="16" t="inlineStr">
        <is>
          <t>False</t>
        </is>
      </c>
      <c r="U6" s="16" t="inlineStr">
        <is>
          <t>False</t>
        </is>
      </c>
      <c r="V6" s="16" t="inlineStr">
        <is>
          <t>False</t>
        </is>
      </c>
      <c r="W6" s="16" t="inlineStr">
        <is>
          <t>False</t>
        </is>
      </c>
    </row>
    <row r="7">
      <c r="A7" s="7" t="inlineStr">
        <is>
          <t>Sheraton Denver Downtown Hotel</t>
        </is>
      </c>
      <c r="B7" s="7" t="inlineStr">
        <is>
          <t>False</t>
        </is>
      </c>
      <c r="C7" s="7" t="inlineStr">
        <is>
          <t>Tony Dunn</t>
        </is>
      </c>
      <c r="D7" s="7" t="n"/>
      <c r="E7" s="7" t="inlineStr">
        <is>
          <t>(303) 893-3333</t>
        </is>
      </c>
      <c r="F7" s="7" t="n"/>
      <c r="G7" s="7" t="n"/>
      <c r="H7" s="15" t="n">
        <v>57</v>
      </c>
      <c r="I7" s="15" t="n">
        <v>67</v>
      </c>
      <c r="J7" s="7" t="inlineStr">
        <is>
          <t>upper-upscale</t>
        </is>
      </c>
      <c r="K7" s="7" t="n"/>
      <c r="M7" s="16" t="inlineStr">
        <is>
          <t>False</t>
        </is>
      </c>
      <c r="N7" s="16" t="inlineStr">
        <is>
          <t>False</t>
        </is>
      </c>
      <c r="O7" s="16" t="inlineStr">
        <is>
          <t>False</t>
        </is>
      </c>
      <c r="P7" s="16" t="inlineStr">
        <is>
          <t>False</t>
        </is>
      </c>
      <c r="Q7" s="16" t="inlineStr">
        <is>
          <t>False</t>
        </is>
      </c>
      <c r="R7" s="16" t="inlineStr">
        <is>
          <t>False</t>
        </is>
      </c>
      <c r="S7" s="16" t="inlineStr">
        <is>
          <t>False</t>
        </is>
      </c>
      <c r="T7" s="16" t="inlineStr">
        <is>
          <t>False</t>
        </is>
      </c>
      <c r="U7" s="16" t="inlineStr">
        <is>
          <t>False</t>
        </is>
      </c>
      <c r="V7" s="16" t="inlineStr">
        <is>
          <t>False</t>
        </is>
      </c>
      <c r="W7" s="16" t="inlineStr">
        <is>
          <t>False</t>
        </is>
      </c>
    </row>
    <row r="8">
      <c r="A8" s="7" t="inlineStr">
        <is>
          <t>Hyatt Regency Denver at Colorado Convention Center</t>
        </is>
      </c>
      <c r="B8" s="7" t="inlineStr">
        <is>
          <t>False</t>
        </is>
      </c>
      <c r="C8" s="7" t="inlineStr">
        <is>
          <t>Gregory Leonard</t>
        </is>
      </c>
      <c r="D8" s="7" t="n"/>
      <c r="E8" s="7" t="inlineStr">
        <is>
          <t>(303) 436-1234</t>
        </is>
      </c>
      <c r="F8" s="7" t="n"/>
      <c r="G8" s="7" t="n"/>
      <c r="H8" s="15" t="n">
        <v>64</v>
      </c>
      <c r="I8" s="15" t="n">
        <v>67</v>
      </c>
      <c r="J8" s="7" t="inlineStr">
        <is>
          <t>upper-upscale</t>
        </is>
      </c>
      <c r="K8" s="7" t="n"/>
      <c r="M8" s="16" t="inlineStr">
        <is>
          <t>False</t>
        </is>
      </c>
      <c r="N8" s="16" t="inlineStr">
        <is>
          <t>False</t>
        </is>
      </c>
      <c r="O8" s="16" t="inlineStr">
        <is>
          <t>False</t>
        </is>
      </c>
      <c r="P8" s="16" t="inlineStr">
        <is>
          <t>False</t>
        </is>
      </c>
      <c r="Q8" s="16" t="inlineStr">
        <is>
          <t>False</t>
        </is>
      </c>
      <c r="R8" s="16" t="inlineStr">
        <is>
          <t>False</t>
        </is>
      </c>
      <c r="S8" s="16" t="inlineStr">
        <is>
          <t>False</t>
        </is>
      </c>
      <c r="T8" s="16" t="inlineStr">
        <is>
          <t>False</t>
        </is>
      </c>
      <c r="U8" s="16" t="inlineStr">
        <is>
          <t>False</t>
        </is>
      </c>
      <c r="V8" s="16" t="inlineStr">
        <is>
          <t>False</t>
        </is>
      </c>
      <c r="W8" s="16" t="inlineStr">
        <is>
          <t>False</t>
        </is>
      </c>
    </row>
    <row r="9">
      <c r="A9" s="7" t="inlineStr">
        <is>
          <t>The Jacquard, Autograph Collection</t>
        </is>
      </c>
      <c r="B9" s="7" t="inlineStr">
        <is>
          <t>False</t>
        </is>
      </c>
      <c r="C9" s="7" t="inlineStr">
        <is>
          <t>Thomas Lloyd</t>
        </is>
      </c>
      <c r="D9" s="7" t="n"/>
      <c r="E9" s="7" t="inlineStr">
        <is>
          <t>(303) 515-2000</t>
        </is>
      </c>
      <c r="F9" s="7" t="n"/>
      <c r="G9" s="7" t="inlineStr">
        <is>
          <t>Pro Park</t>
        </is>
      </c>
      <c r="H9" s="15" t="n">
        <v>65</v>
      </c>
      <c r="I9" s="15" t="n">
        <v>65</v>
      </c>
      <c r="J9" s="7" t="inlineStr">
        <is>
          <t>upper-upscale</t>
        </is>
      </c>
      <c r="K9" s="7" t="n"/>
      <c r="M9" s="16" t="inlineStr">
        <is>
          <t>False</t>
        </is>
      </c>
      <c r="N9" s="16" t="inlineStr">
        <is>
          <t>False</t>
        </is>
      </c>
      <c r="O9" s="16" t="inlineStr">
        <is>
          <t>False</t>
        </is>
      </c>
      <c r="P9" s="16" t="inlineStr">
        <is>
          <t>False</t>
        </is>
      </c>
      <c r="Q9" s="16" t="inlineStr">
        <is>
          <t>False</t>
        </is>
      </c>
      <c r="R9" s="16" t="inlineStr">
        <is>
          <t>False</t>
        </is>
      </c>
      <c r="S9" s="16" t="inlineStr">
        <is>
          <t>False</t>
        </is>
      </c>
      <c r="T9" s="16" t="inlineStr">
        <is>
          <t>False</t>
        </is>
      </c>
      <c r="U9" s="16" t="inlineStr">
        <is>
          <t>False</t>
        </is>
      </c>
      <c r="V9" s="16" t="inlineStr">
        <is>
          <t>False</t>
        </is>
      </c>
      <c r="W9" s="16" t="inlineStr">
        <is>
          <t>False</t>
        </is>
      </c>
    </row>
    <row r="10">
      <c r="A10" s="7" t="inlineStr">
        <is>
          <t>Four Seasons Hotel Denver</t>
        </is>
      </c>
      <c r="B10" s="7" t="inlineStr">
        <is>
          <t>False</t>
        </is>
      </c>
      <c r="C10" s="7" t="inlineStr">
        <is>
          <t>Thierry Kennel</t>
        </is>
      </c>
      <c r="D10" s="7" t="n"/>
      <c r="E10" s="7" t="inlineStr">
        <is>
          <t>(303) 389-3000</t>
        </is>
      </c>
      <c r="F10" s="7" t="inlineStr">
        <is>
          <t>Four Seasons</t>
        </is>
      </c>
      <c r="G10" s="7" t="inlineStr">
        <is>
          <t>In House</t>
        </is>
      </c>
      <c r="I10" s="15" t="n">
        <v>65</v>
      </c>
      <c r="J10" s="7" t="inlineStr">
        <is>
          <t>luxury</t>
        </is>
      </c>
      <c r="K10" s="7" t="n"/>
      <c r="M10" s="16" t="inlineStr">
        <is>
          <t>False</t>
        </is>
      </c>
      <c r="N10" s="16" t="inlineStr">
        <is>
          <t>False</t>
        </is>
      </c>
      <c r="O10" s="16" t="inlineStr">
        <is>
          <t>False</t>
        </is>
      </c>
      <c r="P10" s="16" t="inlineStr">
        <is>
          <t>False</t>
        </is>
      </c>
      <c r="Q10" s="16" t="inlineStr">
        <is>
          <t>False</t>
        </is>
      </c>
      <c r="R10" s="16" t="inlineStr">
        <is>
          <t>False</t>
        </is>
      </c>
      <c r="S10" s="16" t="inlineStr">
        <is>
          <t>False</t>
        </is>
      </c>
      <c r="T10" s="16" t="inlineStr">
        <is>
          <t>False</t>
        </is>
      </c>
      <c r="U10" s="16" t="inlineStr">
        <is>
          <t>False</t>
        </is>
      </c>
      <c r="V10" s="16" t="inlineStr">
        <is>
          <t>False</t>
        </is>
      </c>
      <c r="W10" s="16" t="inlineStr">
        <is>
          <t>False</t>
        </is>
      </c>
    </row>
    <row r="11">
      <c r="A11" s="7" t="inlineStr">
        <is>
          <t>The Brown Palace Hotel and Spa, Autograph Collection</t>
        </is>
      </c>
      <c r="B11" s="7" t="inlineStr">
        <is>
          <t>False</t>
        </is>
      </c>
      <c r="C11" s="7" t="inlineStr">
        <is>
          <t>George Hanna</t>
        </is>
      </c>
      <c r="D11" s="7" t="n"/>
      <c r="E11" s="7" t="inlineStr">
        <is>
          <t>(303) 297-3111</t>
        </is>
      </c>
      <c r="F11" s="7" t="n"/>
      <c r="G11" s="7" t="n"/>
      <c r="I11" s="15" t="n">
        <v>65</v>
      </c>
      <c r="J11" s="7" t="inlineStr">
        <is>
          <t>luxury</t>
        </is>
      </c>
      <c r="K11" s="7" t="n"/>
      <c r="M11" s="16" t="inlineStr">
        <is>
          <t>False</t>
        </is>
      </c>
      <c r="N11" s="16" t="inlineStr">
        <is>
          <t>False</t>
        </is>
      </c>
      <c r="O11" s="16" t="inlineStr">
        <is>
          <t>False</t>
        </is>
      </c>
      <c r="P11" s="16" t="inlineStr">
        <is>
          <t>False</t>
        </is>
      </c>
      <c r="Q11" s="16" t="inlineStr">
        <is>
          <t>False</t>
        </is>
      </c>
      <c r="R11" s="16" t="inlineStr">
        <is>
          <t>False</t>
        </is>
      </c>
      <c r="S11" s="16" t="inlineStr">
        <is>
          <t>False</t>
        </is>
      </c>
      <c r="T11" s="16" t="inlineStr">
        <is>
          <t>False</t>
        </is>
      </c>
      <c r="U11" s="16" t="inlineStr">
        <is>
          <t>False</t>
        </is>
      </c>
      <c r="V11" s="16" t="inlineStr">
        <is>
          <t>False</t>
        </is>
      </c>
      <c r="W11" s="16" t="inlineStr">
        <is>
          <t>False</t>
        </is>
      </c>
    </row>
    <row r="12">
      <c r="A12" s="7" t="inlineStr">
        <is>
          <t>Thompson Denver, by Hyatt</t>
        </is>
      </c>
      <c r="B12" s="7" t="inlineStr">
        <is>
          <t>False</t>
        </is>
      </c>
      <c r="C12" s="7" t="inlineStr">
        <is>
          <t>Julian Tucker</t>
        </is>
      </c>
      <c r="D12" s="7" t="n"/>
      <c r="E12" s="7" t="inlineStr">
        <is>
          <t>(303) 572-1321</t>
        </is>
      </c>
      <c r="F12" s="7" t="n"/>
      <c r="G12" s="7" t="n"/>
      <c r="I12" s="15" t="n">
        <v>64</v>
      </c>
      <c r="J12" s="7" t="inlineStr">
        <is>
          <t>luxury</t>
        </is>
      </c>
      <c r="K12" s="7" t="n"/>
      <c r="M12" s="16" t="inlineStr">
        <is>
          <t>False</t>
        </is>
      </c>
      <c r="N12" s="16" t="inlineStr">
        <is>
          <t>False</t>
        </is>
      </c>
      <c r="O12" s="16" t="inlineStr">
        <is>
          <t>False</t>
        </is>
      </c>
      <c r="P12" s="16" t="inlineStr">
        <is>
          <t>False</t>
        </is>
      </c>
      <c r="Q12" s="16" t="inlineStr">
        <is>
          <t>False</t>
        </is>
      </c>
      <c r="R12" s="16" t="inlineStr">
        <is>
          <t>False</t>
        </is>
      </c>
      <c r="S12" s="16" t="inlineStr">
        <is>
          <t>False</t>
        </is>
      </c>
      <c r="T12" s="16" t="inlineStr">
        <is>
          <t>False</t>
        </is>
      </c>
      <c r="U12" s="16" t="inlineStr">
        <is>
          <t>False</t>
        </is>
      </c>
      <c r="V12" s="16" t="inlineStr">
        <is>
          <t>False</t>
        </is>
      </c>
      <c r="W12" s="16" t="inlineStr">
        <is>
          <t>False</t>
        </is>
      </c>
    </row>
    <row r="13">
      <c r="A13" s="7" t="inlineStr">
        <is>
          <t>Grand Hyatt Denver</t>
        </is>
      </c>
      <c r="B13" s="7" t="inlineStr">
        <is>
          <t>False</t>
        </is>
      </c>
      <c r="C13" s="7" t="inlineStr">
        <is>
          <t>Greg Leonard</t>
        </is>
      </c>
      <c r="D13" s="7" t="n"/>
      <c r="E13" s="7" t="inlineStr">
        <is>
          <t>(303) 295-1234</t>
        </is>
      </c>
      <c r="F13" s="7" t="n"/>
      <c r="G13" s="7" t="n"/>
      <c r="H13" s="15" t="n">
        <v>50</v>
      </c>
      <c r="I13" s="15" t="n">
        <v>64</v>
      </c>
      <c r="J13" s="7" t="inlineStr">
        <is>
          <t>upper-upscale</t>
        </is>
      </c>
      <c r="K13" s="7" t="n"/>
      <c r="M13" s="16" t="inlineStr">
        <is>
          <t>False</t>
        </is>
      </c>
      <c r="N13" s="16" t="inlineStr">
        <is>
          <t>False</t>
        </is>
      </c>
      <c r="O13" s="16" t="inlineStr">
        <is>
          <t>False</t>
        </is>
      </c>
      <c r="P13" s="16" t="inlineStr">
        <is>
          <t>False</t>
        </is>
      </c>
      <c r="Q13" s="16" t="inlineStr">
        <is>
          <t>False</t>
        </is>
      </c>
      <c r="R13" s="16" t="inlineStr">
        <is>
          <t>False</t>
        </is>
      </c>
      <c r="S13" s="16" t="inlineStr">
        <is>
          <t>False</t>
        </is>
      </c>
      <c r="T13" s="16" t="inlineStr">
        <is>
          <t>False</t>
        </is>
      </c>
      <c r="U13" s="16" t="inlineStr">
        <is>
          <t>False</t>
        </is>
      </c>
      <c r="V13" s="16" t="inlineStr">
        <is>
          <t>False</t>
        </is>
      </c>
      <c r="W13" s="16" t="inlineStr">
        <is>
          <t>False</t>
        </is>
      </c>
    </row>
    <row r="14">
      <c r="A14" s="7" t="inlineStr">
        <is>
          <t>Hyatt Place Denver/Downtown</t>
        </is>
      </c>
      <c r="B14" s="7" t="inlineStr">
        <is>
          <t>False</t>
        </is>
      </c>
      <c r="C14" s="7" t="inlineStr">
        <is>
          <t>Kimberly Gagnon</t>
        </is>
      </c>
      <c r="D14" s="7" t="n"/>
      <c r="E14" s="7" t="inlineStr">
        <is>
          <t>(303) 893-2900</t>
        </is>
      </c>
      <c r="F14" s="7" t="inlineStr">
        <is>
          <t>Towne Park</t>
        </is>
      </c>
      <c r="G14" s="7" t="inlineStr">
        <is>
          <t>Towne Park</t>
        </is>
      </c>
      <c r="I14" s="15" t="n">
        <v>64</v>
      </c>
      <c r="J14" s="7" t="inlineStr">
        <is>
          <t>upscale</t>
        </is>
      </c>
      <c r="K14" s="7" t="n"/>
      <c r="M14" s="16" t="inlineStr">
        <is>
          <t>False</t>
        </is>
      </c>
      <c r="N14" s="16" t="inlineStr">
        <is>
          <t>False</t>
        </is>
      </c>
      <c r="O14" s="16" t="inlineStr">
        <is>
          <t>False</t>
        </is>
      </c>
      <c r="P14" s="16" t="inlineStr">
        <is>
          <t>False</t>
        </is>
      </c>
      <c r="Q14" s="16" t="inlineStr">
        <is>
          <t>False</t>
        </is>
      </c>
      <c r="R14" s="16" t="inlineStr">
        <is>
          <t>False</t>
        </is>
      </c>
      <c r="S14" s="16" t="inlineStr">
        <is>
          <t>False</t>
        </is>
      </c>
      <c r="T14" s="16" t="inlineStr">
        <is>
          <t>False</t>
        </is>
      </c>
      <c r="U14" s="16" t="inlineStr">
        <is>
          <t>False</t>
        </is>
      </c>
      <c r="V14" s="16" t="inlineStr">
        <is>
          <t>False</t>
        </is>
      </c>
      <c r="W14" s="16" t="inlineStr">
        <is>
          <t>False</t>
        </is>
      </c>
    </row>
    <row r="15">
      <c r="A15" s="7" t="inlineStr">
        <is>
          <t>Populus</t>
        </is>
      </c>
      <c r="B15" s="7" t="inlineStr">
        <is>
          <t>False</t>
        </is>
      </c>
      <c r="C15" s="7" t="inlineStr">
        <is>
          <t>George Prine</t>
        </is>
      </c>
      <c r="D15" s="7" t="n"/>
      <c r="E15" s="7" t="inlineStr">
        <is>
          <t>(303) 800-4240</t>
        </is>
      </c>
      <c r="F15" s="7" t="n"/>
      <c r="G15" s="7" t="n"/>
      <c r="I15" s="15" t="n">
        <v>64</v>
      </c>
      <c r="J15" s="7" t="inlineStr">
        <is>
          <t>upper-upscale</t>
        </is>
      </c>
      <c r="K15" s="7" t="n"/>
      <c r="M15" s="16" t="inlineStr">
        <is>
          <t>False</t>
        </is>
      </c>
      <c r="N15" s="16" t="inlineStr">
        <is>
          <t>False</t>
        </is>
      </c>
      <c r="O15" s="16" t="inlineStr">
        <is>
          <t>False</t>
        </is>
      </c>
      <c r="P15" s="16" t="inlineStr">
        <is>
          <t>False</t>
        </is>
      </c>
      <c r="Q15" s="16" t="inlineStr">
        <is>
          <t>False</t>
        </is>
      </c>
      <c r="R15" s="16" t="inlineStr">
        <is>
          <t>False</t>
        </is>
      </c>
      <c r="S15" s="16" t="inlineStr">
        <is>
          <t>False</t>
        </is>
      </c>
      <c r="T15" s="16" t="inlineStr">
        <is>
          <t>False</t>
        </is>
      </c>
      <c r="U15" s="16" t="inlineStr">
        <is>
          <t>False</t>
        </is>
      </c>
      <c r="V15" s="16" t="inlineStr">
        <is>
          <t>False</t>
        </is>
      </c>
      <c r="W15" s="16" t="inlineStr">
        <is>
          <t>False</t>
        </is>
      </c>
    </row>
    <row r="16">
      <c r="A16" s="7" t="inlineStr">
        <is>
          <t>Hilton Denver City Center</t>
        </is>
      </c>
      <c r="B16" s="7" t="inlineStr">
        <is>
          <t>False</t>
        </is>
      </c>
      <c r="C16" s="7" t="inlineStr">
        <is>
          <t>Mike Case</t>
        </is>
      </c>
      <c r="D16" s="7" t="n"/>
      <c r="E16" s="7" t="inlineStr">
        <is>
          <t>(303) 297-1300</t>
        </is>
      </c>
      <c r="F16" s="7" t="n"/>
      <c r="G16" s="7" t="n"/>
      <c r="I16" s="15" t="n">
        <v>64</v>
      </c>
      <c r="J16" s="7" t="inlineStr">
        <is>
          <t>upper-upscale</t>
        </is>
      </c>
      <c r="K16" s="7" t="n"/>
      <c r="M16" s="16" t="inlineStr">
        <is>
          <t>False</t>
        </is>
      </c>
      <c r="N16" s="16" t="inlineStr">
        <is>
          <t>False</t>
        </is>
      </c>
      <c r="O16" s="16" t="inlineStr">
        <is>
          <t>False</t>
        </is>
      </c>
      <c r="P16" s="16" t="inlineStr">
        <is>
          <t>False</t>
        </is>
      </c>
      <c r="Q16" s="16" t="inlineStr">
        <is>
          <t>False</t>
        </is>
      </c>
      <c r="R16" s="16" t="inlineStr">
        <is>
          <t>False</t>
        </is>
      </c>
      <c r="S16" s="16" t="inlineStr">
        <is>
          <t>False</t>
        </is>
      </c>
      <c r="T16" s="16" t="inlineStr">
        <is>
          <t>False</t>
        </is>
      </c>
      <c r="U16" s="16" t="inlineStr">
        <is>
          <t>False</t>
        </is>
      </c>
      <c r="V16" s="16" t="inlineStr">
        <is>
          <t>False</t>
        </is>
      </c>
      <c r="W16" s="16" t="inlineStr">
        <is>
          <t>False</t>
        </is>
      </c>
    </row>
    <row r="17">
      <c r="A17" s="7" t="inlineStr">
        <is>
          <t>Halcyon, a hotel in Cherry Creek</t>
        </is>
      </c>
      <c r="B17" s="7" t="inlineStr">
        <is>
          <t>False</t>
        </is>
      </c>
      <c r="C17" s="7" t="inlineStr">
        <is>
          <t>McClinton Heil</t>
        </is>
      </c>
      <c r="D17" s="7" t="n"/>
      <c r="E17" s="7" t="inlineStr">
        <is>
          <t>(720) 772-5000</t>
        </is>
      </c>
      <c r="F17" s="7" t="n"/>
      <c r="G17" s="7" t="n"/>
      <c r="I17" s="15" t="n">
        <v>60</v>
      </c>
      <c r="J17" s="7" t="inlineStr">
        <is>
          <t>luxury</t>
        </is>
      </c>
      <c r="K17" s="7" t="n"/>
      <c r="M17" s="16" t="inlineStr">
        <is>
          <t>False</t>
        </is>
      </c>
      <c r="N17" s="16" t="inlineStr">
        <is>
          <t>False</t>
        </is>
      </c>
      <c r="O17" s="16" t="inlineStr">
        <is>
          <t>False</t>
        </is>
      </c>
      <c r="P17" s="16" t="inlineStr">
        <is>
          <t>False</t>
        </is>
      </c>
      <c r="Q17" s="16" t="inlineStr">
        <is>
          <t>False</t>
        </is>
      </c>
      <c r="R17" s="16" t="inlineStr">
        <is>
          <t>False</t>
        </is>
      </c>
      <c r="S17" s="16" t="inlineStr">
        <is>
          <t>False</t>
        </is>
      </c>
      <c r="T17" s="16" t="inlineStr">
        <is>
          <t>False</t>
        </is>
      </c>
      <c r="U17" s="16" t="inlineStr">
        <is>
          <t>False</t>
        </is>
      </c>
      <c r="V17" s="16" t="inlineStr">
        <is>
          <t>False</t>
        </is>
      </c>
      <c r="W17" s="16" t="inlineStr">
        <is>
          <t>False</t>
        </is>
      </c>
    </row>
    <row r="18">
      <c r="A18" s="7" t="inlineStr">
        <is>
          <t>Hampton Inn &amp; Suites Denver Downtown-Convention Center</t>
        </is>
      </c>
      <c r="B18" s="7" t="inlineStr">
        <is>
          <t>False</t>
        </is>
      </c>
      <c r="C18" s="7" t="n"/>
      <c r="D18" s="7" t="n"/>
      <c r="E18" s="7" t="inlineStr">
        <is>
          <t>(303) 623-5900</t>
        </is>
      </c>
      <c r="F18" s="7" t="inlineStr">
        <is>
          <t>Parking Management</t>
        </is>
      </c>
      <c r="G18" s="7" t="n"/>
      <c r="I18" s="15" t="n">
        <v>60</v>
      </c>
      <c r="J18" s="7" t="inlineStr">
        <is>
          <t>upper-midscale</t>
        </is>
      </c>
      <c r="K18" s="7" t="n"/>
      <c r="M18" s="16" t="inlineStr">
        <is>
          <t>False</t>
        </is>
      </c>
      <c r="N18" s="16" t="inlineStr">
        <is>
          <t>False</t>
        </is>
      </c>
      <c r="O18" s="16" t="inlineStr">
        <is>
          <t>False</t>
        </is>
      </c>
      <c r="P18" s="16" t="inlineStr">
        <is>
          <t>False</t>
        </is>
      </c>
      <c r="Q18" s="16" t="inlineStr">
        <is>
          <t>False</t>
        </is>
      </c>
      <c r="R18" s="16" t="inlineStr">
        <is>
          <t>False</t>
        </is>
      </c>
      <c r="S18" s="16" t="inlineStr">
        <is>
          <t>False</t>
        </is>
      </c>
      <c r="T18" s="16" t="inlineStr">
        <is>
          <t>False</t>
        </is>
      </c>
      <c r="U18" s="16" t="inlineStr">
        <is>
          <t>False</t>
        </is>
      </c>
      <c r="V18" s="16" t="inlineStr">
        <is>
          <t>False</t>
        </is>
      </c>
      <c r="W18" s="16" t="inlineStr">
        <is>
          <t>False</t>
        </is>
      </c>
    </row>
    <row r="19">
      <c r="A19" s="7" t="inlineStr">
        <is>
          <t>Tru by Hilton Denver Downtown Convention Center</t>
        </is>
      </c>
      <c r="B19" s="7" t="inlineStr">
        <is>
          <t>False</t>
        </is>
      </c>
      <c r="C19" s="7" t="inlineStr">
        <is>
          <t>Kara van Beek</t>
        </is>
      </c>
      <c r="D19" s="7" t="n"/>
      <c r="E19" s="7" t="inlineStr">
        <is>
          <t>(303) 753-1201</t>
        </is>
      </c>
      <c r="F19" s="7" t="n"/>
      <c r="G19" s="7" t="n"/>
      <c r="I19" s="15" t="n">
        <v>60</v>
      </c>
      <c r="J19" s="7" t="inlineStr">
        <is>
          <t>midscale</t>
        </is>
      </c>
      <c r="K19" s="7" t="n"/>
      <c r="M19" s="16" t="inlineStr">
        <is>
          <t>False</t>
        </is>
      </c>
      <c r="N19" s="16" t="inlineStr">
        <is>
          <t>False</t>
        </is>
      </c>
      <c r="O19" s="16" t="inlineStr">
        <is>
          <t>False</t>
        </is>
      </c>
      <c r="P19" s="16" t="inlineStr">
        <is>
          <t>False</t>
        </is>
      </c>
      <c r="Q19" s="16" t="inlineStr">
        <is>
          <t>False</t>
        </is>
      </c>
      <c r="R19" s="16" t="inlineStr">
        <is>
          <t>False</t>
        </is>
      </c>
      <c r="S19" s="16" t="inlineStr">
        <is>
          <t>False</t>
        </is>
      </c>
      <c r="T19" s="16" t="inlineStr">
        <is>
          <t>False</t>
        </is>
      </c>
      <c r="U19" s="16" t="inlineStr">
        <is>
          <t>False</t>
        </is>
      </c>
      <c r="V19" s="16" t="inlineStr">
        <is>
          <t>False</t>
        </is>
      </c>
      <c r="W19" s="16" t="inlineStr">
        <is>
          <t>False</t>
        </is>
      </c>
    </row>
    <row r="20">
      <c r="A20" s="7" t="inlineStr">
        <is>
          <t>Home2 Suites by Hilton Denver Downtown Convention Center</t>
        </is>
      </c>
      <c r="B20" s="7" t="inlineStr">
        <is>
          <t>False</t>
        </is>
      </c>
      <c r="C20" s="7" t="inlineStr">
        <is>
          <t>Kara van Beek</t>
        </is>
      </c>
      <c r="D20" s="7" t="n"/>
      <c r="E20" s="7" t="inlineStr">
        <is>
          <t>(303) 759-1301</t>
        </is>
      </c>
      <c r="F20" s="7" t="n"/>
      <c r="G20" s="7" t="n"/>
      <c r="I20" s="15" t="n">
        <v>60</v>
      </c>
      <c r="J20" s="7" t="inlineStr">
        <is>
          <t>upper-midscale</t>
        </is>
      </c>
      <c r="K20" s="7" t="n"/>
      <c r="M20" s="16" t="inlineStr">
        <is>
          <t>False</t>
        </is>
      </c>
      <c r="N20" s="16" t="inlineStr">
        <is>
          <t>False</t>
        </is>
      </c>
      <c r="O20" s="16" t="inlineStr">
        <is>
          <t>False</t>
        </is>
      </c>
      <c r="P20" s="16" t="inlineStr">
        <is>
          <t>False</t>
        </is>
      </c>
      <c r="Q20" s="16" t="inlineStr">
        <is>
          <t>False</t>
        </is>
      </c>
      <c r="R20" s="16" t="inlineStr">
        <is>
          <t>False</t>
        </is>
      </c>
      <c r="S20" s="16" t="inlineStr">
        <is>
          <t>False</t>
        </is>
      </c>
      <c r="T20" s="16" t="inlineStr">
        <is>
          <t>False</t>
        </is>
      </c>
      <c r="U20" s="16" t="inlineStr">
        <is>
          <t>False</t>
        </is>
      </c>
      <c r="V20" s="16" t="inlineStr">
        <is>
          <t>False</t>
        </is>
      </c>
      <c r="W20" s="16" t="inlineStr">
        <is>
          <t>False</t>
        </is>
      </c>
    </row>
    <row r="21" ht="15.75" customHeight="1" s="34">
      <c r="A21" s="7" t="inlineStr">
        <is>
          <t>Homewood Suites by Hilton Denver Downtown-Convention Center</t>
        </is>
      </c>
      <c r="B21" s="7" t="inlineStr">
        <is>
          <t>False</t>
        </is>
      </c>
      <c r="C21" s="7" t="n"/>
      <c r="D21" s="7" t="n"/>
      <c r="E21" s="7" t="inlineStr">
        <is>
          <t>(303) 534-7800</t>
        </is>
      </c>
      <c r="F21" s="7" t="n"/>
      <c r="G21" s="7" t="n"/>
      <c r="I21" s="15" t="n">
        <v>60</v>
      </c>
      <c r="J21" s="7" t="inlineStr">
        <is>
          <t>upper-midscale</t>
        </is>
      </c>
      <c r="K21" s="7" t="n"/>
      <c r="M21" s="16" t="inlineStr">
        <is>
          <t>False</t>
        </is>
      </c>
      <c r="N21" s="16" t="inlineStr">
        <is>
          <t>False</t>
        </is>
      </c>
      <c r="O21" s="16" t="inlineStr">
        <is>
          <t>False</t>
        </is>
      </c>
      <c r="P21" s="16" t="inlineStr">
        <is>
          <t>False</t>
        </is>
      </c>
      <c r="Q21" s="16" t="inlineStr">
        <is>
          <t>False</t>
        </is>
      </c>
      <c r="R21" s="16" t="inlineStr">
        <is>
          <t>False</t>
        </is>
      </c>
      <c r="S21" s="16" t="inlineStr">
        <is>
          <t>False</t>
        </is>
      </c>
      <c r="T21" s="16" t="inlineStr">
        <is>
          <t>False</t>
        </is>
      </c>
      <c r="U21" s="16" t="inlineStr">
        <is>
          <t>False</t>
        </is>
      </c>
      <c r="V21" s="16" t="inlineStr">
        <is>
          <t>False</t>
        </is>
      </c>
      <c r="W21" s="16" t="inlineStr">
        <is>
          <t>False</t>
        </is>
      </c>
    </row>
    <row r="22" ht="15.75" customHeight="1" s="34">
      <c r="A22" s="7" t="inlineStr">
        <is>
          <t>Hotel Clio, a Luxury Collection Hotel, Denver Cherry Creek</t>
        </is>
      </c>
      <c r="B22" s="7" t="inlineStr">
        <is>
          <t>False</t>
        </is>
      </c>
      <c r="C22" s="7" t="inlineStr">
        <is>
          <t>Marc Blackford</t>
        </is>
      </c>
      <c r="D22" s="7" t="n"/>
      <c r="E22" s="7" t="inlineStr">
        <is>
          <t>(303) 316-2700</t>
        </is>
      </c>
      <c r="F22" s="7" t="n"/>
      <c r="G22" s="7" t="inlineStr">
        <is>
          <t>Pro Park</t>
        </is>
      </c>
      <c r="I22" s="15" t="n">
        <v>59</v>
      </c>
      <c r="J22" s="7" t="inlineStr">
        <is>
          <t>luxury</t>
        </is>
      </c>
      <c r="K22" s="7" t="n"/>
      <c r="M22" s="16" t="inlineStr">
        <is>
          <t>False</t>
        </is>
      </c>
      <c r="N22" s="16" t="inlineStr">
        <is>
          <t>False</t>
        </is>
      </c>
      <c r="O22" s="16" t="inlineStr">
        <is>
          <t>False</t>
        </is>
      </c>
      <c r="P22" s="16" t="inlineStr">
        <is>
          <t>False</t>
        </is>
      </c>
      <c r="Q22" s="16" t="inlineStr">
        <is>
          <t>False</t>
        </is>
      </c>
      <c r="R22" s="16" t="inlineStr">
        <is>
          <t>False</t>
        </is>
      </c>
      <c r="S22" s="16" t="inlineStr">
        <is>
          <t>False</t>
        </is>
      </c>
      <c r="T22" s="16" t="inlineStr">
        <is>
          <t>False</t>
        </is>
      </c>
      <c r="U22" s="16" t="inlineStr">
        <is>
          <t>False</t>
        </is>
      </c>
      <c r="V22" s="16" t="inlineStr">
        <is>
          <t>False</t>
        </is>
      </c>
      <c r="W22" s="16" t="inlineStr">
        <is>
          <t>False</t>
        </is>
      </c>
    </row>
    <row r="23" ht="15.75" customHeight="1" s="34">
      <c r="A23" s="7" t="inlineStr">
        <is>
          <t>Clayton Hotel &amp; Members Club</t>
        </is>
      </c>
      <c r="B23" s="7" t="inlineStr">
        <is>
          <t>False</t>
        </is>
      </c>
      <c r="C23" s="7" t="inlineStr">
        <is>
          <t>Alison Mitchell</t>
        </is>
      </c>
      <c r="D23" s="7" t="n"/>
      <c r="E23" s="7" t="inlineStr">
        <is>
          <t>(303) 551-1600</t>
        </is>
      </c>
      <c r="F23" s="7" t="n"/>
      <c r="G23" s="7" t="n"/>
      <c r="I23" s="15" t="n">
        <v>59</v>
      </c>
      <c r="J23" s="7" t="inlineStr">
        <is>
          <t>luxury</t>
        </is>
      </c>
      <c r="K23" s="7" t="n"/>
      <c r="M23" s="16" t="inlineStr">
        <is>
          <t>False</t>
        </is>
      </c>
      <c r="N23" s="16" t="inlineStr">
        <is>
          <t>False</t>
        </is>
      </c>
      <c r="O23" s="16" t="inlineStr">
        <is>
          <t>False</t>
        </is>
      </c>
      <c r="P23" s="16" t="inlineStr">
        <is>
          <t>False</t>
        </is>
      </c>
      <c r="Q23" s="16" t="inlineStr">
        <is>
          <t>False</t>
        </is>
      </c>
      <c r="R23" s="16" t="inlineStr">
        <is>
          <t>False</t>
        </is>
      </c>
      <c r="S23" s="16" t="inlineStr">
        <is>
          <t>False</t>
        </is>
      </c>
      <c r="T23" s="16" t="inlineStr">
        <is>
          <t>False</t>
        </is>
      </c>
      <c r="U23" s="16" t="inlineStr">
        <is>
          <t>False</t>
        </is>
      </c>
      <c r="V23" s="16" t="inlineStr">
        <is>
          <t>False</t>
        </is>
      </c>
      <c r="W23" s="16" t="inlineStr">
        <is>
          <t>False</t>
        </is>
      </c>
    </row>
    <row r="24" ht="15.75" customHeight="1" s="34">
      <c r="A24" s="7" t="inlineStr">
        <is>
          <t>The Slate Hotel Denver Downtown, Tapestry by Hilton</t>
        </is>
      </c>
      <c r="B24" s="7" t="inlineStr">
        <is>
          <t>False</t>
        </is>
      </c>
      <c r="C24" s="7" t="inlineStr">
        <is>
          <t>Kirby Kiner</t>
        </is>
      </c>
      <c r="D24" s="7" t="n"/>
      <c r="E24" s="7" t="inlineStr">
        <is>
          <t>(303) 292-5000</t>
        </is>
      </c>
      <c r="F24" s="7" t="inlineStr">
        <is>
          <t>Parkwell</t>
        </is>
      </c>
      <c r="G24" s="7" t="n"/>
      <c r="I24" s="15" t="n">
        <v>59</v>
      </c>
      <c r="J24" s="7" t="inlineStr">
        <is>
          <t>upscale</t>
        </is>
      </c>
      <c r="K24" s="7" t="n"/>
      <c r="M24" s="16" t="inlineStr">
        <is>
          <t>False</t>
        </is>
      </c>
      <c r="N24" s="16" t="inlineStr">
        <is>
          <t>False</t>
        </is>
      </c>
      <c r="O24" s="16" t="inlineStr">
        <is>
          <t>False</t>
        </is>
      </c>
      <c r="P24" s="16" t="inlineStr">
        <is>
          <t>False</t>
        </is>
      </c>
      <c r="Q24" s="16" t="inlineStr">
        <is>
          <t>False</t>
        </is>
      </c>
      <c r="R24" s="16" t="inlineStr">
        <is>
          <t>False</t>
        </is>
      </c>
      <c r="S24" s="16" t="inlineStr">
        <is>
          <t>False</t>
        </is>
      </c>
      <c r="T24" s="16" t="inlineStr">
        <is>
          <t>False</t>
        </is>
      </c>
      <c r="U24" s="16" t="inlineStr">
        <is>
          <t>False</t>
        </is>
      </c>
      <c r="V24" s="16" t="inlineStr">
        <is>
          <t>False</t>
        </is>
      </c>
      <c r="W24" s="16" t="inlineStr">
        <is>
          <t>False</t>
        </is>
      </c>
    </row>
    <row r="25" ht="15.75" customHeight="1" s="34">
      <c r="A25" s="7" t="inlineStr">
        <is>
          <t>Kimpton Hotel Monaco Denver</t>
        </is>
      </c>
      <c r="B25" s="7" t="inlineStr">
        <is>
          <t>False</t>
        </is>
      </c>
      <c r="C25" s="7" t="inlineStr">
        <is>
          <t>Kevin Panzano</t>
        </is>
      </c>
      <c r="D25" s="7" t="n"/>
      <c r="E25" s="7" t="inlineStr">
        <is>
          <t>(303) 296-1717</t>
        </is>
      </c>
      <c r="F25" s="7" t="inlineStr">
        <is>
          <t>Towne Park</t>
        </is>
      </c>
      <c r="G25" s="7" t="inlineStr">
        <is>
          <t>Towne Park</t>
        </is>
      </c>
      <c r="I25" s="15" t="n">
        <v>59</v>
      </c>
      <c r="J25" s="7" t="inlineStr">
        <is>
          <t>upper-upscale</t>
        </is>
      </c>
      <c r="K25" s="7" t="n"/>
      <c r="M25" s="16" t="inlineStr">
        <is>
          <t>False</t>
        </is>
      </c>
      <c r="N25" s="16" t="inlineStr">
        <is>
          <t>False</t>
        </is>
      </c>
      <c r="O25" s="16" t="inlineStr">
        <is>
          <t>False</t>
        </is>
      </c>
      <c r="P25" s="16" t="inlineStr">
        <is>
          <t>False</t>
        </is>
      </c>
      <c r="Q25" s="16" t="inlineStr">
        <is>
          <t>False</t>
        </is>
      </c>
      <c r="R25" s="16" t="inlineStr">
        <is>
          <t>False</t>
        </is>
      </c>
      <c r="S25" s="16" t="inlineStr">
        <is>
          <t>False</t>
        </is>
      </c>
      <c r="T25" s="16" t="inlineStr">
        <is>
          <t>False</t>
        </is>
      </c>
      <c r="U25" s="16" t="inlineStr">
        <is>
          <t>False</t>
        </is>
      </c>
      <c r="V25" s="16" t="inlineStr">
        <is>
          <t>False</t>
        </is>
      </c>
      <c r="W25" s="16" t="inlineStr">
        <is>
          <t>False</t>
        </is>
      </c>
    </row>
    <row r="26" ht="15.75" customHeight="1" s="34">
      <c r="A26" s="7" t="inlineStr">
        <is>
          <t>Magnolia Hotel Denver, a Tribute Portfolio Hotel</t>
        </is>
      </c>
      <c r="B26" s="7" t="inlineStr">
        <is>
          <t>False</t>
        </is>
      </c>
      <c r="C26" s="7" t="inlineStr">
        <is>
          <t>James Ancona</t>
        </is>
      </c>
      <c r="D26" s="7" t="n"/>
      <c r="E26" s="7" t="inlineStr">
        <is>
          <t>(303) 607-9000</t>
        </is>
      </c>
      <c r="F26" s="7" t="inlineStr">
        <is>
          <t>Marriott</t>
        </is>
      </c>
      <c r="G26" s="7" t="n"/>
      <c r="I26" s="15" t="n">
        <v>59</v>
      </c>
      <c r="J26" s="7" t="inlineStr">
        <is>
          <t>upscale</t>
        </is>
      </c>
      <c r="K26" s="7" t="n"/>
      <c r="M26" s="16" t="inlineStr">
        <is>
          <t>False</t>
        </is>
      </c>
      <c r="N26" s="16" t="inlineStr">
        <is>
          <t>False</t>
        </is>
      </c>
      <c r="O26" s="16" t="inlineStr">
        <is>
          <t>False</t>
        </is>
      </c>
      <c r="P26" s="16" t="inlineStr">
        <is>
          <t>False</t>
        </is>
      </c>
      <c r="Q26" s="16" t="inlineStr">
        <is>
          <t>False</t>
        </is>
      </c>
      <c r="R26" s="16" t="inlineStr">
        <is>
          <t>False</t>
        </is>
      </c>
      <c r="S26" s="16" t="inlineStr">
        <is>
          <t>False</t>
        </is>
      </c>
      <c r="T26" s="16" t="inlineStr">
        <is>
          <t>False</t>
        </is>
      </c>
      <c r="U26" s="16" t="inlineStr">
        <is>
          <t>False</t>
        </is>
      </c>
      <c r="V26" s="16" t="inlineStr">
        <is>
          <t>False</t>
        </is>
      </c>
      <c r="W26" s="16" t="inlineStr">
        <is>
          <t>False</t>
        </is>
      </c>
    </row>
    <row r="27" ht="15.75" customHeight="1" s="34">
      <c r="A27" s="7" t="inlineStr">
        <is>
          <t>Hyatt Centric Downtown Denver</t>
        </is>
      </c>
      <c r="B27" s="7" t="inlineStr">
        <is>
          <t>False</t>
        </is>
      </c>
      <c r="C27" s="7" t="inlineStr">
        <is>
          <t>Michael Galligan</t>
        </is>
      </c>
      <c r="D27" s="7" t="n"/>
      <c r="E27" s="7" t="inlineStr">
        <is>
          <t>(303) 529-2340</t>
        </is>
      </c>
      <c r="F27" s="7" t="n"/>
      <c r="G27" s="7" t="n"/>
      <c r="I27" s="15" t="n">
        <v>59</v>
      </c>
      <c r="J27" s="7" t="inlineStr">
        <is>
          <t>upscale</t>
        </is>
      </c>
      <c r="K27" s="7" t="n"/>
      <c r="M27" s="16" t="inlineStr">
        <is>
          <t>False</t>
        </is>
      </c>
      <c r="N27" s="16" t="inlineStr">
        <is>
          <t>False</t>
        </is>
      </c>
      <c r="O27" s="16" t="inlineStr">
        <is>
          <t>False</t>
        </is>
      </c>
      <c r="P27" s="16" t="inlineStr">
        <is>
          <t>False</t>
        </is>
      </c>
      <c r="Q27" s="16" t="inlineStr">
        <is>
          <t>False</t>
        </is>
      </c>
      <c r="R27" s="16" t="inlineStr">
        <is>
          <t>False</t>
        </is>
      </c>
      <c r="S27" s="16" t="inlineStr">
        <is>
          <t>False</t>
        </is>
      </c>
      <c r="T27" s="16" t="inlineStr">
        <is>
          <t>False</t>
        </is>
      </c>
      <c r="U27" s="16" t="inlineStr">
        <is>
          <t>False</t>
        </is>
      </c>
      <c r="V27" s="16" t="inlineStr">
        <is>
          <t>False</t>
        </is>
      </c>
      <c r="W27" s="16" t="inlineStr">
        <is>
          <t>False</t>
        </is>
      </c>
    </row>
    <row r="28" ht="15.75" customHeight="1" s="34">
      <c r="A28" s="7" t="inlineStr">
        <is>
          <t>Hotel Indigo Denver Downtown-Union Station</t>
        </is>
      </c>
      <c r="B28" s="7" t="inlineStr">
        <is>
          <t>False</t>
        </is>
      </c>
      <c r="C28" s="7" t="inlineStr">
        <is>
          <t>Michael Keytel</t>
        </is>
      </c>
      <c r="D28" s="7" t="n"/>
      <c r="E28" s="7" t="inlineStr">
        <is>
          <t>(303) 623-4422</t>
        </is>
      </c>
      <c r="F28" s="7" t="inlineStr">
        <is>
          <t>Intercontinental</t>
        </is>
      </c>
      <c r="G28" s="7" t="n"/>
      <c r="H28" s="15" t="n">
        <v>45</v>
      </c>
      <c r="I28" s="15" t="n">
        <v>55</v>
      </c>
      <c r="J28" s="7" t="inlineStr">
        <is>
          <t>upscale</t>
        </is>
      </c>
      <c r="K28" s="7" t="n"/>
      <c r="M28" s="16" t="inlineStr">
        <is>
          <t>False</t>
        </is>
      </c>
      <c r="N28" s="16" t="inlineStr">
        <is>
          <t>False</t>
        </is>
      </c>
      <c r="O28" s="16" t="inlineStr">
        <is>
          <t>False</t>
        </is>
      </c>
      <c r="P28" s="16" t="inlineStr">
        <is>
          <t>False</t>
        </is>
      </c>
      <c r="Q28" s="16" t="inlineStr">
        <is>
          <t>False</t>
        </is>
      </c>
      <c r="R28" s="16" t="inlineStr">
        <is>
          <t>False</t>
        </is>
      </c>
      <c r="S28" s="16" t="inlineStr">
        <is>
          <t>False</t>
        </is>
      </c>
      <c r="T28" s="16" t="inlineStr">
        <is>
          <t>False</t>
        </is>
      </c>
      <c r="U28" s="16" t="inlineStr">
        <is>
          <t>False</t>
        </is>
      </c>
      <c r="V28" s="16" t="inlineStr">
        <is>
          <t>False</t>
        </is>
      </c>
      <c r="W28" s="16" t="inlineStr">
        <is>
          <t>False</t>
        </is>
      </c>
    </row>
    <row r="29" ht="15.75" customHeight="1" s="34">
      <c r="A29" s="7" t="inlineStr">
        <is>
          <t>Hotel Teatro</t>
        </is>
      </c>
      <c r="B29" s="7" t="inlineStr">
        <is>
          <t>False</t>
        </is>
      </c>
      <c r="C29" s="7" t="inlineStr">
        <is>
          <t>Courtney Griffith</t>
        </is>
      </c>
      <c r="D29" s="7" t="n"/>
      <c r="E29" s="7" t="inlineStr">
        <is>
          <t>(888) 727-1200</t>
        </is>
      </c>
      <c r="F29" s="7" t="inlineStr">
        <is>
          <t>LAZ</t>
        </is>
      </c>
      <c r="G29" s="7" t="inlineStr">
        <is>
          <t>LAZ</t>
        </is>
      </c>
      <c r="I29" s="15" t="n">
        <v>55</v>
      </c>
      <c r="J29" s="7" t="inlineStr">
        <is>
          <t>upper-upscale</t>
        </is>
      </c>
      <c r="K29" s="7" t="n"/>
      <c r="M29" s="16" t="inlineStr">
        <is>
          <t>False</t>
        </is>
      </c>
      <c r="N29" s="16" t="inlineStr">
        <is>
          <t>False</t>
        </is>
      </c>
      <c r="O29" s="16" t="inlineStr">
        <is>
          <t>False</t>
        </is>
      </c>
      <c r="P29" s="16" t="inlineStr">
        <is>
          <t>False</t>
        </is>
      </c>
      <c r="Q29" s="16" t="inlineStr">
        <is>
          <t>False</t>
        </is>
      </c>
      <c r="R29" s="16" t="inlineStr">
        <is>
          <t>False</t>
        </is>
      </c>
      <c r="S29" s="16" t="inlineStr">
        <is>
          <t>False</t>
        </is>
      </c>
      <c r="T29" s="16" t="inlineStr">
        <is>
          <t>False</t>
        </is>
      </c>
      <c r="U29" s="16" t="inlineStr">
        <is>
          <t>False</t>
        </is>
      </c>
      <c r="V29" s="16" t="inlineStr">
        <is>
          <t>False</t>
        </is>
      </c>
      <c r="W29" s="16" t="inlineStr">
        <is>
          <t>False</t>
        </is>
      </c>
    </row>
    <row r="30" ht="15.75" customHeight="1" s="34">
      <c r="A30" s="7" t="inlineStr">
        <is>
          <t>Kimpton Claret Hotel</t>
        </is>
      </c>
      <c r="B30" s="7" t="inlineStr">
        <is>
          <t>False</t>
        </is>
      </c>
      <c r="C30" s="7" t="inlineStr">
        <is>
          <t>Keith Siebenaler</t>
        </is>
      </c>
      <c r="D30" s="7" t="n"/>
      <c r="E30" s="7" t="inlineStr">
        <is>
          <t>(983) 999-0310</t>
        </is>
      </c>
      <c r="F30" s="7" t="n"/>
      <c r="G30" s="7" t="n"/>
      <c r="I30" s="15" t="n">
        <v>55</v>
      </c>
      <c r="J30" s="7" t="inlineStr">
        <is>
          <t>upper-upscale</t>
        </is>
      </c>
      <c r="K30" s="7" t="n"/>
      <c r="M30" s="16" t="inlineStr">
        <is>
          <t>False</t>
        </is>
      </c>
      <c r="N30" s="16" t="inlineStr">
        <is>
          <t>False</t>
        </is>
      </c>
      <c r="O30" s="16" t="inlineStr">
        <is>
          <t>False</t>
        </is>
      </c>
      <c r="P30" s="16" t="inlineStr">
        <is>
          <t>False</t>
        </is>
      </c>
      <c r="Q30" s="16" t="inlineStr">
        <is>
          <t>False</t>
        </is>
      </c>
      <c r="R30" s="16" t="inlineStr">
        <is>
          <t>False</t>
        </is>
      </c>
      <c r="S30" s="16" t="inlineStr">
        <is>
          <t>False</t>
        </is>
      </c>
      <c r="T30" s="16" t="inlineStr">
        <is>
          <t>False</t>
        </is>
      </c>
      <c r="U30" s="16" t="inlineStr">
        <is>
          <t>False</t>
        </is>
      </c>
      <c r="V30" s="16" t="inlineStr">
        <is>
          <t>False</t>
        </is>
      </c>
      <c r="W30" s="16" t="inlineStr">
        <is>
          <t>False</t>
        </is>
      </c>
    </row>
    <row r="31" ht="15.75" customHeight="1" s="34">
      <c r="A31" s="7" t="inlineStr">
        <is>
          <t>Apiary Hotel Belleview Station</t>
        </is>
      </c>
      <c r="B31" s="7" t="inlineStr">
        <is>
          <t>False</t>
        </is>
      </c>
      <c r="C31" s="7" t="n"/>
      <c r="D31" s="7" t="n"/>
      <c r="E31" s="7" t="inlineStr">
        <is>
          <t>(720) 791-4700</t>
        </is>
      </c>
      <c r="F31" s="7" t="n"/>
      <c r="G31" s="7" t="n"/>
      <c r="I31" s="15" t="n">
        <v>55</v>
      </c>
      <c r="J31" s="7" t="inlineStr">
        <is>
          <t>upscale</t>
        </is>
      </c>
      <c r="K31" s="7" t="n"/>
      <c r="M31" s="16" t="inlineStr">
        <is>
          <t>False</t>
        </is>
      </c>
      <c r="N31" s="16" t="inlineStr">
        <is>
          <t>False</t>
        </is>
      </c>
      <c r="O31" s="16" t="inlineStr">
        <is>
          <t>False</t>
        </is>
      </c>
      <c r="P31" s="16" t="inlineStr">
        <is>
          <t>False</t>
        </is>
      </c>
      <c r="Q31" s="16" t="inlineStr">
        <is>
          <t>False</t>
        </is>
      </c>
      <c r="R31" s="16" t="inlineStr">
        <is>
          <t>False</t>
        </is>
      </c>
      <c r="S31" s="16" t="inlineStr">
        <is>
          <t>False</t>
        </is>
      </c>
      <c r="T31" s="16" t="inlineStr">
        <is>
          <t>False</t>
        </is>
      </c>
      <c r="U31" s="16" t="inlineStr">
        <is>
          <t>False</t>
        </is>
      </c>
      <c r="V31" s="16" t="inlineStr">
        <is>
          <t>False</t>
        </is>
      </c>
      <c r="W31" s="16" t="inlineStr">
        <is>
          <t>False</t>
        </is>
      </c>
    </row>
    <row r="32" ht="15.75" customHeight="1" s="34">
      <c r="A32" s="7" t="inlineStr">
        <is>
          <t>The Art Hotel Denver, Curio Collection by Hilton</t>
        </is>
      </c>
      <c r="B32" s="7" t="inlineStr">
        <is>
          <t>False</t>
        </is>
      </c>
      <c r="C32" s="7" t="inlineStr">
        <is>
          <t>Dorian Phillips</t>
        </is>
      </c>
      <c r="D32" s="7" t="n"/>
      <c r="E32" s="7" t="inlineStr">
        <is>
          <t>(303) 572-8000</t>
        </is>
      </c>
      <c r="F32" s="7" t="n"/>
      <c r="G32" s="7" t="n"/>
      <c r="I32" s="15" t="n">
        <v>54</v>
      </c>
      <c r="J32" s="7" t="inlineStr">
        <is>
          <t>upscale</t>
        </is>
      </c>
      <c r="K32" s="7" t="n"/>
      <c r="M32" s="16" t="inlineStr">
        <is>
          <t>False</t>
        </is>
      </c>
      <c r="N32" s="16" t="inlineStr">
        <is>
          <t>False</t>
        </is>
      </c>
      <c r="O32" s="16" t="inlineStr">
        <is>
          <t>False</t>
        </is>
      </c>
      <c r="P32" s="16" t="inlineStr">
        <is>
          <t>False</t>
        </is>
      </c>
      <c r="Q32" s="16" t="inlineStr">
        <is>
          <t>False</t>
        </is>
      </c>
      <c r="R32" s="16" t="inlineStr">
        <is>
          <t>False</t>
        </is>
      </c>
      <c r="S32" s="16" t="inlineStr">
        <is>
          <t>False</t>
        </is>
      </c>
      <c r="T32" s="16" t="inlineStr">
        <is>
          <t>False</t>
        </is>
      </c>
      <c r="U32" s="16" t="inlineStr">
        <is>
          <t>False</t>
        </is>
      </c>
      <c r="V32" s="16" t="inlineStr">
        <is>
          <t>False</t>
        </is>
      </c>
      <c r="W32" s="16" t="inlineStr">
        <is>
          <t>False</t>
        </is>
      </c>
    </row>
    <row r="33" ht="15.75" customHeight="1" s="34">
      <c r="A33" s="7" t="inlineStr">
        <is>
          <t>The Westin Denver Downtown</t>
        </is>
      </c>
      <c r="B33" s="7" t="inlineStr">
        <is>
          <t>False</t>
        </is>
      </c>
      <c r="C33" s="7" t="inlineStr">
        <is>
          <t>Jerry Caliguire</t>
        </is>
      </c>
      <c r="D33" s="7" t="n"/>
      <c r="E33" s="7" t="inlineStr">
        <is>
          <t>(303) 572-9100</t>
        </is>
      </c>
      <c r="F33" s="7" t="n"/>
      <c r="G33" s="7" t="n"/>
      <c r="H33" s="15" t="n">
        <v>40</v>
      </c>
      <c r="I33" s="15" t="n">
        <v>54</v>
      </c>
      <c r="J33" s="7" t="inlineStr">
        <is>
          <t>upper-upscale</t>
        </is>
      </c>
      <c r="K33" s="7" t="n"/>
      <c r="M33" s="16" t="inlineStr">
        <is>
          <t>False</t>
        </is>
      </c>
      <c r="N33" s="16" t="inlineStr">
        <is>
          <t>False</t>
        </is>
      </c>
      <c r="O33" s="16" t="inlineStr">
        <is>
          <t>False</t>
        </is>
      </c>
      <c r="P33" s="16" t="inlineStr">
        <is>
          <t>False</t>
        </is>
      </c>
      <c r="Q33" s="16" t="inlineStr">
        <is>
          <t>False</t>
        </is>
      </c>
      <c r="R33" s="16" t="inlineStr">
        <is>
          <t>False</t>
        </is>
      </c>
      <c r="S33" s="16" t="inlineStr">
        <is>
          <t>False</t>
        </is>
      </c>
      <c r="T33" s="16" t="inlineStr">
        <is>
          <t>False</t>
        </is>
      </c>
      <c r="U33" s="16" t="inlineStr">
        <is>
          <t>False</t>
        </is>
      </c>
      <c r="V33" s="16" t="inlineStr">
        <is>
          <t>False</t>
        </is>
      </c>
      <c r="W33" s="16" t="inlineStr">
        <is>
          <t>False</t>
        </is>
      </c>
    </row>
    <row r="34" ht="15.75" customHeight="1" s="34">
      <c r="A34" s="7" t="inlineStr">
        <is>
          <t>The Westin Denver International Airport</t>
        </is>
      </c>
      <c r="B34" s="7" t="inlineStr">
        <is>
          <t>False</t>
        </is>
      </c>
      <c r="C34" s="7" t="n"/>
      <c r="D34" s="7" t="n"/>
      <c r="E34" s="7" t="inlineStr">
        <is>
          <t>(303) 317-1800</t>
        </is>
      </c>
      <c r="F34" s="7" t="inlineStr">
        <is>
          <t>Pro Park</t>
        </is>
      </c>
      <c r="G34" s="7" t="inlineStr">
        <is>
          <t>Pro Park</t>
        </is>
      </c>
      <c r="H34" s="15" t="n">
        <v>54</v>
      </c>
      <c r="I34" s="15" t="n">
        <v>54</v>
      </c>
      <c r="J34" s="7" t="inlineStr">
        <is>
          <t>upper-upscale</t>
        </is>
      </c>
      <c r="K34" s="7" t="n"/>
      <c r="M34" s="16" t="inlineStr">
        <is>
          <t>False</t>
        </is>
      </c>
      <c r="N34" s="16" t="inlineStr">
        <is>
          <t>False</t>
        </is>
      </c>
      <c r="O34" s="16" t="inlineStr">
        <is>
          <t>False</t>
        </is>
      </c>
      <c r="P34" s="16" t="inlineStr">
        <is>
          <t>False</t>
        </is>
      </c>
      <c r="Q34" s="16" t="inlineStr">
        <is>
          <t>False</t>
        </is>
      </c>
      <c r="R34" s="16" t="inlineStr">
        <is>
          <t>False</t>
        </is>
      </c>
      <c r="S34" s="16" t="inlineStr">
        <is>
          <t>False</t>
        </is>
      </c>
      <c r="T34" s="16" t="inlineStr">
        <is>
          <t>False</t>
        </is>
      </c>
      <c r="U34" s="16" t="inlineStr">
        <is>
          <t>False</t>
        </is>
      </c>
      <c r="V34" s="16" t="inlineStr">
        <is>
          <t>False</t>
        </is>
      </c>
      <c r="W34" s="16" t="inlineStr">
        <is>
          <t>False</t>
        </is>
      </c>
    </row>
    <row r="35" ht="15.75" customHeight="1" s="34">
      <c r="A35" s="7" t="inlineStr">
        <is>
          <t>The Maven Hotel at Dairy Block</t>
        </is>
      </c>
      <c r="B35" s="7" t="inlineStr">
        <is>
          <t>False</t>
        </is>
      </c>
      <c r="C35" s="7" t="inlineStr">
        <is>
          <t>Jennifer Cottingias</t>
        </is>
      </c>
      <c r="D35" s="7" t="n"/>
      <c r="E35" s="7" t="inlineStr">
        <is>
          <t>(720) 460-2727</t>
        </is>
      </c>
      <c r="F35" s="7" t="inlineStr">
        <is>
          <t>Sage Hospitality</t>
        </is>
      </c>
      <c r="G35" s="7" t="n"/>
      <c r="I35" s="15" t="n">
        <v>53</v>
      </c>
      <c r="J35" s="7" t="inlineStr">
        <is>
          <t>upscale</t>
        </is>
      </c>
      <c r="K35" s="7" t="n"/>
      <c r="M35" s="16" t="inlineStr">
        <is>
          <t>False</t>
        </is>
      </c>
      <c r="N35" s="16" t="inlineStr">
        <is>
          <t>False</t>
        </is>
      </c>
      <c r="O35" s="16" t="inlineStr">
        <is>
          <t>False</t>
        </is>
      </c>
      <c r="P35" s="16" t="inlineStr">
        <is>
          <t>False</t>
        </is>
      </c>
      <c r="Q35" s="16" t="inlineStr">
        <is>
          <t>False</t>
        </is>
      </c>
      <c r="R35" s="16" t="inlineStr">
        <is>
          <t>False</t>
        </is>
      </c>
      <c r="S35" s="16" t="inlineStr">
        <is>
          <t>False</t>
        </is>
      </c>
      <c r="T35" s="16" t="inlineStr">
        <is>
          <t>False</t>
        </is>
      </c>
      <c r="U35" s="16" t="inlineStr">
        <is>
          <t>False</t>
        </is>
      </c>
      <c r="V35" s="16" t="inlineStr">
        <is>
          <t>False</t>
        </is>
      </c>
      <c r="W35" s="16" t="inlineStr">
        <is>
          <t>False</t>
        </is>
      </c>
    </row>
    <row r="36" ht="15.75" customHeight="1" s="34">
      <c r="A36" s="7" t="inlineStr">
        <is>
          <t>Catbird Hotel</t>
        </is>
      </c>
      <c r="B36" s="7" t="inlineStr">
        <is>
          <t>False</t>
        </is>
      </c>
      <c r="C36" s="7" t="n"/>
      <c r="D36" s="7" t="n"/>
      <c r="E36" s="7" t="inlineStr">
        <is>
          <t>(720) 990-5555</t>
        </is>
      </c>
      <c r="F36" s="7" t="n"/>
      <c r="G36" s="7" t="n"/>
      <c r="H36" s="15" t="n">
        <v>34</v>
      </c>
      <c r="I36" s="15" t="n">
        <v>52</v>
      </c>
      <c r="J36" s="7" t="inlineStr">
        <is>
          <t>upscale</t>
        </is>
      </c>
      <c r="K36" s="7" t="n"/>
      <c r="M36" s="16" t="inlineStr">
        <is>
          <t>False</t>
        </is>
      </c>
      <c r="N36" s="16" t="inlineStr">
        <is>
          <t>False</t>
        </is>
      </c>
      <c r="O36" s="16" t="inlineStr">
        <is>
          <t>False</t>
        </is>
      </c>
      <c r="P36" s="16" t="inlineStr">
        <is>
          <t>False</t>
        </is>
      </c>
      <c r="Q36" s="16" t="inlineStr">
        <is>
          <t>False</t>
        </is>
      </c>
      <c r="R36" s="16" t="inlineStr">
        <is>
          <t>False</t>
        </is>
      </c>
      <c r="S36" s="16" t="inlineStr">
        <is>
          <t>False</t>
        </is>
      </c>
      <c r="T36" s="16" t="inlineStr">
        <is>
          <t>False</t>
        </is>
      </c>
      <c r="U36" s="16" t="inlineStr">
        <is>
          <t>False</t>
        </is>
      </c>
      <c r="V36" s="16" t="inlineStr">
        <is>
          <t>False</t>
        </is>
      </c>
      <c r="W36" s="16" t="inlineStr">
        <is>
          <t>False</t>
        </is>
      </c>
    </row>
    <row r="37" ht="15.75" customHeight="1" s="34">
      <c r="A37" s="7" t="inlineStr">
        <is>
          <t>Limelight Denver</t>
        </is>
      </c>
      <c r="B37" s="7" t="inlineStr">
        <is>
          <t>False</t>
        </is>
      </c>
      <c r="C37" s="7" t="inlineStr">
        <is>
          <t>Kim Corrigan</t>
        </is>
      </c>
      <c r="D37" s="7" t="n"/>
      <c r="E37" s="7" t="inlineStr">
        <is>
          <t>(303) 323-0024</t>
        </is>
      </c>
      <c r="F37" s="7" t="n"/>
      <c r="G37" s="7" t="n"/>
      <c r="I37" s="15" t="n">
        <v>50</v>
      </c>
      <c r="J37" s="7" t="inlineStr">
        <is>
          <t>upscale</t>
        </is>
      </c>
      <c r="K37" s="7" t="n"/>
      <c r="M37" s="16" t="inlineStr">
        <is>
          <t>False</t>
        </is>
      </c>
      <c r="N37" s="16" t="inlineStr">
        <is>
          <t>False</t>
        </is>
      </c>
      <c r="O37" s="16" t="inlineStr">
        <is>
          <t>False</t>
        </is>
      </c>
      <c r="P37" s="16" t="inlineStr">
        <is>
          <t>False</t>
        </is>
      </c>
      <c r="Q37" s="16" t="inlineStr">
        <is>
          <t>False</t>
        </is>
      </c>
      <c r="R37" s="16" t="inlineStr">
        <is>
          <t>False</t>
        </is>
      </c>
      <c r="S37" s="16" t="inlineStr">
        <is>
          <t>False</t>
        </is>
      </c>
      <c r="T37" s="16" t="inlineStr">
        <is>
          <t>False</t>
        </is>
      </c>
      <c r="U37" s="16" t="inlineStr">
        <is>
          <t>False</t>
        </is>
      </c>
      <c r="V37" s="16" t="inlineStr">
        <is>
          <t>False</t>
        </is>
      </c>
      <c r="W37" s="16" t="inlineStr">
        <is>
          <t>False</t>
        </is>
      </c>
    </row>
    <row r="38" ht="15.75" customHeight="1" s="34">
      <c r="A38" s="7" t="inlineStr">
        <is>
          <t>The Crawford Hotel</t>
        </is>
      </c>
      <c r="B38" s="7" t="inlineStr">
        <is>
          <t>False</t>
        </is>
      </c>
      <c r="C38" s="7" t="n"/>
      <c r="D38" s="7" t="n"/>
      <c r="E38" s="7" t="inlineStr">
        <is>
          <t>(720) 460-3700</t>
        </is>
      </c>
      <c r="F38" s="7" t="n"/>
      <c r="G38" s="7" t="n"/>
      <c r="I38" s="15" t="n">
        <v>50</v>
      </c>
      <c r="J38" s="7" t="inlineStr">
        <is>
          <t>upper-upscale</t>
        </is>
      </c>
      <c r="K38" s="7" t="n"/>
      <c r="M38" s="16" t="inlineStr">
        <is>
          <t>False</t>
        </is>
      </c>
      <c r="N38" s="16" t="inlineStr">
        <is>
          <t>False</t>
        </is>
      </c>
      <c r="O38" s="16" t="inlineStr">
        <is>
          <t>False</t>
        </is>
      </c>
      <c r="P38" s="16" t="inlineStr">
        <is>
          <t>False</t>
        </is>
      </c>
      <c r="Q38" s="16" t="inlineStr">
        <is>
          <t>False</t>
        </is>
      </c>
      <c r="R38" s="16" t="inlineStr">
        <is>
          <t>False</t>
        </is>
      </c>
      <c r="S38" s="16" t="inlineStr">
        <is>
          <t>False</t>
        </is>
      </c>
      <c r="T38" s="16" t="inlineStr">
        <is>
          <t>False</t>
        </is>
      </c>
      <c r="U38" s="16" t="inlineStr">
        <is>
          <t>False</t>
        </is>
      </c>
      <c r="V38" s="16" t="inlineStr">
        <is>
          <t>False</t>
        </is>
      </c>
      <c r="W38" s="16" t="inlineStr">
        <is>
          <t>False</t>
        </is>
      </c>
    </row>
    <row r="39" ht="15.75" customHeight="1" s="34">
      <c r="A39" s="7" t="inlineStr">
        <is>
          <t>Warwick Denver</t>
        </is>
      </c>
      <c r="B39" s="7" t="inlineStr">
        <is>
          <t>False</t>
        </is>
      </c>
      <c r="C39" s="7" t="inlineStr">
        <is>
          <t>Chad Hansen</t>
        </is>
      </c>
      <c r="D39" s="7" t="n"/>
      <c r="E39" s="7" t="inlineStr">
        <is>
          <t>(303) 861-2000</t>
        </is>
      </c>
      <c r="F39" s="7" t="inlineStr">
        <is>
          <t>SP Plus Corporation</t>
        </is>
      </c>
      <c r="G39" s="7" t="inlineStr">
        <is>
          <t>SP+</t>
        </is>
      </c>
      <c r="H39" s="15" t="n">
        <v>50</v>
      </c>
      <c r="I39" s="15" t="n">
        <v>50</v>
      </c>
      <c r="J39" s="7" t="inlineStr">
        <is>
          <t>upscale</t>
        </is>
      </c>
      <c r="K39" s="7" t="n"/>
      <c r="M39" s="16" t="inlineStr">
        <is>
          <t>False</t>
        </is>
      </c>
      <c r="N39" s="16" t="inlineStr">
        <is>
          <t>False</t>
        </is>
      </c>
      <c r="O39" s="16" t="inlineStr">
        <is>
          <t>False</t>
        </is>
      </c>
      <c r="P39" s="16" t="inlineStr">
        <is>
          <t>False</t>
        </is>
      </c>
      <c r="Q39" s="16" t="inlineStr">
        <is>
          <t>False</t>
        </is>
      </c>
      <c r="R39" s="16" t="inlineStr">
        <is>
          <t>False</t>
        </is>
      </c>
      <c r="S39" s="16" t="inlineStr">
        <is>
          <t>False</t>
        </is>
      </c>
      <c r="T39" s="16" t="inlineStr">
        <is>
          <t>False</t>
        </is>
      </c>
      <c r="U39" s="16" t="inlineStr">
        <is>
          <t>False</t>
        </is>
      </c>
      <c r="V39" s="16" t="inlineStr">
        <is>
          <t>False</t>
        </is>
      </c>
      <c r="W39" s="16" t="inlineStr">
        <is>
          <t>False</t>
        </is>
      </c>
    </row>
    <row r="40" ht="15.75" customHeight="1" s="34">
      <c r="A40" s="7" t="inlineStr">
        <is>
          <t>Moxy Denver Cherry Creek</t>
        </is>
      </c>
      <c r="B40" s="7" t="inlineStr">
        <is>
          <t>False</t>
        </is>
      </c>
      <c r="C40" s="7" t="inlineStr">
        <is>
          <t>Emily Jackson</t>
        </is>
      </c>
      <c r="D40" s="7" t="n"/>
      <c r="E40" s="7" t="inlineStr">
        <is>
          <t>(720) 707-3247</t>
        </is>
      </c>
      <c r="F40" s="7" t="n"/>
      <c r="G40" s="7" t="n"/>
      <c r="I40" s="15" t="n">
        <v>49</v>
      </c>
      <c r="J40" s="7" t="inlineStr">
        <is>
          <t>upscale</t>
        </is>
      </c>
      <c r="K40" s="7" t="n"/>
      <c r="M40" s="16" t="inlineStr">
        <is>
          <t>False</t>
        </is>
      </c>
      <c r="N40" s="16" t="inlineStr">
        <is>
          <t>False</t>
        </is>
      </c>
      <c r="O40" s="16" t="inlineStr">
        <is>
          <t>False</t>
        </is>
      </c>
      <c r="P40" s="16" t="inlineStr">
        <is>
          <t>False</t>
        </is>
      </c>
      <c r="Q40" s="16" t="inlineStr">
        <is>
          <t>False</t>
        </is>
      </c>
      <c r="R40" s="16" t="inlineStr">
        <is>
          <t>False</t>
        </is>
      </c>
      <c r="S40" s="16" t="inlineStr">
        <is>
          <t>False</t>
        </is>
      </c>
      <c r="T40" s="16" t="inlineStr">
        <is>
          <t>False</t>
        </is>
      </c>
      <c r="U40" s="16" t="inlineStr">
        <is>
          <t>False</t>
        </is>
      </c>
      <c r="V40" s="16" t="inlineStr">
        <is>
          <t>False</t>
        </is>
      </c>
      <c r="W40" s="16" t="inlineStr">
        <is>
          <t>False</t>
        </is>
      </c>
    </row>
    <row r="41" ht="15.75" customHeight="1" s="34">
      <c r="A41" s="7" t="inlineStr">
        <is>
          <t>SpringHill Suites Denver Downtown</t>
        </is>
      </c>
      <c r="B41" s="7" t="inlineStr">
        <is>
          <t>False</t>
        </is>
      </c>
      <c r="C41" s="7" t="inlineStr">
        <is>
          <t>Ryan Kensinger</t>
        </is>
      </c>
      <c r="D41" s="7" t="n"/>
      <c r="E41" s="7" t="inlineStr">
        <is>
          <t>(303) 825-7000</t>
        </is>
      </c>
      <c r="F41" s="7" t="n"/>
      <c r="G41" s="7" t="n"/>
      <c r="I41" s="15" t="n">
        <v>49</v>
      </c>
      <c r="J41" s="7" t="inlineStr">
        <is>
          <t>upper-midscale</t>
        </is>
      </c>
      <c r="K41" s="7" t="n"/>
      <c r="M41" s="16" t="inlineStr">
        <is>
          <t>False</t>
        </is>
      </c>
      <c r="N41" s="16" t="inlineStr">
        <is>
          <t>False</t>
        </is>
      </c>
      <c r="O41" s="16" t="inlineStr">
        <is>
          <t>False</t>
        </is>
      </c>
      <c r="P41" s="16" t="inlineStr">
        <is>
          <t>False</t>
        </is>
      </c>
      <c r="Q41" s="16" t="inlineStr">
        <is>
          <t>False</t>
        </is>
      </c>
      <c r="R41" s="16" t="inlineStr">
        <is>
          <t>False</t>
        </is>
      </c>
      <c r="S41" s="16" t="inlineStr">
        <is>
          <t>False</t>
        </is>
      </c>
      <c r="T41" s="16" t="inlineStr">
        <is>
          <t>False</t>
        </is>
      </c>
      <c r="U41" s="16" t="inlineStr">
        <is>
          <t>False</t>
        </is>
      </c>
      <c r="V41" s="16" t="inlineStr">
        <is>
          <t>False</t>
        </is>
      </c>
      <c r="W41" s="16" t="inlineStr">
        <is>
          <t>False</t>
        </is>
      </c>
    </row>
    <row r="42" ht="15.75" customHeight="1" s="34">
      <c r="A42" s="7" t="inlineStr">
        <is>
          <t>Hilton Garden Inn Denver Union Station</t>
        </is>
      </c>
      <c r="B42" s="7" t="inlineStr">
        <is>
          <t>False</t>
        </is>
      </c>
      <c r="C42" s="7" t="n"/>
      <c r="D42" s="7" t="n"/>
      <c r="E42" s="7" t="inlineStr">
        <is>
          <t>(720) 643-1999</t>
        </is>
      </c>
      <c r="F42" s="7" t="n"/>
      <c r="G42" s="7" t="n"/>
      <c r="I42" s="15" t="n">
        <v>49</v>
      </c>
      <c r="J42" s="7" t="inlineStr">
        <is>
          <t>upscale</t>
        </is>
      </c>
      <c r="K42" s="7" t="n"/>
      <c r="M42" s="16" t="inlineStr">
        <is>
          <t>False</t>
        </is>
      </c>
      <c r="N42" s="16" t="inlineStr">
        <is>
          <t>False</t>
        </is>
      </c>
      <c r="O42" s="16" t="inlineStr">
        <is>
          <t>False</t>
        </is>
      </c>
      <c r="P42" s="16" t="inlineStr">
        <is>
          <t>False</t>
        </is>
      </c>
      <c r="Q42" s="16" t="inlineStr">
        <is>
          <t>False</t>
        </is>
      </c>
      <c r="R42" s="16" t="inlineStr">
        <is>
          <t>False</t>
        </is>
      </c>
      <c r="S42" s="16" t="inlineStr">
        <is>
          <t>False</t>
        </is>
      </c>
      <c r="T42" s="16" t="inlineStr">
        <is>
          <t>False</t>
        </is>
      </c>
      <c r="U42" s="16" t="inlineStr">
        <is>
          <t>False</t>
        </is>
      </c>
      <c r="V42" s="16" t="inlineStr">
        <is>
          <t>False</t>
        </is>
      </c>
      <c r="W42" s="16" t="inlineStr">
        <is>
          <t>False</t>
        </is>
      </c>
    </row>
    <row r="43" ht="15.75" customHeight="1" s="34">
      <c r="A43" s="7" t="inlineStr">
        <is>
          <t>Gaylord Rockies Resort &amp; Convention Center</t>
        </is>
      </c>
      <c r="B43" s="7" t="inlineStr">
        <is>
          <t>False</t>
        </is>
      </c>
      <c r="C43" s="7" t="inlineStr">
        <is>
          <t>Suzy Hart</t>
        </is>
      </c>
      <c r="D43" s="7" t="n"/>
      <c r="E43" s="7" t="inlineStr">
        <is>
          <t>(720) 452-6900</t>
        </is>
      </c>
      <c r="F43" s="7" t="n"/>
      <c r="G43" s="7" t="n"/>
      <c r="H43" s="15" t="n">
        <v>33</v>
      </c>
      <c r="I43" s="15" t="n">
        <v>48</v>
      </c>
      <c r="J43" s="7" t="inlineStr">
        <is>
          <t>upper-upscale</t>
        </is>
      </c>
      <c r="K43" s="7" t="n"/>
      <c r="M43" s="16" t="inlineStr">
        <is>
          <t>False</t>
        </is>
      </c>
      <c r="N43" s="16" t="inlineStr">
        <is>
          <t>False</t>
        </is>
      </c>
      <c r="O43" s="16" t="inlineStr">
        <is>
          <t>False</t>
        </is>
      </c>
      <c r="P43" s="16" t="inlineStr">
        <is>
          <t>False</t>
        </is>
      </c>
      <c r="Q43" s="16" t="inlineStr">
        <is>
          <t>False</t>
        </is>
      </c>
      <c r="R43" s="16" t="inlineStr">
        <is>
          <t>False</t>
        </is>
      </c>
      <c r="S43" s="16" t="inlineStr">
        <is>
          <t>False</t>
        </is>
      </c>
      <c r="T43" s="16" t="inlineStr">
        <is>
          <t>False</t>
        </is>
      </c>
      <c r="U43" s="16" t="inlineStr">
        <is>
          <t>False</t>
        </is>
      </c>
      <c r="V43" s="16" t="inlineStr">
        <is>
          <t>False</t>
        </is>
      </c>
      <c r="W43" s="16" t="inlineStr">
        <is>
          <t>False</t>
        </is>
      </c>
    </row>
    <row r="44" ht="15.75" customHeight="1" s="34">
      <c r="A44" s="7" t="inlineStr">
        <is>
          <t>The Rally Hotel at McGregor Square</t>
        </is>
      </c>
      <c r="B44" s="7" t="inlineStr">
        <is>
          <t>False</t>
        </is>
      </c>
      <c r="C44" s="7" t="inlineStr">
        <is>
          <t>Maria DeLibero</t>
        </is>
      </c>
      <c r="D44" s="7" t="n"/>
      <c r="E44" s="7" t="inlineStr">
        <is>
          <t>(303) 623-8500</t>
        </is>
      </c>
      <c r="F44" s="7" t="n"/>
      <c r="G44" s="7" t="n"/>
      <c r="I44" s="15" t="n">
        <v>46</v>
      </c>
      <c r="J44" s="7" t="inlineStr">
        <is>
          <t>upscale</t>
        </is>
      </c>
      <c r="K44" s="7" t="n"/>
      <c r="M44" s="16" t="inlineStr">
        <is>
          <t>False</t>
        </is>
      </c>
      <c r="N44" s="16" t="inlineStr">
        <is>
          <t>False</t>
        </is>
      </c>
      <c r="O44" s="16" t="inlineStr">
        <is>
          <t>False</t>
        </is>
      </c>
      <c r="P44" s="16" t="inlineStr">
        <is>
          <t>False</t>
        </is>
      </c>
      <c r="Q44" s="16" t="inlineStr">
        <is>
          <t>False</t>
        </is>
      </c>
      <c r="R44" s="16" t="inlineStr">
        <is>
          <t>False</t>
        </is>
      </c>
      <c r="S44" s="16" t="inlineStr">
        <is>
          <t>False</t>
        </is>
      </c>
      <c r="T44" s="16" t="inlineStr">
        <is>
          <t>False</t>
        </is>
      </c>
      <c r="U44" s="16" t="inlineStr">
        <is>
          <t>False</t>
        </is>
      </c>
      <c r="V44" s="16" t="inlineStr">
        <is>
          <t>False</t>
        </is>
      </c>
      <c r="W44" s="16" t="inlineStr">
        <is>
          <t>False</t>
        </is>
      </c>
    </row>
    <row r="45" ht="15.75" customHeight="1" s="34">
      <c r="A45" s="7" t="inlineStr">
        <is>
          <t>Hampton Inn &amp; Suites Denver-Downtown</t>
        </is>
      </c>
      <c r="B45" s="7" t="inlineStr">
        <is>
          <t>False</t>
        </is>
      </c>
      <c r="C45" s="7" t="n"/>
      <c r="D45" s="7" t="n"/>
      <c r="E45" s="7" t="inlineStr">
        <is>
          <t>(303) 864-8000</t>
        </is>
      </c>
      <c r="F45" s="7" t="n"/>
      <c r="G45" s="7" t="n"/>
      <c r="I45" s="15" t="n">
        <v>45</v>
      </c>
      <c r="J45" s="7" t="inlineStr">
        <is>
          <t>upper-midscale</t>
        </is>
      </c>
      <c r="K45" s="7" t="n"/>
      <c r="M45" s="16" t="inlineStr">
        <is>
          <t>False</t>
        </is>
      </c>
      <c r="N45" s="16" t="inlineStr">
        <is>
          <t>False</t>
        </is>
      </c>
      <c r="O45" s="16" t="inlineStr">
        <is>
          <t>False</t>
        </is>
      </c>
      <c r="P45" s="16" t="inlineStr">
        <is>
          <t>False</t>
        </is>
      </c>
      <c r="Q45" s="16" t="inlineStr">
        <is>
          <t>False</t>
        </is>
      </c>
      <c r="R45" s="16" t="inlineStr">
        <is>
          <t>False</t>
        </is>
      </c>
      <c r="S45" s="16" t="inlineStr">
        <is>
          <t>False</t>
        </is>
      </c>
      <c r="T45" s="16" t="inlineStr">
        <is>
          <t>False</t>
        </is>
      </c>
      <c r="U45" s="16" t="inlineStr">
        <is>
          <t>False</t>
        </is>
      </c>
      <c r="V45" s="16" t="inlineStr">
        <is>
          <t>False</t>
        </is>
      </c>
      <c r="W45" s="16" t="inlineStr">
        <is>
          <t>False</t>
        </is>
      </c>
    </row>
    <row r="46" ht="15.75" customHeight="1" s="34">
      <c r="A46" s="7" t="inlineStr">
        <is>
          <t>Renaissance Denver Downtown City Center Hotel</t>
        </is>
      </c>
      <c r="B46" s="7" t="inlineStr">
        <is>
          <t>False</t>
        </is>
      </c>
      <c r="C46" s="7" t="inlineStr">
        <is>
          <t>Brian Leiker</t>
        </is>
      </c>
      <c r="D46" s="7" t="n"/>
      <c r="E46" s="7" t="inlineStr">
        <is>
          <t>(303) 312-9100</t>
        </is>
      </c>
      <c r="F46" s="7" t="n"/>
      <c r="G46" s="7" t="n"/>
      <c r="I46" s="15" t="n">
        <v>43</v>
      </c>
      <c r="J46" s="7" t="inlineStr">
        <is>
          <t>upper-upscale</t>
        </is>
      </c>
      <c r="K46" s="7" t="n"/>
      <c r="M46" s="16" t="inlineStr">
        <is>
          <t>False</t>
        </is>
      </c>
      <c r="N46" s="16" t="inlineStr">
        <is>
          <t>False</t>
        </is>
      </c>
      <c r="O46" s="16" t="inlineStr">
        <is>
          <t>False</t>
        </is>
      </c>
      <c r="P46" s="16" t="inlineStr">
        <is>
          <t>False</t>
        </is>
      </c>
      <c r="Q46" s="16" t="inlineStr">
        <is>
          <t>False</t>
        </is>
      </c>
      <c r="R46" s="16" t="inlineStr">
        <is>
          <t>False</t>
        </is>
      </c>
      <c r="S46" s="16" t="inlineStr">
        <is>
          <t>False</t>
        </is>
      </c>
      <c r="T46" s="16" t="inlineStr">
        <is>
          <t>False</t>
        </is>
      </c>
      <c r="U46" s="16" t="inlineStr">
        <is>
          <t>False</t>
        </is>
      </c>
      <c r="V46" s="16" t="inlineStr">
        <is>
          <t>False</t>
        </is>
      </c>
      <c r="W46" s="16" t="inlineStr">
        <is>
          <t>False</t>
        </is>
      </c>
    </row>
    <row r="47" ht="15.75" customHeight="1" s="34">
      <c r="A47" s="7" t="inlineStr">
        <is>
          <t>Hyatt House Denver/Downtown</t>
        </is>
      </c>
      <c r="B47" s="7" t="inlineStr">
        <is>
          <t>False</t>
        </is>
      </c>
      <c r="C47" s="7" t="n"/>
      <c r="D47" s="7" t="n"/>
      <c r="E47" s="7" t="inlineStr">
        <is>
          <t>(303) 893-3100</t>
        </is>
      </c>
      <c r="F47" s="7" t="n"/>
      <c r="G47" s="7" t="n"/>
      <c r="I47" s="15" t="n">
        <v>42</v>
      </c>
      <c r="J47" s="7" t="inlineStr">
        <is>
          <t>upscale</t>
        </is>
      </c>
      <c r="K47" s="7" t="n"/>
      <c r="M47" s="16" t="inlineStr">
        <is>
          <t>False</t>
        </is>
      </c>
      <c r="N47" s="16" t="inlineStr">
        <is>
          <t>False</t>
        </is>
      </c>
      <c r="O47" s="16" t="inlineStr">
        <is>
          <t>False</t>
        </is>
      </c>
      <c r="P47" s="16" t="inlineStr">
        <is>
          <t>False</t>
        </is>
      </c>
      <c r="Q47" s="16" t="inlineStr">
        <is>
          <t>False</t>
        </is>
      </c>
      <c r="R47" s="16" t="inlineStr">
        <is>
          <t>False</t>
        </is>
      </c>
      <c r="S47" s="16" t="inlineStr">
        <is>
          <t>False</t>
        </is>
      </c>
      <c r="T47" s="16" t="inlineStr">
        <is>
          <t>False</t>
        </is>
      </c>
      <c r="U47" s="16" t="inlineStr">
        <is>
          <t>False</t>
        </is>
      </c>
      <c r="V47" s="16" t="inlineStr">
        <is>
          <t>False</t>
        </is>
      </c>
      <c r="W47" s="16" t="inlineStr">
        <is>
          <t>False</t>
        </is>
      </c>
    </row>
    <row r="48" ht="15.75" customHeight="1" s="34">
      <c r="A48" s="7" t="inlineStr">
        <is>
          <t>The Oxford Hotel</t>
        </is>
      </c>
      <c r="B48" s="7" t="inlineStr">
        <is>
          <t>False</t>
        </is>
      </c>
      <c r="C48" s="7" t="n"/>
      <c r="D48" s="7" t="n"/>
      <c r="E48" s="7" t="inlineStr">
        <is>
          <t>(303) 628-5400</t>
        </is>
      </c>
      <c r="F48" s="7" t="n"/>
      <c r="G48" s="7" t="inlineStr">
        <is>
          <t>In House</t>
        </is>
      </c>
      <c r="I48" s="15" t="n">
        <v>40</v>
      </c>
      <c r="J48" s="7" t="inlineStr">
        <is>
          <t>upper-upscale</t>
        </is>
      </c>
      <c r="K48" s="7" t="n"/>
      <c r="M48" s="16" t="inlineStr">
        <is>
          <t>False</t>
        </is>
      </c>
      <c r="N48" s="16" t="inlineStr">
        <is>
          <t>False</t>
        </is>
      </c>
      <c r="O48" s="16" t="inlineStr">
        <is>
          <t>False</t>
        </is>
      </c>
      <c r="P48" s="16" t="inlineStr">
        <is>
          <t>False</t>
        </is>
      </c>
      <c r="Q48" s="16" t="inlineStr">
        <is>
          <t>False</t>
        </is>
      </c>
      <c r="R48" s="16" t="inlineStr">
        <is>
          <t>False</t>
        </is>
      </c>
      <c r="S48" s="16" t="inlineStr">
        <is>
          <t>False</t>
        </is>
      </c>
      <c r="T48" s="16" t="inlineStr">
        <is>
          <t>False</t>
        </is>
      </c>
      <c r="U48" s="16" t="inlineStr">
        <is>
          <t>False</t>
        </is>
      </c>
      <c r="V48" s="16" t="inlineStr">
        <is>
          <t>False</t>
        </is>
      </c>
      <c r="W48" s="16" t="inlineStr">
        <is>
          <t>False</t>
        </is>
      </c>
    </row>
    <row r="49" ht="15.75" customHeight="1" s="34">
      <c r="A49" s="7" t="inlineStr">
        <is>
          <t>Benson Hotel &amp; Faculty Club</t>
        </is>
      </c>
      <c r="B49" s="7" t="inlineStr">
        <is>
          <t>False</t>
        </is>
      </c>
      <c r="C49" s="7" t="n"/>
      <c r="D49" s="7" t="n"/>
      <c r="E49" s="7" t="inlineStr">
        <is>
          <t>(720) 627-5958</t>
        </is>
      </c>
      <c r="F49" s="7" t="n"/>
      <c r="G49" s="7" t="n"/>
      <c r="H49" s="15" t="n">
        <v>22</v>
      </c>
      <c r="I49" s="15" t="n">
        <v>39</v>
      </c>
      <c r="J49" s="7" t="inlineStr">
        <is>
          <t>upscale</t>
        </is>
      </c>
      <c r="K49" s="7" t="n"/>
      <c r="M49" s="16" t="inlineStr">
        <is>
          <t>False</t>
        </is>
      </c>
      <c r="N49" s="16" t="inlineStr">
        <is>
          <t>False</t>
        </is>
      </c>
      <c r="O49" s="16" t="inlineStr">
        <is>
          <t>False</t>
        </is>
      </c>
      <c r="P49" s="16" t="inlineStr">
        <is>
          <t>False</t>
        </is>
      </c>
      <c r="Q49" s="16" t="inlineStr">
        <is>
          <t>False</t>
        </is>
      </c>
      <c r="R49" s="16" t="inlineStr">
        <is>
          <t>False</t>
        </is>
      </c>
      <c r="S49" s="16" t="inlineStr">
        <is>
          <t>False</t>
        </is>
      </c>
      <c r="T49" s="16" t="inlineStr">
        <is>
          <t>False</t>
        </is>
      </c>
      <c r="U49" s="16" t="inlineStr">
        <is>
          <t>False</t>
        </is>
      </c>
      <c r="V49" s="16" t="inlineStr">
        <is>
          <t>False</t>
        </is>
      </c>
      <c r="W49" s="16" t="inlineStr">
        <is>
          <t>False</t>
        </is>
      </c>
    </row>
    <row r="50" ht="15.75" customHeight="1" s="34">
      <c r="A50" s="7" t="inlineStr">
        <is>
          <t>The Ramble Hotel</t>
        </is>
      </c>
      <c r="B50" s="7" t="inlineStr">
        <is>
          <t>False</t>
        </is>
      </c>
      <c r="C50" s="7" t="inlineStr">
        <is>
          <t>Andrew Guerra</t>
        </is>
      </c>
      <c r="D50" s="7" t="n"/>
      <c r="E50" s="7" t="inlineStr">
        <is>
          <t>(720) 996-6300</t>
        </is>
      </c>
      <c r="F50" s="7" t="n"/>
      <c r="G50" s="7" t="n"/>
      <c r="I50" s="15" t="n">
        <v>35</v>
      </c>
      <c r="J50" s="7" t="inlineStr">
        <is>
          <t>upper-upscale</t>
        </is>
      </c>
      <c r="K50" s="7" t="n"/>
      <c r="M50" s="16" t="inlineStr">
        <is>
          <t>False</t>
        </is>
      </c>
      <c r="N50" s="16" t="inlineStr">
        <is>
          <t>False</t>
        </is>
      </c>
      <c r="O50" s="16" t="inlineStr">
        <is>
          <t>False</t>
        </is>
      </c>
      <c r="P50" s="16" t="inlineStr">
        <is>
          <t>False</t>
        </is>
      </c>
      <c r="Q50" s="16" t="inlineStr">
        <is>
          <t>False</t>
        </is>
      </c>
      <c r="R50" s="16" t="inlineStr">
        <is>
          <t>False</t>
        </is>
      </c>
      <c r="S50" s="16" t="inlineStr">
        <is>
          <t>False</t>
        </is>
      </c>
      <c r="T50" s="16" t="inlineStr">
        <is>
          <t>False</t>
        </is>
      </c>
      <c r="U50" s="16" t="inlineStr">
        <is>
          <t>False</t>
        </is>
      </c>
      <c r="V50" s="16" t="inlineStr">
        <is>
          <t>False</t>
        </is>
      </c>
      <c r="W50" s="16" t="inlineStr">
        <is>
          <t>False</t>
        </is>
      </c>
    </row>
    <row r="51" ht="15.75" customHeight="1" s="34">
      <c r="A51" s="7" t="inlineStr">
        <is>
          <t>Denver Marriott Tech Center</t>
        </is>
      </c>
      <c r="B51" s="7" t="inlineStr">
        <is>
          <t>False</t>
        </is>
      </c>
      <c r="C51" s="7" t="inlineStr">
        <is>
          <t>Jeff Bolton</t>
        </is>
      </c>
      <c r="D51" s="7" t="n"/>
      <c r="E51" s="7" t="inlineStr">
        <is>
          <t>(303) 779-1100</t>
        </is>
      </c>
      <c r="F51" s="7" t="n"/>
      <c r="G51" s="7" t="n"/>
      <c r="H51" s="15" t="n">
        <v>20</v>
      </c>
      <c r="I51" s="15" t="n">
        <v>25</v>
      </c>
      <c r="J51" s="7" t="inlineStr">
        <is>
          <t>upper-upscale</t>
        </is>
      </c>
      <c r="K51" s="7" t="n"/>
      <c r="M51" s="16" t="inlineStr">
        <is>
          <t>False</t>
        </is>
      </c>
      <c r="N51" s="16" t="inlineStr">
        <is>
          <t>False</t>
        </is>
      </c>
      <c r="O51" s="16" t="inlineStr">
        <is>
          <t>False</t>
        </is>
      </c>
      <c r="P51" s="16" t="inlineStr">
        <is>
          <t>False</t>
        </is>
      </c>
      <c r="Q51" s="16" t="inlineStr">
        <is>
          <t>False</t>
        </is>
      </c>
      <c r="R51" s="16" t="inlineStr">
        <is>
          <t>False</t>
        </is>
      </c>
      <c r="S51" s="16" t="inlineStr">
        <is>
          <t>False</t>
        </is>
      </c>
      <c r="T51" s="16" t="inlineStr">
        <is>
          <t>False</t>
        </is>
      </c>
      <c r="U51" s="16" t="inlineStr">
        <is>
          <t>False</t>
        </is>
      </c>
      <c r="V51" s="16" t="inlineStr">
        <is>
          <t>False</t>
        </is>
      </c>
      <c r="W51" s="16" t="inlineStr">
        <is>
          <t>False</t>
        </is>
      </c>
    </row>
    <row r="52" ht="15.75" customHeight="1" s="34">
      <c r="A52" s="7" t="inlineStr">
        <is>
          <t>Hyatt Regency Denver Tech Center</t>
        </is>
      </c>
      <c r="B52" s="7" t="inlineStr">
        <is>
          <t>False</t>
        </is>
      </c>
      <c r="C52" s="7" t="n"/>
      <c r="D52" s="7" t="n"/>
      <c r="E52" s="7" t="inlineStr">
        <is>
          <t>(303) 779-1234</t>
        </is>
      </c>
      <c r="F52" s="7" t="n"/>
      <c r="G52" s="7" t="n"/>
      <c r="H52" s="15" t="n">
        <v>15</v>
      </c>
      <c r="I52" s="15" t="n">
        <v>25</v>
      </c>
      <c r="J52" s="7" t="inlineStr">
        <is>
          <t>upper-upscale</t>
        </is>
      </c>
      <c r="K52" s="7" t="n"/>
      <c r="M52" s="16" t="inlineStr">
        <is>
          <t>False</t>
        </is>
      </c>
      <c r="N52" s="16" t="inlineStr">
        <is>
          <t>False</t>
        </is>
      </c>
      <c r="O52" s="16" t="inlineStr">
        <is>
          <t>False</t>
        </is>
      </c>
      <c r="P52" s="16" t="inlineStr">
        <is>
          <t>False</t>
        </is>
      </c>
      <c r="Q52" s="16" t="inlineStr">
        <is>
          <t>False</t>
        </is>
      </c>
      <c r="R52" s="16" t="inlineStr">
        <is>
          <t>False</t>
        </is>
      </c>
      <c r="S52" s="16" t="inlineStr">
        <is>
          <t>False</t>
        </is>
      </c>
      <c r="T52" s="16" t="inlineStr">
        <is>
          <t>False</t>
        </is>
      </c>
      <c r="U52" s="16" t="inlineStr">
        <is>
          <t>False</t>
        </is>
      </c>
      <c r="V52" s="16" t="inlineStr">
        <is>
          <t>False</t>
        </is>
      </c>
      <c r="W52" s="16" t="inlineStr">
        <is>
          <t>False</t>
        </is>
      </c>
    </row>
    <row r="53" ht="15.75" customHeight="1" s="34">
      <c r="A53" s="7" t="inlineStr">
        <is>
          <t>Renaissance Denver Hotel &amp; Conference Center</t>
        </is>
      </c>
      <c r="B53" s="7" t="inlineStr">
        <is>
          <t>False</t>
        </is>
      </c>
      <c r="C53" s="7" t="n"/>
      <c r="D53" s="7" t="n"/>
      <c r="E53" s="7" t="inlineStr">
        <is>
          <t>(303) 399-7500</t>
        </is>
      </c>
      <c r="F53" s="7" t="n"/>
      <c r="G53" s="7" t="n"/>
      <c r="H53" s="15" t="n">
        <v>21</v>
      </c>
      <c r="I53" s="15" t="n">
        <v>19</v>
      </c>
      <c r="J53" s="7" t="inlineStr">
        <is>
          <t>upper-upscale</t>
        </is>
      </c>
      <c r="K53" s="7" t="n"/>
      <c r="M53" s="16" t="inlineStr">
        <is>
          <t>False</t>
        </is>
      </c>
      <c r="N53" s="16" t="inlineStr">
        <is>
          <t>False</t>
        </is>
      </c>
      <c r="O53" s="16" t="inlineStr">
        <is>
          <t>False</t>
        </is>
      </c>
      <c r="P53" s="16" t="inlineStr">
        <is>
          <t>False</t>
        </is>
      </c>
      <c r="Q53" s="16" t="inlineStr">
        <is>
          <t>False</t>
        </is>
      </c>
      <c r="R53" s="16" t="inlineStr">
        <is>
          <t>False</t>
        </is>
      </c>
      <c r="S53" s="16" t="inlineStr">
        <is>
          <t>False</t>
        </is>
      </c>
      <c r="T53" s="16" t="inlineStr">
        <is>
          <t>False</t>
        </is>
      </c>
      <c r="U53" s="16" t="inlineStr">
        <is>
          <t>False</t>
        </is>
      </c>
      <c r="V53" s="16" t="inlineStr">
        <is>
          <t>False</t>
        </is>
      </c>
      <c r="W53" s="16" t="inlineStr">
        <is>
          <t>False</t>
        </is>
      </c>
    </row>
    <row r="54" ht="15.75" customHeight="1" s="34">
      <c r="A54" s="7" t="inlineStr">
        <is>
          <t>DoubleTree by Hilton Hotel Denver</t>
        </is>
      </c>
      <c r="B54" s="7" t="inlineStr">
        <is>
          <t>False</t>
        </is>
      </c>
      <c r="C54" s="7" t="inlineStr">
        <is>
          <t>Cheryl Biggins</t>
        </is>
      </c>
      <c r="D54" s="7" t="n"/>
      <c r="E54" s="7" t="inlineStr">
        <is>
          <t>(303) 321-3333</t>
        </is>
      </c>
      <c r="F54" s="7" t="n"/>
      <c r="G54" s="7" t="n"/>
      <c r="H54" s="15" t="n">
        <v>18</v>
      </c>
      <c r="I54" s="17" t="inlineStr">
        <is>
          <t>No Valet</t>
        </is>
      </c>
      <c r="J54" s="7" t="inlineStr">
        <is>
          <t>upscale</t>
        </is>
      </c>
      <c r="K54" s="7" t="n"/>
      <c r="M54" s="16" t="inlineStr">
        <is>
          <t>False</t>
        </is>
      </c>
      <c r="N54" s="16" t="inlineStr">
        <is>
          <t>False</t>
        </is>
      </c>
      <c r="O54" s="16" t="inlineStr">
        <is>
          <t>False</t>
        </is>
      </c>
      <c r="P54" s="16" t="inlineStr">
        <is>
          <t>False</t>
        </is>
      </c>
      <c r="Q54" s="16" t="inlineStr">
        <is>
          <t>False</t>
        </is>
      </c>
      <c r="R54" s="16" t="inlineStr">
        <is>
          <t>False</t>
        </is>
      </c>
      <c r="S54" s="16" t="inlineStr">
        <is>
          <t>False</t>
        </is>
      </c>
      <c r="T54" s="16" t="inlineStr">
        <is>
          <t>False</t>
        </is>
      </c>
      <c r="U54" s="16" t="inlineStr">
        <is>
          <t>False</t>
        </is>
      </c>
      <c r="V54" s="16" t="inlineStr">
        <is>
          <t>False</t>
        </is>
      </c>
      <c r="W54" s="16" t="inlineStr">
        <is>
          <t>False</t>
        </is>
      </c>
    </row>
    <row r="55" ht="15.75" customHeight="1" s="34">
      <c r="A55" s="7" t="inlineStr">
        <is>
          <t>Courtyard Denver Central Park</t>
        </is>
      </c>
      <c r="B55" s="7" t="inlineStr">
        <is>
          <t>False</t>
        </is>
      </c>
      <c r="C55" s="7" t="inlineStr">
        <is>
          <t>Chris Davis</t>
        </is>
      </c>
      <c r="D55" s="7" t="n"/>
      <c r="E55" s="7" t="inlineStr">
        <is>
          <t>(303) 333-3303</t>
        </is>
      </c>
      <c r="F55" s="7" t="n"/>
      <c r="G55" s="7" t="n"/>
      <c r="H55" s="15" t="n">
        <v>5</v>
      </c>
      <c r="I55" s="17" t="inlineStr">
        <is>
          <t>No Valet</t>
        </is>
      </c>
      <c r="J55" s="7" t="inlineStr">
        <is>
          <t>upscale</t>
        </is>
      </c>
      <c r="K55" s="7" t="n"/>
      <c r="M55" s="16" t="inlineStr">
        <is>
          <t>False</t>
        </is>
      </c>
      <c r="N55" s="16" t="inlineStr">
        <is>
          <t>False</t>
        </is>
      </c>
      <c r="O55" s="16" t="inlineStr">
        <is>
          <t>False</t>
        </is>
      </c>
      <c r="P55" s="16" t="inlineStr">
        <is>
          <t>False</t>
        </is>
      </c>
      <c r="Q55" s="16" t="inlineStr">
        <is>
          <t>False</t>
        </is>
      </c>
      <c r="R55" s="16" t="inlineStr">
        <is>
          <t>False</t>
        </is>
      </c>
      <c r="S55" s="16" t="inlineStr">
        <is>
          <t>False</t>
        </is>
      </c>
      <c r="T55" s="16" t="inlineStr">
        <is>
          <t>False</t>
        </is>
      </c>
      <c r="U55" s="16" t="inlineStr">
        <is>
          <t>False</t>
        </is>
      </c>
      <c r="V55" s="16" t="inlineStr">
        <is>
          <t>False</t>
        </is>
      </c>
      <c r="W55" s="16" t="inlineStr">
        <is>
          <t>False</t>
        </is>
      </c>
    </row>
    <row r="56" ht="15.75" customHeight="1" s="34">
      <c r="A56" s="7" t="inlineStr">
        <is>
          <t>Hampton Inn &amp; Suites Denver-Speer Boulevard</t>
        </is>
      </c>
      <c r="B56" s="7" t="inlineStr">
        <is>
          <t>False</t>
        </is>
      </c>
      <c r="C56" s="7" t="n"/>
      <c r="D56" s="7" t="n"/>
      <c r="E56" s="7" t="inlineStr">
        <is>
          <t>(303) 825-0500</t>
        </is>
      </c>
      <c r="F56" s="7" t="n"/>
      <c r="G56" s="7" t="n"/>
      <c r="H56" s="17" t="inlineStr">
        <is>
          <t>Free</t>
        </is>
      </c>
      <c r="I56" s="17" t="inlineStr">
        <is>
          <t>No Valet</t>
        </is>
      </c>
      <c r="J56" s="7" t="inlineStr">
        <is>
          <t>upper-midscale</t>
        </is>
      </c>
      <c r="K56" s="7" t="n"/>
      <c r="M56" s="16" t="inlineStr">
        <is>
          <t>False</t>
        </is>
      </c>
      <c r="N56" s="16" t="inlineStr">
        <is>
          <t>False</t>
        </is>
      </c>
      <c r="O56" s="16" t="inlineStr">
        <is>
          <t>False</t>
        </is>
      </c>
      <c r="P56" s="16" t="inlineStr">
        <is>
          <t>False</t>
        </is>
      </c>
      <c r="Q56" s="16" t="inlineStr">
        <is>
          <t>False</t>
        </is>
      </c>
      <c r="R56" s="16" t="inlineStr">
        <is>
          <t>False</t>
        </is>
      </c>
      <c r="S56" s="16" t="inlineStr">
        <is>
          <t>False</t>
        </is>
      </c>
      <c r="T56" s="16" t="inlineStr">
        <is>
          <t>False</t>
        </is>
      </c>
      <c r="U56" s="16" t="inlineStr">
        <is>
          <t>False</t>
        </is>
      </c>
      <c r="V56" s="16" t="inlineStr">
        <is>
          <t>False</t>
        </is>
      </c>
      <c r="W56" s="16" t="inlineStr">
        <is>
          <t>False</t>
        </is>
      </c>
    </row>
    <row r="57" ht="15.75" customHeight="1" s="34">
      <c r="A57" s="7" t="inlineStr">
        <is>
          <t>Drury Inn &amp; Suites Denver Central Park</t>
        </is>
      </c>
      <c r="B57" s="7" t="inlineStr">
        <is>
          <t>False</t>
        </is>
      </c>
      <c r="C57" s="7" t="n"/>
      <c r="D57" s="7" t="n"/>
      <c r="E57" s="7" t="inlineStr">
        <is>
          <t>(303) 373-2313</t>
        </is>
      </c>
      <c r="F57" s="7" t="n"/>
      <c r="G57" s="7" t="n"/>
      <c r="H57" s="17" t="inlineStr">
        <is>
          <t>Free</t>
        </is>
      </c>
      <c r="I57" s="17" t="inlineStr">
        <is>
          <t>No Valet</t>
        </is>
      </c>
      <c r="J57" s="7" t="inlineStr">
        <is>
          <t>upper-midscale</t>
        </is>
      </c>
      <c r="K57" s="7" t="n"/>
      <c r="M57" s="16" t="inlineStr">
        <is>
          <t>False</t>
        </is>
      </c>
      <c r="N57" s="16" t="inlineStr">
        <is>
          <t>False</t>
        </is>
      </c>
      <c r="O57" s="16" t="inlineStr">
        <is>
          <t>False</t>
        </is>
      </c>
      <c r="P57" s="16" t="inlineStr">
        <is>
          <t>False</t>
        </is>
      </c>
      <c r="Q57" s="16" t="inlineStr">
        <is>
          <t>False</t>
        </is>
      </c>
      <c r="R57" s="16" t="inlineStr">
        <is>
          <t>False</t>
        </is>
      </c>
      <c r="S57" s="16" t="inlineStr">
        <is>
          <t>False</t>
        </is>
      </c>
      <c r="T57" s="16" t="inlineStr">
        <is>
          <t>False</t>
        </is>
      </c>
      <c r="U57" s="16" t="inlineStr">
        <is>
          <t>False</t>
        </is>
      </c>
      <c r="V57" s="16" t="inlineStr">
        <is>
          <t>False</t>
        </is>
      </c>
      <c r="W57" s="16" t="inlineStr">
        <is>
          <t>False</t>
        </is>
      </c>
    </row>
    <row r="58" ht="15.75" customHeight="1" s="34">
      <c r="A58" s="7" t="inlineStr">
        <is>
          <t>Cambria Hotel Denver Downtown RiNo</t>
        </is>
      </c>
      <c r="B58" s="7" t="inlineStr">
        <is>
          <t>False</t>
        </is>
      </c>
      <c r="C58" s="7" t="inlineStr">
        <is>
          <t>Phyllis Meyer</t>
        </is>
      </c>
      <c r="D58" s="7" t="n"/>
      <c r="E58" s="7" t="inlineStr">
        <is>
          <t>(720) 806-7251</t>
        </is>
      </c>
      <c r="F58" s="7" t="n"/>
      <c r="G58" s="7" t="n"/>
      <c r="H58" s="15" t="n">
        <v>20</v>
      </c>
      <c r="I58" s="17" t="inlineStr">
        <is>
          <t>No Valet</t>
        </is>
      </c>
      <c r="J58" s="7" t="inlineStr">
        <is>
          <t>upscale</t>
        </is>
      </c>
      <c r="K58" s="7" t="n"/>
      <c r="M58" s="16" t="inlineStr">
        <is>
          <t>False</t>
        </is>
      </c>
      <c r="N58" s="16" t="inlineStr">
        <is>
          <t>False</t>
        </is>
      </c>
      <c r="O58" s="16" t="inlineStr">
        <is>
          <t>False</t>
        </is>
      </c>
      <c r="P58" s="16" t="inlineStr">
        <is>
          <t>False</t>
        </is>
      </c>
      <c r="Q58" s="16" t="inlineStr">
        <is>
          <t>False</t>
        </is>
      </c>
      <c r="R58" s="16" t="inlineStr">
        <is>
          <t>False</t>
        </is>
      </c>
      <c r="S58" s="16" t="inlineStr">
        <is>
          <t>False</t>
        </is>
      </c>
      <c r="T58" s="16" t="inlineStr">
        <is>
          <t>False</t>
        </is>
      </c>
      <c r="U58" s="16" t="inlineStr">
        <is>
          <t>False</t>
        </is>
      </c>
      <c r="V58" s="16" t="inlineStr">
        <is>
          <t>False</t>
        </is>
      </c>
      <c r="W58" s="16" t="inlineStr">
        <is>
          <t>False</t>
        </is>
      </c>
    </row>
    <row r="59" ht="15.75" customHeight="1" s="34">
      <c r="A59" s="7" t="inlineStr">
        <is>
          <t>The Source Hotel</t>
        </is>
      </c>
      <c r="B59" s="7" t="inlineStr">
        <is>
          <t>False</t>
        </is>
      </c>
      <c r="C59" s="7" t="inlineStr">
        <is>
          <t>HC Noll</t>
        </is>
      </c>
      <c r="D59" s="7" t="n"/>
      <c r="E59" s="7" t="inlineStr">
        <is>
          <t>(720) 409-1200</t>
        </is>
      </c>
      <c r="F59" s="7" t="inlineStr">
        <is>
          <t>LAZ</t>
        </is>
      </c>
      <c r="G59" s="7" t="n"/>
      <c r="H59" s="15" t="n">
        <v>24</v>
      </c>
      <c r="I59" s="17" t="inlineStr">
        <is>
          <t>No Valet</t>
        </is>
      </c>
      <c r="J59" s="7" t="inlineStr">
        <is>
          <t>upscale</t>
        </is>
      </c>
      <c r="K59" s="7" t="n"/>
      <c r="M59" s="16" t="inlineStr">
        <is>
          <t>False</t>
        </is>
      </c>
      <c r="N59" s="16" t="inlineStr">
        <is>
          <t>False</t>
        </is>
      </c>
      <c r="O59" s="16" t="inlineStr">
        <is>
          <t>False</t>
        </is>
      </c>
      <c r="P59" s="16" t="inlineStr">
        <is>
          <t>False</t>
        </is>
      </c>
      <c r="Q59" s="16" t="inlineStr">
        <is>
          <t>False</t>
        </is>
      </c>
      <c r="R59" s="16" t="inlineStr">
        <is>
          <t>False</t>
        </is>
      </c>
      <c r="S59" s="16" t="inlineStr">
        <is>
          <t>False</t>
        </is>
      </c>
      <c r="T59" s="16" t="inlineStr">
        <is>
          <t>False</t>
        </is>
      </c>
      <c r="U59" s="16" t="inlineStr">
        <is>
          <t>False</t>
        </is>
      </c>
      <c r="V59" s="16" t="inlineStr">
        <is>
          <t>False</t>
        </is>
      </c>
      <c r="W59" s="16" t="inlineStr">
        <is>
          <t>False</t>
        </is>
      </c>
    </row>
    <row r="60" ht="15.75" customHeight="1" s="34">
      <c r="A60" s="7" t="inlineStr">
        <is>
          <t>the Curtis Denver - a DoubleTree by Hilton Hotel</t>
        </is>
      </c>
      <c r="B60" s="7" t="inlineStr">
        <is>
          <t>False</t>
        </is>
      </c>
      <c r="C60" s="7" t="inlineStr">
        <is>
          <t>Lizzie Raudenbush</t>
        </is>
      </c>
      <c r="D60" s="7" t="n"/>
      <c r="E60" s="7" t="inlineStr">
        <is>
          <t>(303) 571-0300</t>
        </is>
      </c>
      <c r="F60" s="7" t="inlineStr">
        <is>
          <t>Hilton</t>
        </is>
      </c>
      <c r="G60" s="7" t="n"/>
      <c r="H60" s="15" t="n">
        <v>45</v>
      </c>
      <c r="I60" s="17" t="inlineStr">
        <is>
          <t>No Valet</t>
        </is>
      </c>
      <c r="J60" s="7" t="inlineStr">
        <is>
          <t>upscale</t>
        </is>
      </c>
      <c r="K60" s="7" t="n"/>
      <c r="M60" s="16" t="inlineStr">
        <is>
          <t>False</t>
        </is>
      </c>
      <c r="N60" s="16" t="inlineStr">
        <is>
          <t>False</t>
        </is>
      </c>
      <c r="O60" s="16" t="inlineStr">
        <is>
          <t>False</t>
        </is>
      </c>
      <c r="P60" s="16" t="inlineStr">
        <is>
          <t>False</t>
        </is>
      </c>
      <c r="Q60" s="16" t="inlineStr">
        <is>
          <t>False</t>
        </is>
      </c>
      <c r="R60" s="16" t="inlineStr">
        <is>
          <t>False</t>
        </is>
      </c>
      <c r="S60" s="16" t="inlineStr">
        <is>
          <t>False</t>
        </is>
      </c>
      <c r="T60" s="16" t="inlineStr">
        <is>
          <t>False</t>
        </is>
      </c>
      <c r="U60" s="16" t="inlineStr">
        <is>
          <t>False</t>
        </is>
      </c>
      <c r="V60" s="16" t="inlineStr">
        <is>
          <t>False</t>
        </is>
      </c>
      <c r="W60" s="16" t="inlineStr">
        <is>
          <t>False</t>
        </is>
      </c>
    </row>
    <row r="61" ht="15.75" customHeight="1" s="34">
      <c r="A61" s="7" t="inlineStr">
        <is>
          <t>Courtyard Denver Downtown</t>
        </is>
      </c>
      <c r="B61" s="7" t="inlineStr">
        <is>
          <t>False</t>
        </is>
      </c>
      <c r="C61" s="7" t="inlineStr">
        <is>
          <t>Craig</t>
        </is>
      </c>
      <c r="D61" s="7" t="n"/>
      <c r="E61" s="7" t="inlineStr">
        <is>
          <t>(303) 571-1114</t>
        </is>
      </c>
      <c r="F61" s="7" t="inlineStr">
        <is>
          <t>Marriott</t>
        </is>
      </c>
      <c r="G61" s="7" t="n"/>
      <c r="H61" s="15" t="n">
        <v>46</v>
      </c>
      <c r="I61" s="17" t="inlineStr">
        <is>
          <t>No Valet</t>
        </is>
      </c>
      <c r="J61" s="7" t="inlineStr">
        <is>
          <t>upscale</t>
        </is>
      </c>
      <c r="K61" s="7" t="n"/>
      <c r="M61" s="16" t="inlineStr">
        <is>
          <t>False</t>
        </is>
      </c>
      <c r="N61" s="16" t="inlineStr">
        <is>
          <t>False</t>
        </is>
      </c>
      <c r="O61" s="16" t="inlineStr">
        <is>
          <t>False</t>
        </is>
      </c>
      <c r="P61" s="16" t="inlineStr">
        <is>
          <t>False</t>
        </is>
      </c>
      <c r="Q61" s="16" t="inlineStr">
        <is>
          <t>False</t>
        </is>
      </c>
      <c r="R61" s="16" t="inlineStr">
        <is>
          <t>False</t>
        </is>
      </c>
      <c r="S61" s="16" t="inlineStr">
        <is>
          <t>False</t>
        </is>
      </c>
      <c r="T61" s="16" t="inlineStr">
        <is>
          <t>False</t>
        </is>
      </c>
      <c r="U61" s="16" t="inlineStr">
        <is>
          <t>False</t>
        </is>
      </c>
      <c r="V61" s="16" t="inlineStr">
        <is>
          <t>False</t>
        </is>
      </c>
      <c r="W61" s="16" t="inlineStr">
        <is>
          <t>False</t>
        </is>
      </c>
    </row>
    <row r="62" ht="15.75" customHeight="1" s="34">
      <c r="A62" s="7" t="inlineStr">
        <is>
          <t>Hyatt Regency Aurora-Denver Conference Center</t>
        </is>
      </c>
      <c r="B62" s="7" t="inlineStr">
        <is>
          <t>False</t>
        </is>
      </c>
      <c r="C62" s="7" t="inlineStr">
        <is>
          <t>Daniel Benton</t>
        </is>
      </c>
      <c r="D62" s="7" t="n"/>
      <c r="E62" s="7" t="inlineStr">
        <is>
          <t>(303) 365-1234</t>
        </is>
      </c>
      <c r="F62" s="7" t="n"/>
      <c r="G62" s="7" t="n"/>
      <c r="J62" s="7" t="inlineStr">
        <is>
          <t>upper-upscale</t>
        </is>
      </c>
      <c r="K62" s="7" t="n"/>
      <c r="M62" s="16" t="inlineStr">
        <is>
          <t>False</t>
        </is>
      </c>
      <c r="N62" s="16" t="inlineStr">
        <is>
          <t>False</t>
        </is>
      </c>
      <c r="O62" s="16" t="inlineStr">
        <is>
          <t>False</t>
        </is>
      </c>
      <c r="P62" s="16" t="inlineStr">
        <is>
          <t>False</t>
        </is>
      </c>
      <c r="Q62" s="16" t="inlineStr">
        <is>
          <t>False</t>
        </is>
      </c>
      <c r="R62" s="16" t="inlineStr">
        <is>
          <t>False</t>
        </is>
      </c>
      <c r="S62" s="16" t="inlineStr">
        <is>
          <t>False</t>
        </is>
      </c>
      <c r="T62" s="16" t="inlineStr">
        <is>
          <t>False</t>
        </is>
      </c>
      <c r="U62" s="16" t="inlineStr">
        <is>
          <t>False</t>
        </is>
      </c>
      <c r="V62" s="16" t="inlineStr">
        <is>
          <t>False</t>
        </is>
      </c>
      <c r="W62" s="16" t="inlineStr">
        <is>
          <t>False</t>
        </is>
      </c>
    </row>
    <row r="63" ht="15.75" customHeight="1" s="34">
      <c r="A63" s="7" t="inlineStr">
        <is>
          <t>Sonesta Denver Downtown</t>
        </is>
      </c>
      <c r="B63" s="7" t="inlineStr">
        <is>
          <t>False</t>
        </is>
      </c>
      <c r="C63" s="7" t="inlineStr">
        <is>
          <t>Jason Polland</t>
        </is>
      </c>
      <c r="D63" s="7" t="n"/>
      <c r="E63" s="7" t="inlineStr">
        <is>
          <t>(303) 573-1450</t>
        </is>
      </c>
      <c r="F63" s="7" t="n"/>
      <c r="G63" s="7" t="n"/>
      <c r="H63" s="15" t="n">
        <v>47</v>
      </c>
      <c r="I63" s="17" t="inlineStr">
        <is>
          <t>No Valet</t>
        </is>
      </c>
      <c r="J63" s="7" t="inlineStr">
        <is>
          <t>upper-upscale</t>
        </is>
      </c>
      <c r="K63" s="7" t="n"/>
      <c r="M63" s="16" t="inlineStr">
        <is>
          <t>False</t>
        </is>
      </c>
      <c r="N63" s="16" t="inlineStr">
        <is>
          <t>False</t>
        </is>
      </c>
      <c r="O63" s="16" t="inlineStr">
        <is>
          <t>False</t>
        </is>
      </c>
      <c r="P63" s="16" t="inlineStr">
        <is>
          <t>False</t>
        </is>
      </c>
      <c r="Q63" s="16" t="inlineStr">
        <is>
          <t>False</t>
        </is>
      </c>
      <c r="R63" s="16" t="inlineStr">
        <is>
          <t>False</t>
        </is>
      </c>
      <c r="S63" s="16" t="inlineStr">
        <is>
          <t>False</t>
        </is>
      </c>
      <c r="T63" s="16" t="inlineStr">
        <is>
          <t>False</t>
        </is>
      </c>
      <c r="U63" s="16" t="inlineStr">
        <is>
          <t>False</t>
        </is>
      </c>
      <c r="V63" s="16" t="inlineStr">
        <is>
          <t>False</t>
        </is>
      </c>
      <c r="W63" s="16" t="inlineStr">
        <is>
          <t>False</t>
        </is>
      </c>
    </row>
    <row r="64" ht="15.75" customHeight="1" s="34">
      <c r="A64" s="7" t="inlineStr">
        <is>
          <t>Vīb Hotel by Best Western Denver RiNo</t>
        </is>
      </c>
      <c r="B64" s="7" t="inlineStr">
        <is>
          <t>False</t>
        </is>
      </c>
      <c r="C64" s="7" t="n"/>
      <c r="D64" s="7" t="n"/>
      <c r="E64" s="7" t="inlineStr">
        <is>
          <t>(720) 844-3100</t>
        </is>
      </c>
      <c r="F64" s="7" t="n"/>
      <c r="G64" s="7" t="n"/>
      <c r="H64" s="15" t="n">
        <v>15</v>
      </c>
      <c r="I64" s="17" t="inlineStr">
        <is>
          <t>No Valet</t>
        </is>
      </c>
      <c r="J64" s="7" t="inlineStr">
        <is>
          <t>midscale</t>
        </is>
      </c>
      <c r="K64" s="7" t="n"/>
      <c r="M64" s="16" t="inlineStr">
        <is>
          <t>False</t>
        </is>
      </c>
      <c r="N64" s="16" t="inlineStr">
        <is>
          <t>False</t>
        </is>
      </c>
      <c r="O64" s="16" t="inlineStr">
        <is>
          <t>False</t>
        </is>
      </c>
      <c r="P64" s="16" t="inlineStr">
        <is>
          <t>False</t>
        </is>
      </c>
      <c r="Q64" s="16" t="inlineStr">
        <is>
          <t>False</t>
        </is>
      </c>
      <c r="R64" s="16" t="inlineStr">
        <is>
          <t>False</t>
        </is>
      </c>
      <c r="S64" s="16" t="inlineStr">
        <is>
          <t>False</t>
        </is>
      </c>
      <c r="T64" s="16" t="inlineStr">
        <is>
          <t>False</t>
        </is>
      </c>
      <c r="U64" s="16" t="inlineStr">
        <is>
          <t>False</t>
        </is>
      </c>
      <c r="V64" s="16" t="inlineStr">
        <is>
          <t>False</t>
        </is>
      </c>
      <c r="W64" s="16" t="inlineStr">
        <is>
          <t>False</t>
        </is>
      </c>
    </row>
    <row r="65" ht="15.75" customHeight="1" s="34">
      <c r="A65" s="7" t="inlineStr">
        <is>
          <t>Element Denver Downtown East</t>
        </is>
      </c>
      <c r="B65" s="7" t="inlineStr">
        <is>
          <t>False</t>
        </is>
      </c>
      <c r="C65" s="7" t="inlineStr">
        <is>
          <t>Alexa</t>
        </is>
      </c>
      <c r="D65" s="7" t="n"/>
      <c r="E65" s="7" t="inlineStr">
        <is>
          <t>(720) 614-5555</t>
        </is>
      </c>
      <c r="F65" s="7" t="n"/>
      <c r="G65" s="7" t="n"/>
      <c r="H65" s="15" t="n">
        <v>35</v>
      </c>
      <c r="I65" s="17" t="inlineStr">
        <is>
          <t>No Valet</t>
        </is>
      </c>
      <c r="J65" s="7" t="inlineStr">
        <is>
          <t>upscale</t>
        </is>
      </c>
      <c r="K65" s="7" t="n"/>
      <c r="M65" s="16" t="inlineStr">
        <is>
          <t>False</t>
        </is>
      </c>
      <c r="N65" s="16" t="inlineStr">
        <is>
          <t>False</t>
        </is>
      </c>
      <c r="O65" s="16" t="inlineStr">
        <is>
          <t>False</t>
        </is>
      </c>
      <c r="P65" s="16" t="inlineStr">
        <is>
          <t>False</t>
        </is>
      </c>
      <c r="Q65" s="16" t="inlineStr">
        <is>
          <t>False</t>
        </is>
      </c>
      <c r="R65" s="16" t="inlineStr">
        <is>
          <t>False</t>
        </is>
      </c>
      <c r="S65" s="16" t="inlineStr">
        <is>
          <t>False</t>
        </is>
      </c>
      <c r="T65" s="16" t="inlineStr">
        <is>
          <t>False</t>
        </is>
      </c>
      <c r="U65" s="16" t="inlineStr">
        <is>
          <t>False</t>
        </is>
      </c>
      <c r="V65" s="16" t="inlineStr">
        <is>
          <t>False</t>
        </is>
      </c>
      <c r="W65" s="16" t="inlineStr">
        <is>
          <t>False</t>
        </is>
      </c>
    </row>
    <row r="66" ht="15.75" customHeight="1" s="34">
      <c r="A66" s="7" t="inlineStr">
        <is>
          <t>DoubleTree by Hilton Hotel Denver Tech Center</t>
        </is>
      </c>
      <c r="B66" s="7" t="inlineStr">
        <is>
          <t>False</t>
        </is>
      </c>
      <c r="C66" s="7" t="n"/>
      <c r="D66" s="7" t="n"/>
      <c r="E66" s="7" t="inlineStr">
        <is>
          <t>(303) 779-6161</t>
        </is>
      </c>
      <c r="F66" s="7" t="n"/>
      <c r="G66" s="7" t="n"/>
      <c r="H66" s="17" t="inlineStr">
        <is>
          <t>Free</t>
        </is>
      </c>
      <c r="I66" s="17" t="inlineStr">
        <is>
          <t>No Valet</t>
        </is>
      </c>
      <c r="J66" s="7" t="inlineStr">
        <is>
          <t>upscale</t>
        </is>
      </c>
      <c r="K66" s="7" t="n"/>
      <c r="M66" s="16" t="inlineStr">
        <is>
          <t>False</t>
        </is>
      </c>
      <c r="N66" s="16" t="inlineStr">
        <is>
          <t>False</t>
        </is>
      </c>
      <c r="O66" s="16" t="inlineStr">
        <is>
          <t>False</t>
        </is>
      </c>
      <c r="P66" s="16" t="inlineStr">
        <is>
          <t>False</t>
        </is>
      </c>
      <c r="Q66" s="16" t="inlineStr">
        <is>
          <t>False</t>
        </is>
      </c>
      <c r="R66" s="16" t="inlineStr">
        <is>
          <t>False</t>
        </is>
      </c>
      <c r="S66" s="16" t="inlineStr">
        <is>
          <t>False</t>
        </is>
      </c>
      <c r="T66" s="16" t="inlineStr">
        <is>
          <t>False</t>
        </is>
      </c>
      <c r="U66" s="16" t="inlineStr">
        <is>
          <t>False</t>
        </is>
      </c>
      <c r="V66" s="16" t="inlineStr">
        <is>
          <t>False</t>
        </is>
      </c>
      <c r="W66" s="16" t="inlineStr">
        <is>
          <t>False</t>
        </is>
      </c>
    </row>
    <row r="67" ht="15.75" customHeight="1" s="34">
      <c r="A67" s="7" t="inlineStr">
        <is>
          <t>Embassy Suites by Hilton Denver Tech Center</t>
        </is>
      </c>
      <c r="B67" s="7" t="inlineStr">
        <is>
          <t>False</t>
        </is>
      </c>
      <c r="C67" s="7" t="n"/>
      <c r="D67" s="7" t="n"/>
      <c r="E67" s="7" t="inlineStr">
        <is>
          <t>(855) 605-0319</t>
        </is>
      </c>
      <c r="F67" s="7" t="n"/>
      <c r="G67" s="7" t="n"/>
      <c r="H67" s="15" t="n">
        <v>20</v>
      </c>
      <c r="I67" s="17" t="inlineStr">
        <is>
          <t>No Valet</t>
        </is>
      </c>
      <c r="J67" s="7" t="inlineStr">
        <is>
          <t>upper-upscale</t>
        </is>
      </c>
      <c r="K67" s="7" t="n"/>
      <c r="M67" s="16" t="inlineStr">
        <is>
          <t>False</t>
        </is>
      </c>
      <c r="N67" s="16" t="inlineStr">
        <is>
          <t>False</t>
        </is>
      </c>
      <c r="O67" s="16" t="inlineStr">
        <is>
          <t>False</t>
        </is>
      </c>
      <c r="P67" s="16" t="inlineStr">
        <is>
          <t>False</t>
        </is>
      </c>
      <c r="Q67" s="16" t="inlineStr">
        <is>
          <t>False</t>
        </is>
      </c>
      <c r="R67" s="16" t="inlineStr">
        <is>
          <t>False</t>
        </is>
      </c>
      <c r="S67" s="16" t="inlineStr">
        <is>
          <t>False</t>
        </is>
      </c>
      <c r="T67" s="16" t="inlineStr">
        <is>
          <t>False</t>
        </is>
      </c>
      <c r="U67" s="16" t="inlineStr">
        <is>
          <t>False</t>
        </is>
      </c>
      <c r="V67" s="16" t="inlineStr">
        <is>
          <t>False</t>
        </is>
      </c>
      <c r="W67" s="16" t="inlineStr">
        <is>
          <t>False</t>
        </is>
      </c>
    </row>
    <row r="68" ht="15.75" customHeight="1" s="34">
      <c r="A68" s="7" t="inlineStr">
        <is>
          <t>The Inverness Denver, a Hilton Golf &amp; Spa Resort</t>
        </is>
      </c>
      <c r="B68" s="7" t="inlineStr">
        <is>
          <t>False</t>
        </is>
      </c>
      <c r="C68" s="7" t="n"/>
      <c r="D68" s="7" t="n"/>
      <c r="E68" s="7" t="inlineStr">
        <is>
          <t>(303) 799-5800</t>
        </is>
      </c>
      <c r="F68" s="7" t="n"/>
      <c r="G68" s="7" t="inlineStr">
        <is>
          <t>In House</t>
        </is>
      </c>
      <c r="H68" s="17" t="inlineStr">
        <is>
          <t>Free</t>
        </is>
      </c>
      <c r="I68" s="17" t="inlineStr">
        <is>
          <t>Free (included in resort fee)</t>
        </is>
      </c>
      <c r="J68" s="7" t="inlineStr">
        <is>
          <t>upper-upscale</t>
        </is>
      </c>
      <c r="K68" s="7" t="n"/>
      <c r="M68" s="16" t="inlineStr">
        <is>
          <t>False</t>
        </is>
      </c>
      <c r="N68" s="16" t="inlineStr">
        <is>
          <t>False</t>
        </is>
      </c>
      <c r="O68" s="16" t="inlineStr">
        <is>
          <t>False</t>
        </is>
      </c>
      <c r="P68" s="16" t="inlineStr">
        <is>
          <t>False</t>
        </is>
      </c>
      <c r="Q68" s="16" t="inlineStr">
        <is>
          <t>False</t>
        </is>
      </c>
      <c r="R68" s="16" t="inlineStr">
        <is>
          <t>False</t>
        </is>
      </c>
      <c r="S68" s="16" t="inlineStr">
        <is>
          <t>False</t>
        </is>
      </c>
      <c r="T68" s="16" t="inlineStr">
        <is>
          <t>False</t>
        </is>
      </c>
      <c r="U68" s="16" t="inlineStr">
        <is>
          <t>False</t>
        </is>
      </c>
      <c r="V68" s="16" t="inlineStr">
        <is>
          <t>False</t>
        </is>
      </c>
      <c r="W68" s="16" t="inlineStr">
        <is>
          <t>False</t>
        </is>
      </c>
    </row>
    <row r="69" ht="15.75" customHeight="1" s="34">
      <c r="A69" s="7" t="inlineStr">
        <is>
          <t>Embassy Suites by Hilton Denver Tech Center North</t>
        </is>
      </c>
      <c r="B69" s="7" t="inlineStr">
        <is>
          <t>False</t>
        </is>
      </c>
      <c r="C69" s="7" t="n"/>
      <c r="D69" s="7" t="n"/>
      <c r="E69" s="7" t="inlineStr">
        <is>
          <t>(303) 696-6644</t>
        </is>
      </c>
      <c r="F69" s="7" t="n"/>
      <c r="G69" s="7" t="n"/>
      <c r="H69" s="17" t="inlineStr">
        <is>
          <t>Free</t>
        </is>
      </c>
      <c r="I69" s="17" t="inlineStr">
        <is>
          <t>No Valet</t>
        </is>
      </c>
      <c r="J69" s="7" t="inlineStr">
        <is>
          <t>upper-upscale</t>
        </is>
      </c>
      <c r="K69" s="7" t="n"/>
      <c r="M69" s="16" t="inlineStr">
        <is>
          <t>False</t>
        </is>
      </c>
      <c r="N69" s="16" t="inlineStr">
        <is>
          <t>False</t>
        </is>
      </c>
      <c r="O69" s="16" t="inlineStr">
        <is>
          <t>False</t>
        </is>
      </c>
      <c r="P69" s="16" t="inlineStr">
        <is>
          <t>False</t>
        </is>
      </c>
      <c r="Q69" s="16" t="inlineStr">
        <is>
          <t>False</t>
        </is>
      </c>
      <c r="R69" s="16" t="inlineStr">
        <is>
          <t>False</t>
        </is>
      </c>
      <c r="S69" s="16" t="inlineStr">
        <is>
          <t>False</t>
        </is>
      </c>
      <c r="T69" s="16" t="inlineStr">
        <is>
          <t>False</t>
        </is>
      </c>
      <c r="U69" s="16" t="inlineStr">
        <is>
          <t>False</t>
        </is>
      </c>
      <c r="V69" s="16" t="inlineStr">
        <is>
          <t>False</t>
        </is>
      </c>
      <c r="W69" s="16" t="inlineStr">
        <is>
          <t>False</t>
        </is>
      </c>
    </row>
    <row r="70" ht="15.75" customHeight="1" s="34">
      <c r="A70" s="7" t="inlineStr">
        <is>
          <t>Denver Marriott South at Park Meadows</t>
        </is>
      </c>
      <c r="B70" s="7" t="inlineStr">
        <is>
          <t>False</t>
        </is>
      </c>
      <c r="C70" s="7" t="n"/>
      <c r="D70" s="7" t="n"/>
      <c r="E70" s="7" t="inlineStr">
        <is>
          <t>(303) 925-0004</t>
        </is>
      </c>
      <c r="F70" s="7" t="n"/>
      <c r="G70" s="7" t="n"/>
      <c r="H70" s="15" t="n">
        <v>12</v>
      </c>
      <c r="I70" s="17" t="inlineStr">
        <is>
          <t>No Valet</t>
        </is>
      </c>
      <c r="J70" s="7" t="inlineStr">
        <is>
          <t>upper-upscale</t>
        </is>
      </c>
      <c r="K70" s="7" t="n"/>
      <c r="M70" s="16" t="inlineStr">
        <is>
          <t>False</t>
        </is>
      </c>
      <c r="N70" s="16" t="inlineStr">
        <is>
          <t>False</t>
        </is>
      </c>
      <c r="O70" s="16" t="inlineStr">
        <is>
          <t>False</t>
        </is>
      </c>
      <c r="P70" s="16" t="inlineStr">
        <is>
          <t>False</t>
        </is>
      </c>
      <c r="Q70" s="16" t="inlineStr">
        <is>
          <t>False</t>
        </is>
      </c>
      <c r="R70" s="16" t="inlineStr">
        <is>
          <t>False</t>
        </is>
      </c>
      <c r="S70" s="16" t="inlineStr">
        <is>
          <t>False</t>
        </is>
      </c>
      <c r="T70" s="16" t="inlineStr">
        <is>
          <t>False</t>
        </is>
      </c>
      <c r="U70" s="16" t="inlineStr">
        <is>
          <t>False</t>
        </is>
      </c>
      <c r="V70" s="16" t="inlineStr">
        <is>
          <t>False</t>
        </is>
      </c>
      <c r="W70" s="16" t="inlineStr">
        <is>
          <t>False</t>
        </is>
      </c>
    </row>
    <row r="71" ht="15.75" customHeight="1" s="34">
      <c r="A71" s="7" t="inlineStr">
        <is>
          <t>Hilton Garden Inn Denver Tech Center</t>
        </is>
      </c>
      <c r="B71" s="7" t="inlineStr">
        <is>
          <t>False</t>
        </is>
      </c>
      <c r="C71" s="7" t="n"/>
      <c r="D71" s="7" t="n"/>
      <c r="E71" s="7" t="inlineStr">
        <is>
          <t>(303) 770-7800</t>
        </is>
      </c>
      <c r="F71" s="7" t="n"/>
      <c r="G71" s="7" t="n"/>
      <c r="H71" s="15" t="n">
        <v>14</v>
      </c>
      <c r="I71" s="17" t="inlineStr">
        <is>
          <t>No Valet</t>
        </is>
      </c>
      <c r="J71" s="7" t="inlineStr">
        <is>
          <t>upscale</t>
        </is>
      </c>
      <c r="K71" s="7" t="n"/>
      <c r="M71" s="16" t="inlineStr">
        <is>
          <t>False</t>
        </is>
      </c>
      <c r="N71" s="16" t="inlineStr">
        <is>
          <t>False</t>
        </is>
      </c>
      <c r="O71" s="16" t="inlineStr">
        <is>
          <t>False</t>
        </is>
      </c>
      <c r="P71" s="16" t="inlineStr">
        <is>
          <t>False</t>
        </is>
      </c>
      <c r="Q71" s="16" t="inlineStr">
        <is>
          <t>False</t>
        </is>
      </c>
      <c r="R71" s="16" t="inlineStr">
        <is>
          <t>False</t>
        </is>
      </c>
      <c r="S71" s="16" t="inlineStr">
        <is>
          <t>False</t>
        </is>
      </c>
      <c r="T71" s="16" t="inlineStr">
        <is>
          <t>False</t>
        </is>
      </c>
      <c r="U71" s="16" t="inlineStr">
        <is>
          <t>False</t>
        </is>
      </c>
      <c r="V71" s="16" t="inlineStr">
        <is>
          <t>False</t>
        </is>
      </c>
      <c r="W71" s="16" t="inlineStr">
        <is>
          <t>False</t>
        </is>
      </c>
    </row>
    <row r="72" ht="15.75" customHeight="1" s="34">
      <c r="A72" s="7" t="inlineStr">
        <is>
          <t>DoubleTree by Hilton Hotel Denver - Aurora</t>
        </is>
      </c>
      <c r="B72" s="7" t="inlineStr">
        <is>
          <t>False</t>
        </is>
      </c>
      <c r="C72" s="7" t="n"/>
      <c r="D72" s="7" t="n"/>
      <c r="E72" s="7" t="inlineStr">
        <is>
          <t>(303) 371-0800</t>
        </is>
      </c>
      <c r="F72" s="7" t="n"/>
      <c r="G72" s="7" t="n"/>
      <c r="H72" s="17" t="inlineStr">
        <is>
          <t>Free</t>
        </is>
      </c>
      <c r="I72" s="17" t="inlineStr">
        <is>
          <t>No Valet</t>
        </is>
      </c>
      <c r="J72" s="7" t="inlineStr">
        <is>
          <t>upscale</t>
        </is>
      </c>
      <c r="K72" s="7" t="n"/>
      <c r="M72" s="16" t="inlineStr">
        <is>
          <t>False</t>
        </is>
      </c>
      <c r="N72" s="16" t="inlineStr">
        <is>
          <t>False</t>
        </is>
      </c>
      <c r="O72" s="16" t="inlineStr">
        <is>
          <t>False</t>
        </is>
      </c>
      <c r="P72" s="16" t="inlineStr">
        <is>
          <t>False</t>
        </is>
      </c>
      <c r="Q72" s="16" t="inlineStr">
        <is>
          <t>False</t>
        </is>
      </c>
      <c r="R72" s="16" t="inlineStr">
        <is>
          <t>False</t>
        </is>
      </c>
      <c r="S72" s="16" t="inlineStr">
        <is>
          <t>False</t>
        </is>
      </c>
      <c r="T72" s="16" t="inlineStr">
        <is>
          <t>False</t>
        </is>
      </c>
      <c r="U72" s="16" t="inlineStr">
        <is>
          <t>False</t>
        </is>
      </c>
      <c r="V72" s="16" t="inlineStr">
        <is>
          <t>False</t>
        </is>
      </c>
      <c r="W72" s="16" t="inlineStr">
        <is>
          <t>False</t>
        </is>
      </c>
    </row>
    <row r="73" ht="15.75" customHeight="1" s="34">
      <c r="A73" s="7" t="inlineStr">
        <is>
          <t>Crowne Plaza Denver Airport Convention Center</t>
        </is>
      </c>
      <c r="B73" s="7" t="inlineStr">
        <is>
          <t>False</t>
        </is>
      </c>
      <c r="C73" s="7" t="n"/>
      <c r="D73" s="7" t="n"/>
      <c r="E73" s="7" t="inlineStr">
        <is>
          <t>(303) 371-9494</t>
        </is>
      </c>
      <c r="F73" s="7" t="n"/>
      <c r="G73" s="7" t="n"/>
      <c r="H73" s="15" t="n">
        <v>10</v>
      </c>
      <c r="I73" s="17" t="inlineStr">
        <is>
          <t>No Valet</t>
        </is>
      </c>
      <c r="J73" s="7" t="inlineStr">
        <is>
          <t>upscale</t>
        </is>
      </c>
      <c r="K73" s="7" t="n"/>
      <c r="M73" s="16" t="inlineStr">
        <is>
          <t>False</t>
        </is>
      </c>
      <c r="N73" s="16" t="inlineStr">
        <is>
          <t>False</t>
        </is>
      </c>
      <c r="O73" s="16" t="inlineStr">
        <is>
          <t>False</t>
        </is>
      </c>
      <c r="P73" s="16" t="inlineStr">
        <is>
          <t>False</t>
        </is>
      </c>
      <c r="Q73" s="16" t="inlineStr">
        <is>
          <t>False</t>
        </is>
      </c>
      <c r="R73" s="16" t="inlineStr">
        <is>
          <t>False</t>
        </is>
      </c>
      <c r="S73" s="16" t="inlineStr">
        <is>
          <t>False</t>
        </is>
      </c>
      <c r="T73" s="16" t="inlineStr">
        <is>
          <t>False</t>
        </is>
      </c>
      <c r="U73" s="16" t="inlineStr">
        <is>
          <t>False</t>
        </is>
      </c>
      <c r="V73" s="16" t="inlineStr">
        <is>
          <t>False</t>
        </is>
      </c>
      <c r="W73" s="16" t="inlineStr">
        <is>
          <t>False</t>
        </is>
      </c>
    </row>
    <row r="74" ht="15.75" customHeight="1" s="34">
      <c r="A74" s="7" t="inlineStr">
        <is>
          <t>Courtyard Denver Downtown West (Stadium Area)</t>
        </is>
      </c>
      <c r="B74" s="7" t="inlineStr">
        <is>
          <t>False</t>
        </is>
      </c>
      <c r="C74" s="7" t="n"/>
      <c r="D74" s="7" t="n"/>
      <c r="E74" s="7" t="inlineStr">
        <is>
          <t>(720) 617-0700</t>
        </is>
      </c>
      <c r="F74" s="7" t="n"/>
      <c r="G74" s="7" t="n"/>
      <c r="H74" s="15" t="n">
        <v>49</v>
      </c>
      <c r="I74" s="17" t="inlineStr">
        <is>
          <t>No Valet</t>
        </is>
      </c>
      <c r="J74" s="7" t="inlineStr">
        <is>
          <t>upscale</t>
        </is>
      </c>
      <c r="K74" s="7" t="n"/>
      <c r="M74" s="16" t="inlineStr">
        <is>
          <t>False</t>
        </is>
      </c>
      <c r="N74" s="16" t="inlineStr">
        <is>
          <t>False</t>
        </is>
      </c>
      <c r="O74" s="16" t="inlineStr">
        <is>
          <t>False</t>
        </is>
      </c>
      <c r="P74" s="16" t="inlineStr">
        <is>
          <t>False</t>
        </is>
      </c>
      <c r="Q74" s="16" t="inlineStr">
        <is>
          <t>False</t>
        </is>
      </c>
      <c r="R74" s="16" t="inlineStr">
        <is>
          <t>False</t>
        </is>
      </c>
      <c r="S74" s="16" t="inlineStr">
        <is>
          <t>False</t>
        </is>
      </c>
      <c r="T74" s="16" t="inlineStr">
        <is>
          <t>False</t>
        </is>
      </c>
      <c r="U74" s="16" t="inlineStr">
        <is>
          <t>False</t>
        </is>
      </c>
      <c r="V74" s="16" t="inlineStr">
        <is>
          <t>False</t>
        </is>
      </c>
      <c r="W74" s="16" t="inlineStr">
        <is>
          <t>False</t>
        </is>
      </c>
    </row>
    <row r="75" ht="15.75" customHeight="1" s="34">
      <c r="A75" s="7" t="inlineStr">
        <is>
          <t>Urban Cowboy Denver</t>
        </is>
      </c>
      <c r="B75" s="7" t="inlineStr">
        <is>
          <t>False</t>
        </is>
      </c>
      <c r="C75" s="7" t="n"/>
      <c r="D75" s="7" t="n"/>
      <c r="E75" s="7" t="n"/>
      <c r="F75" s="7" t="n"/>
      <c r="G75" s="7" t="n"/>
      <c r="H75" s="17" t="inlineStr">
        <is>
          <t>Free</t>
        </is>
      </c>
      <c r="I75" s="17" t="inlineStr">
        <is>
          <t>No Valet</t>
        </is>
      </c>
      <c r="J75" s="7" t="inlineStr">
        <is>
          <t>luxury</t>
        </is>
      </c>
      <c r="K75" s="7" t="n"/>
      <c r="M75" s="16" t="inlineStr">
        <is>
          <t>False</t>
        </is>
      </c>
      <c r="N75" s="16" t="inlineStr">
        <is>
          <t>False</t>
        </is>
      </c>
      <c r="O75" s="16" t="inlineStr">
        <is>
          <t>False</t>
        </is>
      </c>
      <c r="P75" s="16" t="inlineStr">
        <is>
          <t>False</t>
        </is>
      </c>
      <c r="Q75" s="16" t="inlineStr">
        <is>
          <t>False</t>
        </is>
      </c>
      <c r="R75" s="16" t="inlineStr">
        <is>
          <t>False</t>
        </is>
      </c>
      <c r="S75" s="16" t="inlineStr">
        <is>
          <t>False</t>
        </is>
      </c>
      <c r="T75" s="16" t="inlineStr">
        <is>
          <t>False</t>
        </is>
      </c>
      <c r="U75" s="16" t="inlineStr">
        <is>
          <t>False</t>
        </is>
      </c>
      <c r="V75" s="16" t="inlineStr">
        <is>
          <t>False</t>
        </is>
      </c>
      <c r="W75" s="16" t="inlineStr">
        <is>
          <t>False</t>
        </is>
      </c>
    </row>
    <row r="76" ht="15.75" customHeight="1" s="34">
      <c r="A76" s="7" t="inlineStr">
        <is>
          <t>Hyatt Place Denver/Cherry Creek</t>
        </is>
      </c>
      <c r="B76" s="7" t="inlineStr">
        <is>
          <t>False</t>
        </is>
      </c>
      <c r="C76" s="7" t="n"/>
      <c r="D76" s="7" t="n"/>
      <c r="E76" s="7" t="inlineStr">
        <is>
          <t>(303) 782-9300</t>
        </is>
      </c>
      <c r="F76" s="7" t="n"/>
      <c r="G76" s="7" t="n"/>
      <c r="H76" s="17" t="inlineStr">
        <is>
          <t>Free</t>
        </is>
      </c>
      <c r="I76" s="17" t="inlineStr">
        <is>
          <t>No Valet</t>
        </is>
      </c>
      <c r="J76" s="7" t="inlineStr">
        <is>
          <t>upscale</t>
        </is>
      </c>
      <c r="K76" s="7" t="n"/>
      <c r="M76" s="16" t="inlineStr">
        <is>
          <t>False</t>
        </is>
      </c>
      <c r="N76" s="16" t="inlineStr">
        <is>
          <t>False</t>
        </is>
      </c>
      <c r="O76" s="16" t="inlineStr">
        <is>
          <t>False</t>
        </is>
      </c>
      <c r="P76" s="16" t="inlineStr">
        <is>
          <t>False</t>
        </is>
      </c>
      <c r="Q76" s="16" t="inlineStr">
        <is>
          <t>False</t>
        </is>
      </c>
      <c r="R76" s="16" t="inlineStr">
        <is>
          <t>False</t>
        </is>
      </c>
      <c r="S76" s="16" t="inlineStr">
        <is>
          <t>False</t>
        </is>
      </c>
      <c r="T76" s="16" t="inlineStr">
        <is>
          <t>False</t>
        </is>
      </c>
      <c r="U76" s="16" t="inlineStr">
        <is>
          <t>False</t>
        </is>
      </c>
      <c r="V76" s="16" t="inlineStr">
        <is>
          <t>False</t>
        </is>
      </c>
      <c r="W76" s="16" t="inlineStr">
        <is>
          <t>False</t>
        </is>
      </c>
    </row>
    <row r="77" ht="15.75" customHeight="1" s="34">
      <c r="A77" s="7" t="inlineStr">
        <is>
          <t>Hyatt Place Denver Tech Center</t>
        </is>
      </c>
      <c r="B77" s="7" t="inlineStr">
        <is>
          <t>False</t>
        </is>
      </c>
      <c r="C77" s="7" t="n"/>
      <c r="D77" s="7" t="n"/>
      <c r="E77" s="7" t="inlineStr">
        <is>
          <t>(303) 804-0700</t>
        </is>
      </c>
      <c r="F77" s="7" t="n"/>
      <c r="G77" s="7" t="n"/>
      <c r="H77" s="17" t="inlineStr">
        <is>
          <t>Free</t>
        </is>
      </c>
      <c r="I77" s="17" t="inlineStr">
        <is>
          <t>No Valet</t>
        </is>
      </c>
      <c r="J77" s="7" t="inlineStr">
        <is>
          <t>upscale</t>
        </is>
      </c>
      <c r="K77" s="7" t="n"/>
      <c r="M77" s="16" t="inlineStr">
        <is>
          <t>False</t>
        </is>
      </c>
      <c r="N77" s="16" t="inlineStr">
        <is>
          <t>False</t>
        </is>
      </c>
      <c r="O77" s="16" t="inlineStr">
        <is>
          <t>False</t>
        </is>
      </c>
      <c r="P77" s="16" t="inlineStr">
        <is>
          <t>False</t>
        </is>
      </c>
      <c r="Q77" s="16" t="inlineStr">
        <is>
          <t>False</t>
        </is>
      </c>
      <c r="R77" s="16" t="inlineStr">
        <is>
          <t>False</t>
        </is>
      </c>
      <c r="S77" s="16" t="inlineStr">
        <is>
          <t>False</t>
        </is>
      </c>
      <c r="T77" s="16" t="inlineStr">
        <is>
          <t>False</t>
        </is>
      </c>
      <c r="U77" s="16" t="inlineStr">
        <is>
          <t>False</t>
        </is>
      </c>
      <c r="V77" s="16" t="inlineStr">
        <is>
          <t>False</t>
        </is>
      </c>
      <c r="W77" s="16" t="inlineStr">
        <is>
          <t>False</t>
        </is>
      </c>
    </row>
    <row r="78" ht="15.75" customHeight="1" s="34">
      <c r="A78" s="7" t="inlineStr">
        <is>
          <t>Hyatt Place Denver Airport</t>
        </is>
      </c>
      <c r="B78" s="7" t="inlineStr">
        <is>
          <t>False</t>
        </is>
      </c>
      <c r="C78" s="7" t="n"/>
      <c r="D78" s="7" t="n"/>
      <c r="E78" s="7" t="inlineStr">
        <is>
          <t>(720) 875-2200</t>
        </is>
      </c>
      <c r="F78" s="7" t="n"/>
      <c r="G78" s="7" t="n"/>
      <c r="H78" s="17" t="inlineStr">
        <is>
          <t>Free</t>
        </is>
      </c>
      <c r="I78" s="17" t="inlineStr">
        <is>
          <t>No Valet</t>
        </is>
      </c>
      <c r="J78" s="7" t="inlineStr">
        <is>
          <t>upscale</t>
        </is>
      </c>
      <c r="K78" s="7" t="n"/>
      <c r="M78" s="16" t="inlineStr">
        <is>
          <t>False</t>
        </is>
      </c>
      <c r="N78" s="16" t="inlineStr">
        <is>
          <t>False</t>
        </is>
      </c>
      <c r="O78" s="16" t="inlineStr">
        <is>
          <t>False</t>
        </is>
      </c>
      <c r="P78" s="16" t="inlineStr">
        <is>
          <t>False</t>
        </is>
      </c>
      <c r="Q78" s="16" t="inlineStr">
        <is>
          <t>False</t>
        </is>
      </c>
      <c r="R78" s="16" t="inlineStr">
        <is>
          <t>False</t>
        </is>
      </c>
      <c r="S78" s="16" t="inlineStr">
        <is>
          <t>False</t>
        </is>
      </c>
      <c r="T78" s="16" t="inlineStr">
        <is>
          <t>False</t>
        </is>
      </c>
      <c r="U78" s="16" t="inlineStr">
        <is>
          <t>False</t>
        </is>
      </c>
      <c r="V78" s="16" t="inlineStr">
        <is>
          <t>False</t>
        </is>
      </c>
      <c r="W78" s="16" t="inlineStr">
        <is>
          <t>False</t>
        </is>
      </c>
    </row>
    <row r="79" ht="15.75" customHeight="1" s="34">
      <c r="A79" s="7" t="inlineStr">
        <is>
          <t>Hyatt Place Peña Station / Denver Airport</t>
        </is>
      </c>
      <c r="B79" s="7" t="inlineStr">
        <is>
          <t>False</t>
        </is>
      </c>
      <c r="C79" s="7" t="n"/>
      <c r="D79" s="7" t="n"/>
      <c r="E79" s="7" t="inlineStr">
        <is>
          <t>(720) 484-9300</t>
        </is>
      </c>
      <c r="F79" s="7" t="n"/>
      <c r="G79" s="7" t="n"/>
      <c r="H79" s="17" t="inlineStr">
        <is>
          <t>Free</t>
        </is>
      </c>
      <c r="I79" s="17" t="inlineStr">
        <is>
          <t>No Valet</t>
        </is>
      </c>
      <c r="J79" s="7" t="inlineStr">
        <is>
          <t>upscale</t>
        </is>
      </c>
      <c r="K79" s="7" t="n"/>
      <c r="M79" s="16" t="inlineStr">
        <is>
          <t>False</t>
        </is>
      </c>
      <c r="N79" s="16" t="inlineStr">
        <is>
          <t>False</t>
        </is>
      </c>
      <c r="O79" s="16" t="inlineStr">
        <is>
          <t>False</t>
        </is>
      </c>
      <c r="P79" s="16" t="inlineStr">
        <is>
          <t>False</t>
        </is>
      </c>
      <c r="Q79" s="16" t="inlineStr">
        <is>
          <t>False</t>
        </is>
      </c>
      <c r="R79" s="16" t="inlineStr">
        <is>
          <t>False</t>
        </is>
      </c>
      <c r="S79" s="16" t="inlineStr">
        <is>
          <t>False</t>
        </is>
      </c>
      <c r="T79" s="16" t="inlineStr">
        <is>
          <t>False</t>
        </is>
      </c>
      <c r="U79" s="16" t="inlineStr">
        <is>
          <t>False</t>
        </is>
      </c>
      <c r="V79" s="16" t="inlineStr">
        <is>
          <t>False</t>
        </is>
      </c>
      <c r="W79" s="16" t="inlineStr">
        <is>
          <t>False</t>
        </is>
      </c>
    </row>
    <row r="80" ht="15.75" customHeight="1" s="34">
      <c r="A80" s="7" t="inlineStr">
        <is>
          <t>Aloft Denver Airport at Gateway Park</t>
        </is>
      </c>
      <c r="B80" s="7" t="inlineStr">
        <is>
          <t>False</t>
        </is>
      </c>
      <c r="C80" s="7" t="n"/>
      <c r="D80" s="7" t="n"/>
      <c r="E80" s="7" t="inlineStr">
        <is>
          <t>(303) 371-9500</t>
        </is>
      </c>
      <c r="F80" s="7" t="n"/>
      <c r="G80" s="7" t="n"/>
      <c r="H80" s="15" t="n">
        <v>16</v>
      </c>
      <c r="I80" s="17" t="inlineStr">
        <is>
          <t>No Valet</t>
        </is>
      </c>
      <c r="J80" s="7" t="inlineStr">
        <is>
          <t>upscale</t>
        </is>
      </c>
      <c r="K80" s="7" t="n"/>
      <c r="M80" s="16" t="inlineStr">
        <is>
          <t>False</t>
        </is>
      </c>
      <c r="N80" s="16" t="inlineStr">
        <is>
          <t>False</t>
        </is>
      </c>
      <c r="O80" s="16" t="inlineStr">
        <is>
          <t>False</t>
        </is>
      </c>
      <c r="P80" s="16" t="inlineStr">
        <is>
          <t>False</t>
        </is>
      </c>
      <c r="Q80" s="16" t="inlineStr">
        <is>
          <t>False</t>
        </is>
      </c>
      <c r="R80" s="16" t="inlineStr">
        <is>
          <t>False</t>
        </is>
      </c>
      <c r="S80" s="16" t="inlineStr">
        <is>
          <t>False</t>
        </is>
      </c>
      <c r="T80" s="16" t="inlineStr">
        <is>
          <t>False</t>
        </is>
      </c>
      <c r="U80" s="16" t="inlineStr">
        <is>
          <t>False</t>
        </is>
      </c>
      <c r="V80" s="16" t="inlineStr">
        <is>
          <t>False</t>
        </is>
      </c>
      <c r="W80" s="16" t="inlineStr">
        <is>
          <t>False</t>
        </is>
      </c>
    </row>
    <row r="81" ht="15.75" customHeight="1" s="34">
      <c r="A81" s="7" t="inlineStr">
        <is>
          <t>Four Points by Sheraton Englewood Centennial Airport</t>
        </is>
      </c>
      <c r="B81" s="7" t="inlineStr">
        <is>
          <t>False</t>
        </is>
      </c>
      <c r="C81" s="7" t="n"/>
      <c r="D81" s="7" t="n"/>
      <c r="E81" s="7" t="inlineStr">
        <is>
          <t>(720) 500-5750</t>
        </is>
      </c>
      <c r="F81" s="7" t="n"/>
      <c r="G81" s="7" t="n"/>
      <c r="H81" s="17" t="inlineStr">
        <is>
          <t>Free</t>
        </is>
      </c>
      <c r="I81" s="17" t="inlineStr">
        <is>
          <t>No Valet</t>
        </is>
      </c>
      <c r="J81" s="7" t="inlineStr">
        <is>
          <t>upscale</t>
        </is>
      </c>
      <c r="K81" s="7" t="n"/>
      <c r="M81" s="16" t="inlineStr">
        <is>
          <t>False</t>
        </is>
      </c>
      <c r="N81" s="16" t="inlineStr">
        <is>
          <t>False</t>
        </is>
      </c>
      <c r="O81" s="16" t="inlineStr">
        <is>
          <t>False</t>
        </is>
      </c>
      <c r="P81" s="16" t="inlineStr">
        <is>
          <t>False</t>
        </is>
      </c>
      <c r="Q81" s="16" t="inlineStr">
        <is>
          <t>False</t>
        </is>
      </c>
      <c r="R81" s="16" t="inlineStr">
        <is>
          <t>False</t>
        </is>
      </c>
      <c r="S81" s="16" t="inlineStr">
        <is>
          <t>False</t>
        </is>
      </c>
      <c r="T81" s="16" t="inlineStr">
        <is>
          <t>False</t>
        </is>
      </c>
      <c r="U81" s="16" t="inlineStr">
        <is>
          <t>False</t>
        </is>
      </c>
      <c r="V81" s="16" t="inlineStr">
        <is>
          <t>False</t>
        </is>
      </c>
      <c r="W81" s="16" t="inlineStr">
        <is>
          <t>False</t>
        </is>
      </c>
    </row>
    <row r="82" ht="15.75" customHeight="1" s="34">
      <c r="A82" s="7" t="inlineStr">
        <is>
          <t>Mint House Denver - Downtown Union Station</t>
        </is>
      </c>
      <c r="B82" s="7" t="inlineStr">
        <is>
          <t>False</t>
        </is>
      </c>
      <c r="C82" s="7" t="n"/>
      <c r="D82" s="7" t="n"/>
      <c r="E82" s="7" t="inlineStr">
        <is>
          <t>(855) 972-9090</t>
        </is>
      </c>
      <c r="F82" s="7" t="n"/>
      <c r="G82" s="7" t="n"/>
      <c r="I82" s="17" t="inlineStr">
        <is>
          <t>No Valet</t>
        </is>
      </c>
      <c r="J82" s="7" t="inlineStr">
        <is>
          <t>upscale</t>
        </is>
      </c>
      <c r="K82" s="7" t="n"/>
      <c r="M82" s="16" t="inlineStr">
        <is>
          <t>False</t>
        </is>
      </c>
      <c r="N82" s="16" t="inlineStr">
        <is>
          <t>False</t>
        </is>
      </c>
      <c r="O82" s="16" t="inlineStr">
        <is>
          <t>False</t>
        </is>
      </c>
      <c r="P82" s="16" t="inlineStr">
        <is>
          <t>False</t>
        </is>
      </c>
      <c r="Q82" s="16" t="inlineStr">
        <is>
          <t>False</t>
        </is>
      </c>
      <c r="R82" s="16" t="inlineStr">
        <is>
          <t>False</t>
        </is>
      </c>
      <c r="S82" s="16" t="inlineStr">
        <is>
          <t>False</t>
        </is>
      </c>
      <c r="T82" s="16" t="inlineStr">
        <is>
          <t>False</t>
        </is>
      </c>
      <c r="U82" s="16" t="inlineStr">
        <is>
          <t>False</t>
        </is>
      </c>
      <c r="V82" s="16" t="inlineStr">
        <is>
          <t>False</t>
        </is>
      </c>
      <c r="W82" s="16" t="inlineStr">
        <is>
          <t>False</t>
        </is>
      </c>
    </row>
    <row r="83" ht="15.75" customHeight="1" s="34">
      <c r="A83" s="7" t="inlineStr">
        <is>
          <t>Sonder at Skyline</t>
        </is>
      </c>
      <c r="B83" s="7" t="inlineStr">
        <is>
          <t>False</t>
        </is>
      </c>
      <c r="C83" s="7" t="n"/>
      <c r="D83" s="7" t="n"/>
      <c r="E83" s="7" t="inlineStr">
        <is>
          <t>(617) 300-0956</t>
        </is>
      </c>
      <c r="F83" s="7" t="n"/>
      <c r="G83" s="7" t="n"/>
      <c r="H83" s="15" t="n">
        <v>30</v>
      </c>
      <c r="I83" s="17" t="inlineStr">
        <is>
          <t>No Valet</t>
        </is>
      </c>
      <c r="J83" s="7" t="inlineStr">
        <is>
          <t>upscale</t>
        </is>
      </c>
      <c r="K83" s="7" t="n"/>
      <c r="M83" s="16" t="inlineStr">
        <is>
          <t>False</t>
        </is>
      </c>
      <c r="N83" s="16" t="inlineStr">
        <is>
          <t>False</t>
        </is>
      </c>
      <c r="O83" s="16" t="inlineStr">
        <is>
          <t>False</t>
        </is>
      </c>
      <c r="P83" s="16" t="inlineStr">
        <is>
          <t>False</t>
        </is>
      </c>
      <c r="Q83" s="16" t="inlineStr">
        <is>
          <t>False</t>
        </is>
      </c>
      <c r="R83" s="16" t="inlineStr">
        <is>
          <t>False</t>
        </is>
      </c>
      <c r="S83" s="16" t="inlineStr">
        <is>
          <t>False</t>
        </is>
      </c>
      <c r="T83" s="16" t="inlineStr">
        <is>
          <t>False</t>
        </is>
      </c>
      <c r="U83" s="16" t="inlineStr">
        <is>
          <t>False</t>
        </is>
      </c>
      <c r="V83" s="16" t="inlineStr">
        <is>
          <t>False</t>
        </is>
      </c>
      <c r="W83" s="16" t="inlineStr">
        <is>
          <t>False</t>
        </is>
      </c>
    </row>
    <row r="84" ht="15.75" customHeight="1" s="34">
      <c r="A84" s="7" t="inlineStr">
        <is>
          <t>Hyatt House Denver Tech Center</t>
        </is>
      </c>
      <c r="B84" s="7" t="inlineStr">
        <is>
          <t>False</t>
        </is>
      </c>
      <c r="C84" s="7" t="n"/>
      <c r="D84" s="7" t="n"/>
      <c r="E84" s="7" t="inlineStr">
        <is>
          <t>(303) 799-2000</t>
        </is>
      </c>
      <c r="F84" s="7" t="n"/>
      <c r="G84" s="7" t="n"/>
      <c r="H84" s="17" t="inlineStr">
        <is>
          <t>Free</t>
        </is>
      </c>
      <c r="I84" s="17" t="inlineStr">
        <is>
          <t>No Valet</t>
        </is>
      </c>
      <c r="J84" s="7" t="inlineStr">
        <is>
          <t>upscale</t>
        </is>
      </c>
      <c r="K84" s="7" t="n"/>
      <c r="M84" s="16" t="inlineStr">
        <is>
          <t>False</t>
        </is>
      </c>
      <c r="N84" s="16" t="inlineStr">
        <is>
          <t>False</t>
        </is>
      </c>
      <c r="O84" s="16" t="inlineStr">
        <is>
          <t>False</t>
        </is>
      </c>
      <c r="P84" s="16" t="inlineStr">
        <is>
          <t>False</t>
        </is>
      </c>
      <c r="Q84" s="16" t="inlineStr">
        <is>
          <t>False</t>
        </is>
      </c>
      <c r="R84" s="16" t="inlineStr">
        <is>
          <t>False</t>
        </is>
      </c>
      <c r="S84" s="16" t="inlineStr">
        <is>
          <t>False</t>
        </is>
      </c>
      <c r="T84" s="16" t="inlineStr">
        <is>
          <t>False</t>
        </is>
      </c>
      <c r="U84" s="16" t="inlineStr">
        <is>
          <t>False</t>
        </is>
      </c>
      <c r="V84" s="16" t="inlineStr">
        <is>
          <t>False</t>
        </is>
      </c>
      <c r="W84" s="16" t="inlineStr">
        <is>
          <t>False</t>
        </is>
      </c>
    </row>
    <row r="85" ht="15.75" customHeight="1" s="34">
      <c r="A85" s="7" t="inlineStr">
        <is>
          <t>Springhill Suites by Marriott Denver Airport at Gateway Park</t>
        </is>
      </c>
      <c r="B85" s="7" t="inlineStr">
        <is>
          <t>False</t>
        </is>
      </c>
      <c r="C85" s="7" t="n"/>
      <c r="D85" s="7" t="n"/>
      <c r="E85" s="7" t="inlineStr">
        <is>
          <t>(720) 458-5000</t>
        </is>
      </c>
      <c r="F85" s="7" t="n"/>
      <c r="G85" s="7" t="n"/>
      <c r="H85" s="17" t="inlineStr">
        <is>
          <t>Free</t>
        </is>
      </c>
      <c r="I85" s="17" t="inlineStr">
        <is>
          <t>No Valet</t>
        </is>
      </c>
      <c r="J85" s="7" t="inlineStr">
        <is>
          <t>upper-midscale</t>
        </is>
      </c>
      <c r="K85" s="7" t="n"/>
      <c r="M85" s="16" t="inlineStr">
        <is>
          <t>False</t>
        </is>
      </c>
      <c r="N85" s="16" t="inlineStr">
        <is>
          <t>False</t>
        </is>
      </c>
      <c r="O85" s="16" t="inlineStr">
        <is>
          <t>False</t>
        </is>
      </c>
      <c r="P85" s="16" t="inlineStr">
        <is>
          <t>False</t>
        </is>
      </c>
      <c r="Q85" s="16" t="inlineStr">
        <is>
          <t>False</t>
        </is>
      </c>
      <c r="R85" s="16" t="inlineStr">
        <is>
          <t>False</t>
        </is>
      </c>
      <c r="S85" s="16" t="inlineStr">
        <is>
          <t>False</t>
        </is>
      </c>
      <c r="T85" s="16" t="inlineStr">
        <is>
          <t>False</t>
        </is>
      </c>
      <c r="U85" s="16" t="inlineStr">
        <is>
          <t>False</t>
        </is>
      </c>
      <c r="V85" s="16" t="inlineStr">
        <is>
          <t>False</t>
        </is>
      </c>
      <c r="W85" s="16" t="inlineStr">
        <is>
          <t>False</t>
        </is>
      </c>
    </row>
    <row r="86" ht="15.75" customHeight="1" s="34">
      <c r="A86" s="7" t="inlineStr">
        <is>
          <t>Hyatt House Denver Aurora Anschutz Medical Campus</t>
        </is>
      </c>
      <c r="B86" s="7" t="inlineStr">
        <is>
          <t>False</t>
        </is>
      </c>
      <c r="C86" s="7" t="n"/>
      <c r="D86" s="7" t="n"/>
      <c r="E86" s="7" t="inlineStr">
        <is>
          <t>(303) 344-9600</t>
        </is>
      </c>
      <c r="F86" s="7" t="n"/>
      <c r="G86" s="7" t="n"/>
      <c r="H86" s="17" t="inlineStr">
        <is>
          <t>Free</t>
        </is>
      </c>
      <c r="I86" s="17" t="inlineStr">
        <is>
          <t>No Valet</t>
        </is>
      </c>
      <c r="J86" s="7" t="inlineStr">
        <is>
          <t>upscale</t>
        </is>
      </c>
      <c r="K86" s="7" t="n"/>
      <c r="M86" s="16" t="inlineStr">
        <is>
          <t>False</t>
        </is>
      </c>
      <c r="N86" s="16" t="inlineStr">
        <is>
          <t>False</t>
        </is>
      </c>
      <c r="O86" s="16" t="inlineStr">
        <is>
          <t>False</t>
        </is>
      </c>
      <c r="P86" s="16" t="inlineStr">
        <is>
          <t>False</t>
        </is>
      </c>
      <c r="Q86" s="16" t="inlineStr">
        <is>
          <t>False</t>
        </is>
      </c>
      <c r="R86" s="16" t="inlineStr">
        <is>
          <t>False</t>
        </is>
      </c>
      <c r="S86" s="16" t="inlineStr">
        <is>
          <t>False</t>
        </is>
      </c>
      <c r="T86" s="16" t="inlineStr">
        <is>
          <t>False</t>
        </is>
      </c>
      <c r="U86" s="16" t="inlineStr">
        <is>
          <t>False</t>
        </is>
      </c>
      <c r="V86" s="16" t="inlineStr">
        <is>
          <t>False</t>
        </is>
      </c>
      <c r="W86" s="16" t="inlineStr">
        <is>
          <t>False</t>
        </is>
      </c>
    </row>
    <row r="87" ht="15.75" customHeight="1" s="34">
      <c r="A87" s="7" t="inlineStr">
        <is>
          <t>Home2 Suites by Hilton Denver Central Park</t>
        </is>
      </c>
      <c r="B87" s="7" t="inlineStr">
        <is>
          <t>False</t>
        </is>
      </c>
      <c r="C87" s="7" t="n"/>
      <c r="D87" s="7" t="n"/>
      <c r="E87" s="7" t="inlineStr">
        <is>
          <t>(303) 373-2200</t>
        </is>
      </c>
      <c r="F87" s="7" t="n"/>
      <c r="G87" s="7" t="n"/>
      <c r="H87" s="17" t="inlineStr">
        <is>
          <t>Free</t>
        </is>
      </c>
      <c r="I87" s="17" t="inlineStr">
        <is>
          <t>No Valet</t>
        </is>
      </c>
      <c r="J87" s="7" t="inlineStr">
        <is>
          <t>upper-midscale</t>
        </is>
      </c>
      <c r="K87" s="7" t="n"/>
      <c r="M87" s="16" t="inlineStr">
        <is>
          <t>False</t>
        </is>
      </c>
      <c r="N87" s="16" t="inlineStr">
        <is>
          <t>False</t>
        </is>
      </c>
      <c r="O87" s="16" t="inlineStr">
        <is>
          <t>False</t>
        </is>
      </c>
      <c r="P87" s="16" t="inlineStr">
        <is>
          <t>False</t>
        </is>
      </c>
      <c r="Q87" s="16" t="inlineStr">
        <is>
          <t>False</t>
        </is>
      </c>
      <c r="R87" s="16" t="inlineStr">
        <is>
          <t>False</t>
        </is>
      </c>
      <c r="S87" s="16" t="inlineStr">
        <is>
          <t>False</t>
        </is>
      </c>
      <c r="T87" s="16" t="inlineStr">
        <is>
          <t>False</t>
        </is>
      </c>
      <c r="U87" s="16" t="inlineStr">
        <is>
          <t>False</t>
        </is>
      </c>
      <c r="V87" s="16" t="inlineStr">
        <is>
          <t>False</t>
        </is>
      </c>
      <c r="W87" s="16" t="inlineStr">
        <is>
          <t>False</t>
        </is>
      </c>
    </row>
    <row r="88" ht="15.75" customHeight="1" s="34">
      <c r="A88" s="7" t="inlineStr">
        <is>
          <t>The Capital Grille - Denver</t>
        </is>
      </c>
      <c r="B88" s="7" t="inlineStr">
        <is>
          <t>False</t>
        </is>
      </c>
      <c r="C88" s="7" t="n"/>
      <c r="D88" s="7" t="n"/>
      <c r="E88" s="7" t="inlineStr">
        <is>
          <t>(303) 539-2500</t>
        </is>
      </c>
      <c r="F88" s="7" t="n"/>
      <c r="G88" s="7" t="inlineStr">
        <is>
          <t>Unknown (Darden Restaurants brand)</t>
        </is>
      </c>
      <c r="H88" s="17" t="inlineStr">
        <is>
          <t>Validated parking available in nearby garages</t>
        </is>
      </c>
      <c r="I88" s="17" t="inlineStr">
        <is>
          <t>Complimentary valet (free) for private dining; standard valet available at front</t>
        </is>
      </c>
      <c r="J88" s="7" t="inlineStr">
        <is>
          <t>Fine Dining - Steakhouse</t>
        </is>
      </c>
      <c r="K88" s="7" t="n"/>
      <c r="M88" s="16" t="inlineStr">
        <is>
          <t>False</t>
        </is>
      </c>
      <c r="N88" s="16" t="inlineStr">
        <is>
          <t>False</t>
        </is>
      </c>
      <c r="O88" s="16" t="inlineStr">
        <is>
          <t>False</t>
        </is>
      </c>
      <c r="P88" s="16" t="inlineStr">
        <is>
          <t>False</t>
        </is>
      </c>
      <c r="Q88" s="16" t="inlineStr">
        <is>
          <t>False</t>
        </is>
      </c>
      <c r="R88" s="16" t="inlineStr">
        <is>
          <t>False</t>
        </is>
      </c>
      <c r="S88" s="16" t="inlineStr">
        <is>
          <t>False</t>
        </is>
      </c>
      <c r="T88" s="16" t="inlineStr">
        <is>
          <t>False</t>
        </is>
      </c>
      <c r="U88" s="16" t="inlineStr">
        <is>
          <t>False</t>
        </is>
      </c>
      <c r="V88" s="16" t="inlineStr">
        <is>
          <t>False</t>
        </is>
      </c>
      <c r="W88" s="16" t="inlineStr">
        <is>
          <t>False</t>
        </is>
      </c>
    </row>
    <row r="89" ht="15.75" customHeight="1" s="34">
      <c r="A89" s="7" t="inlineStr">
        <is>
          <t>Ocean Prime - Denver (Larimer Square)</t>
        </is>
      </c>
      <c r="B89" s="7" t="inlineStr">
        <is>
          <t>False</t>
        </is>
      </c>
      <c r="C89" s="7" t="n"/>
      <c r="D89" s="7" t="n"/>
      <c r="E89" s="7" t="inlineStr">
        <is>
          <t>(303) 825-3663</t>
        </is>
      </c>
      <c r="F89" s="7" t="n"/>
      <c r="G89" s="7" t="inlineStr">
        <is>
          <t>Cameron Mitchell Restaurants</t>
        </is>
      </c>
      <c r="H89" s="17" t="inlineStr">
        <is>
          <t>$15 with validation in nearby garage</t>
        </is>
      </c>
      <c r="I89" s="17" t="inlineStr">
        <is>
          <t>$25 valet or $15 validated at host desk</t>
        </is>
      </c>
      <c r="J89" s="7" t="inlineStr">
        <is>
          <t>Fine Dining - Seafood/Steakhouse</t>
        </is>
      </c>
      <c r="K89" s="7" t="n"/>
      <c r="M89" s="16" t="inlineStr">
        <is>
          <t>False</t>
        </is>
      </c>
      <c r="N89" s="16" t="inlineStr">
        <is>
          <t>False</t>
        </is>
      </c>
      <c r="O89" s="16" t="inlineStr">
        <is>
          <t>False</t>
        </is>
      </c>
      <c r="P89" s="16" t="inlineStr">
        <is>
          <t>False</t>
        </is>
      </c>
      <c r="Q89" s="16" t="inlineStr">
        <is>
          <t>False</t>
        </is>
      </c>
      <c r="R89" s="16" t="inlineStr">
        <is>
          <t>False</t>
        </is>
      </c>
      <c r="S89" s="16" t="inlineStr">
        <is>
          <t>False</t>
        </is>
      </c>
      <c r="T89" s="16" t="inlineStr">
        <is>
          <t>False</t>
        </is>
      </c>
      <c r="U89" s="16" t="inlineStr">
        <is>
          <t>False</t>
        </is>
      </c>
      <c r="V89" s="16" t="inlineStr">
        <is>
          <t>False</t>
        </is>
      </c>
      <c r="W89" s="16" t="inlineStr">
        <is>
          <t>False</t>
        </is>
      </c>
    </row>
    <row r="90" ht="15.75" customHeight="1" s="34">
      <c r="A90" s="7" t="inlineStr">
        <is>
          <t>Ruth's Chris Steak House - Denver</t>
        </is>
      </c>
      <c r="B90" s="7" t="inlineStr">
        <is>
          <t>False</t>
        </is>
      </c>
      <c r="C90" s="7" t="n"/>
      <c r="D90" s="7" t="n"/>
      <c r="E90" s="7" t="inlineStr">
        <is>
          <t>(303) 825-0713</t>
        </is>
      </c>
      <c r="F90" s="7" t="n"/>
      <c r="G90" s="7" t="inlineStr">
        <is>
          <t>Ruth's Hospitality Group</t>
        </is>
      </c>
      <c r="H90" s="17" t="inlineStr">
        <is>
          <t>Nearby public garages; Embassy Suites valet nearby at $185/month</t>
        </is>
      </c>
      <c r="I90" s="17" t="inlineStr">
        <is>
          <t>Available (rate not published)</t>
        </is>
      </c>
      <c r="J90" s="7" t="inlineStr">
        <is>
          <t>Fine Dining - Steakhouse</t>
        </is>
      </c>
      <c r="K90" s="7" t="n"/>
      <c r="M90" s="16" t="inlineStr">
        <is>
          <t>False</t>
        </is>
      </c>
      <c r="N90" s="16" t="inlineStr">
        <is>
          <t>False</t>
        </is>
      </c>
      <c r="O90" s="16" t="inlineStr">
        <is>
          <t>False</t>
        </is>
      </c>
      <c r="P90" s="16" t="inlineStr">
        <is>
          <t>False</t>
        </is>
      </c>
      <c r="Q90" s="16" t="inlineStr">
        <is>
          <t>False</t>
        </is>
      </c>
      <c r="R90" s="16" t="inlineStr">
        <is>
          <t>False</t>
        </is>
      </c>
      <c r="S90" s="16" t="inlineStr">
        <is>
          <t>False</t>
        </is>
      </c>
      <c r="T90" s="16" t="inlineStr">
        <is>
          <t>False</t>
        </is>
      </c>
      <c r="U90" s="16" t="inlineStr">
        <is>
          <t>False</t>
        </is>
      </c>
      <c r="V90" s="16" t="inlineStr">
        <is>
          <t>False</t>
        </is>
      </c>
      <c r="W90" s="16" t="inlineStr">
        <is>
          <t>False</t>
        </is>
      </c>
    </row>
    <row r="91" ht="15.75" customHeight="1" s="34">
      <c r="A91" s="7" t="inlineStr">
        <is>
          <t>STK Steakhouse Denver</t>
        </is>
      </c>
      <c r="B91" s="7" t="inlineStr">
        <is>
          <t>False</t>
        </is>
      </c>
      <c r="C91" s="7" t="n"/>
      <c r="D91" s="7" t="n"/>
      <c r="E91" s="7" t="inlineStr">
        <is>
          <t>(720) 597-8010</t>
        </is>
      </c>
      <c r="F91" s="7" t="n"/>
      <c r="G91" s="7" t="inlineStr">
        <is>
          <t>ONE Group Hospitality</t>
        </is>
      </c>
      <c r="H91" s="17" t="inlineStr">
        <is>
          <t>Free garage parking for lunch patrons until 4 PM. Market Station Valet Only Garage nearby at ~$23.</t>
        </is>
      </c>
      <c r="I91" s="17" t="inlineStr">
        <is>
          <t>No Valet</t>
        </is>
      </c>
      <c r="J91" s="7" t="inlineStr">
        <is>
          <t>Fine Dining - Steakhouse</t>
        </is>
      </c>
      <c r="K91" s="7" t="n"/>
      <c r="M91" s="16" t="inlineStr">
        <is>
          <t>False</t>
        </is>
      </c>
      <c r="N91" s="16" t="inlineStr">
        <is>
          <t>False</t>
        </is>
      </c>
      <c r="O91" s="16" t="inlineStr">
        <is>
          <t>False</t>
        </is>
      </c>
      <c r="P91" s="16" t="inlineStr">
        <is>
          <t>False</t>
        </is>
      </c>
      <c r="Q91" s="16" t="inlineStr">
        <is>
          <t>False</t>
        </is>
      </c>
      <c r="R91" s="16" t="inlineStr">
        <is>
          <t>False</t>
        </is>
      </c>
      <c r="S91" s="16" t="inlineStr">
        <is>
          <t>False</t>
        </is>
      </c>
      <c r="T91" s="16" t="inlineStr">
        <is>
          <t>False</t>
        </is>
      </c>
      <c r="U91" s="16" t="inlineStr">
        <is>
          <t>False</t>
        </is>
      </c>
      <c r="V91" s="16" t="inlineStr">
        <is>
          <t>False</t>
        </is>
      </c>
      <c r="W91" s="16" t="inlineStr">
        <is>
          <t>False</t>
        </is>
      </c>
    </row>
    <row r="92" ht="15.75" customHeight="1" s="34">
      <c r="A92" s="7" t="inlineStr">
        <is>
          <t>Guard &amp; Grace</t>
        </is>
      </c>
      <c r="B92" s="7" t="inlineStr">
        <is>
          <t>False</t>
        </is>
      </c>
      <c r="C92" s="7" t="n"/>
      <c r="D92" s="7" t="n"/>
      <c r="E92" s="7" t="inlineStr">
        <is>
          <t>(720) 328-0550</t>
        </is>
      </c>
      <c r="F92" s="7" t="n"/>
      <c r="G92" s="7" t="inlineStr">
        <is>
          <t>Chef/Owner Troy Guard (TAG Restaurant Group)</t>
        </is>
      </c>
      <c r="H92" s="17" t="inlineStr">
        <is>
          <t>1801 California St. Garage adjacent</t>
        </is>
      </c>
      <c r="J92" s="7" t="inlineStr">
        <is>
          <t>Fine Dining - Modern Steakhouse</t>
        </is>
      </c>
      <c r="K92" s="7" t="n"/>
      <c r="M92" s="16" t="inlineStr">
        <is>
          <t>False</t>
        </is>
      </c>
      <c r="N92" s="16" t="inlineStr">
        <is>
          <t>False</t>
        </is>
      </c>
      <c r="O92" s="16" t="inlineStr">
        <is>
          <t>False</t>
        </is>
      </c>
      <c r="P92" s="16" t="inlineStr">
        <is>
          <t>False</t>
        </is>
      </c>
      <c r="Q92" s="16" t="inlineStr">
        <is>
          <t>False</t>
        </is>
      </c>
      <c r="R92" s="16" t="inlineStr">
        <is>
          <t>False</t>
        </is>
      </c>
      <c r="S92" s="16" t="inlineStr">
        <is>
          <t>False</t>
        </is>
      </c>
      <c r="T92" s="16" t="inlineStr">
        <is>
          <t>False</t>
        </is>
      </c>
      <c r="U92" s="16" t="inlineStr">
        <is>
          <t>False</t>
        </is>
      </c>
      <c r="V92" s="16" t="inlineStr">
        <is>
          <t>False</t>
        </is>
      </c>
      <c r="W92" s="16" t="inlineStr">
        <is>
          <t>False</t>
        </is>
      </c>
    </row>
    <row r="93" ht="15.75" customHeight="1" s="34">
      <c r="A93" s="7" t="inlineStr">
        <is>
          <t>Elway's Downtown</t>
        </is>
      </c>
      <c r="B93" s="7" t="inlineStr">
        <is>
          <t>False</t>
        </is>
      </c>
      <c r="C93" s="7" t="n"/>
      <c r="D93" s="7" t="n"/>
      <c r="E93" s="7" t="inlineStr">
        <is>
          <t>(303) 312-3107</t>
        </is>
      </c>
      <c r="F93" s="7" t="n"/>
      <c r="G93" s="7" t="inlineStr">
        <is>
          <t>John Elway Enterprises / Ritz-Carlton hotel valet</t>
        </is>
      </c>
      <c r="H93" s="17" t="inlineStr">
        <is>
          <t>Ritz-Carlton valet at approx. $400/month</t>
        </is>
      </c>
      <c r="I93" s="17" t="inlineStr">
        <is>
          <t>Via Ritz-Carlton Denver hotel valet (adjacent)</t>
        </is>
      </c>
      <c r="J93" s="7" t="inlineStr">
        <is>
          <t>Fine Dining - Steakhouse</t>
        </is>
      </c>
      <c r="K93" s="7" t="n"/>
      <c r="M93" s="16" t="inlineStr">
        <is>
          <t>False</t>
        </is>
      </c>
      <c r="N93" s="16" t="inlineStr">
        <is>
          <t>False</t>
        </is>
      </c>
      <c r="O93" s="16" t="inlineStr">
        <is>
          <t>False</t>
        </is>
      </c>
      <c r="P93" s="16" t="inlineStr">
        <is>
          <t>False</t>
        </is>
      </c>
      <c r="Q93" s="16" t="inlineStr">
        <is>
          <t>False</t>
        </is>
      </c>
      <c r="R93" s="16" t="inlineStr">
        <is>
          <t>False</t>
        </is>
      </c>
      <c r="S93" s="16" t="inlineStr">
        <is>
          <t>False</t>
        </is>
      </c>
      <c r="T93" s="16" t="inlineStr">
        <is>
          <t>False</t>
        </is>
      </c>
      <c r="U93" s="16" t="inlineStr">
        <is>
          <t>False</t>
        </is>
      </c>
      <c r="V93" s="16" t="inlineStr">
        <is>
          <t>False</t>
        </is>
      </c>
      <c r="W93" s="16" t="inlineStr">
        <is>
          <t>False</t>
        </is>
      </c>
    </row>
    <row r="94" ht="15.75" customHeight="1" s="34">
      <c r="A94" s="7" t="inlineStr">
        <is>
          <t>Elway's Cherry Creek</t>
        </is>
      </c>
      <c r="B94" s="7" t="inlineStr">
        <is>
          <t>False</t>
        </is>
      </c>
      <c r="C94" s="7" t="n"/>
      <c r="D94" s="7" t="n"/>
      <c r="E94" s="7" t="inlineStr">
        <is>
          <t>(303) 399-5353</t>
        </is>
      </c>
      <c r="F94" s="7" t="n"/>
      <c r="G94" s="7" t="inlineStr">
        <is>
          <t>John Elway Enterprises</t>
        </is>
      </c>
      <c r="H94" s="17" t="inlineStr">
        <is>
          <t>Validated parking in adjacent garage</t>
        </is>
      </c>
      <c r="I94" s="17" t="inlineStr">
        <is>
          <t>Not confirmed, parking available and validated</t>
        </is>
      </c>
      <c r="J94" s="7" t="inlineStr">
        <is>
          <t>Fine Dining - Steakhouse</t>
        </is>
      </c>
      <c r="K94" s="7" t="n"/>
      <c r="M94" s="16" t="inlineStr">
        <is>
          <t>False</t>
        </is>
      </c>
      <c r="N94" s="16" t="inlineStr">
        <is>
          <t>False</t>
        </is>
      </c>
      <c r="O94" s="16" t="inlineStr">
        <is>
          <t>False</t>
        </is>
      </c>
      <c r="P94" s="16" t="inlineStr">
        <is>
          <t>False</t>
        </is>
      </c>
      <c r="Q94" s="16" t="inlineStr">
        <is>
          <t>False</t>
        </is>
      </c>
      <c r="R94" s="16" t="inlineStr">
        <is>
          <t>False</t>
        </is>
      </c>
      <c r="S94" s="16" t="inlineStr">
        <is>
          <t>False</t>
        </is>
      </c>
      <c r="T94" s="16" t="inlineStr">
        <is>
          <t>False</t>
        </is>
      </c>
      <c r="U94" s="16" t="inlineStr">
        <is>
          <t>False</t>
        </is>
      </c>
      <c r="V94" s="16" t="inlineStr">
        <is>
          <t>False</t>
        </is>
      </c>
      <c r="W94" s="16" t="inlineStr">
        <is>
          <t>False</t>
        </is>
      </c>
    </row>
    <row r="95" ht="15.75" customHeight="1" s="34">
      <c r="A95" s="7" t="inlineStr">
        <is>
          <t>Shanahan's Steakhouse</t>
        </is>
      </c>
      <c r="B95" s="7" t="inlineStr">
        <is>
          <t>False</t>
        </is>
      </c>
      <c r="C95" s="7" t="n"/>
      <c r="D95" s="7" t="n"/>
      <c r="E95" s="7" t="inlineStr">
        <is>
          <t>(303) 770-7300</t>
        </is>
      </c>
      <c r="F95" s="7" t="n"/>
      <c r="G95" s="7" t="inlineStr">
        <is>
          <t>Shanahan's Restaurant Group</t>
        </is>
      </c>
      <c r="H95" s="17" t="inlineStr">
        <is>
          <t>Private parking lot on-site</t>
        </is>
      </c>
      <c r="I95" s="17" t="inlineStr">
        <is>
          <t>Available (rate not published)</t>
        </is>
      </c>
      <c r="J95" s="7" t="inlineStr">
        <is>
          <t>Fine Dining - Steakhouse</t>
        </is>
      </c>
      <c r="K95" s="7" t="n"/>
      <c r="M95" s="16" t="inlineStr">
        <is>
          <t>False</t>
        </is>
      </c>
      <c r="N95" s="16" t="inlineStr">
        <is>
          <t>False</t>
        </is>
      </c>
      <c r="O95" s="16" t="inlineStr">
        <is>
          <t>False</t>
        </is>
      </c>
      <c r="P95" s="16" t="inlineStr">
        <is>
          <t>False</t>
        </is>
      </c>
      <c r="Q95" s="16" t="inlineStr">
        <is>
          <t>False</t>
        </is>
      </c>
      <c r="R95" s="16" t="inlineStr">
        <is>
          <t>False</t>
        </is>
      </c>
      <c r="S95" s="16" t="inlineStr">
        <is>
          <t>False</t>
        </is>
      </c>
      <c r="T95" s="16" t="inlineStr">
        <is>
          <t>False</t>
        </is>
      </c>
      <c r="U95" s="16" t="inlineStr">
        <is>
          <t>False</t>
        </is>
      </c>
      <c r="V95" s="16" t="inlineStr">
        <is>
          <t>False</t>
        </is>
      </c>
      <c r="W95" s="16" t="inlineStr">
        <is>
          <t>False</t>
        </is>
      </c>
    </row>
    <row r="96" ht="15.75" customHeight="1" s="34">
      <c r="A96" s="7" t="inlineStr">
        <is>
          <t>Del Frisco's Double Eagle Steakhouse</t>
        </is>
      </c>
      <c r="B96" s="7" t="inlineStr">
        <is>
          <t>False</t>
        </is>
      </c>
      <c r="C96" s="7" t="n"/>
      <c r="D96" s="7" t="n"/>
      <c r="E96" s="7" t="inlineStr">
        <is>
          <t>(303) 796-0100</t>
        </is>
      </c>
      <c r="F96" s="7" t="n"/>
      <c r="G96" s="7" t="inlineStr">
        <is>
          <t>Del Frisco's Restaurant Group / Lone Star Funds</t>
        </is>
      </c>
      <c r="H96" s="17" t="inlineStr">
        <is>
          <t>Private parking lot on-site</t>
        </is>
      </c>
      <c r="I96" s="17" t="inlineStr">
        <is>
          <t>Available (own parking lot and valet service)</t>
        </is>
      </c>
      <c r="J96" s="7" t="inlineStr">
        <is>
          <t>Fine Dining - Steakhouse</t>
        </is>
      </c>
      <c r="K96" s="7" t="n"/>
      <c r="M96" s="16" t="inlineStr">
        <is>
          <t>False</t>
        </is>
      </c>
      <c r="N96" s="16" t="inlineStr">
        <is>
          <t>False</t>
        </is>
      </c>
      <c r="O96" s="16" t="inlineStr">
        <is>
          <t>False</t>
        </is>
      </c>
      <c r="P96" s="16" t="inlineStr">
        <is>
          <t>False</t>
        </is>
      </c>
      <c r="Q96" s="16" t="inlineStr">
        <is>
          <t>False</t>
        </is>
      </c>
      <c r="R96" s="16" t="inlineStr">
        <is>
          <t>False</t>
        </is>
      </c>
      <c r="S96" s="16" t="inlineStr">
        <is>
          <t>False</t>
        </is>
      </c>
      <c r="T96" s="16" t="inlineStr">
        <is>
          <t>False</t>
        </is>
      </c>
      <c r="U96" s="16" t="inlineStr">
        <is>
          <t>False</t>
        </is>
      </c>
      <c r="V96" s="16" t="inlineStr">
        <is>
          <t>False</t>
        </is>
      </c>
      <c r="W96" s="16" t="inlineStr">
        <is>
          <t>False</t>
        </is>
      </c>
    </row>
    <row r="97" ht="15.75" customHeight="1" s="34">
      <c r="A97" s="7" t="inlineStr">
        <is>
          <t>Del Frisco's Grille - Cherry Creek</t>
        </is>
      </c>
      <c r="B97" s="7" t="inlineStr">
        <is>
          <t>False</t>
        </is>
      </c>
      <c r="C97" s="7" t="n"/>
      <c r="D97" s="7" t="n"/>
      <c r="E97" s="7" t="inlineStr">
        <is>
          <t>(303) 320-8529</t>
        </is>
      </c>
      <c r="F97" s="7" t="n"/>
      <c r="G97" s="7" t="inlineStr">
        <is>
          <t>Del Frisco's Restaurant Group</t>
        </is>
      </c>
      <c r="H97" s="17" t="inlineStr">
        <is>
          <t>Complimentary parking in attached garage</t>
        </is>
      </c>
      <c r="I97" s="17" t="inlineStr">
        <is>
          <t>No Valet</t>
        </is>
      </c>
      <c r="J97" s="7" t="inlineStr">
        <is>
          <t>Upscale Casual - Bar &amp; Grill</t>
        </is>
      </c>
      <c r="K97" s="7" t="n"/>
      <c r="M97" s="16" t="inlineStr">
        <is>
          <t>False</t>
        </is>
      </c>
      <c r="N97" s="16" t="inlineStr">
        <is>
          <t>False</t>
        </is>
      </c>
      <c r="O97" s="16" t="inlineStr">
        <is>
          <t>False</t>
        </is>
      </c>
      <c r="P97" s="16" t="inlineStr">
        <is>
          <t>False</t>
        </is>
      </c>
      <c r="Q97" s="16" t="inlineStr">
        <is>
          <t>False</t>
        </is>
      </c>
      <c r="R97" s="16" t="inlineStr">
        <is>
          <t>False</t>
        </is>
      </c>
      <c r="S97" s="16" t="inlineStr">
        <is>
          <t>False</t>
        </is>
      </c>
      <c r="T97" s="16" t="inlineStr">
        <is>
          <t>False</t>
        </is>
      </c>
      <c r="U97" s="16" t="inlineStr">
        <is>
          <t>False</t>
        </is>
      </c>
      <c r="V97" s="16" t="inlineStr">
        <is>
          <t>False</t>
        </is>
      </c>
      <c r="W97" s="16" t="inlineStr">
        <is>
          <t>False</t>
        </is>
      </c>
    </row>
    <row r="98" ht="15.75" customHeight="1" s="34">
      <c r="A98" s="7" t="inlineStr">
        <is>
          <t>Tavernetta</t>
        </is>
      </c>
      <c r="B98" s="7" t="inlineStr">
        <is>
          <t>False</t>
        </is>
      </c>
      <c r="C98" s="7" t="n"/>
      <c r="D98" s="7" t="n"/>
      <c r="E98" s="7" t="inlineStr">
        <is>
          <t>(720) 605-1889</t>
        </is>
      </c>
      <c r="F98" s="7" t="n"/>
      <c r="G98" s="7" t="inlineStr">
        <is>
          <t>Frasca Hospitality Group / Limelight Hotel valet</t>
        </is>
      </c>
      <c r="H98" s="17" t="inlineStr">
        <is>
          <t>$10 with validation at Park Union Station Garage (1881 16th St)</t>
        </is>
      </c>
      <c r="I98" s="17" t="inlineStr">
        <is>
          <t>$15 with restaurant validation at Limelight Hotel (1600 Wewatta St)</t>
        </is>
      </c>
      <c r="J98" s="7" t="inlineStr">
        <is>
          <t>Fine Dining - Italian</t>
        </is>
      </c>
      <c r="K98" s="7" t="n"/>
      <c r="M98" s="16" t="inlineStr">
        <is>
          <t>False</t>
        </is>
      </c>
      <c r="N98" s="16" t="inlineStr">
        <is>
          <t>False</t>
        </is>
      </c>
      <c r="O98" s="16" t="inlineStr">
        <is>
          <t>False</t>
        </is>
      </c>
      <c r="P98" s="16" t="inlineStr">
        <is>
          <t>False</t>
        </is>
      </c>
      <c r="Q98" s="16" t="inlineStr">
        <is>
          <t>False</t>
        </is>
      </c>
      <c r="R98" s="16" t="inlineStr">
        <is>
          <t>False</t>
        </is>
      </c>
      <c r="S98" s="16" t="inlineStr">
        <is>
          <t>False</t>
        </is>
      </c>
      <c r="T98" s="16" t="inlineStr">
        <is>
          <t>False</t>
        </is>
      </c>
      <c r="U98" s="16" t="inlineStr">
        <is>
          <t>False</t>
        </is>
      </c>
      <c r="V98" s="16" t="inlineStr">
        <is>
          <t>False</t>
        </is>
      </c>
      <c r="W98" s="16" t="inlineStr">
        <is>
          <t>False</t>
        </is>
      </c>
    </row>
    <row r="99" ht="15.75" customHeight="1" s="34">
      <c r="A99" s="7" t="inlineStr">
        <is>
          <t>Sunday Vinyl</t>
        </is>
      </c>
      <c r="B99" s="7" t="inlineStr">
        <is>
          <t>False</t>
        </is>
      </c>
      <c r="C99" s="7" t="n"/>
      <c r="D99" s="7" t="n"/>
      <c r="E99" s="7" t="inlineStr">
        <is>
          <t>(720) 738-1803</t>
        </is>
      </c>
      <c r="F99" s="7" t="n"/>
      <c r="G99" s="7" t="inlineStr">
        <is>
          <t>Frasca Hospitality Group</t>
        </is>
      </c>
      <c r="H99" s="17" t="inlineStr">
        <is>
          <t>Street parking and nearby garages along 16th Street Mall</t>
        </is>
      </c>
      <c r="J99" s="7" t="inlineStr">
        <is>
          <t>Upscale - European Wine Bar &amp; Restaurant</t>
        </is>
      </c>
      <c r="K99" s="7" t="n"/>
      <c r="M99" s="16" t="inlineStr">
        <is>
          <t>False</t>
        </is>
      </c>
      <c r="N99" s="16" t="inlineStr">
        <is>
          <t>False</t>
        </is>
      </c>
      <c r="O99" s="16" t="inlineStr">
        <is>
          <t>False</t>
        </is>
      </c>
      <c r="P99" s="16" t="inlineStr">
        <is>
          <t>False</t>
        </is>
      </c>
      <c r="Q99" s="16" t="inlineStr">
        <is>
          <t>False</t>
        </is>
      </c>
      <c r="R99" s="16" t="inlineStr">
        <is>
          <t>False</t>
        </is>
      </c>
      <c r="S99" s="16" t="inlineStr">
        <is>
          <t>False</t>
        </is>
      </c>
      <c r="T99" s="16" t="inlineStr">
        <is>
          <t>False</t>
        </is>
      </c>
      <c r="U99" s="16" t="inlineStr">
        <is>
          <t>False</t>
        </is>
      </c>
      <c r="V99" s="16" t="inlineStr">
        <is>
          <t>False</t>
        </is>
      </c>
      <c r="W99" s="16" t="inlineStr">
        <is>
          <t>False</t>
        </is>
      </c>
    </row>
    <row r="100" ht="15.75" customHeight="1" s="34">
      <c r="A100" s="7" t="inlineStr">
        <is>
          <t>Frasca Food and Wine</t>
        </is>
      </c>
      <c r="B100" s="7" t="inlineStr">
        <is>
          <t>False</t>
        </is>
      </c>
      <c r="C100" s="7" t="n"/>
      <c r="D100" s="7" t="n"/>
      <c r="E100" s="7" t="inlineStr">
        <is>
          <t>(303) 442-6966</t>
        </is>
      </c>
      <c r="F100" s="7" t="n"/>
      <c r="G100" s="7" t="inlineStr">
        <is>
          <t>Frasca Hospitality Group</t>
        </is>
      </c>
      <c r="H100" s="17" t="inlineStr">
        <is>
          <t>Public garage at 15th and Pearl St</t>
        </is>
      </c>
      <c r="I100" s="17" t="inlineStr">
        <is>
          <t>No Valet</t>
        </is>
      </c>
      <c r="J100" s="7" t="inlineStr">
        <is>
          <t>Fine Dining - Italian (Friuli)</t>
        </is>
      </c>
      <c r="K100" s="7" t="n"/>
      <c r="M100" s="16" t="inlineStr">
        <is>
          <t>False</t>
        </is>
      </c>
      <c r="N100" s="16" t="inlineStr">
        <is>
          <t>False</t>
        </is>
      </c>
      <c r="O100" s="16" t="inlineStr">
        <is>
          <t>False</t>
        </is>
      </c>
      <c r="P100" s="16" t="inlineStr">
        <is>
          <t>False</t>
        </is>
      </c>
      <c r="Q100" s="16" t="inlineStr">
        <is>
          <t>False</t>
        </is>
      </c>
      <c r="R100" s="16" t="inlineStr">
        <is>
          <t>False</t>
        </is>
      </c>
      <c r="S100" s="16" t="inlineStr">
        <is>
          <t>False</t>
        </is>
      </c>
      <c r="T100" s="16" t="inlineStr">
        <is>
          <t>False</t>
        </is>
      </c>
      <c r="U100" s="16" t="inlineStr">
        <is>
          <t>False</t>
        </is>
      </c>
      <c r="V100" s="16" t="inlineStr">
        <is>
          <t>False</t>
        </is>
      </c>
      <c r="W100" s="16" t="inlineStr">
        <is>
          <t>False</t>
        </is>
      </c>
    </row>
    <row r="101" ht="15.75" customHeight="1" s="34">
      <c r="A101" s="7" t="inlineStr">
        <is>
          <t>Rioja</t>
        </is>
      </c>
      <c r="B101" s="7" t="inlineStr">
        <is>
          <t>False</t>
        </is>
      </c>
      <c r="C101" s="7" t="n"/>
      <c r="D101" s="7" t="n"/>
      <c r="E101" s="7" t="inlineStr">
        <is>
          <t>(303) 820-2282</t>
        </is>
      </c>
      <c r="F101" s="7" t="n"/>
      <c r="G101" s="7" t="inlineStr">
        <is>
          <t>Crafted Concepts restaurant group / Larimer Square valet operator</t>
        </is>
      </c>
      <c r="H101" s="17" t="inlineStr">
        <is>
          <t>Parking garage directly behind restaurant on Market Street</t>
        </is>
      </c>
      <c r="I101" s="17" t="inlineStr">
        <is>
          <t>$10 off with Rioja validation (Larimer Square shared valet)</t>
        </is>
      </c>
      <c r="J101" s="7" t="inlineStr">
        <is>
          <t>Fine Dining - Mediterranean</t>
        </is>
      </c>
      <c r="K101" s="7" t="n"/>
      <c r="M101" s="16" t="inlineStr">
        <is>
          <t>False</t>
        </is>
      </c>
      <c r="N101" s="16" t="inlineStr">
        <is>
          <t>False</t>
        </is>
      </c>
      <c r="O101" s="16" t="inlineStr">
        <is>
          <t>False</t>
        </is>
      </c>
      <c r="P101" s="16" t="inlineStr">
        <is>
          <t>False</t>
        </is>
      </c>
      <c r="Q101" s="16" t="inlineStr">
        <is>
          <t>False</t>
        </is>
      </c>
      <c r="R101" s="16" t="inlineStr">
        <is>
          <t>False</t>
        </is>
      </c>
      <c r="S101" s="16" t="inlineStr">
        <is>
          <t>False</t>
        </is>
      </c>
      <c r="T101" s="16" t="inlineStr">
        <is>
          <t>False</t>
        </is>
      </c>
      <c r="U101" s="16" t="inlineStr">
        <is>
          <t>False</t>
        </is>
      </c>
      <c r="V101" s="16" t="inlineStr">
        <is>
          <t>False</t>
        </is>
      </c>
      <c r="W101" s="16" t="inlineStr">
        <is>
          <t>False</t>
        </is>
      </c>
    </row>
    <row r="102" ht="15.75" customHeight="1" s="34">
      <c r="A102" s="7" t="inlineStr">
        <is>
          <t>Barolo Grill</t>
        </is>
      </c>
      <c r="B102" s="7" t="inlineStr">
        <is>
          <t>False</t>
        </is>
      </c>
      <c r="C102" s="7" t="n"/>
      <c r="D102" s="7" t="n"/>
      <c r="E102" s="7" t="inlineStr">
        <is>
          <t>(303) 393-1040</t>
        </is>
      </c>
      <c r="F102" s="7" t="n"/>
      <c r="G102" s="7" t="inlineStr">
        <is>
          <t>Barolo Grill</t>
        </is>
      </c>
      <c r="H102" s="17" t="inlineStr">
        <is>
          <t>Complimentary SOL parking lot (west side) and street parking</t>
        </is>
      </c>
      <c r="I102" s="17" t="inlineStr">
        <is>
          <t>No Valet</t>
        </is>
      </c>
      <c r="J102" s="7" t="inlineStr">
        <is>
          <t>Fine Dining - Northern Italian</t>
        </is>
      </c>
      <c r="K102" s="7" t="n"/>
      <c r="M102" s="16" t="inlineStr">
        <is>
          <t>False</t>
        </is>
      </c>
      <c r="N102" s="16" t="inlineStr">
        <is>
          <t>False</t>
        </is>
      </c>
      <c r="O102" s="16" t="inlineStr">
        <is>
          <t>False</t>
        </is>
      </c>
      <c r="P102" s="16" t="inlineStr">
        <is>
          <t>False</t>
        </is>
      </c>
      <c r="Q102" s="16" t="inlineStr">
        <is>
          <t>False</t>
        </is>
      </c>
      <c r="R102" s="16" t="inlineStr">
        <is>
          <t>False</t>
        </is>
      </c>
      <c r="S102" s="16" t="inlineStr">
        <is>
          <t>False</t>
        </is>
      </c>
      <c r="T102" s="16" t="inlineStr">
        <is>
          <t>False</t>
        </is>
      </c>
      <c r="U102" s="16" t="inlineStr">
        <is>
          <t>False</t>
        </is>
      </c>
      <c r="V102" s="16" t="inlineStr">
        <is>
          <t>False</t>
        </is>
      </c>
      <c r="W102" s="16" t="inlineStr">
        <is>
          <t>False</t>
        </is>
      </c>
    </row>
    <row r="103" ht="15.75" customHeight="1" s="34">
      <c r="A103" s="7" t="inlineStr">
        <is>
          <t>Mizuna</t>
        </is>
      </c>
      <c r="B103" s="7" t="inlineStr">
        <is>
          <t>False</t>
        </is>
      </c>
      <c r="C103" s="7" t="n"/>
      <c r="D103" s="7" t="n"/>
      <c r="E103" s="7" t="inlineStr">
        <is>
          <t>(303) 832-4778</t>
        </is>
      </c>
      <c r="F103" s="7" t="n"/>
      <c r="G103" s="7" t="inlineStr">
        <is>
          <t>Frank Bonanno / Bonanno Concepts</t>
        </is>
      </c>
      <c r="H103" s="17" t="inlineStr">
        <is>
          <t>Free off-street parking, street parking</t>
        </is>
      </c>
      <c r="I103" s="17" t="inlineStr">
        <is>
          <t>Available (rate not published)</t>
        </is>
      </c>
      <c r="J103" s="7" t="inlineStr">
        <is>
          <t>Fine Dining - Contemporary American</t>
        </is>
      </c>
      <c r="K103" s="7" t="n"/>
      <c r="M103" s="16" t="inlineStr">
        <is>
          <t>False</t>
        </is>
      </c>
      <c r="N103" s="16" t="inlineStr">
        <is>
          <t>False</t>
        </is>
      </c>
      <c r="O103" s="16" t="inlineStr">
        <is>
          <t>False</t>
        </is>
      </c>
      <c r="P103" s="16" t="inlineStr">
        <is>
          <t>False</t>
        </is>
      </c>
      <c r="Q103" s="16" t="inlineStr">
        <is>
          <t>False</t>
        </is>
      </c>
      <c r="R103" s="16" t="inlineStr">
        <is>
          <t>False</t>
        </is>
      </c>
      <c r="S103" s="16" t="inlineStr">
        <is>
          <t>False</t>
        </is>
      </c>
      <c r="T103" s="16" t="inlineStr">
        <is>
          <t>False</t>
        </is>
      </c>
      <c r="U103" s="16" t="inlineStr">
        <is>
          <t>False</t>
        </is>
      </c>
      <c r="V103" s="16" t="inlineStr">
        <is>
          <t>False</t>
        </is>
      </c>
      <c r="W103" s="16" t="inlineStr">
        <is>
          <t>False</t>
        </is>
      </c>
    </row>
    <row r="104" ht="15.75" customHeight="1" s="34">
      <c r="A104" s="7" t="inlineStr">
        <is>
          <t>Wildflower</t>
        </is>
      </c>
      <c r="B104" s="7" t="inlineStr">
        <is>
          <t>False</t>
        </is>
      </c>
      <c r="C104" s="7" t="n"/>
      <c r="D104" s="7" t="n"/>
      <c r="E104" s="7" t="inlineStr">
        <is>
          <t>(720) 372-7999</t>
        </is>
      </c>
      <c r="F104" s="7" t="n"/>
      <c r="G104" s="7" t="inlineStr">
        <is>
          <t>Gravity Haus (hotel operator); restaurant independent management</t>
        </is>
      </c>
      <c r="H104" s="17" t="inlineStr">
        <is>
          <t>Abundant street parking on Navajo St, 36th Ave, 37th Ave, Mariposa St</t>
        </is>
      </c>
      <c r="I104" s="17" t="inlineStr">
        <is>
          <t>No Valet</t>
        </is>
      </c>
      <c r="J104" s="7" t="inlineStr">
        <is>
          <t>Fine Dining - Contemporary American / Farm-to-Table</t>
        </is>
      </c>
      <c r="K104" s="7" t="n"/>
      <c r="M104" s="16" t="inlineStr">
        <is>
          <t>False</t>
        </is>
      </c>
      <c r="N104" s="16" t="inlineStr">
        <is>
          <t>False</t>
        </is>
      </c>
      <c r="O104" s="16" t="inlineStr">
        <is>
          <t>False</t>
        </is>
      </c>
      <c r="P104" s="16" t="inlineStr">
        <is>
          <t>False</t>
        </is>
      </c>
      <c r="Q104" s="16" t="inlineStr">
        <is>
          <t>False</t>
        </is>
      </c>
      <c r="R104" s="16" t="inlineStr">
        <is>
          <t>False</t>
        </is>
      </c>
      <c r="S104" s="16" t="inlineStr">
        <is>
          <t>False</t>
        </is>
      </c>
      <c r="T104" s="16" t="inlineStr">
        <is>
          <t>False</t>
        </is>
      </c>
      <c r="U104" s="16" t="inlineStr">
        <is>
          <t>False</t>
        </is>
      </c>
      <c r="V104" s="16" t="inlineStr">
        <is>
          <t>False</t>
        </is>
      </c>
      <c r="W104" s="16" t="inlineStr">
        <is>
          <t>False</t>
        </is>
      </c>
    </row>
    <row r="105" ht="15.75" customHeight="1" s="34">
      <c r="A105" s="7" t="inlineStr">
        <is>
          <t>Le Colonial Denver</t>
        </is>
      </c>
      <c r="B105" s="7" t="inlineStr">
        <is>
          <t>False</t>
        </is>
      </c>
      <c r="C105" s="7" t="n"/>
      <c r="D105" s="7" t="n"/>
      <c r="E105" s="7" t="inlineStr">
        <is>
          <t>(720) 994-5255</t>
        </is>
      </c>
      <c r="F105" s="7" t="n"/>
      <c r="G105" s="7" t="inlineStr">
        <is>
          <t>Le Colonial Restaurant Group</t>
        </is>
      </c>
      <c r="H105" s="17" t="inlineStr">
        <is>
          <t>Cherry Creek Shopping Center garages; 250 Columbine St garage nearby</t>
        </is>
      </c>
      <c r="I105" s="17" t="inlineStr">
        <is>
          <t>Available (rate not published; Yelp confirms valet during weeknights and weekends)</t>
        </is>
      </c>
      <c r="J105" s="7" t="inlineStr">
        <is>
          <t>Fine Dining - French-Vietnamese</t>
        </is>
      </c>
      <c r="K105" s="7" t="n"/>
      <c r="M105" s="16" t="inlineStr">
        <is>
          <t>False</t>
        </is>
      </c>
      <c r="N105" s="16" t="inlineStr">
        <is>
          <t>False</t>
        </is>
      </c>
      <c r="O105" s="16" t="inlineStr">
        <is>
          <t>False</t>
        </is>
      </c>
      <c r="P105" s="16" t="inlineStr">
        <is>
          <t>False</t>
        </is>
      </c>
      <c r="Q105" s="16" t="inlineStr">
        <is>
          <t>False</t>
        </is>
      </c>
      <c r="R105" s="16" t="inlineStr">
        <is>
          <t>False</t>
        </is>
      </c>
      <c r="S105" s="16" t="inlineStr">
        <is>
          <t>False</t>
        </is>
      </c>
      <c r="T105" s="16" t="inlineStr">
        <is>
          <t>False</t>
        </is>
      </c>
      <c r="U105" s="16" t="inlineStr">
        <is>
          <t>False</t>
        </is>
      </c>
      <c r="V105" s="16" t="inlineStr">
        <is>
          <t>False</t>
        </is>
      </c>
      <c r="W105" s="16" t="inlineStr">
        <is>
          <t>False</t>
        </is>
      </c>
    </row>
    <row r="106" ht="15.75" customHeight="1" s="34">
      <c r="A106" s="7" t="inlineStr">
        <is>
          <t>Water Grill Denver</t>
        </is>
      </c>
      <c r="B106" s="7" t="inlineStr">
        <is>
          <t>False</t>
        </is>
      </c>
      <c r="C106" s="7" t="n"/>
      <c r="D106" s="7" t="n"/>
      <c r="E106" s="7" t="inlineStr">
        <is>
          <t>(303) 727-5711</t>
        </is>
      </c>
      <c r="F106" s="7" t="n"/>
      <c r="G106" s="7" t="inlineStr">
        <is>
          <t>King's Seafood Company</t>
        </is>
      </c>
      <c r="H106" s="17" t="inlineStr">
        <is>
          <t>Market Station Garage</t>
        </is>
      </c>
      <c r="I106" s="17" t="inlineStr">
        <is>
          <t>Covered parking with valet service at Market Station Garage</t>
        </is>
      </c>
      <c r="J106" s="7" t="inlineStr">
        <is>
          <t>Fine Dining - Seafood</t>
        </is>
      </c>
      <c r="K106" s="7" t="n"/>
      <c r="M106" s="16" t="inlineStr">
        <is>
          <t>False</t>
        </is>
      </c>
      <c r="N106" s="16" t="inlineStr">
        <is>
          <t>False</t>
        </is>
      </c>
      <c r="O106" s="16" t="inlineStr">
        <is>
          <t>False</t>
        </is>
      </c>
      <c r="P106" s="16" t="inlineStr">
        <is>
          <t>False</t>
        </is>
      </c>
      <c r="Q106" s="16" t="inlineStr">
        <is>
          <t>False</t>
        </is>
      </c>
      <c r="R106" s="16" t="inlineStr">
        <is>
          <t>False</t>
        </is>
      </c>
      <c r="S106" s="16" t="inlineStr">
        <is>
          <t>False</t>
        </is>
      </c>
      <c r="T106" s="16" t="inlineStr">
        <is>
          <t>False</t>
        </is>
      </c>
      <c r="U106" s="16" t="inlineStr">
        <is>
          <t>False</t>
        </is>
      </c>
      <c r="V106" s="16" t="inlineStr">
        <is>
          <t>False</t>
        </is>
      </c>
      <c r="W106" s="16" t="inlineStr">
        <is>
          <t>False</t>
        </is>
      </c>
    </row>
    <row r="107" ht="15.75" customHeight="1" s="34">
      <c r="A107" s="7" t="inlineStr">
        <is>
          <t>Corinne Denver</t>
        </is>
      </c>
      <c r="B107" s="7" t="inlineStr">
        <is>
          <t>False</t>
        </is>
      </c>
      <c r="C107" s="7" t="n"/>
      <c r="D107" s="7" t="n"/>
      <c r="E107" s="7" t="inlineStr">
        <is>
          <t>(720) 460-2828</t>
        </is>
      </c>
      <c r="F107" s="7" t="n"/>
      <c r="G107" s="7" t="inlineStr">
        <is>
          <t>Le Meridien Denver Downtown hotel valet</t>
        </is>
      </c>
      <c r="H107" s="17" t="inlineStr">
        <is>
          <t>Paid covered parking across street at 1521 Welton Street</t>
        </is>
      </c>
      <c r="I107" s="17" t="inlineStr">
        <is>
          <t>Complimentary / hotel valet through Le Meridien Denver Downtown</t>
        </is>
      </c>
      <c r="J107" s="7" t="inlineStr">
        <is>
          <t>Fine Dining - Contemporary American</t>
        </is>
      </c>
      <c r="K107" s="7" t="n"/>
      <c r="M107" s="16" t="inlineStr">
        <is>
          <t>False</t>
        </is>
      </c>
      <c r="N107" s="16" t="inlineStr">
        <is>
          <t>False</t>
        </is>
      </c>
      <c r="O107" s="16" t="inlineStr">
        <is>
          <t>False</t>
        </is>
      </c>
      <c r="P107" s="16" t="inlineStr">
        <is>
          <t>False</t>
        </is>
      </c>
      <c r="Q107" s="16" t="inlineStr">
        <is>
          <t>False</t>
        </is>
      </c>
      <c r="R107" s="16" t="inlineStr">
        <is>
          <t>False</t>
        </is>
      </c>
      <c r="S107" s="16" t="inlineStr">
        <is>
          <t>False</t>
        </is>
      </c>
      <c r="T107" s="16" t="inlineStr">
        <is>
          <t>False</t>
        </is>
      </c>
      <c r="U107" s="16" t="inlineStr">
        <is>
          <t>False</t>
        </is>
      </c>
      <c r="V107" s="16" t="inlineStr">
        <is>
          <t>False</t>
        </is>
      </c>
      <c r="W107" s="16" t="inlineStr">
        <is>
          <t>False</t>
        </is>
      </c>
    </row>
    <row r="108" ht="15.75" customHeight="1" s="34">
      <c r="A108" s="7" t="inlineStr">
        <is>
          <t>Salt Water Social</t>
        </is>
      </c>
      <c r="B108" s="7" t="inlineStr">
        <is>
          <t>False</t>
        </is>
      </c>
      <c r="C108" s="7" t="n"/>
      <c r="D108" s="7" t="n"/>
      <c r="E108" s="7" t="inlineStr">
        <is>
          <t>(720) 678-9523</t>
        </is>
      </c>
      <c r="F108" s="7" t="n"/>
      <c r="G108" s="7" t="inlineStr">
        <is>
          <t>Salt Water Social (independent)</t>
        </is>
      </c>
      <c r="H108" s="17" t="inlineStr">
        <is>
          <t>Cherry Creek Shopping Center garages; 250 Columbine St garage</t>
        </is>
      </c>
      <c r="I108" s="17" t="inlineStr">
        <is>
          <t>Available (website confirms valet outside restaurant)</t>
        </is>
      </c>
      <c r="J108" s="7" t="inlineStr">
        <is>
          <t>Fine Dining - Seafood &amp; Steakhouse</t>
        </is>
      </c>
      <c r="K108" s="7" t="n"/>
      <c r="M108" s="16" t="inlineStr">
        <is>
          <t>False</t>
        </is>
      </c>
      <c r="N108" s="16" t="inlineStr">
        <is>
          <t>False</t>
        </is>
      </c>
      <c r="O108" s="16" t="inlineStr">
        <is>
          <t>False</t>
        </is>
      </c>
      <c r="P108" s="16" t="inlineStr">
        <is>
          <t>False</t>
        </is>
      </c>
      <c r="Q108" s="16" t="inlineStr">
        <is>
          <t>False</t>
        </is>
      </c>
      <c r="R108" s="16" t="inlineStr">
        <is>
          <t>False</t>
        </is>
      </c>
      <c r="S108" s="16" t="inlineStr">
        <is>
          <t>False</t>
        </is>
      </c>
      <c r="T108" s="16" t="inlineStr">
        <is>
          <t>False</t>
        </is>
      </c>
      <c r="U108" s="16" t="inlineStr">
        <is>
          <t>False</t>
        </is>
      </c>
      <c r="V108" s="16" t="inlineStr">
        <is>
          <t>False</t>
        </is>
      </c>
      <c r="W108" s="16" t="inlineStr">
        <is>
          <t>False</t>
        </is>
      </c>
    </row>
    <row r="109" ht="15.75" customHeight="1" s="34">
      <c r="A109" s="7" t="inlineStr">
        <is>
          <t>Alma Fonda Fina</t>
        </is>
      </c>
      <c r="B109" s="7" t="inlineStr">
        <is>
          <t>False</t>
        </is>
      </c>
      <c r="C109" s="7" t="n"/>
      <c r="D109" s="7" t="n"/>
      <c r="E109" s="7" t="inlineStr">
        <is>
          <t>(303) 455-9463</t>
        </is>
      </c>
      <c r="F109" s="7" t="n"/>
      <c r="G109" s="7" t="inlineStr">
        <is>
          <t>Chef Johnny Curiel (independent)</t>
        </is>
      </c>
      <c r="H109" s="17" t="inlineStr">
        <is>
          <t>Street parking in LoHi neighborhood</t>
        </is>
      </c>
      <c r="J109" s="7" t="inlineStr">
        <is>
          <t>Fine Dining - Contemporary Mexican</t>
        </is>
      </c>
      <c r="K109" s="7" t="n"/>
      <c r="M109" s="16" t="inlineStr">
        <is>
          <t>False</t>
        </is>
      </c>
      <c r="N109" s="16" t="inlineStr">
        <is>
          <t>False</t>
        </is>
      </c>
      <c r="O109" s="16" t="inlineStr">
        <is>
          <t>False</t>
        </is>
      </c>
      <c r="P109" s="16" t="inlineStr">
        <is>
          <t>False</t>
        </is>
      </c>
      <c r="Q109" s="16" t="inlineStr">
        <is>
          <t>False</t>
        </is>
      </c>
      <c r="R109" s="16" t="inlineStr">
        <is>
          <t>False</t>
        </is>
      </c>
      <c r="S109" s="16" t="inlineStr">
        <is>
          <t>False</t>
        </is>
      </c>
      <c r="T109" s="16" t="inlineStr">
        <is>
          <t>False</t>
        </is>
      </c>
      <c r="U109" s="16" t="inlineStr">
        <is>
          <t>False</t>
        </is>
      </c>
      <c r="V109" s="16" t="inlineStr">
        <is>
          <t>False</t>
        </is>
      </c>
      <c r="W109" s="16" t="inlineStr">
        <is>
          <t>False</t>
        </is>
      </c>
    </row>
    <row r="110" ht="15.75" customHeight="1" s="34">
      <c r="A110" s="7" t="inlineStr">
        <is>
          <t>UCHealth University of Colorado Hospital</t>
        </is>
      </c>
      <c r="B110" s="7" t="inlineStr">
        <is>
          <t>False</t>
        </is>
      </c>
      <c r="C110" s="7" t="n"/>
      <c r="D110" s="7" t="n"/>
      <c r="E110" s="7" t="inlineStr">
        <is>
          <t>(720) 848-0000</t>
        </is>
      </c>
      <c r="F110" s="7" t="n"/>
      <c r="G110" s="7" t="inlineStr">
        <is>
          <t>UCHealth (self-operated)</t>
        </is>
      </c>
      <c r="H110" s="17" t="inlineStr">
        <is>
          <t>Free patient/visitor lots (Lots 5, 6, 7 and Garage 2)</t>
        </is>
      </c>
      <c r="I110" s="17" t="inlineStr">
        <is>
          <t>Free (no tipping required)</t>
        </is>
      </c>
      <c r="J110" s="7" t="n"/>
      <c r="K110" s="7" t="n"/>
      <c r="M110" s="16" t="inlineStr">
        <is>
          <t>False</t>
        </is>
      </c>
      <c r="N110" s="16" t="inlineStr">
        <is>
          <t>False</t>
        </is>
      </c>
      <c r="O110" s="16" t="inlineStr">
        <is>
          <t>False</t>
        </is>
      </c>
      <c r="P110" s="16" t="inlineStr">
        <is>
          <t>False</t>
        </is>
      </c>
      <c r="Q110" s="16" t="inlineStr">
        <is>
          <t>False</t>
        </is>
      </c>
      <c r="R110" s="16" t="inlineStr">
        <is>
          <t>False</t>
        </is>
      </c>
      <c r="S110" s="16" t="inlineStr">
        <is>
          <t>False</t>
        </is>
      </c>
      <c r="T110" s="16" t="inlineStr">
        <is>
          <t>False</t>
        </is>
      </c>
      <c r="U110" s="16" t="inlineStr">
        <is>
          <t>False</t>
        </is>
      </c>
      <c r="V110" s="16" t="inlineStr">
        <is>
          <t>False</t>
        </is>
      </c>
      <c r="W110" s="16" t="inlineStr">
        <is>
          <t>False</t>
        </is>
      </c>
    </row>
    <row r="111" ht="15.75" customHeight="1" s="34">
      <c r="A111" s="7" t="inlineStr">
        <is>
          <t>Denver Health Medical Center</t>
        </is>
      </c>
      <c r="B111" s="7" t="inlineStr">
        <is>
          <t>False</t>
        </is>
      </c>
      <c r="C111" s="7" t="n"/>
      <c r="D111" s="7" t="n"/>
      <c r="E111" s="7" t="inlineStr">
        <is>
          <t>(303) 436-6000</t>
        </is>
      </c>
      <c r="F111" s="7" t="n"/>
      <c r="G111" s="7" t="inlineStr">
        <is>
          <t>Denver Health (self-operated)</t>
        </is>
      </c>
      <c r="H111" s="17" t="inlineStr">
        <is>
          <t>Free in Delaware Garage (P2) and OMC Parking Garage (P4); $1.50-$2/day in nearby public pay lots</t>
        </is>
      </c>
      <c r="I111" s="17" t="inlineStr">
        <is>
          <t>$5 per car</t>
        </is>
      </c>
      <c r="J111" s="7" t="n"/>
      <c r="K111" s="7" t="n"/>
      <c r="M111" s="16" t="inlineStr">
        <is>
          <t>False</t>
        </is>
      </c>
      <c r="N111" s="16" t="inlineStr">
        <is>
          <t>False</t>
        </is>
      </c>
      <c r="O111" s="16" t="inlineStr">
        <is>
          <t>False</t>
        </is>
      </c>
      <c r="P111" s="16" t="inlineStr">
        <is>
          <t>False</t>
        </is>
      </c>
      <c r="Q111" s="16" t="inlineStr">
        <is>
          <t>False</t>
        </is>
      </c>
      <c r="R111" s="16" t="inlineStr">
        <is>
          <t>False</t>
        </is>
      </c>
      <c r="S111" s="16" t="inlineStr">
        <is>
          <t>False</t>
        </is>
      </c>
      <c r="T111" s="16" t="inlineStr">
        <is>
          <t>False</t>
        </is>
      </c>
      <c r="U111" s="16" t="inlineStr">
        <is>
          <t>False</t>
        </is>
      </c>
      <c r="V111" s="16" t="inlineStr">
        <is>
          <t>False</t>
        </is>
      </c>
      <c r="W111" s="16" t="inlineStr">
        <is>
          <t>False</t>
        </is>
      </c>
    </row>
    <row r="112" ht="15.75" customHeight="1" s="34">
      <c r="A112" s="7" t="inlineStr">
        <is>
          <t>National Jewish Health</t>
        </is>
      </c>
      <c r="B112" s="7" t="inlineStr">
        <is>
          <t>False</t>
        </is>
      </c>
      <c r="C112" s="7" t="n"/>
      <c r="D112" s="7" t="n"/>
      <c r="E112" s="7" t="inlineStr">
        <is>
          <t>(877) 225-5654</t>
        </is>
      </c>
      <c r="F112" s="7" t="n"/>
      <c r="G112" s="7" t="inlineStr">
        <is>
          <t>National Jewish Health (self-operated)</t>
        </is>
      </c>
      <c r="H112" s="17" t="inlineStr">
        <is>
          <t>Free patient/visitor parking in on-campus lots and garage</t>
        </is>
      </c>
      <c r="I112" s="17" t="inlineStr">
        <is>
          <t>Free</t>
        </is>
      </c>
      <c r="J112" s="7" t="n"/>
      <c r="K112" s="7" t="n"/>
      <c r="M112" s="16" t="inlineStr">
        <is>
          <t>False</t>
        </is>
      </c>
      <c r="N112" s="16" t="inlineStr">
        <is>
          <t>False</t>
        </is>
      </c>
      <c r="O112" s="16" t="inlineStr">
        <is>
          <t>False</t>
        </is>
      </c>
      <c r="P112" s="16" t="inlineStr">
        <is>
          <t>False</t>
        </is>
      </c>
      <c r="Q112" s="16" t="inlineStr">
        <is>
          <t>False</t>
        </is>
      </c>
      <c r="R112" s="16" t="inlineStr">
        <is>
          <t>False</t>
        </is>
      </c>
      <c r="S112" s="16" t="inlineStr">
        <is>
          <t>False</t>
        </is>
      </c>
      <c r="T112" s="16" t="inlineStr">
        <is>
          <t>False</t>
        </is>
      </c>
      <c r="U112" s="16" t="inlineStr">
        <is>
          <t>False</t>
        </is>
      </c>
      <c r="V112" s="16" t="inlineStr">
        <is>
          <t>False</t>
        </is>
      </c>
      <c r="W112" s="16" t="inlineStr">
        <is>
          <t>False</t>
        </is>
      </c>
    </row>
    <row r="113" ht="15.75" customHeight="1" s="34">
      <c r="A113" s="7" t="inlineStr">
        <is>
          <t>Rose Medical Center (HCA HealthONE Rose)</t>
        </is>
      </c>
      <c r="B113" s="7" t="inlineStr">
        <is>
          <t>False</t>
        </is>
      </c>
      <c r="C113" s="7" t="n"/>
      <c r="D113" s="7" t="n"/>
      <c r="E113" s="7" t="inlineStr">
        <is>
          <t>(303) 320-2121</t>
        </is>
      </c>
      <c r="F113" s="7" t="n"/>
      <c r="G113" s="7" t="inlineStr">
        <is>
          <t>HCA HealthONE</t>
        </is>
      </c>
      <c r="H113" s="17" t="inlineStr">
        <is>
          <t>Hospital Parking Garage (on-site)</t>
        </is>
      </c>
      <c r="I113" s="17" t="inlineStr">
        <is>
          <t>Rate not confirmed publicly</t>
        </is>
      </c>
      <c r="J113" s="7" t="n"/>
      <c r="K113" s="7" t="n"/>
      <c r="M113" s="16" t="inlineStr">
        <is>
          <t>False</t>
        </is>
      </c>
      <c r="N113" s="16" t="inlineStr">
        <is>
          <t>False</t>
        </is>
      </c>
      <c r="O113" s="16" t="inlineStr">
        <is>
          <t>False</t>
        </is>
      </c>
      <c r="P113" s="16" t="inlineStr">
        <is>
          <t>False</t>
        </is>
      </c>
      <c r="Q113" s="16" t="inlineStr">
        <is>
          <t>False</t>
        </is>
      </c>
      <c r="R113" s="16" t="inlineStr">
        <is>
          <t>False</t>
        </is>
      </c>
      <c r="S113" s="16" t="inlineStr">
        <is>
          <t>False</t>
        </is>
      </c>
      <c r="T113" s="16" t="inlineStr">
        <is>
          <t>False</t>
        </is>
      </c>
      <c r="U113" s="16" t="inlineStr">
        <is>
          <t>False</t>
        </is>
      </c>
      <c r="V113" s="16" t="inlineStr">
        <is>
          <t>False</t>
        </is>
      </c>
      <c r="W113" s="16" t="inlineStr">
        <is>
          <t>False</t>
        </is>
      </c>
    </row>
    <row r="114" ht="15.75" customHeight="1" s="34">
      <c r="A114" s="7" t="inlineStr">
        <is>
          <t>Presbyterian/St. Luke's Medical Center (HCA HealthONE PSL)</t>
        </is>
      </c>
      <c r="B114" s="7" t="inlineStr">
        <is>
          <t>False</t>
        </is>
      </c>
      <c r="C114" s="7" t="n"/>
      <c r="D114" s="7" t="n"/>
      <c r="E114" s="7" t="inlineStr">
        <is>
          <t>(303) 839-6000</t>
        </is>
      </c>
      <c r="F114" s="7" t="n"/>
      <c r="G114" s="7" t="inlineStr">
        <is>
          <t>HCA HealthONE</t>
        </is>
      </c>
      <c r="H114" s="17" t="inlineStr">
        <is>
          <t>Free self-parking in parking garages at all times</t>
        </is>
      </c>
      <c r="I114" s="17" t="inlineStr">
        <is>
          <t>Free</t>
        </is>
      </c>
      <c r="J114" s="7" t="n"/>
      <c r="K114" s="7" t="n"/>
      <c r="M114" s="16" t="inlineStr">
        <is>
          <t>False</t>
        </is>
      </c>
      <c r="N114" s="16" t="inlineStr">
        <is>
          <t>False</t>
        </is>
      </c>
      <c r="O114" s="16" t="inlineStr">
        <is>
          <t>False</t>
        </is>
      </c>
      <c r="P114" s="16" t="inlineStr">
        <is>
          <t>False</t>
        </is>
      </c>
      <c r="Q114" s="16" t="inlineStr">
        <is>
          <t>False</t>
        </is>
      </c>
      <c r="R114" s="16" t="inlineStr">
        <is>
          <t>False</t>
        </is>
      </c>
      <c r="S114" s="16" t="inlineStr">
        <is>
          <t>False</t>
        </is>
      </c>
      <c r="T114" s="16" t="inlineStr">
        <is>
          <t>False</t>
        </is>
      </c>
      <c r="U114" s="16" t="inlineStr">
        <is>
          <t>False</t>
        </is>
      </c>
      <c r="V114" s="16" t="inlineStr">
        <is>
          <t>False</t>
        </is>
      </c>
      <c r="W114" s="16" t="inlineStr">
        <is>
          <t>False</t>
        </is>
      </c>
    </row>
    <row r="115" ht="15.75" customHeight="1" s="34">
      <c r="A115" s="7" t="inlineStr">
        <is>
          <t>Swedish Medical Center (HCA HealthONE Swedish)</t>
        </is>
      </c>
      <c r="B115" s="7" t="inlineStr">
        <is>
          <t>False</t>
        </is>
      </c>
      <c r="C115" s="7" t="n"/>
      <c r="D115" s="7" t="n"/>
      <c r="E115" s="7" t="inlineStr">
        <is>
          <t>(303) 788-5000</t>
        </is>
      </c>
      <c r="F115" s="7" t="n"/>
      <c r="G115" s="7" t="inlineStr">
        <is>
          <t>HCA HealthONE</t>
        </is>
      </c>
      <c r="H115" s="17" t="inlineStr">
        <is>
          <t>South Parking Garage (P3) and East Parking Garage (P4) on-site</t>
        </is>
      </c>
      <c r="I115" s="17" t="inlineStr">
        <is>
          <t>Rate not confirmed publicly (complimentary per Waze/review evidence)</t>
        </is>
      </c>
      <c r="J115" s="7" t="n"/>
      <c r="K115" s="7" t="n"/>
      <c r="M115" s="16" t="inlineStr">
        <is>
          <t>False</t>
        </is>
      </c>
      <c r="N115" s="16" t="inlineStr">
        <is>
          <t>False</t>
        </is>
      </c>
      <c r="O115" s="16" t="inlineStr">
        <is>
          <t>False</t>
        </is>
      </c>
      <c r="P115" s="16" t="inlineStr">
        <is>
          <t>False</t>
        </is>
      </c>
      <c r="Q115" s="16" t="inlineStr">
        <is>
          <t>False</t>
        </is>
      </c>
      <c r="R115" s="16" t="inlineStr">
        <is>
          <t>False</t>
        </is>
      </c>
      <c r="S115" s="16" t="inlineStr">
        <is>
          <t>False</t>
        </is>
      </c>
      <c r="T115" s="16" t="inlineStr">
        <is>
          <t>False</t>
        </is>
      </c>
      <c r="U115" s="16" t="inlineStr">
        <is>
          <t>False</t>
        </is>
      </c>
      <c r="V115" s="16" t="inlineStr">
        <is>
          <t>False</t>
        </is>
      </c>
      <c r="W115" s="16" t="inlineStr">
        <is>
          <t>False</t>
        </is>
      </c>
    </row>
    <row r="116" ht="15.75" customHeight="1" s="34">
      <c r="A116" s="7" t="inlineStr">
        <is>
          <t>Sky Ridge Medical Center (HCA HealthONE Sky Ridge)</t>
        </is>
      </c>
      <c r="B116" s="7" t="inlineStr">
        <is>
          <t>False</t>
        </is>
      </c>
      <c r="C116" s="7" t="n"/>
      <c r="D116" s="7" t="n"/>
      <c r="E116" s="7" t="inlineStr">
        <is>
          <t>(720) 225-1000</t>
        </is>
      </c>
      <c r="F116" s="7" t="n"/>
      <c r="G116" s="7" t="inlineStr">
        <is>
          <t>HCA HealthONE</t>
        </is>
      </c>
      <c r="H116" s="17" t="inlineStr">
        <is>
          <t>Free parking in on-site garage and surface lots</t>
        </is>
      </c>
      <c r="I116" s="17" t="inlineStr">
        <is>
          <t>Free (complimentary)</t>
        </is>
      </c>
      <c r="J116" s="7" t="n"/>
      <c r="K116" s="7" t="n"/>
      <c r="M116" s="16" t="inlineStr">
        <is>
          <t>False</t>
        </is>
      </c>
      <c r="N116" s="16" t="inlineStr">
        <is>
          <t>False</t>
        </is>
      </c>
      <c r="O116" s="16" t="inlineStr">
        <is>
          <t>False</t>
        </is>
      </c>
      <c r="P116" s="16" t="inlineStr">
        <is>
          <t>False</t>
        </is>
      </c>
      <c r="Q116" s="16" t="inlineStr">
        <is>
          <t>False</t>
        </is>
      </c>
      <c r="R116" s="16" t="inlineStr">
        <is>
          <t>False</t>
        </is>
      </c>
      <c r="S116" s="16" t="inlineStr">
        <is>
          <t>False</t>
        </is>
      </c>
      <c r="T116" s="16" t="inlineStr">
        <is>
          <t>False</t>
        </is>
      </c>
      <c r="U116" s="16" t="inlineStr">
        <is>
          <t>False</t>
        </is>
      </c>
      <c r="V116" s="16" t="inlineStr">
        <is>
          <t>False</t>
        </is>
      </c>
      <c r="W116" s="16" t="inlineStr">
        <is>
          <t>False</t>
        </is>
      </c>
    </row>
    <row r="117" ht="15.75" customHeight="1" s="34">
      <c r="A117" s="7" t="inlineStr">
        <is>
          <t>AdventHealth Porter (formerly Porter Adventist Hospital)</t>
        </is>
      </c>
      <c r="B117" s="7" t="inlineStr">
        <is>
          <t>False</t>
        </is>
      </c>
      <c r="C117" s="7" t="n"/>
      <c r="D117" s="7" t="n"/>
      <c r="E117" s="7" t="inlineStr">
        <is>
          <t>(303) 778-1955</t>
        </is>
      </c>
      <c r="F117" s="7" t="n"/>
      <c r="G117" s="7" t="inlineStr">
        <is>
          <t>AdventHealth (CommonSpirit affiliate / Adventist Health System)</t>
        </is>
      </c>
      <c r="H117" s="17" t="inlineStr">
        <is>
          <t>Free parking 24/7 in covered garage by main entrance and adjacent lots</t>
        </is>
      </c>
      <c r="I117" s="17" t="inlineStr">
        <is>
          <t>Free Valet</t>
        </is>
      </c>
      <c r="J117" s="7" t="n"/>
      <c r="K117" s="7" t="n"/>
      <c r="M117" s="16" t="inlineStr">
        <is>
          <t>False</t>
        </is>
      </c>
      <c r="N117" s="16" t="inlineStr">
        <is>
          <t>False</t>
        </is>
      </c>
      <c r="O117" s="16" t="inlineStr">
        <is>
          <t>False</t>
        </is>
      </c>
      <c r="P117" s="16" t="inlineStr">
        <is>
          <t>False</t>
        </is>
      </c>
      <c r="Q117" s="16" t="inlineStr">
        <is>
          <t>False</t>
        </is>
      </c>
      <c r="R117" s="16" t="inlineStr">
        <is>
          <t>False</t>
        </is>
      </c>
      <c r="S117" s="16" t="inlineStr">
        <is>
          <t>False</t>
        </is>
      </c>
      <c r="T117" s="16" t="inlineStr">
        <is>
          <t>False</t>
        </is>
      </c>
      <c r="U117" s="16" t="inlineStr">
        <is>
          <t>False</t>
        </is>
      </c>
      <c r="V117" s="16" t="inlineStr">
        <is>
          <t>False</t>
        </is>
      </c>
      <c r="W117" s="16" t="inlineStr">
        <is>
          <t>False</t>
        </is>
      </c>
    </row>
    <row r="118" ht="15.75" customHeight="1" s="34">
      <c r="A118" s="7" t="inlineStr">
        <is>
          <t>Children's Hospital Colorado (Anschutz Campus)</t>
        </is>
      </c>
      <c r="B118" s="7" t="inlineStr">
        <is>
          <t>False</t>
        </is>
      </c>
      <c r="C118" s="7" t="n"/>
      <c r="D118" s="7" t="n"/>
      <c r="E118" s="7" t="inlineStr">
        <is>
          <t>(720) 777-1234</t>
        </is>
      </c>
      <c r="F118" s="7" t="n"/>
      <c r="G118" s="7" t="inlineStr">
        <is>
          <t>Children's Hospital Colorado (self-operated)</t>
        </is>
      </c>
      <c r="H118" s="17" t="inlineStr">
        <is>
          <t>Free patient/visitor parking in designated lots</t>
        </is>
      </c>
      <c r="I118" s="17" t="inlineStr">
        <is>
          <t>Free</t>
        </is>
      </c>
      <c r="J118" s="7" t="n"/>
      <c r="K118" s="7" t="n"/>
      <c r="M118" s="16" t="inlineStr">
        <is>
          <t>False</t>
        </is>
      </c>
      <c r="N118" s="16" t="inlineStr">
        <is>
          <t>False</t>
        </is>
      </c>
      <c r="O118" s="16" t="inlineStr">
        <is>
          <t>False</t>
        </is>
      </c>
      <c r="P118" s="16" t="inlineStr">
        <is>
          <t>False</t>
        </is>
      </c>
      <c r="Q118" s="16" t="inlineStr">
        <is>
          <t>False</t>
        </is>
      </c>
      <c r="R118" s="16" t="inlineStr">
        <is>
          <t>False</t>
        </is>
      </c>
      <c r="S118" s="16" t="inlineStr">
        <is>
          <t>False</t>
        </is>
      </c>
      <c r="T118" s="16" t="inlineStr">
        <is>
          <t>False</t>
        </is>
      </c>
      <c r="U118" s="16" t="inlineStr">
        <is>
          <t>False</t>
        </is>
      </c>
      <c r="V118" s="16" t="inlineStr">
        <is>
          <t>False</t>
        </is>
      </c>
      <c r="W118" s="16" t="inlineStr">
        <is>
          <t>False</t>
        </is>
      </c>
    </row>
    <row r="119" ht="15.75" customHeight="1" s="34">
      <c r="A119" s="7" t="inlineStr">
        <is>
          <t>Rocky Mountain Regional VA Medical Center</t>
        </is>
      </c>
      <c r="B119" s="7" t="inlineStr">
        <is>
          <t>False</t>
        </is>
      </c>
      <c r="C119" s="7" t="n"/>
      <c r="D119" s="7" t="n"/>
      <c r="E119" s="7" t="inlineStr">
        <is>
          <t>(303) 399-8020</t>
        </is>
      </c>
      <c r="F119" s="7" t="n"/>
      <c r="G119" s="7" t="inlineStr">
        <is>
          <t>U.S. Department of Veterans Affairs</t>
        </is>
      </c>
      <c r="H119" s="17" t="inlineStr">
        <is>
          <t>Free patient/visitor parking in Patient Parking North (PN) and South (PS)</t>
        </is>
      </c>
      <c r="I119" s="17" t="inlineStr">
        <is>
          <t>Free Valet</t>
        </is>
      </c>
      <c r="J119" s="7" t="n"/>
      <c r="K119" s="7" t="n"/>
      <c r="M119" s="16" t="inlineStr">
        <is>
          <t>False</t>
        </is>
      </c>
      <c r="N119" s="16" t="inlineStr">
        <is>
          <t>False</t>
        </is>
      </c>
      <c r="O119" s="16" t="inlineStr">
        <is>
          <t>False</t>
        </is>
      </c>
      <c r="P119" s="16" t="inlineStr">
        <is>
          <t>False</t>
        </is>
      </c>
      <c r="Q119" s="16" t="inlineStr">
        <is>
          <t>False</t>
        </is>
      </c>
      <c r="R119" s="16" t="inlineStr">
        <is>
          <t>False</t>
        </is>
      </c>
      <c r="S119" s="16" t="inlineStr">
        <is>
          <t>False</t>
        </is>
      </c>
      <c r="T119" s="16" t="inlineStr">
        <is>
          <t>False</t>
        </is>
      </c>
      <c r="U119" s="16" t="inlineStr">
        <is>
          <t>False</t>
        </is>
      </c>
      <c r="V119" s="16" t="inlineStr">
        <is>
          <t>False</t>
        </is>
      </c>
      <c r="W119" s="16" t="inlineStr">
        <is>
          <t>False</t>
        </is>
      </c>
    </row>
    <row r="120" ht="15.75" customHeight="1" s="34">
      <c r="A120" s="7" t="inlineStr">
        <is>
          <t>Saint Joseph Hospital (Intermountain Health)</t>
        </is>
      </c>
      <c r="B120" s="7" t="inlineStr">
        <is>
          <t>False</t>
        </is>
      </c>
      <c r="C120" s="7" t="n"/>
      <c r="D120" s="7" t="n"/>
      <c r="E120" s="7" t="inlineStr">
        <is>
          <t>(303) 812-2000</t>
        </is>
      </c>
      <c r="F120" s="7" t="n"/>
      <c r="G120" s="7" t="inlineStr">
        <is>
          <t>Intermountain Health (formerly SCL Health)</t>
        </is>
      </c>
      <c r="H120" s="17" t="inlineStr">
        <is>
          <t>Free self-parking in campus garages</t>
        </is>
      </c>
      <c r="I120" s="17" t="inlineStr">
        <is>
          <t>Free</t>
        </is>
      </c>
      <c r="J120" s="7" t="n"/>
      <c r="K120" s="7" t="n"/>
      <c r="M120" s="16" t="inlineStr">
        <is>
          <t>False</t>
        </is>
      </c>
      <c r="N120" s="16" t="inlineStr">
        <is>
          <t>False</t>
        </is>
      </c>
      <c r="O120" s="16" t="inlineStr">
        <is>
          <t>False</t>
        </is>
      </c>
      <c r="P120" s="16" t="inlineStr">
        <is>
          <t>False</t>
        </is>
      </c>
      <c r="Q120" s="16" t="inlineStr">
        <is>
          <t>False</t>
        </is>
      </c>
      <c r="R120" s="16" t="inlineStr">
        <is>
          <t>False</t>
        </is>
      </c>
      <c r="S120" s="16" t="inlineStr">
        <is>
          <t>False</t>
        </is>
      </c>
      <c r="T120" s="16" t="inlineStr">
        <is>
          <t>False</t>
        </is>
      </c>
      <c r="U120" s="16" t="inlineStr">
        <is>
          <t>False</t>
        </is>
      </c>
      <c r="V120" s="16" t="inlineStr">
        <is>
          <t>False</t>
        </is>
      </c>
      <c r="W120" s="16" t="inlineStr">
        <is>
          <t>False</t>
        </is>
      </c>
    </row>
    <row r="121" ht="15.75" customHeight="1" s="34">
      <c r="A121" s="7" t="inlineStr">
        <is>
          <t>St. Anthony Hospital (CommonSpirit/Centura)</t>
        </is>
      </c>
      <c r="B121" s="7" t="inlineStr">
        <is>
          <t>False</t>
        </is>
      </c>
      <c r="C121" s="7" t="n"/>
      <c r="D121" s="7" t="n"/>
      <c r="E121" s="7" t="inlineStr">
        <is>
          <t>(720) 321-0000</t>
        </is>
      </c>
      <c r="F121" s="7" t="n"/>
      <c r="G121" s="7" t="inlineStr">
        <is>
          <t>CommonSpirit Health (Centura Health)</t>
        </is>
      </c>
      <c r="H121" s="17" t="inlineStr">
        <is>
          <t>Free parking in front lot and adjacent lots</t>
        </is>
      </c>
      <c r="I121" s="17" t="inlineStr">
        <is>
          <t>Unconfirmed</t>
        </is>
      </c>
      <c r="J121" s="7" t="n"/>
      <c r="K121" s="7" t="n"/>
      <c r="M121" s="16" t="inlineStr">
        <is>
          <t>False</t>
        </is>
      </c>
      <c r="N121" s="16" t="inlineStr">
        <is>
          <t>False</t>
        </is>
      </c>
      <c r="O121" s="16" t="inlineStr">
        <is>
          <t>False</t>
        </is>
      </c>
      <c r="P121" s="16" t="inlineStr">
        <is>
          <t>False</t>
        </is>
      </c>
      <c r="Q121" s="16" t="inlineStr">
        <is>
          <t>False</t>
        </is>
      </c>
      <c r="R121" s="16" t="inlineStr">
        <is>
          <t>False</t>
        </is>
      </c>
      <c r="S121" s="16" t="inlineStr">
        <is>
          <t>False</t>
        </is>
      </c>
      <c r="T121" s="16" t="inlineStr">
        <is>
          <t>False</t>
        </is>
      </c>
      <c r="U121" s="16" t="inlineStr">
        <is>
          <t>False</t>
        </is>
      </c>
      <c r="V121" s="16" t="inlineStr">
        <is>
          <t>False</t>
        </is>
      </c>
      <c r="W121" s="16" t="inlineStr">
        <is>
          <t>False</t>
        </is>
      </c>
    </row>
    <row r="122" ht="15.75" customHeight="1" s="34">
      <c r="A122" s="7" t="inlineStr">
        <is>
          <t>Colorado Convention Center</t>
        </is>
      </c>
      <c r="B122" s="7" t="inlineStr">
        <is>
          <t>False</t>
        </is>
      </c>
      <c r="C122" s="7" t="n"/>
      <c r="D122" s="7" t="n"/>
      <c r="E122" s="7" t="inlineStr">
        <is>
          <t>(303) 228-8000</t>
        </is>
      </c>
      <c r="F122" s="7" t="inlineStr">
        <is>
          <t>City and County of Denver (Denver Arts &amp; Venues)</t>
        </is>
      </c>
      <c r="G122" s="7" t="n"/>
      <c r="H122" s="17" t="inlineStr">
        <is>
          <t>Up to 8 hrs: $13 | Up to 12 hrs: $16 | Up to 18 hrs: $18 | Up to 24 hrs: $26 | Monthly: $190</t>
        </is>
      </c>
      <c r="I122" s="17" t="inlineStr">
        <is>
          <t>No (self-park only in on-site garage)</t>
        </is>
      </c>
      <c r="J122" s="7" t="inlineStr">
        <is>
          <t>584,000 sq ft exhibit space; 100+ meeting rooms; 35,000 cap events</t>
        </is>
      </c>
      <c r="K122" s="7" t="n"/>
      <c r="M122" s="16" t="inlineStr">
        <is>
          <t>False</t>
        </is>
      </c>
      <c r="N122" s="16" t="inlineStr">
        <is>
          <t>False</t>
        </is>
      </c>
      <c r="O122" s="16" t="inlineStr">
        <is>
          <t>False</t>
        </is>
      </c>
      <c r="P122" s="16" t="inlineStr">
        <is>
          <t>False</t>
        </is>
      </c>
      <c r="Q122" s="16" t="inlineStr">
        <is>
          <t>False</t>
        </is>
      </c>
      <c r="R122" s="16" t="inlineStr">
        <is>
          <t>False</t>
        </is>
      </c>
      <c r="S122" s="16" t="inlineStr">
        <is>
          <t>False</t>
        </is>
      </c>
      <c r="T122" s="16" t="inlineStr">
        <is>
          <t>False</t>
        </is>
      </c>
      <c r="U122" s="16" t="inlineStr">
        <is>
          <t>False</t>
        </is>
      </c>
      <c r="V122" s="16" t="inlineStr">
        <is>
          <t>False</t>
        </is>
      </c>
      <c r="W122" s="16" t="inlineStr">
        <is>
          <t>False</t>
        </is>
      </c>
    </row>
    <row r="123" ht="15.75" customHeight="1" s="34">
      <c r="A123" s="7" t="inlineStr">
        <is>
          <t>Denver Performing Arts Complex (DPAC) / Bellco Theatre</t>
        </is>
      </c>
      <c r="B123" s="7" t="inlineStr">
        <is>
          <t>False</t>
        </is>
      </c>
      <c r="C123" s="7" t="n"/>
      <c r="D123" s="7" t="n"/>
      <c r="E123" s="7" t="inlineStr">
        <is>
          <t>(720) 865-4220</t>
        </is>
      </c>
      <c r="F123" s="7" t="inlineStr">
        <is>
          <t>Denver Arts &amp; Venues (City/County of Denver); parking managed by Metropolis (rdurand@metropolis.io)</t>
        </is>
      </c>
      <c r="G123" s="7" t="n"/>
      <c r="H123" s="17" t="inlineStr">
        <is>
          <t>Event Rate: $18 (Saturdays/Sundays all day, and 2 hrs before large events) | Early Bird (in by 7:30 AM, out by 6 PM): $11 | Hourly rates: &lt;1hr $7, 1-2hr $9, 2-5hr $13</t>
        </is>
      </c>
      <c r="I123" s="17" t="inlineStr">
        <is>
          <t>Jay's Valet: 303-777-JAYS (5297) for private arrangements</t>
        </is>
      </c>
      <c r="J123" s="7" t="inlineStr">
        <is>
          <t>1,700-space parking garage (on-site); Bellco Theatre: 5,000 cap; Boettcher Hall: 2,679 seats</t>
        </is>
      </c>
      <c r="K123" s="7" t="n"/>
      <c r="M123" s="16" t="inlineStr">
        <is>
          <t>False</t>
        </is>
      </c>
      <c r="N123" s="16" t="inlineStr">
        <is>
          <t>False</t>
        </is>
      </c>
      <c r="O123" s="16" t="inlineStr">
        <is>
          <t>False</t>
        </is>
      </c>
      <c r="P123" s="16" t="inlineStr">
        <is>
          <t>False</t>
        </is>
      </c>
      <c r="Q123" s="16" t="inlineStr">
        <is>
          <t>False</t>
        </is>
      </c>
      <c r="R123" s="16" t="inlineStr">
        <is>
          <t>False</t>
        </is>
      </c>
      <c r="S123" s="16" t="inlineStr">
        <is>
          <t>False</t>
        </is>
      </c>
      <c r="T123" s="16" t="inlineStr">
        <is>
          <t>False</t>
        </is>
      </c>
      <c r="U123" s="16" t="inlineStr">
        <is>
          <t>False</t>
        </is>
      </c>
      <c r="V123" s="16" t="inlineStr">
        <is>
          <t>False</t>
        </is>
      </c>
      <c r="W123" s="16" t="inlineStr">
        <is>
          <t>False</t>
        </is>
      </c>
    </row>
    <row r="124" ht="15.75" customHeight="1" s="34">
      <c r="A124" s="7" t="inlineStr">
        <is>
          <t>Ellie Caulkins Opera House</t>
        </is>
      </c>
      <c r="B124" s="7" t="inlineStr">
        <is>
          <t>False</t>
        </is>
      </c>
      <c r="C124" s="7" t="n"/>
      <c r="D124" s="7" t="n"/>
      <c r="E124" s="7" t="inlineStr">
        <is>
          <t>(303) 893-4100</t>
        </is>
      </c>
      <c r="F124" s="7" t="inlineStr">
        <is>
          <t>Denver Arts &amp; Venues / Opera Colorado (programming)</t>
        </is>
      </c>
      <c r="G124" s="7" t="n"/>
      <c r="H124" s="17" t="inlineStr">
        <is>
          <t>DPAC Garage ($18 event rate) or Convention Center Garage (1000 spaces across street)</t>
        </is>
      </c>
      <c r="I124" s="17" t="inlineStr">
        <is>
          <t>Opera Colorado offers complimentary valet at rehearsal studio events (4121 S Navajo St, Englewood)</t>
        </is>
      </c>
      <c r="J124" s="7" t="inlineStr">
        <is>
          <t>2,225 seats</t>
        </is>
      </c>
      <c r="K124" s="7" t="n"/>
      <c r="M124" s="16" t="inlineStr">
        <is>
          <t>False</t>
        </is>
      </c>
      <c r="N124" s="16" t="inlineStr">
        <is>
          <t>False</t>
        </is>
      </c>
      <c r="O124" s="16" t="inlineStr">
        <is>
          <t>False</t>
        </is>
      </c>
      <c r="P124" s="16" t="inlineStr">
        <is>
          <t>False</t>
        </is>
      </c>
      <c r="Q124" s="16" t="inlineStr">
        <is>
          <t>False</t>
        </is>
      </c>
      <c r="R124" s="16" t="inlineStr">
        <is>
          <t>False</t>
        </is>
      </c>
      <c r="S124" s="16" t="inlineStr">
        <is>
          <t>False</t>
        </is>
      </c>
      <c r="T124" s="16" t="inlineStr">
        <is>
          <t>False</t>
        </is>
      </c>
      <c r="U124" s="16" t="inlineStr">
        <is>
          <t>False</t>
        </is>
      </c>
      <c r="V124" s="16" t="inlineStr">
        <is>
          <t>False</t>
        </is>
      </c>
      <c r="W124" s="16" t="inlineStr">
        <is>
          <t>False</t>
        </is>
      </c>
    </row>
    <row r="125" ht="15.75" customHeight="1" s="34">
      <c r="A125" s="7" t="inlineStr">
        <is>
          <t>Boettcher Concert Hall</t>
        </is>
      </c>
      <c r="B125" s="7" t="inlineStr">
        <is>
          <t>False</t>
        </is>
      </c>
      <c r="C125" s="7" t="n"/>
      <c r="D125" s="7" t="n"/>
      <c r="E125" s="7" t="inlineStr">
        <is>
          <t>(303) 623-7876 (Colorado Symphony)</t>
        </is>
      </c>
      <c r="F125" s="7" t="inlineStr">
        <is>
          <t>Denver Arts &amp; Venues; Colorado Symphony (resident company)</t>
        </is>
      </c>
      <c r="G125" s="7" t="n"/>
      <c r="H125" s="17" t="inlineStr">
        <is>
          <t>DPAC Garage ($18 event rate); Colorado Convention Center Garage alternative</t>
        </is>
      </c>
      <c r="I125" s="17" t="inlineStr">
        <is>
          <t>Jay's Valet: 303-777-JAYS (5297)</t>
        </is>
      </c>
      <c r="J125" s="7" t="inlineStr">
        <is>
          <t>2,679 seats</t>
        </is>
      </c>
      <c r="K125" s="7" t="n"/>
      <c r="M125" s="16" t="inlineStr">
        <is>
          <t>False</t>
        </is>
      </c>
      <c r="N125" s="16" t="inlineStr">
        <is>
          <t>False</t>
        </is>
      </c>
      <c r="O125" s="16" t="inlineStr">
        <is>
          <t>False</t>
        </is>
      </c>
      <c r="P125" s="16" t="inlineStr">
        <is>
          <t>False</t>
        </is>
      </c>
      <c r="Q125" s="16" t="inlineStr">
        <is>
          <t>False</t>
        </is>
      </c>
      <c r="R125" s="16" t="inlineStr">
        <is>
          <t>False</t>
        </is>
      </c>
      <c r="S125" s="16" t="inlineStr">
        <is>
          <t>False</t>
        </is>
      </c>
      <c r="T125" s="16" t="inlineStr">
        <is>
          <t>False</t>
        </is>
      </c>
      <c r="U125" s="16" t="inlineStr">
        <is>
          <t>False</t>
        </is>
      </c>
      <c r="V125" s="16" t="inlineStr">
        <is>
          <t>False</t>
        </is>
      </c>
      <c r="W125" s="16" t="inlineStr">
        <is>
          <t>False</t>
        </is>
      </c>
    </row>
    <row r="126" ht="15.75" customHeight="1" s="34">
      <c r="A126" s="7" t="inlineStr">
        <is>
          <t>Ball Arena</t>
        </is>
      </c>
      <c r="B126" s="7" t="inlineStr">
        <is>
          <t>False</t>
        </is>
      </c>
      <c r="C126" s="7" t="n"/>
      <c r="D126" s="7" t="n"/>
      <c r="E126" s="7" t="inlineStr">
        <is>
          <t>(303) 405-1100</t>
        </is>
      </c>
      <c r="F126" s="7" t="inlineStr">
        <is>
          <t>LAZ Parking (Ball Arena lots; also manages DEN)</t>
        </is>
      </c>
      <c r="G126" s="7" t="n"/>
      <c r="H126" s="17" t="inlineStr">
        <is>
          <t>Toyota Camry Lot (VIP/closest): Avalanche $70, Nuggets $70, Mammoth $60, Concerts $70-75 | Standard lots: various</t>
        </is>
      </c>
      <c r="I126" s="17" t="inlineStr">
        <is>
          <t>Mammoth Games: $85 | Concerts &amp; Other Events: $90-$95 (permit/Club Lexus for Nuggets/Avalanche games)</t>
        </is>
      </c>
      <c r="J126" s="7" t="inlineStr">
        <is>
          <t>19,520 seats (basketball); 18,007 (hockey)</t>
        </is>
      </c>
      <c r="K126" s="7" t="n"/>
      <c r="M126" s="16" t="inlineStr">
        <is>
          <t>False</t>
        </is>
      </c>
      <c r="N126" s="16" t="inlineStr">
        <is>
          <t>False</t>
        </is>
      </c>
      <c r="O126" s="16" t="inlineStr">
        <is>
          <t>False</t>
        </is>
      </c>
      <c r="P126" s="16" t="inlineStr">
        <is>
          <t>False</t>
        </is>
      </c>
      <c r="Q126" s="16" t="inlineStr">
        <is>
          <t>False</t>
        </is>
      </c>
      <c r="R126" s="16" t="inlineStr">
        <is>
          <t>False</t>
        </is>
      </c>
      <c r="S126" s="16" t="inlineStr">
        <is>
          <t>False</t>
        </is>
      </c>
      <c r="T126" s="16" t="inlineStr">
        <is>
          <t>False</t>
        </is>
      </c>
      <c r="U126" s="16" t="inlineStr">
        <is>
          <t>False</t>
        </is>
      </c>
      <c r="V126" s="16" t="inlineStr">
        <is>
          <t>False</t>
        </is>
      </c>
      <c r="W126" s="16" t="inlineStr">
        <is>
          <t>False</t>
        </is>
      </c>
    </row>
    <row r="127" ht="15.75" customHeight="1" s="34">
      <c r="A127" s="7" t="inlineStr">
        <is>
          <t>Empower Field at Mile High</t>
        </is>
      </c>
      <c r="B127" s="7" t="inlineStr">
        <is>
          <t>False</t>
        </is>
      </c>
      <c r="C127" s="7" t="n"/>
      <c r="D127" s="7" t="n"/>
      <c r="E127" s="7" t="inlineStr">
        <is>
          <t>(720) 258-3333</t>
        </is>
      </c>
      <c r="F127" s="7" t="inlineStr">
        <is>
          <t>Denver Broncos / Empower Field at Mile High</t>
        </is>
      </c>
      <c r="G127" s="7" t="n"/>
      <c r="H127" s="17" t="inlineStr">
        <is>
          <t>Lot C (early tailgate): $55 | Lot A (carpool 4+): $45 | General lots: $35-$55</t>
        </is>
      </c>
      <c r="I127" s="17" t="inlineStr">
        <is>
          <t>No (on-site lots only; no traditional valet)</t>
        </is>
      </c>
      <c r="J127" s="7" t="inlineStr">
        <is>
          <t>76,125 seats</t>
        </is>
      </c>
      <c r="K127" s="7" t="n"/>
      <c r="M127" s="16" t="inlineStr">
        <is>
          <t>False</t>
        </is>
      </c>
      <c r="N127" s="16" t="inlineStr">
        <is>
          <t>False</t>
        </is>
      </c>
      <c r="O127" s="16" t="inlineStr">
        <is>
          <t>False</t>
        </is>
      </c>
      <c r="P127" s="16" t="inlineStr">
        <is>
          <t>False</t>
        </is>
      </c>
      <c r="Q127" s="16" t="inlineStr">
        <is>
          <t>False</t>
        </is>
      </c>
      <c r="R127" s="16" t="inlineStr">
        <is>
          <t>False</t>
        </is>
      </c>
      <c r="S127" s="16" t="inlineStr">
        <is>
          <t>False</t>
        </is>
      </c>
      <c r="T127" s="16" t="inlineStr">
        <is>
          <t>False</t>
        </is>
      </c>
      <c r="U127" s="16" t="inlineStr">
        <is>
          <t>False</t>
        </is>
      </c>
      <c r="V127" s="16" t="inlineStr">
        <is>
          <t>False</t>
        </is>
      </c>
      <c r="W127" s="16" t="inlineStr">
        <is>
          <t>False</t>
        </is>
      </c>
    </row>
    <row r="128" ht="15.75" customHeight="1" s="34">
      <c r="A128" s="7" t="inlineStr">
        <is>
          <t>Coors Field</t>
        </is>
      </c>
      <c r="B128" s="7" t="inlineStr">
        <is>
          <t>False</t>
        </is>
      </c>
      <c r="C128" s="7" t="n"/>
      <c r="D128" s="7" t="n"/>
      <c r="E128" s="7" t="inlineStr">
        <is>
          <t>(303) 762-5437</t>
        </is>
      </c>
      <c r="F128" s="7" t="inlineStr">
        <is>
          <t>SP+ (303-312-2040) – staffs and operates all Coors Field parking lots</t>
        </is>
      </c>
      <c r="G128" s="7" t="n"/>
      <c r="H128" s="17" t="inlineStr">
        <is>
          <t>Advance lots start at $18 (Mon–Thu) or $28 (Fri–Sun); Parking Garage non-game day: $5/day</t>
        </is>
      </c>
      <c r="I128" s="17" t="inlineStr">
        <is>
          <t>Starting at $35 per vehicle (VIP Lot)</t>
        </is>
      </c>
      <c r="J128" s="7" t="inlineStr">
        <is>
          <t>50,144 seats</t>
        </is>
      </c>
      <c r="K128" s="7" t="n"/>
      <c r="M128" s="16" t="inlineStr">
        <is>
          <t>False</t>
        </is>
      </c>
      <c r="N128" s="16" t="inlineStr">
        <is>
          <t>False</t>
        </is>
      </c>
      <c r="O128" s="16" t="inlineStr">
        <is>
          <t>False</t>
        </is>
      </c>
      <c r="P128" s="16" t="inlineStr">
        <is>
          <t>False</t>
        </is>
      </c>
      <c r="Q128" s="16" t="inlineStr">
        <is>
          <t>False</t>
        </is>
      </c>
      <c r="R128" s="16" t="inlineStr">
        <is>
          <t>False</t>
        </is>
      </c>
      <c r="S128" s="16" t="inlineStr">
        <is>
          <t>False</t>
        </is>
      </c>
      <c r="T128" s="16" t="inlineStr">
        <is>
          <t>False</t>
        </is>
      </c>
      <c r="U128" s="16" t="inlineStr">
        <is>
          <t>False</t>
        </is>
      </c>
      <c r="V128" s="16" t="inlineStr">
        <is>
          <t>False</t>
        </is>
      </c>
      <c r="W128" s="16" t="inlineStr">
        <is>
          <t>False</t>
        </is>
      </c>
    </row>
    <row r="129" ht="15.75" customHeight="1" s="34">
      <c r="A129" s="7" t="inlineStr">
        <is>
          <t>Red Rocks Amphitheatre</t>
        </is>
      </c>
      <c r="B129" s="7" t="inlineStr">
        <is>
          <t>False</t>
        </is>
      </c>
      <c r="C129" s="7" t="n"/>
      <c r="D129" s="7" t="n"/>
      <c r="E129" s="7" t="inlineStr">
        <is>
          <t>(720) 865-2494</t>
        </is>
      </c>
      <c r="F129" s="7" t="inlineStr">
        <is>
          <t>Denver Arts &amp; Venues (City and County of Denver)</t>
        </is>
      </c>
      <c r="G129" s="7" t="n"/>
      <c r="H129" s="17" t="inlineStr">
        <is>
          <t>Included with most show tickets; free on non-event days</t>
        </is>
      </c>
      <c r="I129" s="17" t="inlineStr">
        <is>
          <t>No</t>
        </is>
      </c>
      <c r="J129" s="7" t="inlineStr">
        <is>
          <t>9,525 seats</t>
        </is>
      </c>
      <c r="K129" s="7" t="n"/>
      <c r="M129" s="16" t="inlineStr">
        <is>
          <t>False</t>
        </is>
      </c>
      <c r="N129" s="16" t="inlineStr">
        <is>
          <t>False</t>
        </is>
      </c>
      <c r="O129" s="16" t="inlineStr">
        <is>
          <t>False</t>
        </is>
      </c>
      <c r="P129" s="16" t="inlineStr">
        <is>
          <t>False</t>
        </is>
      </c>
      <c r="Q129" s="16" t="inlineStr">
        <is>
          <t>False</t>
        </is>
      </c>
      <c r="R129" s="16" t="inlineStr">
        <is>
          <t>False</t>
        </is>
      </c>
      <c r="S129" s="16" t="inlineStr">
        <is>
          <t>False</t>
        </is>
      </c>
      <c r="T129" s="16" t="inlineStr">
        <is>
          <t>False</t>
        </is>
      </c>
      <c r="U129" s="16" t="inlineStr">
        <is>
          <t>False</t>
        </is>
      </c>
      <c r="V129" s="16" t="inlineStr">
        <is>
          <t>False</t>
        </is>
      </c>
      <c r="W129" s="16" t="inlineStr">
        <is>
          <t>False</t>
        </is>
      </c>
    </row>
    <row r="130" ht="15.75" customHeight="1" s="34">
      <c r="A130" s="7" t="inlineStr">
        <is>
          <t>Mission Ballroom</t>
        </is>
      </c>
      <c r="B130" s="7" t="inlineStr">
        <is>
          <t>False</t>
        </is>
      </c>
      <c r="C130" s="7" t="n"/>
      <c r="D130" s="7" t="n"/>
      <c r="E130" s="7" t="inlineStr">
        <is>
          <t>(720) 361-1555</t>
        </is>
      </c>
      <c r="F130" s="7" t="inlineStr">
        <is>
          <t>Mission Ballroom / AXS (parking ticket sales)</t>
        </is>
      </c>
      <c r="G130" s="7" t="n"/>
      <c r="H130" s="17" t="inlineStr">
        <is>
          <t>Paid parking on North Wynkoop (on-site Mission Preferred Lot available via AXS ticket add-on)</t>
        </is>
      </c>
      <c r="I130" s="17" t="inlineStr">
        <is>
          <t>No (self-park paid lots only)</t>
        </is>
      </c>
      <c r="J130" s="7" t="inlineStr">
        <is>
          <t>3,950 standing capacity</t>
        </is>
      </c>
      <c r="K130" s="7" t="n"/>
      <c r="M130" s="16" t="inlineStr">
        <is>
          <t>False</t>
        </is>
      </c>
      <c r="N130" s="16" t="inlineStr">
        <is>
          <t>False</t>
        </is>
      </c>
      <c r="O130" s="16" t="inlineStr">
        <is>
          <t>False</t>
        </is>
      </c>
      <c r="P130" s="16" t="inlineStr">
        <is>
          <t>False</t>
        </is>
      </c>
      <c r="Q130" s="16" t="inlineStr">
        <is>
          <t>False</t>
        </is>
      </c>
      <c r="R130" s="16" t="inlineStr">
        <is>
          <t>False</t>
        </is>
      </c>
      <c r="S130" s="16" t="inlineStr">
        <is>
          <t>False</t>
        </is>
      </c>
      <c r="T130" s="16" t="inlineStr">
        <is>
          <t>False</t>
        </is>
      </c>
      <c r="U130" s="16" t="inlineStr">
        <is>
          <t>False</t>
        </is>
      </c>
      <c r="V130" s="16" t="inlineStr">
        <is>
          <t>False</t>
        </is>
      </c>
      <c r="W130" s="16" t="inlineStr">
        <is>
          <t>False</t>
        </is>
      </c>
    </row>
    <row r="131" ht="15.75" customHeight="1" s="34">
      <c r="A131" s="7" t="inlineStr">
        <is>
          <t>Denver Botanic Gardens (York Street)</t>
        </is>
      </c>
      <c r="B131" s="7" t="inlineStr">
        <is>
          <t>False</t>
        </is>
      </c>
      <c r="C131" s="7" t="n"/>
      <c r="D131" s="7" t="n"/>
      <c r="E131" s="7" t="inlineStr">
        <is>
          <t>(720) 865-3500</t>
        </is>
      </c>
      <c r="F131" s="7" t="inlineStr">
        <is>
          <t>Denver Botanic Gardens (non-profit)</t>
        </is>
      </c>
      <c r="G131" s="7" t="n"/>
      <c r="H131" s="17" t="inlineStr">
        <is>
          <t>Limited free parking in parking complex (York to Josephine); EV charging free 2-hour increments</t>
        </is>
      </c>
      <c r="I131" s="17" t="inlineStr">
        <is>
          <t>Not confirmed for standard events</t>
        </is>
      </c>
      <c r="J131" s="7" t="inlineStr">
        <is>
          <t>24 acres; Summer Concert Series (Buell Family Foundation Stage); capacity ~3,000 for concerts</t>
        </is>
      </c>
      <c r="K131" s="7" t="n"/>
      <c r="M131" s="16" t="inlineStr">
        <is>
          <t>False</t>
        </is>
      </c>
      <c r="N131" s="16" t="inlineStr">
        <is>
          <t>False</t>
        </is>
      </c>
      <c r="O131" s="16" t="inlineStr">
        <is>
          <t>False</t>
        </is>
      </c>
      <c r="P131" s="16" t="inlineStr">
        <is>
          <t>False</t>
        </is>
      </c>
      <c r="Q131" s="16" t="inlineStr">
        <is>
          <t>False</t>
        </is>
      </c>
      <c r="R131" s="16" t="inlineStr">
        <is>
          <t>False</t>
        </is>
      </c>
      <c r="S131" s="16" t="inlineStr">
        <is>
          <t>False</t>
        </is>
      </c>
      <c r="T131" s="16" t="inlineStr">
        <is>
          <t>False</t>
        </is>
      </c>
      <c r="U131" s="16" t="inlineStr">
        <is>
          <t>False</t>
        </is>
      </c>
      <c r="V131" s="16" t="inlineStr">
        <is>
          <t>False</t>
        </is>
      </c>
      <c r="W131" s="16" t="inlineStr">
        <is>
          <t>False</t>
        </is>
      </c>
    </row>
    <row r="132" ht="15.75" customHeight="1" s="34">
      <c r="A132" s="7" t="inlineStr">
        <is>
          <t>Denver Art Museum</t>
        </is>
      </c>
      <c r="B132" s="7" t="inlineStr">
        <is>
          <t>False</t>
        </is>
      </c>
      <c r="C132" s="7" t="n"/>
      <c r="D132" s="7" t="n"/>
      <c r="E132" s="7" t="inlineStr">
        <is>
          <t>(720) 865-5000</t>
        </is>
      </c>
      <c r="F132" s="7" t="inlineStr">
        <is>
          <t>City and County of Denver (Cultural Center Complex Garage); Propark Mobility listed as Denver partner</t>
        </is>
      </c>
      <c r="G132" s="7" t="n"/>
      <c r="H132" s="17" t="inlineStr">
        <is>
          <t>Cultural Center Complex Garage: ~$3-5/hr, daily max $12-20 (12th Ave between Broadway &amp; Bannock); street parking $2-4/hr</t>
        </is>
      </c>
      <c r="I132" s="17" t="inlineStr">
        <is>
          <t>No (Cultural Center Complex Garage for self-park)</t>
        </is>
      </c>
      <c r="J132" s="7" t="inlineStr">
        <is>
          <t>One of largest art museums between West Coast and Chicago; 260,000 sq ft</t>
        </is>
      </c>
      <c r="K132" s="7" t="n"/>
      <c r="M132" s="16" t="inlineStr">
        <is>
          <t>False</t>
        </is>
      </c>
      <c r="N132" s="16" t="inlineStr">
        <is>
          <t>False</t>
        </is>
      </c>
      <c r="O132" s="16" t="inlineStr">
        <is>
          <t>False</t>
        </is>
      </c>
      <c r="P132" s="16" t="inlineStr">
        <is>
          <t>False</t>
        </is>
      </c>
      <c r="Q132" s="16" t="inlineStr">
        <is>
          <t>False</t>
        </is>
      </c>
      <c r="R132" s="16" t="inlineStr">
        <is>
          <t>False</t>
        </is>
      </c>
      <c r="S132" s="16" t="inlineStr">
        <is>
          <t>False</t>
        </is>
      </c>
      <c r="T132" s="16" t="inlineStr">
        <is>
          <t>False</t>
        </is>
      </c>
      <c r="U132" s="16" t="inlineStr">
        <is>
          <t>False</t>
        </is>
      </c>
      <c r="V132" s="16" t="inlineStr">
        <is>
          <t>False</t>
        </is>
      </c>
      <c r="W132" s="16" t="inlineStr">
        <is>
          <t>False</t>
        </is>
      </c>
    </row>
    <row r="133" ht="15.75" customHeight="1" s="34">
      <c r="A133" s="7" t="inlineStr">
        <is>
          <t>History Colorado Center</t>
        </is>
      </c>
      <c r="B133" s="7" t="inlineStr">
        <is>
          <t>False</t>
        </is>
      </c>
      <c r="C133" s="7" t="n"/>
      <c r="D133" s="7" t="n"/>
      <c r="E133" s="7" t="inlineStr">
        <is>
          <t>(303) 447-8679</t>
        </is>
      </c>
      <c r="F133" s="7" t="inlineStr">
        <is>
          <t>History Colorado (state agency)</t>
        </is>
      </c>
      <c r="G133" s="7" t="n"/>
      <c r="H133" s="17" t="inlineStr">
        <is>
          <t>Cultural Center Complex Garage nearby; street parking on Broadway, Bannock</t>
        </is>
      </c>
      <c r="I133" s="17" t="inlineStr">
        <is>
          <t>Possible for private events (unconfirmed)</t>
        </is>
      </c>
      <c r="J133" s="7" t="inlineStr">
        <is>
          <t>200,000+ sq ft; event spaces up to 400 capacity</t>
        </is>
      </c>
      <c r="K133" s="7" t="n"/>
      <c r="M133" s="16" t="inlineStr">
        <is>
          <t>False</t>
        </is>
      </c>
      <c r="N133" s="16" t="inlineStr">
        <is>
          <t>False</t>
        </is>
      </c>
      <c r="O133" s="16" t="inlineStr">
        <is>
          <t>False</t>
        </is>
      </c>
      <c r="P133" s="16" t="inlineStr">
        <is>
          <t>False</t>
        </is>
      </c>
      <c r="Q133" s="16" t="inlineStr">
        <is>
          <t>False</t>
        </is>
      </c>
      <c r="R133" s="16" t="inlineStr">
        <is>
          <t>False</t>
        </is>
      </c>
      <c r="S133" s="16" t="inlineStr">
        <is>
          <t>False</t>
        </is>
      </c>
      <c r="T133" s="16" t="inlineStr">
        <is>
          <t>False</t>
        </is>
      </c>
      <c r="U133" s="16" t="inlineStr">
        <is>
          <t>False</t>
        </is>
      </c>
      <c r="V133" s="16" t="inlineStr">
        <is>
          <t>False</t>
        </is>
      </c>
      <c r="W133" s="16" t="inlineStr">
        <is>
          <t>False</t>
        </is>
      </c>
    </row>
    <row r="134" ht="15.75" customHeight="1" s="34">
      <c r="A134" s="7" t="inlineStr">
        <is>
          <t>Wings Over the Rockies Air &amp; Space Museum</t>
        </is>
      </c>
      <c r="B134" s="7" t="inlineStr">
        <is>
          <t>False</t>
        </is>
      </c>
      <c r="C134" s="7" t="n"/>
      <c r="D134" s="7" t="n"/>
      <c r="E134" s="7" t="inlineStr">
        <is>
          <t>(303) 360-5360</t>
        </is>
      </c>
      <c r="F134" s="7" t="inlineStr">
        <is>
          <t>Wings Over the Rockies (non-profit)</t>
        </is>
      </c>
      <c r="G134" s="7" t="n"/>
      <c r="H134" s="17" t="inlineStr">
        <is>
          <t>Free parking on south and east side of building</t>
        </is>
      </c>
      <c r="I134" s="17" t="inlineStr">
        <is>
          <t>No (free self-parking available)</t>
        </is>
      </c>
      <c r="J134" s="7" t="inlineStr">
        <is>
          <t>185,000 sq ft exhibit space; event capacity up to 1,500 banquet</t>
        </is>
      </c>
      <c r="K134" s="7" t="n"/>
      <c r="M134" s="16" t="inlineStr">
        <is>
          <t>False</t>
        </is>
      </c>
      <c r="N134" s="16" t="inlineStr">
        <is>
          <t>False</t>
        </is>
      </c>
      <c r="O134" s="16" t="inlineStr">
        <is>
          <t>False</t>
        </is>
      </c>
      <c r="P134" s="16" t="inlineStr">
        <is>
          <t>False</t>
        </is>
      </c>
      <c r="Q134" s="16" t="inlineStr">
        <is>
          <t>False</t>
        </is>
      </c>
      <c r="R134" s="16" t="inlineStr">
        <is>
          <t>False</t>
        </is>
      </c>
      <c r="S134" s="16" t="inlineStr">
        <is>
          <t>False</t>
        </is>
      </c>
      <c r="T134" s="16" t="inlineStr">
        <is>
          <t>False</t>
        </is>
      </c>
      <c r="U134" s="16" t="inlineStr">
        <is>
          <t>False</t>
        </is>
      </c>
      <c r="V134" s="16" t="inlineStr">
        <is>
          <t>False</t>
        </is>
      </c>
      <c r="W134" s="16" t="inlineStr">
        <is>
          <t>False</t>
        </is>
      </c>
    </row>
    <row r="135" ht="15.75" customHeight="1" s="34">
      <c r="A135" s="7" t="inlineStr">
        <is>
          <t>McGregor Square</t>
        </is>
      </c>
      <c r="B135" s="7" t="inlineStr">
        <is>
          <t>False</t>
        </is>
      </c>
      <c r="C135" s="7" t="n"/>
      <c r="D135" s="7" t="n"/>
      <c r="E135" s="7" t="inlineStr">
        <is>
          <t>(720) 647-5080</t>
        </is>
      </c>
      <c r="F135" s="7" t="inlineStr">
        <is>
          <t>McGregor Square / Rally Hotel management</t>
        </is>
      </c>
      <c r="G135" s="7" t="n"/>
      <c r="H135" s="17" t="inlineStr">
        <is>
          <t>Self-parking at corner of 20th and Wazee (rates vary)</t>
        </is>
      </c>
      <c r="I135" s="17" t="inlineStr">
        <is>
          <t>$49.00 per car per day (Rally Hotel valet at 1950 Wazee Street)</t>
        </is>
      </c>
      <c r="J135" s="7" t="inlineStr">
        <is>
          <t>17,000 sq ft outdoor plaza with 66'x20' LED screen; Rally Hotel (186 rooms)</t>
        </is>
      </c>
      <c r="K135" s="7" t="n"/>
      <c r="M135" s="16" t="inlineStr">
        <is>
          <t>False</t>
        </is>
      </c>
      <c r="N135" s="16" t="inlineStr">
        <is>
          <t>False</t>
        </is>
      </c>
      <c r="O135" s="16" t="inlineStr">
        <is>
          <t>False</t>
        </is>
      </c>
      <c r="P135" s="16" t="inlineStr">
        <is>
          <t>False</t>
        </is>
      </c>
      <c r="Q135" s="16" t="inlineStr">
        <is>
          <t>False</t>
        </is>
      </c>
      <c r="R135" s="16" t="inlineStr">
        <is>
          <t>False</t>
        </is>
      </c>
      <c r="S135" s="16" t="inlineStr">
        <is>
          <t>False</t>
        </is>
      </c>
      <c r="T135" s="16" t="inlineStr">
        <is>
          <t>False</t>
        </is>
      </c>
      <c r="U135" s="16" t="inlineStr">
        <is>
          <t>False</t>
        </is>
      </c>
      <c r="V135" s="16" t="inlineStr">
        <is>
          <t>False</t>
        </is>
      </c>
      <c r="W135" s="16" t="inlineStr">
        <is>
          <t>False</t>
        </is>
      </c>
    </row>
    <row r="136" ht="15.75" customHeight="1" s="34">
      <c r="A136" s="7" t="inlineStr">
        <is>
          <t>Denver International Airport (DEN)</t>
        </is>
      </c>
      <c r="B136" s="7" t="inlineStr">
        <is>
          <t>False</t>
        </is>
      </c>
      <c r="C136" s="7" t="n"/>
      <c r="D136" s="7" t="n"/>
      <c r="E136" s="7" t="inlineStr">
        <is>
          <t>(303) 342-2000</t>
        </is>
      </c>
      <c r="F136" s="7" t="inlineStr">
        <is>
          <t>LAZ Parking</t>
        </is>
      </c>
      <c r="G136" s="7" t="inlineStr">
        <is>
          <t>LAZ Parking</t>
        </is>
      </c>
      <c r="H136" s="17" t="inlineStr">
        <is>
          <t>$30/day garage, $18/day economy</t>
        </is>
      </c>
      <c r="I136" s="17" t="inlineStr">
        <is>
          <t>$54-$59/day</t>
        </is>
      </c>
      <c r="J136" s="7" t="inlineStr">
        <is>
          <t>50,000+ spaces</t>
        </is>
      </c>
      <c r="K136" s="7" t="n"/>
      <c r="M136" s="16" t="inlineStr">
        <is>
          <t>False</t>
        </is>
      </c>
      <c r="N136" s="16" t="inlineStr">
        <is>
          <t>False</t>
        </is>
      </c>
      <c r="O136" s="16" t="inlineStr">
        <is>
          <t>False</t>
        </is>
      </c>
      <c r="P136" s="16" t="inlineStr">
        <is>
          <t>False</t>
        </is>
      </c>
      <c r="Q136" s="16" t="inlineStr">
        <is>
          <t>False</t>
        </is>
      </c>
      <c r="R136" s="16" t="inlineStr">
        <is>
          <t>False</t>
        </is>
      </c>
      <c r="S136" s="16" t="inlineStr">
        <is>
          <t>False</t>
        </is>
      </c>
      <c r="T136" s="16" t="inlineStr">
        <is>
          <t>False</t>
        </is>
      </c>
      <c r="U136" s="16" t="inlineStr">
        <is>
          <t>False</t>
        </is>
      </c>
      <c r="V136" s="16" t="inlineStr">
        <is>
          <t>False</t>
        </is>
      </c>
      <c r="W136" s="16" t="inlineStr">
        <is>
          <t>False</t>
        </is>
      </c>
    </row>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autoFilter ref="$A$1:$W$136"/>
  <pageMargins left="0.75" right="0.75" top="1" bottom="1" header="0" footer="0"/>
  <pageSetup orientation="portrait" paperSize="9"/>
</worksheet>
</file>

<file path=xl/worksheets/sheet4.xml><?xml version="1.0" encoding="utf-8"?>
<worksheet xmlns="http://schemas.openxmlformats.org/spreadsheetml/2006/main">
  <sheetPr>
    <tabColor rgb="FF1B474D"/>
    <outlinePr summaryBelow="1" summaryRight="1"/>
    <pageSetUpPr/>
  </sheetPr>
  <dimension ref="A1:L2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34" min="1" max="1"/>
    <col width="35" customWidth="1" style="34" min="2" max="2"/>
    <col width="15" customWidth="1" style="34" min="3" max="3"/>
    <col width="35" customWidth="1" style="34" min="4" max="4"/>
    <col width="12" customWidth="1" style="34" min="5" max="5"/>
    <col width="20" customWidth="1" style="34" min="6" max="8"/>
    <col width="15" customWidth="1" style="34" min="9" max="9"/>
    <col width="40" customWidth="1" style="34" min="10" max="10"/>
    <col width="35" customWidth="1" style="34" min="11" max="11"/>
    <col width="20" customWidth="1" style="34" min="12" max="12"/>
    <col width="8.710000000000001" customWidth="1" style="34" min="13" max="26"/>
  </cols>
  <sheetData>
    <row r="1">
      <c r="A1" s="10" t="inlineStr">
        <is>
          <t>Location ID</t>
        </is>
      </c>
      <c r="B1" s="10" t="inlineStr">
        <is>
          <t>Location Name</t>
        </is>
      </c>
      <c r="C1" s="10" t="inlineStr">
        <is>
          <t>Location Type</t>
        </is>
      </c>
      <c r="D1" s="10" t="inlineStr">
        <is>
          <t>Address</t>
        </is>
      </c>
      <c r="E1" s="10" t="inlineStr">
        <is>
          <t># Spaces</t>
        </is>
      </c>
      <c r="F1" s="10" t="inlineStr">
        <is>
          <t>Unreserved Monthly Rate</t>
        </is>
      </c>
      <c r="G1" s="10" t="inlineStr">
        <is>
          <t>Operator</t>
        </is>
      </c>
      <c r="H1" s="10" t="inlineStr">
        <is>
          <t>Point of Contact</t>
        </is>
      </c>
      <c r="I1" s="10" t="inlineStr">
        <is>
          <t>POC Number</t>
        </is>
      </c>
      <c r="J1" s="10" t="inlineStr">
        <is>
          <t>URL</t>
        </is>
      </c>
      <c r="K1" s="10" t="inlineStr">
        <is>
          <t>Notes</t>
        </is>
      </c>
      <c r="L1" s="10" t="inlineStr">
        <is>
          <t>PARCs Equipment Notes</t>
        </is>
      </c>
    </row>
    <row r="2">
      <c r="A2" s="7" t="n">
        <v>1</v>
      </c>
      <c r="B2" s="7" t="inlineStr">
        <is>
          <t>Denver Place Garage</t>
        </is>
      </c>
      <c r="C2" s="7" t="inlineStr">
        <is>
          <t>Garage</t>
        </is>
      </c>
      <c r="D2" s="7" t="inlineStr">
        <is>
          <t>999 18th St, Denver, CO</t>
        </is>
      </c>
      <c r="E2" s="18" t="n">
        <v>1200</v>
      </c>
      <c r="F2" s="12" t="n">
        <v>235</v>
      </c>
      <c r="G2" s="7" t="inlineStr">
        <is>
          <t>ABM Parking</t>
        </is>
      </c>
      <c r="K2" s="7" t="n"/>
    </row>
    <row r="3">
      <c r="A3" s="7" t="n">
        <v>2</v>
      </c>
      <c r="B3" s="7" t="inlineStr">
        <is>
          <t>16th Street Center Garage</t>
        </is>
      </c>
      <c r="C3" s="7" t="inlineStr">
        <is>
          <t>Garage</t>
        </is>
      </c>
      <c r="D3" s="7" t="inlineStr">
        <is>
          <t>16th &amp; Champa St, Denver, CO</t>
        </is>
      </c>
      <c r="E3" s="18" t="n">
        <v>800</v>
      </c>
      <c r="F3" s="12" t="n">
        <v>200</v>
      </c>
      <c r="G3" s="7" t="inlineStr">
        <is>
          <t>LAZ Parking</t>
        </is>
      </c>
      <c r="K3" s="7" t="n"/>
    </row>
    <row r="4">
      <c r="A4" s="7" t="n">
        <v>3</v>
      </c>
      <c r="B4" s="7" t="inlineStr">
        <is>
          <t>Tabor Center Garage</t>
        </is>
      </c>
      <c r="C4" s="7" t="inlineStr">
        <is>
          <t>Garage</t>
        </is>
      </c>
      <c r="D4" s="7" t="inlineStr">
        <is>
          <t>1200 17th St, Denver, CO</t>
        </is>
      </c>
      <c r="E4" s="18" t="n">
        <v>1500</v>
      </c>
      <c r="F4" s="12" t="n">
        <v>225</v>
      </c>
      <c r="G4" s="7" t="inlineStr">
        <is>
          <t>SP+/Metropolis</t>
        </is>
      </c>
      <c r="K4" s="7" t="n"/>
    </row>
    <row r="5">
      <c r="A5" s="7" t="n">
        <v>4</v>
      </c>
      <c r="B5" s="7" t="inlineStr">
        <is>
          <t>Republic Plaza Garage</t>
        </is>
      </c>
      <c r="C5" s="7" t="inlineStr">
        <is>
          <t>Underground</t>
        </is>
      </c>
      <c r="D5" s="7" t="inlineStr">
        <is>
          <t>370 17th St, Denver, CO</t>
        </is>
      </c>
      <c r="E5" s="18" t="n">
        <v>900</v>
      </c>
      <c r="F5" s="12" t="n">
        <v>250</v>
      </c>
      <c r="G5" s="7" t="inlineStr">
        <is>
          <t>SP+/Metropolis</t>
        </is>
      </c>
      <c r="K5" s="7" t="n"/>
    </row>
    <row r="6">
      <c r="A6" s="7" t="n">
        <v>5</v>
      </c>
      <c r="B6" s="7" t="inlineStr">
        <is>
          <t>Cherry Creek Shopping Center</t>
        </is>
      </c>
      <c r="C6" s="7" t="inlineStr">
        <is>
          <t>Garage</t>
        </is>
      </c>
      <c r="D6" s="7" t="inlineStr">
        <is>
          <t>3000 E 1st Ave, Denver, CO</t>
        </is>
      </c>
      <c r="E6" s="18" t="n">
        <v>5700</v>
      </c>
      <c r="G6" s="7" t="inlineStr">
        <is>
          <t>Denison Parking</t>
        </is>
      </c>
      <c r="K6" s="7" t="inlineStr">
        <is>
          <t>Free for shoppers</t>
        </is>
      </c>
    </row>
    <row r="7">
      <c r="A7" s="7" t="n">
        <v>6</v>
      </c>
      <c r="B7" s="7" t="inlineStr">
        <is>
          <t>Clayton Lane Garages</t>
        </is>
      </c>
      <c r="C7" s="7" t="inlineStr">
        <is>
          <t>Garage</t>
        </is>
      </c>
      <c r="D7" s="7" t="inlineStr">
        <is>
          <t>225 Clayton Ln, Denver, CO</t>
        </is>
      </c>
      <c r="E7" s="18" t="n">
        <v>1200</v>
      </c>
      <c r="F7" s="12" t="n">
        <v>200</v>
      </c>
      <c r="G7" s="7" t="inlineStr">
        <is>
          <t>LAZ Parking</t>
        </is>
      </c>
      <c r="K7" s="7" t="inlineStr">
        <is>
          <t>Cherry Creek district</t>
        </is>
      </c>
    </row>
    <row r="8">
      <c r="A8" s="7" t="n">
        <v>7</v>
      </c>
      <c r="B8" s="7" t="inlineStr">
        <is>
          <t>Union Station Block A</t>
        </is>
      </c>
      <c r="C8" s="7" t="inlineStr">
        <is>
          <t>Garage</t>
        </is>
      </c>
      <c r="D8" s="7" t="inlineStr">
        <is>
          <t>1660 Wynkoop St, Denver, CO</t>
        </is>
      </c>
      <c r="E8" s="18" t="n">
        <v>500</v>
      </c>
      <c r="F8" s="12" t="n">
        <v>200</v>
      </c>
      <c r="G8" s="7" t="inlineStr">
        <is>
          <t>Interstate Parking</t>
        </is>
      </c>
      <c r="K8" s="7" t="inlineStr">
        <is>
          <t>LoDo area</t>
        </is>
      </c>
    </row>
    <row r="9">
      <c r="A9" s="7" t="n">
        <v>8</v>
      </c>
      <c r="B9" s="7" t="inlineStr">
        <is>
          <t>LoDo Towers Garage</t>
        </is>
      </c>
      <c r="C9" s="7" t="inlineStr">
        <is>
          <t>Garage</t>
        </is>
      </c>
      <c r="D9" s="7" t="inlineStr">
        <is>
          <t>1755 Wazee St, Denver, CO</t>
        </is>
      </c>
      <c r="E9" s="18" t="n">
        <v>400</v>
      </c>
      <c r="F9" s="12" t="n">
        <v>195</v>
      </c>
      <c r="G9" s="7" t="inlineStr">
        <is>
          <t>Interstate Parking</t>
        </is>
      </c>
      <c r="K9" s="7" t="inlineStr">
        <is>
          <t>Security robot deployed</t>
        </is>
      </c>
    </row>
    <row r="10">
      <c r="A10" s="7" t="n">
        <v>9</v>
      </c>
      <c r="B10" s="7" t="inlineStr">
        <is>
          <t>Civic Center Park Garage</t>
        </is>
      </c>
      <c r="C10" s="7" t="inlineStr">
        <is>
          <t>Underground</t>
        </is>
      </c>
      <c r="D10" s="7" t="inlineStr">
        <is>
          <t>101 W 14th Ave, Denver, CO</t>
        </is>
      </c>
      <c r="E10" s="18" t="n">
        <v>1100</v>
      </c>
      <c r="F10" s="12" t="n">
        <v>175</v>
      </c>
      <c r="G10" s="7" t="inlineStr">
        <is>
          <t>City of Denver</t>
        </is>
      </c>
      <c r="K10" s="7" t="n"/>
    </row>
    <row r="11">
      <c r="A11" s="7" t="n">
        <v>10</v>
      </c>
      <c r="B11" s="7" t="inlineStr">
        <is>
          <t>Convention Center Garage</t>
        </is>
      </c>
      <c r="C11" s="7" t="inlineStr">
        <is>
          <t>Garage</t>
        </is>
      </c>
      <c r="D11" s="7" t="inlineStr">
        <is>
          <t>700 14th St, Denver, CO</t>
        </is>
      </c>
      <c r="E11" s="18" t="n">
        <v>2000</v>
      </c>
      <c r="F11" s="12" t="n">
        <v>210</v>
      </c>
      <c r="G11" s="7" t="inlineStr">
        <is>
          <t>City of Denver</t>
        </is>
      </c>
      <c r="K11" s="7" t="inlineStr">
        <is>
          <t>Adjacent to Colorado Convention Center</t>
        </is>
      </c>
    </row>
    <row r="12">
      <c r="A12" s="7" t="n">
        <v>11</v>
      </c>
      <c r="B12" s="7" t="inlineStr">
        <is>
          <t>Ball Arena Lots</t>
        </is>
      </c>
      <c r="C12" s="7" t="inlineStr">
        <is>
          <t>Surface Lots</t>
        </is>
      </c>
      <c r="D12" s="7" t="inlineStr">
        <is>
          <t>1000 Chopper Cir, Denver, CO</t>
        </is>
      </c>
      <c r="E12" s="18" t="n">
        <v>3000</v>
      </c>
      <c r="G12" s="7" t="inlineStr">
        <is>
          <t>LAZ Parking</t>
        </is>
      </c>
      <c r="K12" s="7" t="inlineStr">
        <is>
          <t>Event parking $35-$70</t>
        </is>
      </c>
    </row>
    <row r="13">
      <c r="A13" s="7" t="n">
        <v>12</v>
      </c>
      <c r="B13" s="7" t="inlineStr">
        <is>
          <t>Coors Field Lots</t>
        </is>
      </c>
      <c r="C13" s="7" t="inlineStr">
        <is>
          <t>Surface Lots</t>
        </is>
      </c>
      <c r="D13" s="7" t="inlineStr">
        <is>
          <t>2001 Blake St, Denver, CO</t>
        </is>
      </c>
      <c r="E13" s="18" t="n">
        <v>5000</v>
      </c>
      <c r="G13" s="7" t="inlineStr">
        <is>
          <t>SP+/Metropolis</t>
        </is>
      </c>
      <c r="K13" s="7" t="inlineStr">
        <is>
          <t>Game day parking $18-$35</t>
        </is>
      </c>
    </row>
    <row r="14">
      <c r="A14" s="7" t="n">
        <v>13</v>
      </c>
      <c r="B14" s="7" t="inlineStr">
        <is>
          <t>Sheraton Denver Garage</t>
        </is>
      </c>
      <c r="C14" s="7" t="inlineStr">
        <is>
          <t>Garage</t>
        </is>
      </c>
      <c r="D14" s="7" t="inlineStr">
        <is>
          <t>249 15th St, Denver, CO</t>
        </is>
      </c>
      <c r="E14" s="18" t="n">
        <v>800</v>
      </c>
      <c r="F14" s="12" t="n">
        <v>235</v>
      </c>
      <c r="G14" s="7" t="inlineStr">
        <is>
          <t>Propark Mobility</t>
        </is>
      </c>
      <c r="K14" s="7" t="inlineStr">
        <is>
          <t>Hotel/public parking</t>
        </is>
      </c>
    </row>
    <row r="15">
      <c r="A15" s="7" t="n">
        <v>14</v>
      </c>
      <c r="B15" s="7" t="inlineStr">
        <is>
          <t>Hyatt Regency Garage</t>
        </is>
      </c>
      <c r="C15" s="7" t="inlineStr">
        <is>
          <t>Garage</t>
        </is>
      </c>
      <c r="D15" s="7" t="inlineStr">
        <is>
          <t>650 15th St, Denver, CO</t>
        </is>
      </c>
      <c r="E15" s="18" t="n">
        <v>1000</v>
      </c>
      <c r="F15" s="12" t="n">
        <v>220</v>
      </c>
      <c r="G15" s="7" t="inlineStr">
        <is>
          <t>Propark Mobility</t>
        </is>
      </c>
      <c r="K15" s="7" t="inlineStr">
        <is>
          <t>Convention center adjacent</t>
        </is>
      </c>
    </row>
    <row r="16">
      <c r="A16" s="7" t="n">
        <v>15</v>
      </c>
      <c r="B16" s="7" t="inlineStr">
        <is>
          <t>McGregor Square Garage</t>
        </is>
      </c>
      <c r="C16" s="7" t="inlineStr">
        <is>
          <t>Garage</t>
        </is>
      </c>
      <c r="D16" s="7" t="inlineStr">
        <is>
          <t>1901 Wazee St, Denver, CO</t>
        </is>
      </c>
      <c r="E16" s="18" t="n">
        <v>500</v>
      </c>
      <c r="F16" s="12" t="n">
        <v>210</v>
      </c>
      <c r="G16" s="7" t="inlineStr">
        <is>
          <t>SP+/Metropolis</t>
        </is>
      </c>
      <c r="K16" s="7" t="inlineStr">
        <is>
          <t>Near Coors Field, Rally Hotel</t>
        </is>
      </c>
    </row>
    <row r="17">
      <c r="A17" s="7" t="n">
        <v>16</v>
      </c>
      <c r="B17" s="7" t="inlineStr">
        <is>
          <t>DIA East Garage</t>
        </is>
      </c>
      <c r="C17" s="7" t="inlineStr">
        <is>
          <t>Garage</t>
        </is>
      </c>
      <c r="D17" s="7" t="inlineStr">
        <is>
          <t>Peña Blvd, Denver, CO</t>
        </is>
      </c>
      <c r="E17" s="18" t="n">
        <v>12000</v>
      </c>
      <c r="G17" s="7" t="inlineStr">
        <is>
          <t>LAZ Parking</t>
        </is>
      </c>
      <c r="K17" s="7" t="inlineStr">
        <is>
          <t>$30/day, $210/week</t>
        </is>
      </c>
    </row>
    <row r="18">
      <c r="A18" s="7" t="n">
        <v>17</v>
      </c>
      <c r="B18" s="7" t="inlineStr">
        <is>
          <t>DIA West Garage</t>
        </is>
      </c>
      <c r="C18" s="7" t="inlineStr">
        <is>
          <t>Garage</t>
        </is>
      </c>
      <c r="D18" s="7" t="inlineStr">
        <is>
          <t>Peña Blvd, Denver, CO</t>
        </is>
      </c>
      <c r="E18" s="18" t="n">
        <v>12000</v>
      </c>
      <c r="G18" s="7" t="inlineStr">
        <is>
          <t>LAZ Parking</t>
        </is>
      </c>
      <c r="K18" s="7" t="inlineStr">
        <is>
          <t>$30/day, $210/week</t>
        </is>
      </c>
    </row>
    <row r="19">
      <c r="A19" s="7" t="n">
        <v>18</v>
      </c>
      <c r="B19" s="7" t="inlineStr">
        <is>
          <t>DIA Economy East</t>
        </is>
      </c>
      <c r="C19" s="7" t="inlineStr">
        <is>
          <t>Surface Lot</t>
        </is>
      </c>
      <c r="D19" s="7" t="inlineStr">
        <is>
          <t>Peña Blvd, Denver, CO</t>
        </is>
      </c>
      <c r="E19" s="18" t="n">
        <v>8000</v>
      </c>
      <c r="G19" s="7" t="inlineStr">
        <is>
          <t>LAZ Parking</t>
        </is>
      </c>
      <c r="K19" s="7" t="inlineStr">
        <is>
          <t>$18/day</t>
        </is>
      </c>
    </row>
    <row r="20">
      <c r="A20" s="7" t="n">
        <v>19</v>
      </c>
      <c r="B20" s="7" t="inlineStr">
        <is>
          <t>DIA Economy West</t>
        </is>
      </c>
      <c r="C20" s="7" t="inlineStr">
        <is>
          <t>Surface Lot</t>
        </is>
      </c>
      <c r="D20" s="7" t="inlineStr">
        <is>
          <t>Peña Blvd, Denver, CO</t>
        </is>
      </c>
      <c r="E20" s="18" t="n">
        <v>8000</v>
      </c>
      <c r="G20" s="7" t="inlineStr">
        <is>
          <t>LAZ Parking</t>
        </is>
      </c>
      <c r="K20" s="7" t="inlineStr">
        <is>
          <t>$18/day</t>
        </is>
      </c>
    </row>
    <row r="21" ht="15.75" customHeight="1" s="34">
      <c r="A21" s="7" t="n">
        <v>20</v>
      </c>
      <c r="B21" s="7" t="inlineStr">
        <is>
          <t>DIA Pikes Peak Shuttle</t>
        </is>
      </c>
      <c r="C21" s="7" t="inlineStr">
        <is>
          <t>Surface Lot</t>
        </is>
      </c>
      <c r="D21" s="7" t="inlineStr">
        <is>
          <t>Peña Blvd, Denver, CO</t>
        </is>
      </c>
      <c r="E21" s="18" t="n">
        <v>5000</v>
      </c>
      <c r="G21" s="7" t="inlineStr">
        <is>
          <t>LAZ Parking</t>
        </is>
      </c>
      <c r="K21" s="7" t="inlineStr">
        <is>
          <t>$8/day shuttle</t>
        </is>
      </c>
    </row>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portrait" paperSize="9"/>
</worksheet>
</file>

<file path=xl/worksheets/sheet5.xml><?xml version="1.0" encoding="utf-8"?>
<worksheet xmlns="http://schemas.openxmlformats.org/spreadsheetml/2006/main">
  <sheetPr>
    <tabColor rgb="FF437A22"/>
    <outlinePr summaryBelow="1" summaryRight="1"/>
    <pageSetUpPr/>
  </sheetPr>
  <dimension ref="A1:N136"/>
  <sheetViews>
    <sheetView workbookViewId="0">
      <pane ySplit="1" topLeftCell="A2" activePane="bottomLeft" state="frozen"/>
      <selection pane="bottomLeft" activeCell="B3" sqref="B3"/>
    </sheetView>
  </sheetViews>
  <sheetFormatPr baseColWidth="8" defaultColWidth="14.43" defaultRowHeight="15" customHeight="1"/>
  <cols>
    <col width="35" customWidth="1" style="34" min="1" max="1"/>
    <col width="14" customWidth="1" style="34" min="2" max="2"/>
    <col width="53.71" customWidth="1" style="34" min="3" max="3"/>
    <col width="14" customWidth="1" style="34" min="4" max="5"/>
    <col width="12" customWidth="1" style="34" min="6" max="6"/>
    <col width="18" customWidth="1" style="34" min="7" max="7"/>
    <col width="22" customWidth="1" style="34" min="8" max="8"/>
    <col width="20" customWidth="1" style="34" min="9" max="9"/>
    <col width="22" customWidth="1" style="34" min="10" max="10"/>
    <col width="30" customWidth="1" style="34" min="11" max="11"/>
    <col width="16" customWidth="1" style="34" min="12" max="12"/>
    <col width="18" customWidth="1" style="34" min="13" max="13"/>
    <col width="20" customWidth="1" style="34" min="14" max="14"/>
    <col width="8.710000000000001" customWidth="1" style="34" min="15" max="26"/>
  </cols>
  <sheetData>
    <row r="1">
      <c r="A1" s="10" t="inlineStr">
        <is>
          <t>Account</t>
        </is>
      </c>
      <c r="B1" s="10" t="inlineStr">
        <is>
          <t>Account Type</t>
        </is>
      </c>
      <c r="C1" s="10" t="inlineStr">
        <is>
          <t>Valet Operator</t>
        </is>
      </c>
      <c r="D1" s="10" t="inlineStr">
        <is>
          <t># of Rooms/Beds</t>
        </is>
      </c>
      <c r="E1" s="10" t="inlineStr">
        <is>
          <t>Occupancy Rate</t>
        </is>
      </c>
      <c r="F1" s="10" t="inlineStr">
        <is>
          <t>Forecast</t>
        </is>
      </c>
      <c r="G1" s="10" t="inlineStr">
        <is>
          <t>Valet Conversion Rate</t>
        </is>
      </c>
      <c r="H1" s="10" t="inlineStr">
        <is>
          <t>Estimated Daily Valet Count</t>
        </is>
      </c>
      <c r="I1" s="10" t="inlineStr">
        <is>
          <t>Estimated Daily Revenue</t>
        </is>
      </c>
      <c r="J1" s="10" t="inlineStr">
        <is>
          <t>Estimated Annual Revenue</t>
        </is>
      </c>
      <c r="K1" s="10" t="inlineStr">
        <is>
          <t>Estimate Net Operating Income Annually</t>
        </is>
      </c>
      <c r="L1" s="10" t="inlineStr">
        <is>
          <t>Total Daily Rev</t>
        </is>
      </c>
      <c r="M1" s="10" t="inlineStr">
        <is>
          <t>Total Annual Rev</t>
        </is>
      </c>
      <c r="N1" s="10" t="inlineStr">
        <is>
          <t>Total Annual NOI</t>
        </is>
      </c>
    </row>
    <row r="2">
      <c r="A2" s="7" t="inlineStr">
        <is>
          <t>Le Méridien Denver Downtown</t>
        </is>
      </c>
      <c r="B2" s="7" t="inlineStr">
        <is>
          <t>Hotel</t>
        </is>
      </c>
      <c r="C2" s="7" t="n"/>
      <c r="D2" s="13" t="n">
        <v>272</v>
      </c>
      <c r="E2" s="19" t="n">
        <v>0.6</v>
      </c>
      <c r="F2" s="20">
        <f>D2*E2</f>
        <v/>
      </c>
      <c r="G2" s="19" t="n">
        <v>0.4</v>
      </c>
      <c r="H2" s="21">
        <f>F2*G2</f>
        <v/>
      </c>
      <c r="I2" s="15">
        <f>H2*Accounts!J2</f>
        <v/>
      </c>
      <c r="J2" s="15">
        <f>I2*360</f>
        <v/>
      </c>
      <c r="K2" s="15">
        <f>J2*0.1</f>
        <v/>
      </c>
      <c r="L2" s="15">
        <f>SUM(I2:I136)</f>
        <v/>
      </c>
      <c r="M2" s="15">
        <f>SUM(J2:J136)</f>
        <v/>
      </c>
      <c r="N2" s="15">
        <f>SUM(K2:K136)</f>
        <v/>
      </c>
    </row>
    <row r="3">
      <c r="A3" s="7" t="inlineStr">
        <is>
          <t>The Ritz-Carlton, Denver</t>
        </is>
      </c>
      <c r="B3" s="7" t="inlineStr">
        <is>
          <t>Hotel</t>
        </is>
      </c>
      <c r="C3" s="7" t="n"/>
      <c r="D3" s="13" t="n">
        <v>205</v>
      </c>
      <c r="E3" s="19" t="n">
        <v>0.6</v>
      </c>
      <c r="F3" s="20">
        <f>D3*E3</f>
        <v/>
      </c>
      <c r="G3" s="19" t="n">
        <v>0.4</v>
      </c>
      <c r="H3" s="21">
        <f>F3*G3</f>
        <v/>
      </c>
      <c r="I3" s="15">
        <f>H3*Accounts!J3</f>
        <v/>
      </c>
      <c r="J3" s="15">
        <f>I3*360</f>
        <v/>
      </c>
      <c r="K3" s="15">
        <f>J3*0.1</f>
        <v/>
      </c>
    </row>
    <row r="4">
      <c r="A4" s="7" t="inlineStr">
        <is>
          <t>AC Hotel Denver Downtown</t>
        </is>
      </c>
      <c r="B4" s="7" t="inlineStr">
        <is>
          <t>Hotel</t>
        </is>
      </c>
      <c r="C4" s="7" t="inlineStr">
        <is>
          <t>Towne Park</t>
        </is>
      </c>
      <c r="D4" s="13" t="n">
        <v>223</v>
      </c>
      <c r="E4" s="19" t="n">
        <v>0.6</v>
      </c>
      <c r="F4" s="20">
        <f>D4*E4</f>
        <v/>
      </c>
      <c r="G4" s="19" t="n">
        <v>0.4</v>
      </c>
      <c r="H4" s="21">
        <f>F4*G4</f>
        <v/>
      </c>
      <c r="I4" s="15">
        <f>H4*Accounts!J4</f>
        <v/>
      </c>
      <c r="J4" s="15">
        <f>I4*360</f>
        <v/>
      </c>
      <c r="K4" s="15">
        <f>J4*0.1</f>
        <v/>
      </c>
    </row>
    <row r="5">
      <c r="A5" s="7" t="inlineStr">
        <is>
          <t>Embassy Suites by Hilton Denver Downtown Convention Center</t>
        </is>
      </c>
      <c r="B5" s="7" t="inlineStr">
        <is>
          <t>Hotel</t>
        </is>
      </c>
      <c r="C5" s="7" t="inlineStr">
        <is>
          <t>SP+</t>
        </is>
      </c>
      <c r="D5" s="13" t="n">
        <v>403</v>
      </c>
      <c r="E5" s="19" t="n">
        <v>0.6</v>
      </c>
      <c r="F5" s="20">
        <f>D5*E5</f>
        <v/>
      </c>
      <c r="G5" s="19" t="n">
        <v>0.4</v>
      </c>
      <c r="H5" s="21">
        <f>F5*G5</f>
        <v/>
      </c>
      <c r="I5" s="15">
        <f>H5*Accounts!J5</f>
        <v/>
      </c>
      <c r="J5" s="15">
        <f>I5*360</f>
        <v/>
      </c>
      <c r="K5" s="15">
        <f>J5*0.1</f>
        <v/>
      </c>
    </row>
    <row r="6">
      <c r="A6" s="7" t="inlineStr">
        <is>
          <t>Aloft Denver Downtown</t>
        </is>
      </c>
      <c r="B6" s="7" t="inlineStr">
        <is>
          <t>Hotel</t>
        </is>
      </c>
      <c r="C6" s="7" t="inlineStr">
        <is>
          <t>LAZ</t>
        </is>
      </c>
      <c r="D6" s="13" t="n">
        <v>140</v>
      </c>
      <c r="E6" s="19" t="n">
        <v>0.6</v>
      </c>
      <c r="F6" s="20">
        <f>D6*E6</f>
        <v/>
      </c>
      <c r="G6" s="19" t="n">
        <v>0.4</v>
      </c>
      <c r="H6" s="21">
        <f>F6*G6</f>
        <v/>
      </c>
      <c r="I6" s="15">
        <f>H6*Accounts!J6</f>
        <v/>
      </c>
      <c r="J6" s="15">
        <f>I6*360</f>
        <v/>
      </c>
      <c r="K6" s="15">
        <f>J6*0.1</f>
        <v/>
      </c>
    </row>
    <row r="7">
      <c r="A7" s="7" t="inlineStr">
        <is>
          <t>Sheraton Denver Downtown Hotel</t>
        </is>
      </c>
      <c r="B7" s="7" t="inlineStr">
        <is>
          <t>Hotel</t>
        </is>
      </c>
      <c r="C7" s="7" t="n"/>
      <c r="D7" s="13" t="n">
        <v>1238</v>
      </c>
      <c r="E7" s="19" t="n">
        <v>0.6</v>
      </c>
      <c r="F7" s="20">
        <f>D7*E7</f>
        <v/>
      </c>
      <c r="G7" s="19" t="n">
        <v>0.4</v>
      </c>
      <c r="H7" s="21">
        <f>F7*G7</f>
        <v/>
      </c>
      <c r="I7" s="15">
        <f>H7*Accounts!J7</f>
        <v/>
      </c>
      <c r="J7" s="15">
        <f>I7*360</f>
        <v/>
      </c>
      <c r="K7" s="15">
        <f>J7*0.1</f>
        <v/>
      </c>
    </row>
    <row r="8">
      <c r="A8" s="7" t="inlineStr">
        <is>
          <t>Hyatt Regency Denver at Colorado Convention Center</t>
        </is>
      </c>
      <c r="B8" s="7" t="inlineStr">
        <is>
          <t>Hotel</t>
        </is>
      </c>
      <c r="C8" s="7" t="n"/>
      <c r="D8" s="13" t="n">
        <v>1100</v>
      </c>
      <c r="E8" s="19" t="n">
        <v>0.6</v>
      </c>
      <c r="F8" s="20">
        <f>D8*E8</f>
        <v/>
      </c>
      <c r="G8" s="19" t="n">
        <v>0.4</v>
      </c>
      <c r="H8" s="21">
        <f>F8*G8</f>
        <v/>
      </c>
      <c r="I8" s="15">
        <f>H8*Accounts!J8</f>
        <v/>
      </c>
      <c r="J8" s="15">
        <f>I8*360</f>
        <v/>
      </c>
      <c r="K8" s="15">
        <f>J8*0.1</f>
        <v/>
      </c>
    </row>
    <row r="9">
      <c r="A9" s="7" t="inlineStr">
        <is>
          <t>The Jacquard, Autograph Collection</t>
        </is>
      </c>
      <c r="B9" s="7" t="inlineStr">
        <is>
          <t>Hotel</t>
        </is>
      </c>
      <c r="C9" s="7" t="inlineStr">
        <is>
          <t>Pro Park</t>
        </is>
      </c>
      <c r="D9" s="13" t="n">
        <v>198</v>
      </c>
      <c r="E9" s="19" t="n">
        <v>0.6</v>
      </c>
      <c r="F9" s="20">
        <f>D9*E9</f>
        <v/>
      </c>
      <c r="G9" s="19" t="n">
        <v>0.4</v>
      </c>
      <c r="H9" s="21">
        <f>F9*G9</f>
        <v/>
      </c>
      <c r="I9" s="15">
        <f>H9*Accounts!J9</f>
        <v/>
      </c>
      <c r="J9" s="15">
        <f>I9*360</f>
        <v/>
      </c>
      <c r="K9" s="15">
        <f>J9*0.1</f>
        <v/>
      </c>
    </row>
    <row r="10">
      <c r="A10" s="7" t="inlineStr">
        <is>
          <t>Four Seasons Hotel Denver</t>
        </is>
      </c>
      <c r="B10" s="7" t="inlineStr">
        <is>
          <t>Hotel</t>
        </is>
      </c>
      <c r="C10" s="7" t="inlineStr">
        <is>
          <t>In House</t>
        </is>
      </c>
      <c r="D10" s="13" t="n">
        <v>239</v>
      </c>
      <c r="E10" s="19" t="n">
        <v>0.6</v>
      </c>
      <c r="F10" s="20">
        <f>D10*E10</f>
        <v/>
      </c>
      <c r="G10" s="19" t="n">
        <v>0.4</v>
      </c>
      <c r="H10" s="21">
        <f>F10*G10</f>
        <v/>
      </c>
      <c r="I10" s="15">
        <f>H10*Accounts!J10</f>
        <v/>
      </c>
      <c r="J10" s="15">
        <f>I10*360</f>
        <v/>
      </c>
      <c r="K10" s="15">
        <f>J10*0.1</f>
        <v/>
      </c>
    </row>
    <row r="11">
      <c r="A11" s="7" t="inlineStr">
        <is>
          <t>The Brown Palace Hotel and Spa, Autograph Collection</t>
        </is>
      </c>
      <c r="B11" s="7" t="inlineStr">
        <is>
          <t>Hotel</t>
        </is>
      </c>
      <c r="C11" s="7" t="n"/>
      <c r="D11" s="13" t="n">
        <v>241</v>
      </c>
      <c r="E11" s="19" t="n">
        <v>0.6</v>
      </c>
      <c r="F11" s="20">
        <f>D11*E11</f>
        <v/>
      </c>
      <c r="G11" s="19" t="n">
        <v>0.4</v>
      </c>
      <c r="H11" s="21">
        <f>F11*G11</f>
        <v/>
      </c>
      <c r="I11" s="15">
        <f>H11*Accounts!J11</f>
        <v/>
      </c>
      <c r="J11" s="15">
        <f>I11*360</f>
        <v/>
      </c>
      <c r="K11" s="15">
        <f>J11*0.1</f>
        <v/>
      </c>
    </row>
    <row r="12">
      <c r="A12" s="7" t="inlineStr">
        <is>
          <t>Thompson Denver, by Hyatt</t>
        </is>
      </c>
      <c r="B12" s="7" t="inlineStr">
        <is>
          <t>Hotel</t>
        </is>
      </c>
      <c r="C12" s="7" t="n"/>
      <c r="D12" s="13" t="n">
        <v>216</v>
      </c>
      <c r="E12" s="19" t="n">
        <v>0.6</v>
      </c>
      <c r="F12" s="20">
        <f>D12*E12</f>
        <v/>
      </c>
      <c r="G12" s="19" t="n">
        <v>0.4</v>
      </c>
      <c r="H12" s="21">
        <f>F12*G12</f>
        <v/>
      </c>
      <c r="I12" s="15">
        <f>H12*Accounts!J12</f>
        <v/>
      </c>
      <c r="J12" s="15">
        <f>I12*360</f>
        <v/>
      </c>
      <c r="K12" s="15">
        <f>J12*0.1</f>
        <v/>
      </c>
    </row>
    <row r="13">
      <c r="A13" s="7" t="inlineStr">
        <is>
          <t>Grand Hyatt Denver</t>
        </is>
      </c>
      <c r="B13" s="7" t="inlineStr">
        <is>
          <t>Hotel</t>
        </is>
      </c>
      <c r="C13" s="7" t="n"/>
      <c r="D13" s="13" t="n">
        <v>516</v>
      </c>
      <c r="E13" s="19" t="n">
        <v>0.6</v>
      </c>
      <c r="F13" s="20">
        <f>D13*E13</f>
        <v/>
      </c>
      <c r="G13" s="19" t="n">
        <v>0.4</v>
      </c>
      <c r="H13" s="21">
        <f>F13*G13</f>
        <v/>
      </c>
      <c r="I13" s="15">
        <f>H13*Accounts!J13</f>
        <v/>
      </c>
      <c r="J13" s="15">
        <f>I13*360</f>
        <v/>
      </c>
      <c r="K13" s="15">
        <f>J13*0.1</f>
        <v/>
      </c>
    </row>
    <row r="14">
      <c r="A14" s="7" t="inlineStr">
        <is>
          <t>Hyatt Place Denver/Downtown</t>
        </is>
      </c>
      <c r="B14" s="7" t="inlineStr">
        <is>
          <t>Hotel</t>
        </is>
      </c>
      <c r="C14" s="7" t="inlineStr">
        <is>
          <t>Towne Park</t>
        </is>
      </c>
      <c r="D14" s="13" t="n">
        <v>248</v>
      </c>
      <c r="E14" s="19" t="n">
        <v>0.6</v>
      </c>
      <c r="F14" s="20">
        <f>D14*E14</f>
        <v/>
      </c>
      <c r="G14" s="19" t="n">
        <v>0.4</v>
      </c>
      <c r="H14" s="21">
        <f>F14*G14</f>
        <v/>
      </c>
      <c r="I14" s="15">
        <f>H14*Accounts!J14</f>
        <v/>
      </c>
      <c r="J14" s="15">
        <f>I14*360</f>
        <v/>
      </c>
      <c r="K14" s="15">
        <f>J14*0.1</f>
        <v/>
      </c>
    </row>
    <row r="15">
      <c r="A15" s="7" t="inlineStr">
        <is>
          <t>Populus</t>
        </is>
      </c>
      <c r="B15" s="7" t="inlineStr">
        <is>
          <t>Hotel</t>
        </is>
      </c>
      <c r="C15" s="7" t="n"/>
      <c r="D15" s="13" t="n">
        <v>265</v>
      </c>
      <c r="E15" s="19" t="n">
        <v>0.6</v>
      </c>
      <c r="F15" s="20">
        <f>D15*E15</f>
        <v/>
      </c>
      <c r="G15" s="19" t="n">
        <v>0.4</v>
      </c>
      <c r="H15" s="21">
        <f>F15*G15</f>
        <v/>
      </c>
      <c r="I15" s="15">
        <f>H15*Accounts!J15</f>
        <v/>
      </c>
      <c r="J15" s="15">
        <f>I15*360</f>
        <v/>
      </c>
      <c r="K15" s="15">
        <f>J15*0.1</f>
        <v/>
      </c>
    </row>
    <row r="16">
      <c r="A16" s="7" t="inlineStr">
        <is>
          <t>Hilton Denver City Center</t>
        </is>
      </c>
      <c r="B16" s="7" t="inlineStr">
        <is>
          <t>Hotel</t>
        </is>
      </c>
      <c r="C16" s="7" t="n"/>
      <c r="D16" s="13" t="n">
        <v>613</v>
      </c>
      <c r="E16" s="19" t="n">
        <v>0.6</v>
      </c>
      <c r="F16" s="20">
        <f>D16*E16</f>
        <v/>
      </c>
      <c r="G16" s="19" t="n">
        <v>0.4</v>
      </c>
      <c r="H16" s="21">
        <f>F16*G16</f>
        <v/>
      </c>
      <c r="I16" s="15">
        <f>H16*Accounts!J16</f>
        <v/>
      </c>
      <c r="J16" s="15">
        <f>I16*360</f>
        <v/>
      </c>
      <c r="K16" s="15">
        <f>J16*0.1</f>
        <v/>
      </c>
    </row>
    <row r="17">
      <c r="A17" s="7" t="inlineStr">
        <is>
          <t>Halcyon, a hotel in Cherry Creek</t>
        </is>
      </c>
      <c r="B17" s="7" t="inlineStr">
        <is>
          <t>Hotel</t>
        </is>
      </c>
      <c r="C17" s="7" t="n"/>
      <c r="D17" s="13" t="n">
        <v>154</v>
      </c>
      <c r="E17" s="19" t="n">
        <v>0.6</v>
      </c>
      <c r="F17" s="20">
        <f>D17*E17</f>
        <v/>
      </c>
      <c r="G17" s="19" t="n">
        <v>0.4</v>
      </c>
      <c r="H17" s="21">
        <f>F17*G17</f>
        <v/>
      </c>
      <c r="I17" s="15">
        <f>H17*Accounts!J17</f>
        <v/>
      </c>
      <c r="J17" s="15">
        <f>I17*360</f>
        <v/>
      </c>
      <c r="K17" s="15">
        <f>J17*0.1</f>
        <v/>
      </c>
    </row>
    <row r="18">
      <c r="A18" s="7" t="inlineStr">
        <is>
          <t>Hampton Inn &amp; Suites Denver Downtown-Convention Center</t>
        </is>
      </c>
      <c r="B18" s="7" t="inlineStr">
        <is>
          <t>Hotel</t>
        </is>
      </c>
      <c r="C18" s="7" t="n"/>
      <c r="D18" s="13" t="n">
        <v>120</v>
      </c>
      <c r="E18" s="19" t="n">
        <v>0.6</v>
      </c>
      <c r="F18" s="20">
        <f>D18*E18</f>
        <v/>
      </c>
      <c r="G18" s="19" t="n">
        <v>0.4</v>
      </c>
      <c r="H18" s="21">
        <f>F18*G18</f>
        <v/>
      </c>
      <c r="I18" s="15">
        <f>H18*Accounts!J18</f>
        <v/>
      </c>
      <c r="J18" s="15">
        <f>I18*360</f>
        <v/>
      </c>
      <c r="K18" s="15">
        <f>J18*0.1</f>
        <v/>
      </c>
    </row>
    <row r="19">
      <c r="A19" s="7" t="inlineStr">
        <is>
          <t>Tru by Hilton Denver Downtown Convention Center</t>
        </is>
      </c>
      <c r="B19" s="7" t="inlineStr">
        <is>
          <t>Hotel</t>
        </is>
      </c>
      <c r="C19" s="7" t="n"/>
      <c r="D19" s="13" t="n">
        <v>176</v>
      </c>
      <c r="E19" s="19" t="n">
        <v>0.6</v>
      </c>
      <c r="F19" s="20">
        <f>D19*E19</f>
        <v/>
      </c>
      <c r="G19" s="19" t="n">
        <v>0.4</v>
      </c>
      <c r="H19" s="21">
        <f>F19*G19</f>
        <v/>
      </c>
      <c r="I19" s="15">
        <f>H19*Accounts!J19</f>
        <v/>
      </c>
      <c r="J19" s="15">
        <f>I19*360</f>
        <v/>
      </c>
      <c r="K19" s="15">
        <f>J19*0.1</f>
        <v/>
      </c>
    </row>
    <row r="20">
      <c r="A20" s="7" t="inlineStr">
        <is>
          <t>Home2 Suites by Hilton Denver Downtown Convention Center</t>
        </is>
      </c>
      <c r="B20" s="7" t="inlineStr">
        <is>
          <t>Hotel</t>
        </is>
      </c>
      <c r="C20" s="7" t="n"/>
      <c r="D20" s="13" t="n">
        <v>206</v>
      </c>
      <c r="E20" s="19" t="n">
        <v>0.6</v>
      </c>
      <c r="F20" s="20">
        <f>D20*E20</f>
        <v/>
      </c>
      <c r="G20" s="19" t="n">
        <v>0.4</v>
      </c>
      <c r="H20" s="21">
        <f>F20*G20</f>
        <v/>
      </c>
      <c r="I20" s="15">
        <f>H20*Accounts!J20</f>
        <v/>
      </c>
      <c r="J20" s="15">
        <f>I20*360</f>
        <v/>
      </c>
      <c r="K20" s="15">
        <f>J20*0.1</f>
        <v/>
      </c>
    </row>
    <row r="21" ht="15.75" customHeight="1" s="34">
      <c r="A21" s="7" t="inlineStr">
        <is>
          <t>Homewood Suites by Hilton Denver Downtown-Convention Center</t>
        </is>
      </c>
      <c r="B21" s="7" t="inlineStr">
        <is>
          <t>Hotel</t>
        </is>
      </c>
      <c r="C21" s="7" t="n"/>
      <c r="D21" s="13" t="n">
        <v>182</v>
      </c>
      <c r="E21" s="19" t="n">
        <v>0.6</v>
      </c>
      <c r="F21" s="20">
        <f>D21*E21</f>
        <v/>
      </c>
      <c r="G21" s="19" t="n">
        <v>0.4</v>
      </c>
      <c r="H21" s="21">
        <f>F21*G21</f>
        <v/>
      </c>
      <c r="I21" s="15">
        <f>H21*Accounts!J21</f>
        <v/>
      </c>
      <c r="J21" s="15">
        <f>I21*360</f>
        <v/>
      </c>
      <c r="K21" s="15">
        <f>J21*0.1</f>
        <v/>
      </c>
    </row>
    <row r="22" ht="15.75" customHeight="1" s="34">
      <c r="A22" s="7" t="inlineStr">
        <is>
          <t>Hotel Clio, a Luxury Collection Hotel, Denver Cherry Creek</t>
        </is>
      </c>
      <c r="B22" s="7" t="inlineStr">
        <is>
          <t>Hotel</t>
        </is>
      </c>
      <c r="C22" s="7" t="inlineStr">
        <is>
          <t>Pro Park</t>
        </is>
      </c>
      <c r="D22" s="13" t="n">
        <v>199</v>
      </c>
      <c r="E22" s="19" t="n">
        <v>0.6</v>
      </c>
      <c r="F22" s="20">
        <f>D22*E22</f>
        <v/>
      </c>
      <c r="G22" s="19" t="n">
        <v>0.4</v>
      </c>
      <c r="H22" s="21">
        <f>F22*G22</f>
        <v/>
      </c>
      <c r="I22" s="15">
        <f>H22*Accounts!J22</f>
        <v/>
      </c>
      <c r="J22" s="15">
        <f>I22*360</f>
        <v/>
      </c>
      <c r="K22" s="15">
        <f>J22*0.1</f>
        <v/>
      </c>
    </row>
    <row r="23" ht="15.75" customHeight="1" s="34">
      <c r="A23" s="7" t="inlineStr">
        <is>
          <t>Clayton Hotel &amp; Members Club</t>
        </is>
      </c>
      <c r="B23" s="7" t="inlineStr">
        <is>
          <t>Hotel</t>
        </is>
      </c>
      <c r="C23" s="7" t="n"/>
      <c r="D23" s="13" t="n">
        <v>63</v>
      </c>
      <c r="E23" s="19" t="n">
        <v>0.6</v>
      </c>
      <c r="F23" s="20">
        <f>D23*E23</f>
        <v/>
      </c>
      <c r="G23" s="19" t="n">
        <v>0.4</v>
      </c>
      <c r="H23" s="21">
        <f>F23*G23</f>
        <v/>
      </c>
      <c r="I23" s="15">
        <f>H23*Accounts!J23</f>
        <v/>
      </c>
      <c r="J23" s="15">
        <f>I23*360</f>
        <v/>
      </c>
      <c r="K23" s="15">
        <f>J23*0.1</f>
        <v/>
      </c>
    </row>
    <row r="24" ht="15.75" customHeight="1" s="34">
      <c r="A24" s="7" t="inlineStr">
        <is>
          <t>The Slate Hotel Denver Downtown, Tapestry by Hilton</t>
        </is>
      </c>
      <c r="B24" s="7" t="inlineStr">
        <is>
          <t>Hotel</t>
        </is>
      </c>
      <c r="C24" s="7" t="n"/>
      <c r="D24" s="13" t="n">
        <v>251</v>
      </c>
      <c r="E24" s="19" t="n">
        <v>0.6</v>
      </c>
      <c r="F24" s="20">
        <f>D24*E24</f>
        <v/>
      </c>
      <c r="G24" s="19" t="n">
        <v>0.4</v>
      </c>
      <c r="H24" s="21">
        <f>F24*G24</f>
        <v/>
      </c>
      <c r="I24" s="15">
        <f>H24*Accounts!J24</f>
        <v/>
      </c>
      <c r="J24" s="15">
        <f>I24*360</f>
        <v/>
      </c>
      <c r="K24" s="15">
        <f>J24*0.1</f>
        <v/>
      </c>
    </row>
    <row r="25" ht="15.75" customHeight="1" s="34">
      <c r="A25" s="7" t="inlineStr">
        <is>
          <t>Kimpton Hotel Monaco Denver</t>
        </is>
      </c>
      <c r="B25" s="7" t="inlineStr">
        <is>
          <t>Hotel</t>
        </is>
      </c>
      <c r="C25" s="7" t="inlineStr">
        <is>
          <t>Towne Park</t>
        </is>
      </c>
      <c r="D25" s="13" t="n">
        <v>189</v>
      </c>
      <c r="E25" s="19" t="n">
        <v>0.6</v>
      </c>
      <c r="F25" s="20">
        <f>D25*E25</f>
        <v/>
      </c>
      <c r="G25" s="19" t="n">
        <v>0.4</v>
      </c>
      <c r="H25" s="21">
        <f>F25*G25</f>
        <v/>
      </c>
      <c r="I25" s="15">
        <f>H25*Accounts!J25</f>
        <v/>
      </c>
      <c r="J25" s="15">
        <f>I25*360</f>
        <v/>
      </c>
      <c r="K25" s="15">
        <f>J25*0.1</f>
        <v/>
      </c>
    </row>
    <row r="26" ht="15.75" customHeight="1" s="34">
      <c r="A26" s="7" t="inlineStr">
        <is>
          <t>Magnolia Hotel Denver, a Tribute Portfolio Hotel</t>
        </is>
      </c>
      <c r="B26" s="7" t="inlineStr">
        <is>
          <t>Hotel</t>
        </is>
      </c>
      <c r="C26" s="7" t="n"/>
      <c r="D26" s="13" t="n">
        <v>297</v>
      </c>
      <c r="E26" s="19" t="n">
        <v>0.6</v>
      </c>
      <c r="F26" s="20">
        <f>D26*E26</f>
        <v/>
      </c>
      <c r="G26" s="19" t="n">
        <v>0.4</v>
      </c>
      <c r="H26" s="21">
        <f>F26*G26</f>
        <v/>
      </c>
      <c r="I26" s="15">
        <f>H26*Accounts!J26</f>
        <v/>
      </c>
      <c r="J26" s="15">
        <f>I26*360</f>
        <v/>
      </c>
      <c r="K26" s="15">
        <f>J26*0.1</f>
        <v/>
      </c>
    </row>
    <row r="27" ht="15.75" customHeight="1" s="34">
      <c r="A27" s="7" t="inlineStr">
        <is>
          <t>Hyatt Centric Downtown Denver</t>
        </is>
      </c>
      <c r="B27" s="7" t="inlineStr">
        <is>
          <t>Hotel</t>
        </is>
      </c>
      <c r="C27" s="7" t="n"/>
      <c r="D27" s="13" t="n">
        <v>264</v>
      </c>
      <c r="E27" s="19" t="n">
        <v>0.6</v>
      </c>
      <c r="F27" s="20">
        <f>D27*E27</f>
        <v/>
      </c>
      <c r="G27" s="19" t="n">
        <v>0.4</v>
      </c>
      <c r="H27" s="21">
        <f>F27*G27</f>
        <v/>
      </c>
      <c r="I27" s="15">
        <f>H27*Accounts!J27</f>
        <v/>
      </c>
      <c r="J27" s="15">
        <f>I27*360</f>
        <v/>
      </c>
      <c r="K27" s="15">
        <f>J27*0.1</f>
        <v/>
      </c>
    </row>
    <row r="28" ht="15.75" customHeight="1" s="34">
      <c r="A28" s="7" t="inlineStr">
        <is>
          <t>Hotel Indigo Denver Downtown-Union Station</t>
        </is>
      </c>
      <c r="B28" s="7" t="inlineStr">
        <is>
          <t>Hotel</t>
        </is>
      </c>
      <c r="C28" s="7" t="n"/>
      <c r="D28" s="13" t="n">
        <v>180</v>
      </c>
      <c r="E28" s="19" t="n">
        <v>0.6</v>
      </c>
      <c r="F28" s="20">
        <f>D28*E28</f>
        <v/>
      </c>
      <c r="G28" s="19" t="n">
        <v>0.4</v>
      </c>
      <c r="H28" s="21">
        <f>F28*G28</f>
        <v/>
      </c>
      <c r="I28" s="15">
        <f>H28*Accounts!J28</f>
        <v/>
      </c>
      <c r="J28" s="15">
        <f>I28*360</f>
        <v/>
      </c>
      <c r="K28" s="15">
        <f>J28*0.1</f>
        <v/>
      </c>
    </row>
    <row r="29" ht="15.75" customHeight="1" s="34">
      <c r="A29" s="7" t="inlineStr">
        <is>
          <t>Hotel Teatro</t>
        </is>
      </c>
      <c r="B29" s="7" t="inlineStr">
        <is>
          <t>Hotel</t>
        </is>
      </c>
      <c r="C29" s="7" t="inlineStr">
        <is>
          <t>LAZ</t>
        </is>
      </c>
      <c r="D29" s="13" t="n">
        <v>111</v>
      </c>
      <c r="E29" s="19" t="n">
        <v>0.6</v>
      </c>
      <c r="F29" s="20">
        <f>D29*E29</f>
        <v/>
      </c>
      <c r="G29" s="19" t="n">
        <v>0.4</v>
      </c>
      <c r="H29" s="21">
        <f>F29*G29</f>
        <v/>
      </c>
      <c r="I29" s="15">
        <f>H29*Accounts!J29</f>
        <v/>
      </c>
      <c r="J29" s="15">
        <f>I29*360</f>
        <v/>
      </c>
      <c r="K29" s="15">
        <f>J29*0.1</f>
        <v/>
      </c>
    </row>
    <row r="30" ht="15.75" customHeight="1" s="34">
      <c r="A30" s="7" t="inlineStr">
        <is>
          <t>Kimpton Claret Hotel</t>
        </is>
      </c>
      <c r="B30" s="7" t="inlineStr">
        <is>
          <t>Hotel</t>
        </is>
      </c>
      <c r="C30" s="7" t="n"/>
      <c r="D30" s="13" t="n">
        <v>190</v>
      </c>
      <c r="E30" s="19" t="n">
        <v>0.6</v>
      </c>
      <c r="F30" s="20">
        <f>D30*E30</f>
        <v/>
      </c>
      <c r="G30" s="19" t="n">
        <v>0.4</v>
      </c>
      <c r="H30" s="21">
        <f>F30*G30</f>
        <v/>
      </c>
      <c r="I30" s="15">
        <f>H30*Accounts!J30</f>
        <v/>
      </c>
      <c r="J30" s="15">
        <f>I30*360</f>
        <v/>
      </c>
      <c r="K30" s="15">
        <f>J30*0.1</f>
        <v/>
      </c>
    </row>
    <row r="31" ht="15.75" customHeight="1" s="34">
      <c r="A31" s="7" t="inlineStr">
        <is>
          <t>Apiary Hotel Belleview Station</t>
        </is>
      </c>
      <c r="B31" s="7" t="inlineStr">
        <is>
          <t>Hotel</t>
        </is>
      </c>
      <c r="C31" s="7" t="n"/>
      <c r="D31" s="13" t="n">
        <v>175</v>
      </c>
      <c r="E31" s="19" t="n">
        <v>0.6</v>
      </c>
      <c r="F31" s="20">
        <f>D31*E31</f>
        <v/>
      </c>
      <c r="G31" s="19" t="n">
        <v>0.4</v>
      </c>
      <c r="H31" s="21">
        <f>F31*G31</f>
        <v/>
      </c>
      <c r="I31" s="15">
        <f>H31*Accounts!J31</f>
        <v/>
      </c>
      <c r="J31" s="15">
        <f>I31*360</f>
        <v/>
      </c>
      <c r="K31" s="15">
        <f>J31*0.1</f>
        <v/>
      </c>
    </row>
    <row r="32" ht="15.75" customHeight="1" s="34">
      <c r="A32" s="7" t="inlineStr">
        <is>
          <t>The Art Hotel Denver, Curio Collection by Hilton</t>
        </is>
      </c>
      <c r="B32" s="7" t="inlineStr">
        <is>
          <t>Hotel</t>
        </is>
      </c>
      <c r="C32" s="7" t="n"/>
      <c r="D32" s="13" t="n">
        <v>165</v>
      </c>
      <c r="E32" s="19" t="n">
        <v>0.6</v>
      </c>
      <c r="F32" s="20">
        <f>D32*E32</f>
        <v/>
      </c>
      <c r="G32" s="19" t="n">
        <v>0.4</v>
      </c>
      <c r="H32" s="21">
        <f>F32*G32</f>
        <v/>
      </c>
      <c r="I32" s="15">
        <f>H32*Accounts!J32</f>
        <v/>
      </c>
      <c r="J32" s="15">
        <f>I32*360</f>
        <v/>
      </c>
      <c r="K32" s="15">
        <f>J32*0.1</f>
        <v/>
      </c>
    </row>
    <row r="33" ht="15.75" customHeight="1" s="34">
      <c r="A33" s="7" t="inlineStr">
        <is>
          <t>The Westin Denver Downtown</t>
        </is>
      </c>
      <c r="B33" s="7" t="inlineStr">
        <is>
          <t>Hotel</t>
        </is>
      </c>
      <c r="C33" s="7" t="n"/>
      <c r="D33" s="13" t="n">
        <v>432</v>
      </c>
      <c r="E33" s="19" t="n">
        <v>0.6</v>
      </c>
      <c r="F33" s="20">
        <f>D33*E33</f>
        <v/>
      </c>
      <c r="G33" s="19" t="n">
        <v>0.4</v>
      </c>
      <c r="H33" s="21">
        <f>F33*G33</f>
        <v/>
      </c>
      <c r="I33" s="15">
        <f>H33*Accounts!J33</f>
        <v/>
      </c>
      <c r="J33" s="15">
        <f>I33*360</f>
        <v/>
      </c>
      <c r="K33" s="15">
        <f>J33*0.1</f>
        <v/>
      </c>
    </row>
    <row r="34" ht="15.75" customHeight="1" s="34">
      <c r="A34" s="7" t="inlineStr">
        <is>
          <t>The Westin Denver International Airport</t>
        </is>
      </c>
      <c r="B34" s="7" t="inlineStr">
        <is>
          <t>Hotel</t>
        </is>
      </c>
      <c r="C34" s="7" t="inlineStr">
        <is>
          <t>Pro Park</t>
        </is>
      </c>
      <c r="D34" s="13" t="n">
        <v>519</v>
      </c>
      <c r="E34" s="19" t="n">
        <v>0.6</v>
      </c>
      <c r="F34" s="20">
        <f>D34*E34</f>
        <v/>
      </c>
      <c r="G34" s="19" t="n">
        <v>0.4</v>
      </c>
      <c r="H34" s="21">
        <f>F34*G34</f>
        <v/>
      </c>
      <c r="I34" s="15">
        <f>H34*Accounts!J34</f>
        <v/>
      </c>
      <c r="J34" s="15">
        <f>I34*360</f>
        <v/>
      </c>
      <c r="K34" s="15">
        <f>J34*0.1</f>
        <v/>
      </c>
    </row>
    <row r="35" ht="15.75" customHeight="1" s="34">
      <c r="A35" s="7" t="inlineStr">
        <is>
          <t>The Maven Hotel at Dairy Block</t>
        </is>
      </c>
      <c r="B35" s="7" t="inlineStr">
        <is>
          <t>Hotel</t>
        </is>
      </c>
      <c r="C35" s="7" t="n"/>
      <c r="D35" s="13" t="n">
        <v>172</v>
      </c>
      <c r="E35" s="19" t="n">
        <v>0.6</v>
      </c>
      <c r="F35" s="20">
        <f>D35*E35</f>
        <v/>
      </c>
      <c r="G35" s="19" t="n">
        <v>0.4</v>
      </c>
      <c r="H35" s="21">
        <f>F35*G35</f>
        <v/>
      </c>
      <c r="I35" s="15">
        <f>H35*Accounts!J35</f>
        <v/>
      </c>
      <c r="J35" s="15">
        <f>I35*360</f>
        <v/>
      </c>
      <c r="K35" s="15">
        <f>J35*0.1</f>
        <v/>
      </c>
    </row>
    <row r="36" ht="15.75" customHeight="1" s="34">
      <c r="A36" s="7" t="inlineStr">
        <is>
          <t>Catbird Hotel</t>
        </is>
      </c>
      <c r="B36" s="7" t="inlineStr">
        <is>
          <t>Hotel</t>
        </is>
      </c>
      <c r="C36" s="7" t="n"/>
      <c r="D36" s="13" t="n">
        <v>165</v>
      </c>
      <c r="E36" s="19" t="n">
        <v>0.6</v>
      </c>
      <c r="F36" s="20">
        <f>D36*E36</f>
        <v/>
      </c>
      <c r="G36" s="19" t="n">
        <v>0.4</v>
      </c>
      <c r="H36" s="21">
        <f>F36*G36</f>
        <v/>
      </c>
      <c r="I36" s="15">
        <f>H36*Accounts!J36</f>
        <v/>
      </c>
      <c r="J36" s="15">
        <f>I36*360</f>
        <v/>
      </c>
      <c r="K36" s="15">
        <f>J36*0.1</f>
        <v/>
      </c>
    </row>
    <row r="37" ht="15.75" customHeight="1" s="34">
      <c r="A37" s="7" t="inlineStr">
        <is>
          <t>Limelight Denver</t>
        </is>
      </c>
      <c r="B37" s="7" t="inlineStr">
        <is>
          <t>Hotel</t>
        </is>
      </c>
      <c r="C37" s="7" t="n"/>
      <c r="D37" s="13" t="n">
        <v>200</v>
      </c>
      <c r="E37" s="19" t="n">
        <v>0.6</v>
      </c>
      <c r="F37" s="20">
        <f>D37*E37</f>
        <v/>
      </c>
      <c r="G37" s="19" t="n">
        <v>0.4</v>
      </c>
      <c r="H37" s="21">
        <f>F37*G37</f>
        <v/>
      </c>
      <c r="I37" s="15">
        <f>H37*Accounts!J37</f>
        <v/>
      </c>
      <c r="J37" s="15">
        <f>I37*360</f>
        <v/>
      </c>
      <c r="K37" s="15">
        <f>J37*0.1</f>
        <v/>
      </c>
    </row>
    <row r="38" ht="15.75" customHeight="1" s="34">
      <c r="A38" s="7" t="inlineStr">
        <is>
          <t>The Crawford Hotel</t>
        </is>
      </c>
      <c r="B38" s="7" t="inlineStr">
        <is>
          <t>Hotel</t>
        </is>
      </c>
      <c r="C38" s="7" t="n"/>
      <c r="D38" s="13" t="n">
        <v>112</v>
      </c>
      <c r="E38" s="19" t="n">
        <v>0.6</v>
      </c>
      <c r="F38" s="20">
        <f>D38*E38</f>
        <v/>
      </c>
      <c r="G38" s="19" t="n">
        <v>0.4</v>
      </c>
      <c r="H38" s="21">
        <f>F38*G38</f>
        <v/>
      </c>
      <c r="I38" s="15">
        <f>H38*Accounts!J38</f>
        <v/>
      </c>
      <c r="J38" s="15">
        <f>I38*360</f>
        <v/>
      </c>
      <c r="K38" s="15">
        <f>J38*0.1</f>
        <v/>
      </c>
    </row>
    <row r="39" ht="15.75" customHeight="1" s="34">
      <c r="A39" s="7" t="inlineStr">
        <is>
          <t>Warwick Denver</t>
        </is>
      </c>
      <c r="B39" s="7" t="inlineStr">
        <is>
          <t>Hotel</t>
        </is>
      </c>
      <c r="C39" s="7" t="inlineStr">
        <is>
          <t>SP+</t>
        </is>
      </c>
      <c r="D39" s="13" t="n">
        <v>216</v>
      </c>
      <c r="E39" s="19" t="n">
        <v>0.6</v>
      </c>
      <c r="F39" s="20">
        <f>D39*E39</f>
        <v/>
      </c>
      <c r="G39" s="19" t="n">
        <v>0.4</v>
      </c>
      <c r="H39" s="21">
        <f>F39*G39</f>
        <v/>
      </c>
      <c r="I39" s="15">
        <f>H39*Accounts!J39</f>
        <v/>
      </c>
      <c r="J39" s="15">
        <f>I39*360</f>
        <v/>
      </c>
      <c r="K39" s="15">
        <f>J39*0.1</f>
        <v/>
      </c>
    </row>
    <row r="40" ht="15.75" customHeight="1" s="34">
      <c r="A40" s="7" t="inlineStr">
        <is>
          <t>Moxy Denver Cherry Creek</t>
        </is>
      </c>
      <c r="B40" s="7" t="inlineStr">
        <is>
          <t>Hotel</t>
        </is>
      </c>
      <c r="C40" s="7" t="n"/>
      <c r="D40" s="13" t="n">
        <v>140</v>
      </c>
      <c r="E40" s="19" t="n">
        <v>0.6</v>
      </c>
      <c r="F40" s="20">
        <f>D40*E40</f>
        <v/>
      </c>
      <c r="G40" s="19" t="n">
        <v>0.4</v>
      </c>
      <c r="H40" s="21">
        <f>F40*G40</f>
        <v/>
      </c>
      <c r="I40" s="15">
        <f>H40*Accounts!J40</f>
        <v/>
      </c>
      <c r="J40" s="15">
        <f>I40*360</f>
        <v/>
      </c>
      <c r="K40" s="15">
        <f>J40*0.1</f>
        <v/>
      </c>
    </row>
    <row r="41" ht="15.75" customHeight="1" s="34">
      <c r="A41" s="7" t="inlineStr">
        <is>
          <t>SpringHill Suites Denver Downtown</t>
        </is>
      </c>
      <c r="B41" s="7" t="inlineStr">
        <is>
          <t>Hotel</t>
        </is>
      </c>
      <c r="C41" s="7" t="n"/>
      <c r="D41" s="13" t="n">
        <v>150</v>
      </c>
      <c r="E41" s="19" t="n">
        <v>0.6</v>
      </c>
      <c r="F41" s="20">
        <f>D41*E41</f>
        <v/>
      </c>
      <c r="G41" s="19" t="n">
        <v>0.4</v>
      </c>
      <c r="H41" s="21">
        <f>F41*G41</f>
        <v/>
      </c>
      <c r="I41" s="15">
        <f>H41*Accounts!J41</f>
        <v/>
      </c>
      <c r="J41" s="15">
        <f>I41*360</f>
        <v/>
      </c>
      <c r="K41" s="15">
        <f>J41*0.1</f>
        <v/>
      </c>
    </row>
    <row r="42" ht="15.75" customHeight="1" s="34">
      <c r="A42" s="7" t="inlineStr">
        <is>
          <t>Hilton Garden Inn Denver Union Station</t>
        </is>
      </c>
      <c r="B42" s="7" t="inlineStr">
        <is>
          <t>Hotel</t>
        </is>
      </c>
      <c r="C42" s="7" t="n"/>
      <c r="D42" s="13" t="n">
        <v>223</v>
      </c>
      <c r="E42" s="19" t="n">
        <v>0.6</v>
      </c>
      <c r="F42" s="20">
        <f>D42*E42</f>
        <v/>
      </c>
      <c r="G42" s="19" t="n">
        <v>0.4</v>
      </c>
      <c r="H42" s="21">
        <f>F42*G42</f>
        <v/>
      </c>
      <c r="I42" s="15">
        <f>H42*Accounts!J42</f>
        <v/>
      </c>
      <c r="J42" s="15">
        <f>I42*360</f>
        <v/>
      </c>
      <c r="K42" s="15">
        <f>J42*0.1</f>
        <v/>
      </c>
    </row>
    <row r="43" ht="15.75" customHeight="1" s="34">
      <c r="A43" s="7" t="inlineStr">
        <is>
          <t>Gaylord Rockies Resort &amp; Convention Center</t>
        </is>
      </c>
      <c r="B43" s="7" t="inlineStr">
        <is>
          <t>Hotel</t>
        </is>
      </c>
      <c r="C43" s="7" t="n"/>
      <c r="D43" s="13" t="n">
        <v>1501</v>
      </c>
      <c r="E43" s="19" t="n">
        <v>0.6</v>
      </c>
      <c r="F43" s="20">
        <f>D43*E43</f>
        <v/>
      </c>
      <c r="G43" s="19" t="n">
        <v>0.4</v>
      </c>
      <c r="H43" s="21">
        <f>F43*G43</f>
        <v/>
      </c>
      <c r="I43" s="15">
        <f>H43*Accounts!J43</f>
        <v/>
      </c>
      <c r="J43" s="15">
        <f>I43*360</f>
        <v/>
      </c>
      <c r="K43" s="15">
        <f>J43*0.1</f>
        <v/>
      </c>
    </row>
    <row r="44" ht="15.75" customHeight="1" s="34">
      <c r="A44" s="7" t="inlineStr">
        <is>
          <t>The Rally Hotel at McGregor Square</t>
        </is>
      </c>
      <c r="B44" s="7" t="inlineStr">
        <is>
          <t>Hotel</t>
        </is>
      </c>
      <c r="C44" s="7" t="n"/>
      <c r="D44" s="13" t="n">
        <v>182</v>
      </c>
      <c r="E44" s="19" t="n">
        <v>0.6</v>
      </c>
      <c r="F44" s="20">
        <f>D44*E44</f>
        <v/>
      </c>
      <c r="G44" s="19" t="n">
        <v>0.4</v>
      </c>
      <c r="H44" s="21">
        <f>F44*G44</f>
        <v/>
      </c>
      <c r="I44" s="15">
        <f>H44*Accounts!J44</f>
        <v/>
      </c>
      <c r="J44" s="15">
        <f>I44*360</f>
        <v/>
      </c>
      <c r="K44" s="15">
        <f>J44*0.1</f>
        <v/>
      </c>
    </row>
    <row r="45" ht="15.75" customHeight="1" s="34">
      <c r="A45" s="7" t="inlineStr">
        <is>
          <t>Hampton Inn &amp; Suites Denver-Downtown</t>
        </is>
      </c>
      <c r="B45" s="7" t="inlineStr">
        <is>
          <t>Hotel</t>
        </is>
      </c>
      <c r="C45" s="7" t="n"/>
      <c r="D45" s="13" t="n">
        <v>156</v>
      </c>
      <c r="E45" s="19" t="n">
        <v>0.6</v>
      </c>
      <c r="F45" s="20">
        <f>D45*E45</f>
        <v/>
      </c>
      <c r="G45" s="19" t="n">
        <v>0.4</v>
      </c>
      <c r="H45" s="21">
        <f>F45*G45</f>
        <v/>
      </c>
      <c r="I45" s="15">
        <f>H45*Accounts!J45</f>
        <v/>
      </c>
      <c r="J45" s="15">
        <f>I45*360</f>
        <v/>
      </c>
      <c r="K45" s="15">
        <f>J45*0.1</f>
        <v/>
      </c>
    </row>
    <row r="46" ht="15.75" customHeight="1" s="34">
      <c r="A46" s="7" t="inlineStr">
        <is>
          <t>Renaissance Denver Downtown City Center Hotel</t>
        </is>
      </c>
      <c r="B46" s="7" t="inlineStr">
        <is>
          <t>Hotel</t>
        </is>
      </c>
      <c r="C46" s="7" t="n"/>
      <c r="D46" s="13" t="n">
        <v>230</v>
      </c>
      <c r="E46" s="19" t="n">
        <v>0.6</v>
      </c>
      <c r="F46" s="20">
        <f>D46*E46</f>
        <v/>
      </c>
      <c r="G46" s="19" t="n">
        <v>0.4</v>
      </c>
      <c r="H46" s="21">
        <f>F46*G46</f>
        <v/>
      </c>
      <c r="I46" s="15">
        <f>H46*Accounts!J46</f>
        <v/>
      </c>
      <c r="J46" s="15">
        <f>I46*360</f>
        <v/>
      </c>
      <c r="K46" s="15">
        <f>J46*0.1</f>
        <v/>
      </c>
    </row>
    <row r="47" ht="15.75" customHeight="1" s="34">
      <c r="A47" s="7" t="inlineStr">
        <is>
          <t>Hyatt House Denver/Downtown</t>
        </is>
      </c>
      <c r="B47" s="7" t="inlineStr">
        <is>
          <t>Hotel</t>
        </is>
      </c>
      <c r="C47" s="7" t="n"/>
      <c r="D47" s="13" t="n">
        <v>113</v>
      </c>
      <c r="E47" s="19" t="n">
        <v>0.6</v>
      </c>
      <c r="F47" s="20">
        <f>D47*E47</f>
        <v/>
      </c>
      <c r="G47" s="19" t="n">
        <v>0.4</v>
      </c>
      <c r="H47" s="21">
        <f>F47*G47</f>
        <v/>
      </c>
      <c r="I47" s="15">
        <f>H47*Accounts!J47</f>
        <v/>
      </c>
      <c r="J47" s="15">
        <f>I47*360</f>
        <v/>
      </c>
      <c r="K47" s="15">
        <f>J47*0.1</f>
        <v/>
      </c>
    </row>
    <row r="48" ht="15.75" customHeight="1" s="34">
      <c r="A48" s="7" t="inlineStr">
        <is>
          <t>The Oxford Hotel</t>
        </is>
      </c>
      <c r="B48" s="7" t="inlineStr">
        <is>
          <t>Hotel</t>
        </is>
      </c>
      <c r="C48" s="7" t="inlineStr">
        <is>
          <t>In House</t>
        </is>
      </c>
      <c r="D48" s="13" t="n">
        <v>80</v>
      </c>
      <c r="E48" s="19" t="n">
        <v>0.6</v>
      </c>
      <c r="F48" s="20">
        <f>D48*E48</f>
        <v/>
      </c>
      <c r="G48" s="19" t="n">
        <v>0.4</v>
      </c>
      <c r="H48" s="21">
        <f>F48*G48</f>
        <v/>
      </c>
      <c r="I48" s="15">
        <f>H48*Accounts!J48</f>
        <v/>
      </c>
      <c r="J48" s="15">
        <f>I48*360</f>
        <v/>
      </c>
      <c r="K48" s="15">
        <f>J48*0.1</f>
        <v/>
      </c>
    </row>
    <row r="49" ht="15.75" customHeight="1" s="34">
      <c r="A49" s="7" t="inlineStr">
        <is>
          <t>Benson Hotel &amp; Faculty Club</t>
        </is>
      </c>
      <c r="B49" s="7" t="inlineStr">
        <is>
          <t>Hotel</t>
        </is>
      </c>
      <c r="C49" s="7" t="n"/>
      <c r="D49" s="13" t="n">
        <v>106</v>
      </c>
      <c r="E49" s="19" t="n">
        <v>0.6</v>
      </c>
      <c r="F49" s="20">
        <f>D49*E49</f>
        <v/>
      </c>
      <c r="G49" s="19" t="n">
        <v>0.4</v>
      </c>
      <c r="H49" s="21">
        <f>F49*G49</f>
        <v/>
      </c>
      <c r="I49" s="15">
        <f>H49*Accounts!J49</f>
        <v/>
      </c>
      <c r="J49" s="15">
        <f>I49*360</f>
        <v/>
      </c>
      <c r="K49" s="15">
        <f>J49*0.1</f>
        <v/>
      </c>
    </row>
    <row r="50" ht="15.75" customHeight="1" s="34">
      <c r="A50" s="7" t="inlineStr">
        <is>
          <t>The Ramble Hotel</t>
        </is>
      </c>
      <c r="B50" s="7" t="inlineStr">
        <is>
          <t>Hotel</t>
        </is>
      </c>
      <c r="C50" s="7" t="n"/>
      <c r="D50" s="13" t="n">
        <v>50</v>
      </c>
      <c r="E50" s="19" t="n">
        <v>0.6</v>
      </c>
      <c r="F50" s="20">
        <f>D50*E50</f>
        <v/>
      </c>
      <c r="G50" s="19" t="n">
        <v>0.4</v>
      </c>
      <c r="H50" s="21">
        <f>F50*G50</f>
        <v/>
      </c>
      <c r="I50" s="15">
        <f>H50*Accounts!J50</f>
        <v/>
      </c>
      <c r="J50" s="15">
        <f>I50*360</f>
        <v/>
      </c>
      <c r="K50" s="15">
        <f>J50*0.1</f>
        <v/>
      </c>
    </row>
    <row r="51" ht="15.75" customHeight="1" s="34">
      <c r="A51" s="7" t="inlineStr">
        <is>
          <t>Denver Marriott Tech Center</t>
        </is>
      </c>
      <c r="B51" s="7" t="inlineStr">
        <is>
          <t>Hotel</t>
        </is>
      </c>
      <c r="C51" s="7" t="n"/>
      <c r="D51" s="13" t="n">
        <v>605</v>
      </c>
      <c r="E51" s="19" t="n">
        <v>0.6</v>
      </c>
      <c r="F51" s="20">
        <f>D51*E51</f>
        <v/>
      </c>
      <c r="G51" s="19" t="n">
        <v>0.4</v>
      </c>
      <c r="H51" s="21">
        <f>F51*G51</f>
        <v/>
      </c>
      <c r="I51" s="15">
        <f>H51*Accounts!J51</f>
        <v/>
      </c>
      <c r="J51" s="15">
        <f>I51*360</f>
        <v/>
      </c>
      <c r="K51" s="15">
        <f>J51*0.1</f>
        <v/>
      </c>
    </row>
    <row r="52" ht="15.75" customHeight="1" s="34">
      <c r="A52" s="7" t="inlineStr">
        <is>
          <t>Hyatt Regency Denver Tech Center</t>
        </is>
      </c>
      <c r="B52" s="7" t="inlineStr">
        <is>
          <t>Hotel</t>
        </is>
      </c>
      <c r="C52" s="7" t="n"/>
      <c r="D52" s="13" t="n">
        <v>451</v>
      </c>
      <c r="E52" s="19" t="n">
        <v>0.6</v>
      </c>
      <c r="F52" s="20">
        <f>D52*E52</f>
        <v/>
      </c>
      <c r="G52" s="19" t="n">
        <v>0.4</v>
      </c>
      <c r="H52" s="21">
        <f>F52*G52</f>
        <v/>
      </c>
      <c r="I52" s="15">
        <f>H52*Accounts!J52</f>
        <v/>
      </c>
      <c r="J52" s="15">
        <f>I52*360</f>
        <v/>
      </c>
      <c r="K52" s="15">
        <f>J52*0.1</f>
        <v/>
      </c>
    </row>
    <row r="53" ht="15.75" customHeight="1" s="34">
      <c r="A53" s="7" t="inlineStr">
        <is>
          <t>Renaissance Denver Hotel &amp; Conference Center</t>
        </is>
      </c>
      <c r="B53" s="7" t="inlineStr">
        <is>
          <t>Hotel</t>
        </is>
      </c>
      <c r="C53" s="7" t="n"/>
      <c r="D53" s="13" t="n">
        <v>399</v>
      </c>
      <c r="E53" s="19" t="n">
        <v>0.6</v>
      </c>
      <c r="F53" s="20">
        <f>D53*E53</f>
        <v/>
      </c>
      <c r="G53" s="19" t="n">
        <v>0.4</v>
      </c>
      <c r="H53" s="21">
        <f>F53*G53</f>
        <v/>
      </c>
      <c r="I53" s="15">
        <f>H53*Accounts!J53</f>
        <v/>
      </c>
      <c r="J53" s="15">
        <f>I53*360</f>
        <v/>
      </c>
      <c r="K53" s="15">
        <f>J53*0.1</f>
        <v/>
      </c>
    </row>
    <row r="54" ht="15.75" customHeight="1" s="34">
      <c r="A54" s="7" t="inlineStr">
        <is>
          <t>DoubleTree by Hilton Hotel Denver</t>
        </is>
      </c>
      <c r="B54" s="7" t="inlineStr">
        <is>
          <t>Hotel</t>
        </is>
      </c>
      <c r="C54" s="7" t="n"/>
      <c r="D54" s="13" t="n">
        <v>561</v>
      </c>
      <c r="E54" s="19" t="n">
        <v>0.6</v>
      </c>
      <c r="F54" s="20">
        <f>D54*E54</f>
        <v/>
      </c>
      <c r="G54" s="19" t="n">
        <v>0.4</v>
      </c>
      <c r="H54" s="21">
        <f>F54*G54</f>
        <v/>
      </c>
      <c r="I54" s="15" t="n">
        <v>0</v>
      </c>
      <c r="J54" s="15">
        <f>I54*360</f>
        <v/>
      </c>
      <c r="K54" s="15">
        <f>J54*0.1</f>
        <v/>
      </c>
    </row>
    <row r="55" ht="15.75" customHeight="1" s="34">
      <c r="A55" s="7" t="inlineStr">
        <is>
          <t>Courtyard Denver Central Park</t>
        </is>
      </c>
      <c r="B55" s="7" t="inlineStr">
        <is>
          <t>Hotel</t>
        </is>
      </c>
      <c r="C55" s="7" t="n"/>
      <c r="D55" s="13" t="n">
        <v>146</v>
      </c>
      <c r="E55" s="19" t="n">
        <v>0.6</v>
      </c>
      <c r="F55" s="20">
        <f>D55*E55</f>
        <v/>
      </c>
      <c r="G55" s="19" t="n">
        <v>0.4</v>
      </c>
      <c r="H55" s="21">
        <f>F55*G55</f>
        <v/>
      </c>
      <c r="I55" s="15" t="n">
        <v>0</v>
      </c>
      <c r="J55" s="15">
        <f>I55*360</f>
        <v/>
      </c>
      <c r="K55" s="15">
        <f>J55*0.1</f>
        <v/>
      </c>
    </row>
    <row r="56" ht="15.75" customHeight="1" s="34">
      <c r="A56" s="7" t="inlineStr">
        <is>
          <t>Hampton Inn &amp; Suites Denver-Speer Boulevard</t>
        </is>
      </c>
      <c r="B56" s="7" t="inlineStr">
        <is>
          <t>Hotel</t>
        </is>
      </c>
      <c r="C56" s="7" t="n"/>
      <c r="D56" s="13" t="n">
        <v>153</v>
      </c>
      <c r="E56" s="19" t="n">
        <v>0.6</v>
      </c>
      <c r="F56" s="20">
        <f>D56*E56</f>
        <v/>
      </c>
      <c r="G56" s="19" t="n">
        <v>0.4</v>
      </c>
      <c r="H56" s="21">
        <f>F56*G56</f>
        <v/>
      </c>
      <c r="I56" s="15" t="n">
        <v>0</v>
      </c>
      <c r="J56" s="15">
        <f>I56*360</f>
        <v/>
      </c>
      <c r="K56" s="15">
        <f>J56*0.1</f>
        <v/>
      </c>
    </row>
    <row r="57" ht="15.75" customHeight="1" s="34">
      <c r="A57" s="7" t="inlineStr">
        <is>
          <t>Drury Inn &amp; Suites Denver Central Park</t>
        </is>
      </c>
      <c r="B57" s="7" t="inlineStr">
        <is>
          <t>Hotel</t>
        </is>
      </c>
      <c r="C57" s="7" t="n"/>
      <c r="D57" s="13" t="n">
        <v>209</v>
      </c>
      <c r="E57" s="19" t="n">
        <v>0.6</v>
      </c>
      <c r="F57" s="20">
        <f>D57*E57</f>
        <v/>
      </c>
      <c r="G57" s="19" t="n">
        <v>0.4</v>
      </c>
      <c r="H57" s="21">
        <f>F57*G57</f>
        <v/>
      </c>
      <c r="I57" s="15" t="n">
        <v>0</v>
      </c>
      <c r="J57" s="15">
        <f>I57*360</f>
        <v/>
      </c>
      <c r="K57" s="15">
        <f>J57*0.1</f>
        <v/>
      </c>
    </row>
    <row r="58" ht="15.75" customHeight="1" s="34">
      <c r="A58" s="7" t="inlineStr">
        <is>
          <t>Cambria Hotel Denver Downtown RiNo</t>
        </is>
      </c>
      <c r="B58" s="7" t="inlineStr">
        <is>
          <t>Hotel</t>
        </is>
      </c>
      <c r="C58" s="7" t="n"/>
      <c r="D58" s="13" t="n">
        <v>153</v>
      </c>
      <c r="E58" s="19" t="n">
        <v>0.6</v>
      </c>
      <c r="F58" s="20">
        <f>D58*E58</f>
        <v/>
      </c>
      <c r="G58" s="19" t="n">
        <v>0.4</v>
      </c>
      <c r="H58" s="21">
        <f>F58*G58</f>
        <v/>
      </c>
      <c r="I58" s="15" t="n">
        <v>0</v>
      </c>
      <c r="J58" s="15">
        <f>I58*360</f>
        <v/>
      </c>
      <c r="K58" s="15">
        <f>J58*0.1</f>
        <v/>
      </c>
    </row>
    <row r="59" ht="15.75" customHeight="1" s="34">
      <c r="A59" s="7" t="inlineStr">
        <is>
          <t>The Source Hotel</t>
        </is>
      </c>
      <c r="B59" s="7" t="inlineStr">
        <is>
          <t>Hotel</t>
        </is>
      </c>
      <c r="C59" s="7" t="n"/>
      <c r="D59" s="13" t="n">
        <v>100</v>
      </c>
      <c r="E59" s="19" t="n">
        <v>0.6</v>
      </c>
      <c r="F59" s="20">
        <f>D59*E59</f>
        <v/>
      </c>
      <c r="G59" s="19" t="n">
        <v>0.4</v>
      </c>
      <c r="H59" s="21">
        <f>F59*G59</f>
        <v/>
      </c>
      <c r="I59" s="15" t="n">
        <v>0</v>
      </c>
      <c r="J59" s="15">
        <f>I59*360</f>
        <v/>
      </c>
      <c r="K59" s="15">
        <f>J59*0.1</f>
        <v/>
      </c>
    </row>
    <row r="60" ht="15.75" customHeight="1" s="34">
      <c r="A60" s="7" t="inlineStr">
        <is>
          <t>the Curtis Denver - a DoubleTree by Hilton Hotel</t>
        </is>
      </c>
      <c r="B60" s="7" t="inlineStr">
        <is>
          <t>Hotel</t>
        </is>
      </c>
      <c r="C60" s="7" t="n"/>
      <c r="D60" s="13" t="n">
        <v>336</v>
      </c>
      <c r="E60" s="19" t="n">
        <v>0.6</v>
      </c>
      <c r="F60" s="20">
        <f>D60*E60</f>
        <v/>
      </c>
      <c r="G60" s="19" t="n">
        <v>0.4</v>
      </c>
      <c r="H60" s="21">
        <f>F60*G60</f>
        <v/>
      </c>
      <c r="I60" s="15" t="n">
        <v>0</v>
      </c>
      <c r="J60" s="15">
        <f>I60*360</f>
        <v/>
      </c>
      <c r="K60" s="15">
        <f>J60*0.1</f>
        <v/>
      </c>
    </row>
    <row r="61" ht="15.75" customHeight="1" s="34">
      <c r="A61" s="7" t="inlineStr">
        <is>
          <t>Courtyard Denver Downtown</t>
        </is>
      </c>
      <c r="B61" s="7" t="inlineStr">
        <is>
          <t>Hotel</t>
        </is>
      </c>
      <c r="C61" s="7" t="n"/>
      <c r="D61" s="13" t="n">
        <v>177</v>
      </c>
      <c r="E61" s="19" t="n">
        <v>0.6</v>
      </c>
      <c r="F61" s="20">
        <f>D61*E61</f>
        <v/>
      </c>
      <c r="G61" s="19" t="n">
        <v>0.4</v>
      </c>
      <c r="H61" s="21">
        <f>F61*G61</f>
        <v/>
      </c>
      <c r="I61" s="15" t="n">
        <v>0</v>
      </c>
      <c r="J61" s="15">
        <f>I61*360</f>
        <v/>
      </c>
      <c r="K61" s="15">
        <f>J61*0.1</f>
        <v/>
      </c>
    </row>
    <row r="62" ht="15.75" customHeight="1" s="34">
      <c r="A62" s="7" t="inlineStr">
        <is>
          <t>Hyatt Regency Aurora-Denver Conference Center</t>
        </is>
      </c>
      <c r="B62" s="7" t="inlineStr">
        <is>
          <t>Hotel</t>
        </is>
      </c>
      <c r="C62" s="7" t="n"/>
      <c r="D62" s="13" t="n">
        <v>249</v>
      </c>
      <c r="E62" s="19" t="n">
        <v>0.6</v>
      </c>
      <c r="F62" s="20">
        <f>D62*E62</f>
        <v/>
      </c>
      <c r="G62" s="19" t="n">
        <v>0.4</v>
      </c>
      <c r="H62" s="21">
        <f>F62*G62</f>
        <v/>
      </c>
      <c r="I62" s="15" t="n">
        <v>0</v>
      </c>
      <c r="J62" s="15">
        <f>I62*360</f>
        <v/>
      </c>
      <c r="K62" s="15">
        <f>J62*0.1</f>
        <v/>
      </c>
    </row>
    <row r="63" ht="15.75" customHeight="1" s="34">
      <c r="A63" s="7" t="inlineStr">
        <is>
          <t>Sonesta Denver Downtown</t>
        </is>
      </c>
      <c r="B63" s="7" t="inlineStr">
        <is>
          <t>Hotel</t>
        </is>
      </c>
      <c r="C63" s="7" t="n"/>
      <c r="D63" s="13" t="n">
        <v>380</v>
      </c>
      <c r="E63" s="19" t="n">
        <v>0.6</v>
      </c>
      <c r="F63" s="20">
        <f>D63*E63</f>
        <v/>
      </c>
      <c r="G63" s="19" t="n">
        <v>0.4</v>
      </c>
      <c r="H63" s="21">
        <f>F63*G63</f>
        <v/>
      </c>
      <c r="I63" s="15" t="n">
        <v>0</v>
      </c>
      <c r="J63" s="15">
        <f>I63*360</f>
        <v/>
      </c>
      <c r="K63" s="15">
        <f>J63*0.1</f>
        <v/>
      </c>
    </row>
    <row r="64" ht="15.75" customHeight="1" s="34">
      <c r="A64" s="7" t="inlineStr">
        <is>
          <t>Vīb Hotel by Best Western Denver RiNo</t>
        </is>
      </c>
      <c r="B64" s="7" t="inlineStr">
        <is>
          <t>Hotel</t>
        </is>
      </c>
      <c r="C64" s="7" t="n"/>
      <c r="D64" s="13" t="n">
        <v>140</v>
      </c>
      <c r="E64" s="19" t="n">
        <v>0.6</v>
      </c>
      <c r="F64" s="20">
        <f>D64*E64</f>
        <v/>
      </c>
      <c r="G64" s="19" t="n">
        <v>0.4</v>
      </c>
      <c r="H64" s="21">
        <f>F64*G64</f>
        <v/>
      </c>
      <c r="I64" s="15" t="n">
        <v>0</v>
      </c>
      <c r="J64" s="15">
        <f>I64*360</f>
        <v/>
      </c>
      <c r="K64" s="15">
        <f>J64*0.1</f>
        <v/>
      </c>
    </row>
    <row r="65" ht="15.75" customHeight="1" s="34">
      <c r="A65" s="7" t="inlineStr">
        <is>
          <t>Element Denver Downtown East</t>
        </is>
      </c>
      <c r="B65" s="7" t="inlineStr">
        <is>
          <t>Hotel</t>
        </is>
      </c>
      <c r="C65" s="7" t="n"/>
      <c r="D65" s="13" t="n">
        <v>157</v>
      </c>
      <c r="E65" s="19" t="n">
        <v>0.6</v>
      </c>
      <c r="F65" s="20">
        <f>D65*E65</f>
        <v/>
      </c>
      <c r="G65" s="19" t="n">
        <v>0.4</v>
      </c>
      <c r="H65" s="21">
        <f>F65*G65</f>
        <v/>
      </c>
      <c r="I65" s="15" t="n">
        <v>0</v>
      </c>
      <c r="J65" s="15">
        <f>I65*360</f>
        <v/>
      </c>
      <c r="K65" s="15">
        <f>J65*0.1</f>
        <v/>
      </c>
    </row>
    <row r="66" ht="15.75" customHeight="1" s="34">
      <c r="A66" s="7" t="inlineStr">
        <is>
          <t>DoubleTree by Hilton Hotel Denver Tech Center</t>
        </is>
      </c>
      <c r="B66" s="7" t="inlineStr">
        <is>
          <t>Hotel</t>
        </is>
      </c>
      <c r="C66" s="7" t="n"/>
      <c r="D66" s="13" t="n">
        <v>305</v>
      </c>
      <c r="E66" s="19" t="n">
        <v>0.6</v>
      </c>
      <c r="F66" s="20">
        <f>D66*E66</f>
        <v/>
      </c>
      <c r="G66" s="19" t="n">
        <v>0.4</v>
      </c>
      <c r="H66" s="21">
        <f>F66*G66</f>
        <v/>
      </c>
      <c r="I66" s="15" t="n">
        <v>0</v>
      </c>
      <c r="J66" s="15">
        <f>I66*360</f>
        <v/>
      </c>
      <c r="K66" s="15">
        <f>J66*0.1</f>
        <v/>
      </c>
    </row>
    <row r="67" ht="15.75" customHeight="1" s="34">
      <c r="A67" s="7" t="inlineStr">
        <is>
          <t>Embassy Suites by Hilton Denver Tech Center</t>
        </is>
      </c>
      <c r="B67" s="7" t="inlineStr">
        <is>
          <t>Hotel</t>
        </is>
      </c>
      <c r="C67" s="7" t="n"/>
      <c r="D67" s="13" t="n">
        <v>236</v>
      </c>
      <c r="E67" s="19" t="n">
        <v>0.6</v>
      </c>
      <c r="F67" s="20">
        <f>D67*E67</f>
        <v/>
      </c>
      <c r="G67" s="19" t="n">
        <v>0.4</v>
      </c>
      <c r="H67" s="21">
        <f>F67*G67</f>
        <v/>
      </c>
      <c r="I67" s="15" t="n">
        <v>0</v>
      </c>
      <c r="J67" s="15">
        <f>I67*360</f>
        <v/>
      </c>
      <c r="K67" s="15">
        <f>J67*0.1</f>
        <v/>
      </c>
    </row>
    <row r="68" ht="15.75" customHeight="1" s="34">
      <c r="A68" s="7" t="inlineStr">
        <is>
          <t>The Inverness Denver, a Hilton Golf &amp; Spa Resort</t>
        </is>
      </c>
      <c r="B68" s="7" t="inlineStr">
        <is>
          <t>Hotel</t>
        </is>
      </c>
      <c r="C68" s="7" t="inlineStr">
        <is>
          <t>In House</t>
        </is>
      </c>
      <c r="D68" s="13" t="n">
        <v>302</v>
      </c>
      <c r="E68" s="19" t="n">
        <v>0.6</v>
      </c>
      <c r="F68" s="20">
        <f>D68*E68</f>
        <v/>
      </c>
      <c r="G68" s="19" t="n">
        <v>0.4</v>
      </c>
      <c r="H68" s="21">
        <f>F68*G68</f>
        <v/>
      </c>
      <c r="I68" s="15" t="n">
        <v>0</v>
      </c>
      <c r="J68" s="15">
        <f>I68*360</f>
        <v/>
      </c>
      <c r="K68" s="15">
        <f>J68*0.1</f>
        <v/>
      </c>
    </row>
    <row r="69" ht="15.75" customHeight="1" s="34">
      <c r="A69" s="7" t="inlineStr">
        <is>
          <t>Embassy Suites by Hilton Denver Tech Center North</t>
        </is>
      </c>
      <c r="B69" s="7" t="inlineStr">
        <is>
          <t>Hotel</t>
        </is>
      </c>
      <c r="C69" s="7" t="n"/>
      <c r="D69" s="13" t="n">
        <v>205</v>
      </c>
      <c r="E69" s="19" t="n">
        <v>0.6</v>
      </c>
      <c r="F69" s="20">
        <f>D69*E69</f>
        <v/>
      </c>
      <c r="G69" s="19" t="n">
        <v>0.4</v>
      </c>
      <c r="H69" s="21">
        <f>F69*G69</f>
        <v/>
      </c>
      <c r="I69" s="15" t="n">
        <v>0</v>
      </c>
      <c r="J69" s="15">
        <f>I69*360</f>
        <v/>
      </c>
      <c r="K69" s="15">
        <f>J69*0.1</f>
        <v/>
      </c>
    </row>
    <row r="70" ht="15.75" customHeight="1" s="34">
      <c r="A70" s="7" t="inlineStr">
        <is>
          <t>Denver Marriott South at Park Meadows</t>
        </is>
      </c>
      <c r="B70" s="7" t="inlineStr">
        <is>
          <t>Hotel</t>
        </is>
      </c>
      <c r="C70" s="7" t="n"/>
      <c r="D70" s="13" t="n">
        <v>279</v>
      </c>
      <c r="E70" s="19" t="n">
        <v>0.6</v>
      </c>
      <c r="F70" s="20">
        <f>D70*E70</f>
        <v/>
      </c>
      <c r="G70" s="19" t="n">
        <v>0.4</v>
      </c>
      <c r="H70" s="21">
        <f>F70*G70</f>
        <v/>
      </c>
      <c r="I70" s="15" t="n">
        <v>0</v>
      </c>
      <c r="J70" s="15">
        <f>I70*360</f>
        <v/>
      </c>
      <c r="K70" s="15">
        <f>J70*0.1</f>
        <v/>
      </c>
    </row>
    <row r="71" ht="15.75" customHeight="1" s="34">
      <c r="A71" s="7" t="inlineStr">
        <is>
          <t>Hilton Garden Inn Denver Tech Center</t>
        </is>
      </c>
      <c r="B71" s="7" t="inlineStr">
        <is>
          <t>Hotel</t>
        </is>
      </c>
      <c r="C71" s="7" t="n"/>
      <c r="D71" s="13" t="n">
        <v>180</v>
      </c>
      <c r="E71" s="19" t="n">
        <v>0.6</v>
      </c>
      <c r="F71" s="20">
        <f>D71*E71</f>
        <v/>
      </c>
      <c r="G71" s="19" t="n">
        <v>0.4</v>
      </c>
      <c r="H71" s="21">
        <f>F71*G71</f>
        <v/>
      </c>
      <c r="I71" s="15" t="n">
        <v>0</v>
      </c>
      <c r="J71" s="15">
        <f>I71*360</f>
        <v/>
      </c>
      <c r="K71" s="15">
        <f>J71*0.1</f>
        <v/>
      </c>
    </row>
    <row r="72" ht="15.75" customHeight="1" s="34">
      <c r="A72" s="7" t="inlineStr">
        <is>
          <t>DoubleTree by Hilton Hotel Denver - Aurora</t>
        </is>
      </c>
      <c r="B72" s="7" t="inlineStr">
        <is>
          <t>Hotel</t>
        </is>
      </c>
      <c r="C72" s="7" t="n"/>
      <c r="D72" s="13" t="n">
        <v>248</v>
      </c>
      <c r="E72" s="19" t="n">
        <v>0.6</v>
      </c>
      <c r="F72" s="20">
        <f>D72*E72</f>
        <v/>
      </c>
      <c r="G72" s="19" t="n">
        <v>0.4</v>
      </c>
      <c r="H72" s="21">
        <f>F72*G72</f>
        <v/>
      </c>
      <c r="I72" s="15" t="n">
        <v>0</v>
      </c>
      <c r="J72" s="15">
        <f>I72*360</f>
        <v/>
      </c>
      <c r="K72" s="15">
        <f>J72*0.1</f>
        <v/>
      </c>
    </row>
    <row r="73" ht="15.75" customHeight="1" s="34">
      <c r="A73" s="7" t="inlineStr">
        <is>
          <t>Crowne Plaza Denver Airport Convention Center</t>
        </is>
      </c>
      <c r="B73" s="7" t="inlineStr">
        <is>
          <t>Hotel</t>
        </is>
      </c>
      <c r="C73" s="7" t="n"/>
      <c r="D73" s="13" t="n">
        <v>255</v>
      </c>
      <c r="E73" s="19" t="n">
        <v>0.6</v>
      </c>
      <c r="F73" s="20">
        <f>D73*E73</f>
        <v/>
      </c>
      <c r="G73" s="19" t="n">
        <v>0.4</v>
      </c>
      <c r="H73" s="21">
        <f>F73*G73</f>
        <v/>
      </c>
      <c r="I73" s="15" t="n">
        <v>0</v>
      </c>
      <c r="J73" s="15">
        <f>I73*360</f>
        <v/>
      </c>
      <c r="K73" s="15">
        <f>J73*0.1</f>
        <v/>
      </c>
    </row>
    <row r="74" ht="15.75" customHeight="1" s="34">
      <c r="A74" s="7" t="inlineStr">
        <is>
          <t>Courtyard Denver Downtown West (Stadium Area)</t>
        </is>
      </c>
      <c r="B74" s="7" t="inlineStr">
        <is>
          <t>Hotel</t>
        </is>
      </c>
      <c r="C74" s="7" t="n"/>
      <c r="D74" s="13" t="n">
        <v>118</v>
      </c>
      <c r="E74" s="19" t="n">
        <v>0.6</v>
      </c>
      <c r="F74" s="20">
        <f>D74*E74</f>
        <v/>
      </c>
      <c r="G74" s="19" t="n">
        <v>0.4</v>
      </c>
      <c r="H74" s="21">
        <f>F74*G74</f>
        <v/>
      </c>
      <c r="I74" s="15" t="n">
        <v>0</v>
      </c>
      <c r="J74" s="15">
        <f>I74*360</f>
        <v/>
      </c>
      <c r="K74" s="15">
        <f>J74*0.1</f>
        <v/>
      </c>
    </row>
    <row r="75" ht="15.75" customHeight="1" s="34">
      <c r="A75" s="7" t="inlineStr">
        <is>
          <t>Urban Cowboy Denver</t>
        </is>
      </c>
      <c r="B75" s="7" t="inlineStr">
        <is>
          <t>Hotel</t>
        </is>
      </c>
      <c r="C75" s="7" t="n"/>
      <c r="D75" s="13" t="n">
        <v>9</v>
      </c>
      <c r="E75" s="19" t="n">
        <v>0.6</v>
      </c>
      <c r="F75" s="20">
        <f>D75*E75</f>
        <v/>
      </c>
      <c r="G75" s="19" t="n">
        <v>0.4</v>
      </c>
      <c r="H75" s="21">
        <f>F75*G75</f>
        <v/>
      </c>
      <c r="I75" s="15" t="n">
        <v>0</v>
      </c>
      <c r="J75" s="15">
        <f>I75*360</f>
        <v/>
      </c>
      <c r="K75" s="15">
        <f>J75*0.1</f>
        <v/>
      </c>
    </row>
    <row r="76" ht="15.75" customHeight="1" s="34">
      <c r="A76" s="7" t="inlineStr">
        <is>
          <t>Hyatt Place Denver/Cherry Creek</t>
        </is>
      </c>
      <c r="B76" s="7" t="inlineStr">
        <is>
          <t>Hotel</t>
        </is>
      </c>
      <c r="C76" s="7" t="n"/>
      <c r="D76" s="13" t="n">
        <v>133</v>
      </c>
      <c r="E76" s="19" t="n">
        <v>0.6</v>
      </c>
      <c r="F76" s="20">
        <f>D76*E76</f>
        <v/>
      </c>
      <c r="G76" s="19" t="n">
        <v>0.4</v>
      </c>
      <c r="H76" s="21">
        <f>F76*G76</f>
        <v/>
      </c>
      <c r="I76" s="15" t="n">
        <v>0</v>
      </c>
      <c r="J76" s="15">
        <f>I76*360</f>
        <v/>
      </c>
      <c r="K76" s="15">
        <f>J76*0.1</f>
        <v/>
      </c>
    </row>
    <row r="77" ht="15.75" customHeight="1" s="34">
      <c r="A77" s="7" t="inlineStr">
        <is>
          <t>Hyatt Place Denver Tech Center</t>
        </is>
      </c>
      <c r="B77" s="7" t="inlineStr">
        <is>
          <t>Hotel</t>
        </is>
      </c>
      <c r="C77" s="7" t="n"/>
      <c r="D77" s="13" t="n">
        <v>126</v>
      </c>
      <c r="E77" s="19" t="n">
        <v>0.6</v>
      </c>
      <c r="F77" s="20">
        <f>D77*E77</f>
        <v/>
      </c>
      <c r="G77" s="19" t="n">
        <v>0.4</v>
      </c>
      <c r="H77" s="21">
        <f>F77*G77</f>
        <v/>
      </c>
      <c r="I77" s="15" t="n">
        <v>0</v>
      </c>
      <c r="J77" s="15">
        <f>I77*360</f>
        <v/>
      </c>
      <c r="K77" s="15">
        <f>J77*0.1</f>
        <v/>
      </c>
    </row>
    <row r="78" ht="15.75" customHeight="1" s="34">
      <c r="A78" s="7" t="inlineStr">
        <is>
          <t>Hyatt Place Denver Airport</t>
        </is>
      </c>
      <c r="B78" s="7" t="inlineStr">
        <is>
          <t>Hotel</t>
        </is>
      </c>
      <c r="C78" s="7" t="n"/>
      <c r="D78" s="13" t="n">
        <v>127</v>
      </c>
      <c r="E78" s="19" t="n">
        <v>0.6</v>
      </c>
      <c r="F78" s="20">
        <f>D78*E78</f>
        <v/>
      </c>
      <c r="G78" s="19" t="n">
        <v>0.4</v>
      </c>
      <c r="H78" s="21">
        <f>F78*G78</f>
        <v/>
      </c>
      <c r="I78" s="15" t="n">
        <v>0</v>
      </c>
      <c r="J78" s="15">
        <f>I78*360</f>
        <v/>
      </c>
      <c r="K78" s="15">
        <f>J78*0.1</f>
        <v/>
      </c>
    </row>
    <row r="79" ht="15.75" customHeight="1" s="34">
      <c r="A79" s="7" t="inlineStr">
        <is>
          <t>Hyatt Place Peña Station / Denver Airport</t>
        </is>
      </c>
      <c r="B79" s="7" t="inlineStr">
        <is>
          <t>Hotel</t>
        </is>
      </c>
      <c r="C79" s="7" t="n"/>
      <c r="D79" s="13" t="n">
        <v>150</v>
      </c>
      <c r="E79" s="19" t="n">
        <v>0.6</v>
      </c>
      <c r="F79" s="20">
        <f>D79*E79</f>
        <v/>
      </c>
      <c r="G79" s="19" t="n">
        <v>0.4</v>
      </c>
      <c r="H79" s="21">
        <f>F79*G79</f>
        <v/>
      </c>
      <c r="I79" s="15" t="n">
        <v>0</v>
      </c>
      <c r="J79" s="15">
        <f>I79*360</f>
        <v/>
      </c>
      <c r="K79" s="15">
        <f>J79*0.1</f>
        <v/>
      </c>
    </row>
    <row r="80" ht="15.75" customHeight="1" s="34">
      <c r="A80" s="7" t="inlineStr">
        <is>
          <t>Aloft Denver Airport at Gateway Park</t>
        </is>
      </c>
      <c r="B80" s="7" t="inlineStr">
        <is>
          <t>Hotel</t>
        </is>
      </c>
      <c r="C80" s="7" t="n"/>
      <c r="D80" s="13" t="n">
        <v>136</v>
      </c>
      <c r="E80" s="19" t="n">
        <v>0.6</v>
      </c>
      <c r="F80" s="20">
        <f>D80*E80</f>
        <v/>
      </c>
      <c r="G80" s="19" t="n">
        <v>0.4</v>
      </c>
      <c r="H80" s="21">
        <f>F80*G80</f>
        <v/>
      </c>
      <c r="I80" s="15" t="n">
        <v>0</v>
      </c>
      <c r="J80" s="15">
        <f>I80*360</f>
        <v/>
      </c>
      <c r="K80" s="15">
        <f>J80*0.1</f>
        <v/>
      </c>
    </row>
    <row r="81" ht="15.75" customHeight="1" s="34">
      <c r="A81" s="7" t="inlineStr">
        <is>
          <t>Four Points by Sheraton Englewood Centennial Airport</t>
        </is>
      </c>
      <c r="B81" s="7" t="inlineStr">
        <is>
          <t>Hotel</t>
        </is>
      </c>
      <c r="C81" s="7" t="n"/>
      <c r="D81" s="13" t="n">
        <v>132</v>
      </c>
      <c r="E81" s="19" t="n">
        <v>0.6</v>
      </c>
      <c r="F81" s="20">
        <f>D81*E81</f>
        <v/>
      </c>
      <c r="G81" s="19" t="n">
        <v>0.4</v>
      </c>
      <c r="H81" s="21">
        <f>F81*G81</f>
        <v/>
      </c>
      <c r="I81" s="15" t="n">
        <v>0</v>
      </c>
      <c r="J81" s="15">
        <f>I81*360</f>
        <v/>
      </c>
      <c r="K81" s="15">
        <f>J81*0.1</f>
        <v/>
      </c>
    </row>
    <row r="82" ht="15.75" customHeight="1" s="34">
      <c r="A82" s="7" t="inlineStr">
        <is>
          <t>Mint House Denver - Downtown Union Station</t>
        </is>
      </c>
      <c r="B82" s="7" t="inlineStr">
        <is>
          <t>Hotel</t>
        </is>
      </c>
      <c r="C82" s="7" t="n"/>
      <c r="D82" s="13" t="n">
        <v>40</v>
      </c>
      <c r="E82" s="19" t="n">
        <v>0.6</v>
      </c>
      <c r="F82" s="20">
        <f>D82*E82</f>
        <v/>
      </c>
      <c r="G82" s="19" t="n">
        <v>0.4</v>
      </c>
      <c r="H82" s="21">
        <f>F82*G82</f>
        <v/>
      </c>
      <c r="I82" s="15" t="n">
        <v>0</v>
      </c>
      <c r="J82" s="15">
        <f>I82*360</f>
        <v/>
      </c>
      <c r="K82" s="15">
        <f>J82*0.1</f>
        <v/>
      </c>
    </row>
    <row r="83" ht="15.75" customHeight="1" s="34">
      <c r="A83" s="7" t="inlineStr">
        <is>
          <t>Sonder at Skyline</t>
        </is>
      </c>
      <c r="B83" s="7" t="inlineStr">
        <is>
          <t>Hotel</t>
        </is>
      </c>
      <c r="C83" s="7" t="n"/>
      <c r="D83" s="13" t="n">
        <v>93</v>
      </c>
      <c r="E83" s="19" t="n">
        <v>0.6</v>
      </c>
      <c r="F83" s="20">
        <f>D83*E83</f>
        <v/>
      </c>
      <c r="G83" s="19" t="n">
        <v>0.4</v>
      </c>
      <c r="H83" s="21">
        <f>F83*G83</f>
        <v/>
      </c>
      <c r="I83" s="15" t="n">
        <v>0</v>
      </c>
      <c r="J83" s="15">
        <f>I83*360</f>
        <v/>
      </c>
      <c r="K83" s="15">
        <f>J83*0.1</f>
        <v/>
      </c>
    </row>
    <row r="84" ht="15.75" customHeight="1" s="34">
      <c r="A84" s="7" t="inlineStr">
        <is>
          <t>Hyatt House Denver Tech Center</t>
        </is>
      </c>
      <c r="B84" s="7" t="inlineStr">
        <is>
          <t>Hotel</t>
        </is>
      </c>
      <c r="C84" s="7" t="n"/>
      <c r="D84" s="13" t="n">
        <v>128</v>
      </c>
      <c r="E84" s="19" t="n">
        <v>0.6</v>
      </c>
      <c r="F84" s="20">
        <f>D84*E84</f>
        <v/>
      </c>
      <c r="G84" s="19" t="n">
        <v>0.4</v>
      </c>
      <c r="H84" s="21">
        <f>F84*G84</f>
        <v/>
      </c>
      <c r="I84" s="15" t="n">
        <v>0</v>
      </c>
      <c r="J84" s="15">
        <f>I84*360</f>
        <v/>
      </c>
      <c r="K84" s="15">
        <f>J84*0.1</f>
        <v/>
      </c>
    </row>
    <row r="85" ht="15.75" customHeight="1" s="34">
      <c r="A85" s="7" t="inlineStr">
        <is>
          <t>Springhill Suites by Marriott Denver Airport at Gateway Park</t>
        </is>
      </c>
      <c r="B85" s="7" t="inlineStr">
        <is>
          <t>Hotel</t>
        </is>
      </c>
      <c r="C85" s="7" t="n"/>
      <c r="D85" s="13" t="n">
        <v>124</v>
      </c>
      <c r="E85" s="19" t="n">
        <v>0.6</v>
      </c>
      <c r="F85" s="20">
        <f>D85*E85</f>
        <v/>
      </c>
      <c r="G85" s="19" t="n">
        <v>0.4</v>
      </c>
      <c r="H85" s="21">
        <f>F85*G85</f>
        <v/>
      </c>
      <c r="I85" s="15" t="n">
        <v>0</v>
      </c>
      <c r="J85" s="15">
        <f>I85*360</f>
        <v/>
      </c>
      <c r="K85" s="15">
        <f>J85*0.1</f>
        <v/>
      </c>
    </row>
    <row r="86" ht="15.75" customHeight="1" s="34">
      <c r="A86" s="7" t="inlineStr">
        <is>
          <t>Hyatt House Denver Aurora Anschutz Medical Campus</t>
        </is>
      </c>
      <c r="B86" s="7" t="inlineStr">
        <is>
          <t>Hotel</t>
        </is>
      </c>
      <c r="C86" s="7" t="n"/>
      <c r="D86" s="13" t="n">
        <v>124</v>
      </c>
      <c r="E86" s="19" t="n">
        <v>0.6</v>
      </c>
      <c r="F86" s="20">
        <f>D86*E86</f>
        <v/>
      </c>
      <c r="G86" s="19" t="n">
        <v>0.4</v>
      </c>
      <c r="H86" s="21">
        <f>F86*G86</f>
        <v/>
      </c>
      <c r="I86" s="15" t="n">
        <v>0</v>
      </c>
      <c r="J86" s="15">
        <f>I86*360</f>
        <v/>
      </c>
      <c r="K86" s="15">
        <f>J86*0.1</f>
        <v/>
      </c>
    </row>
    <row r="87" ht="15.75" customHeight="1" s="34">
      <c r="A87" s="7" t="inlineStr">
        <is>
          <t>Home2 Suites by Hilton Denver Central Park</t>
        </is>
      </c>
      <c r="B87" s="7" t="inlineStr">
        <is>
          <t>Hotel</t>
        </is>
      </c>
      <c r="C87" s="7" t="n"/>
      <c r="D87" s="13" t="n">
        <v>117</v>
      </c>
      <c r="E87" s="19" t="n">
        <v>0.6</v>
      </c>
      <c r="F87" s="20">
        <f>D87*E87</f>
        <v/>
      </c>
      <c r="G87" s="19" t="n">
        <v>0.4</v>
      </c>
      <c r="H87" s="21">
        <f>F87*G87</f>
        <v/>
      </c>
      <c r="I87" s="15" t="n">
        <v>0</v>
      </c>
      <c r="J87" s="15">
        <f>I87*360</f>
        <v/>
      </c>
      <c r="K87" s="15">
        <f>J87*0.1</f>
        <v/>
      </c>
    </row>
    <row r="88" ht="15.75" customHeight="1" s="34">
      <c r="A88" s="7" t="inlineStr">
        <is>
          <t>The Capital Grille - Denver</t>
        </is>
      </c>
      <c r="B88" s="7" t="inlineStr">
        <is>
          <t>Restaurant</t>
        </is>
      </c>
      <c r="C88" s="7" t="inlineStr">
        <is>
          <t>Unknown (Darden Restaurants brand)</t>
        </is>
      </c>
      <c r="D88" s="22" t="n">
        <v>100</v>
      </c>
      <c r="E88" s="19" t="n">
        <v>0.6</v>
      </c>
      <c r="F88" s="20">
        <f>D88*E88</f>
        <v/>
      </c>
      <c r="G88" s="19" t="n">
        <v>0.4</v>
      </c>
      <c r="H88" s="21">
        <f>F88*G88</f>
        <v/>
      </c>
      <c r="I88" s="15" t="n">
        <v>0</v>
      </c>
      <c r="J88" s="15">
        <f>I88*360</f>
        <v/>
      </c>
      <c r="K88" s="15">
        <f>J88*0.1</f>
        <v/>
      </c>
    </row>
    <row r="89" ht="15.75" customHeight="1" s="34">
      <c r="A89" s="7" t="inlineStr">
        <is>
          <t>Ocean Prime - Denver (Larimer Square)</t>
        </is>
      </c>
      <c r="B89" s="7" t="inlineStr">
        <is>
          <t>Restaurant</t>
        </is>
      </c>
      <c r="C89" s="7" t="inlineStr">
        <is>
          <t>Cameron Mitchell Restaurants</t>
        </is>
      </c>
      <c r="D89" s="22" t="n">
        <v>100</v>
      </c>
      <c r="E89" s="19" t="n">
        <v>0.6</v>
      </c>
      <c r="F89" s="20">
        <f>D89*E89</f>
        <v/>
      </c>
      <c r="G89" s="19" t="n">
        <v>0.4</v>
      </c>
      <c r="H89" s="21">
        <f>F89*G89</f>
        <v/>
      </c>
      <c r="I89" s="15" t="n">
        <v>0</v>
      </c>
      <c r="J89" s="15">
        <f>I89*360</f>
        <v/>
      </c>
      <c r="K89" s="15">
        <f>J89*0.1</f>
        <v/>
      </c>
    </row>
    <row r="90" ht="15.75" customHeight="1" s="34">
      <c r="A90" s="7" t="inlineStr">
        <is>
          <t>Ruth's Chris Steak House - Denver</t>
        </is>
      </c>
      <c r="B90" s="7" t="inlineStr">
        <is>
          <t>Restaurant</t>
        </is>
      </c>
      <c r="C90" s="7" t="inlineStr">
        <is>
          <t>Ruth's Hospitality Group</t>
        </is>
      </c>
      <c r="D90" s="22" t="n">
        <v>100</v>
      </c>
      <c r="E90" s="19" t="n">
        <v>0.6</v>
      </c>
      <c r="F90" s="20">
        <f>D90*E90</f>
        <v/>
      </c>
      <c r="G90" s="19" t="n">
        <v>0.4</v>
      </c>
      <c r="H90" s="21">
        <f>F90*G90</f>
        <v/>
      </c>
      <c r="I90" s="15" t="n">
        <v>0</v>
      </c>
      <c r="J90" s="15">
        <f>I90*360</f>
        <v/>
      </c>
      <c r="K90" s="15">
        <f>J90*0.1</f>
        <v/>
      </c>
    </row>
    <row r="91" ht="15.75" customHeight="1" s="34">
      <c r="A91" s="7" t="inlineStr">
        <is>
          <t>STK Steakhouse Denver</t>
        </is>
      </c>
      <c r="B91" s="7" t="inlineStr">
        <is>
          <t>Restaurant</t>
        </is>
      </c>
      <c r="C91" s="7" t="inlineStr">
        <is>
          <t>ONE Group Hospitality</t>
        </is>
      </c>
      <c r="D91" s="22" t="n">
        <v>100</v>
      </c>
      <c r="E91" s="19" t="n">
        <v>0.6</v>
      </c>
      <c r="F91" s="20">
        <f>D91*E91</f>
        <v/>
      </c>
      <c r="G91" s="19" t="n">
        <v>0.4</v>
      </c>
      <c r="H91" s="21">
        <f>F91*G91</f>
        <v/>
      </c>
      <c r="I91" s="15" t="n">
        <v>0</v>
      </c>
      <c r="J91" s="15">
        <f>I91*360</f>
        <v/>
      </c>
      <c r="K91" s="15">
        <f>J91*0.1</f>
        <v/>
      </c>
    </row>
    <row r="92" ht="15.75" customHeight="1" s="34">
      <c r="A92" s="7" t="inlineStr">
        <is>
          <t>Guard &amp; Grace</t>
        </is>
      </c>
      <c r="B92" s="7" t="inlineStr">
        <is>
          <t>Restaurant</t>
        </is>
      </c>
      <c r="C92" s="7" t="inlineStr">
        <is>
          <t>Chef/Owner Troy Guard (TAG Restaurant Group)</t>
        </is>
      </c>
      <c r="D92" s="22" t="n">
        <v>100</v>
      </c>
      <c r="E92" s="19" t="n">
        <v>0.6</v>
      </c>
      <c r="F92" s="20">
        <f>D92*E92</f>
        <v/>
      </c>
      <c r="G92" s="19" t="n">
        <v>0.4</v>
      </c>
      <c r="H92" s="21">
        <f>F92*G92</f>
        <v/>
      </c>
      <c r="I92" s="15" t="n">
        <v>0</v>
      </c>
      <c r="J92" s="15">
        <f>I92*360</f>
        <v/>
      </c>
      <c r="K92" s="15">
        <f>J92*0.1</f>
        <v/>
      </c>
    </row>
    <row r="93" ht="15.75" customHeight="1" s="34">
      <c r="A93" s="7" t="inlineStr">
        <is>
          <t>Elway's Downtown</t>
        </is>
      </c>
      <c r="B93" s="7" t="inlineStr">
        <is>
          <t>Restaurant</t>
        </is>
      </c>
      <c r="C93" s="7" t="inlineStr">
        <is>
          <t>John Elway Enterprises / Ritz-Carlton hotel valet</t>
        </is>
      </c>
      <c r="D93" s="22" t="n">
        <v>100</v>
      </c>
      <c r="E93" s="19" t="n">
        <v>0.6</v>
      </c>
      <c r="F93" s="20">
        <f>D93*E93</f>
        <v/>
      </c>
      <c r="G93" s="19" t="n">
        <v>0.4</v>
      </c>
      <c r="H93" s="21">
        <f>F93*G93</f>
        <v/>
      </c>
      <c r="I93" s="15" t="n">
        <v>0</v>
      </c>
      <c r="J93" s="15">
        <f>I93*360</f>
        <v/>
      </c>
      <c r="K93" s="15">
        <f>J93*0.1</f>
        <v/>
      </c>
    </row>
    <row r="94" ht="15.75" customHeight="1" s="34">
      <c r="A94" s="7" t="inlineStr">
        <is>
          <t>Elway's Cherry Creek</t>
        </is>
      </c>
      <c r="B94" s="7" t="inlineStr">
        <is>
          <t>Restaurant</t>
        </is>
      </c>
      <c r="C94" s="7" t="inlineStr">
        <is>
          <t>John Elway Enterprises</t>
        </is>
      </c>
      <c r="D94" s="22" t="n">
        <v>100</v>
      </c>
      <c r="E94" s="19" t="n">
        <v>0.6</v>
      </c>
      <c r="F94" s="20">
        <f>D94*E94</f>
        <v/>
      </c>
      <c r="G94" s="19" t="n">
        <v>0.4</v>
      </c>
      <c r="H94" s="21">
        <f>F94*G94</f>
        <v/>
      </c>
      <c r="I94" s="15" t="n">
        <v>0</v>
      </c>
      <c r="J94" s="15">
        <f>I94*360</f>
        <v/>
      </c>
      <c r="K94" s="15">
        <f>J94*0.1</f>
        <v/>
      </c>
    </row>
    <row r="95" ht="15.75" customHeight="1" s="34">
      <c r="A95" s="7" t="inlineStr">
        <is>
          <t>Shanahan's Steakhouse</t>
        </is>
      </c>
      <c r="B95" s="7" t="inlineStr">
        <is>
          <t>Restaurant</t>
        </is>
      </c>
      <c r="C95" s="7" t="inlineStr">
        <is>
          <t>Shanahan's Restaurant Group</t>
        </is>
      </c>
      <c r="D95" s="22" t="n">
        <v>100</v>
      </c>
      <c r="E95" s="19" t="n">
        <v>0.6</v>
      </c>
      <c r="F95" s="20">
        <f>D95*E95</f>
        <v/>
      </c>
      <c r="G95" s="19" t="n">
        <v>0.4</v>
      </c>
      <c r="H95" s="21">
        <f>F95*G95</f>
        <v/>
      </c>
      <c r="I95" s="15" t="n">
        <v>0</v>
      </c>
      <c r="J95" s="15">
        <f>I95*360</f>
        <v/>
      </c>
      <c r="K95" s="15">
        <f>J95*0.1</f>
        <v/>
      </c>
    </row>
    <row r="96" ht="15.75" customHeight="1" s="34">
      <c r="A96" s="7" t="inlineStr">
        <is>
          <t>Del Frisco's Double Eagle Steakhouse</t>
        </is>
      </c>
      <c r="B96" s="7" t="inlineStr">
        <is>
          <t>Restaurant</t>
        </is>
      </c>
      <c r="C96" s="7" t="inlineStr">
        <is>
          <t>Del Frisco's Restaurant Group / Lone Star Funds</t>
        </is>
      </c>
      <c r="D96" s="22" t="n">
        <v>100</v>
      </c>
      <c r="E96" s="19" t="n">
        <v>0.6</v>
      </c>
      <c r="F96" s="20">
        <f>D96*E96</f>
        <v/>
      </c>
      <c r="G96" s="19" t="n">
        <v>0.4</v>
      </c>
      <c r="H96" s="21">
        <f>F96*G96</f>
        <v/>
      </c>
      <c r="I96" s="15" t="n">
        <v>0</v>
      </c>
      <c r="J96" s="15">
        <f>I96*360</f>
        <v/>
      </c>
      <c r="K96" s="15">
        <f>J96*0.1</f>
        <v/>
      </c>
    </row>
    <row r="97" ht="15.75" customHeight="1" s="34">
      <c r="A97" s="7" t="inlineStr">
        <is>
          <t>Del Frisco's Grille - Cherry Creek</t>
        </is>
      </c>
      <c r="B97" s="7" t="inlineStr">
        <is>
          <t>Restaurant</t>
        </is>
      </c>
      <c r="C97" s="7" t="inlineStr">
        <is>
          <t>Del Frisco's Restaurant Group</t>
        </is>
      </c>
      <c r="D97" s="22" t="n">
        <v>100</v>
      </c>
      <c r="E97" s="19" t="n">
        <v>0.6</v>
      </c>
      <c r="F97" s="20">
        <f>D97*E97</f>
        <v/>
      </c>
      <c r="G97" s="19" t="n">
        <v>0.4</v>
      </c>
      <c r="H97" s="21">
        <f>F97*G97</f>
        <v/>
      </c>
      <c r="I97" s="15" t="n">
        <v>0</v>
      </c>
      <c r="J97" s="15">
        <f>I97*360</f>
        <v/>
      </c>
      <c r="K97" s="15">
        <f>J97*0.1</f>
        <v/>
      </c>
    </row>
    <row r="98" ht="15.75" customHeight="1" s="34">
      <c r="A98" s="7" t="inlineStr">
        <is>
          <t>Tavernetta</t>
        </is>
      </c>
      <c r="B98" s="7" t="inlineStr">
        <is>
          <t>Restaurant</t>
        </is>
      </c>
      <c r="C98" s="7" t="inlineStr">
        <is>
          <t>Frasca Hospitality Group / Limelight Hotel valet</t>
        </is>
      </c>
      <c r="D98" s="22" t="n">
        <v>100</v>
      </c>
      <c r="E98" s="19" t="n">
        <v>0.6</v>
      </c>
      <c r="F98" s="20">
        <f>D98*E98</f>
        <v/>
      </c>
      <c r="G98" s="19" t="n">
        <v>0.4</v>
      </c>
      <c r="H98" s="21">
        <f>F98*G98</f>
        <v/>
      </c>
      <c r="I98" s="15" t="n">
        <v>0</v>
      </c>
      <c r="J98" s="15">
        <f>I98*360</f>
        <v/>
      </c>
      <c r="K98" s="15">
        <f>J98*0.1</f>
        <v/>
      </c>
    </row>
    <row r="99" ht="15.75" customHeight="1" s="34">
      <c r="A99" s="7" t="inlineStr">
        <is>
          <t>Sunday Vinyl</t>
        </is>
      </c>
      <c r="B99" s="7" t="inlineStr">
        <is>
          <t>Restaurant</t>
        </is>
      </c>
      <c r="C99" s="7" t="inlineStr">
        <is>
          <t>Frasca Hospitality Group</t>
        </is>
      </c>
      <c r="D99" s="22" t="n">
        <v>100</v>
      </c>
      <c r="E99" s="19" t="n">
        <v>0.6</v>
      </c>
      <c r="F99" s="20">
        <f>D99*E99</f>
        <v/>
      </c>
      <c r="G99" s="19" t="n">
        <v>0.4</v>
      </c>
      <c r="H99" s="21">
        <f>F99*G99</f>
        <v/>
      </c>
      <c r="I99" s="15" t="n">
        <v>0</v>
      </c>
      <c r="J99" s="15">
        <f>I99*360</f>
        <v/>
      </c>
      <c r="K99" s="15">
        <f>J99*0.1</f>
        <v/>
      </c>
    </row>
    <row r="100" ht="15.75" customHeight="1" s="34">
      <c r="A100" s="7" t="inlineStr">
        <is>
          <t>Frasca Food and Wine</t>
        </is>
      </c>
      <c r="B100" s="7" t="inlineStr">
        <is>
          <t>Restaurant</t>
        </is>
      </c>
      <c r="C100" s="7" t="inlineStr">
        <is>
          <t>Frasca Hospitality Group</t>
        </is>
      </c>
      <c r="D100" s="22" t="n">
        <v>100</v>
      </c>
      <c r="E100" s="19" t="n">
        <v>0.6</v>
      </c>
      <c r="F100" s="20">
        <f>D100*E100</f>
        <v/>
      </c>
      <c r="G100" s="19" t="n">
        <v>0.4</v>
      </c>
      <c r="H100" s="21">
        <f>F100*G100</f>
        <v/>
      </c>
      <c r="I100" s="15" t="n">
        <v>0</v>
      </c>
      <c r="J100" s="15">
        <f>I100*360</f>
        <v/>
      </c>
      <c r="K100" s="15">
        <f>J100*0.1</f>
        <v/>
      </c>
    </row>
    <row r="101" ht="15.75" customHeight="1" s="34">
      <c r="A101" s="7" t="inlineStr">
        <is>
          <t>Rioja</t>
        </is>
      </c>
      <c r="B101" s="7" t="inlineStr">
        <is>
          <t>Restaurant</t>
        </is>
      </c>
      <c r="C101" s="7" t="inlineStr">
        <is>
          <t>Crafted Concepts restaurant group / Larimer Square valet operator</t>
        </is>
      </c>
      <c r="D101" s="22" t="n">
        <v>100</v>
      </c>
      <c r="E101" s="19" t="n">
        <v>0.6</v>
      </c>
      <c r="F101" s="20">
        <f>D101*E101</f>
        <v/>
      </c>
      <c r="G101" s="19" t="n">
        <v>0.4</v>
      </c>
      <c r="H101" s="21">
        <f>F101*G101</f>
        <v/>
      </c>
      <c r="I101" s="15" t="n">
        <v>0</v>
      </c>
      <c r="J101" s="15">
        <f>I101*360</f>
        <v/>
      </c>
      <c r="K101" s="15">
        <f>J101*0.1</f>
        <v/>
      </c>
    </row>
    <row r="102" ht="15.75" customHeight="1" s="34">
      <c r="A102" s="7" t="inlineStr">
        <is>
          <t>Barolo Grill</t>
        </is>
      </c>
      <c r="B102" s="7" t="inlineStr">
        <is>
          <t>Restaurant</t>
        </is>
      </c>
      <c r="C102" s="7" t="inlineStr">
        <is>
          <t>Barolo Grill</t>
        </is>
      </c>
      <c r="D102" s="22" t="n">
        <v>100</v>
      </c>
      <c r="E102" s="19" t="n">
        <v>0.6</v>
      </c>
      <c r="F102" s="20">
        <f>D102*E102</f>
        <v/>
      </c>
      <c r="G102" s="19" t="n">
        <v>0.4</v>
      </c>
      <c r="H102" s="21">
        <f>F102*G102</f>
        <v/>
      </c>
      <c r="I102" s="15" t="n">
        <v>0</v>
      </c>
      <c r="J102" s="15">
        <f>I102*360</f>
        <v/>
      </c>
      <c r="K102" s="15">
        <f>J102*0.1</f>
        <v/>
      </c>
    </row>
    <row r="103" ht="15.75" customHeight="1" s="34">
      <c r="A103" s="7" t="inlineStr">
        <is>
          <t>Mizuna</t>
        </is>
      </c>
      <c r="B103" s="7" t="inlineStr">
        <is>
          <t>Restaurant</t>
        </is>
      </c>
      <c r="C103" s="7" t="inlineStr">
        <is>
          <t>Frank Bonanno / Bonanno Concepts</t>
        </is>
      </c>
      <c r="D103" s="22" t="n">
        <v>100</v>
      </c>
      <c r="E103" s="19" t="n">
        <v>0.6</v>
      </c>
      <c r="F103" s="20">
        <f>D103*E103</f>
        <v/>
      </c>
      <c r="G103" s="19" t="n">
        <v>0.4</v>
      </c>
      <c r="H103" s="21">
        <f>F103*G103</f>
        <v/>
      </c>
      <c r="I103" s="15" t="n">
        <v>0</v>
      </c>
      <c r="J103" s="15">
        <f>I103*360</f>
        <v/>
      </c>
      <c r="K103" s="15">
        <f>J103*0.1</f>
        <v/>
      </c>
    </row>
    <row r="104" ht="15.75" customHeight="1" s="34">
      <c r="A104" s="7" t="inlineStr">
        <is>
          <t>Wildflower</t>
        </is>
      </c>
      <c r="B104" s="7" t="inlineStr">
        <is>
          <t>Restaurant</t>
        </is>
      </c>
      <c r="C104" s="7" t="inlineStr">
        <is>
          <t>Gravity Haus (hotel operator); restaurant independent management</t>
        </is>
      </c>
      <c r="D104" s="22" t="n">
        <v>100</v>
      </c>
      <c r="E104" s="19" t="n">
        <v>0.6</v>
      </c>
      <c r="F104" s="20">
        <f>D104*E104</f>
        <v/>
      </c>
      <c r="G104" s="19" t="n">
        <v>0.4</v>
      </c>
      <c r="H104" s="21">
        <f>F104*G104</f>
        <v/>
      </c>
      <c r="I104" s="15" t="n">
        <v>0</v>
      </c>
      <c r="J104" s="15">
        <f>I104*360</f>
        <v/>
      </c>
      <c r="K104" s="15">
        <f>J104*0.1</f>
        <v/>
      </c>
    </row>
    <row r="105" ht="15.75" customHeight="1" s="34">
      <c r="A105" s="7" t="inlineStr">
        <is>
          <t>Le Colonial Denver</t>
        </is>
      </c>
      <c r="B105" s="7" t="inlineStr">
        <is>
          <t>Restaurant</t>
        </is>
      </c>
      <c r="C105" s="7" t="inlineStr">
        <is>
          <t>Le Colonial Restaurant Group</t>
        </is>
      </c>
      <c r="D105" s="22" t="n">
        <v>100</v>
      </c>
      <c r="E105" s="19" t="n">
        <v>0.6</v>
      </c>
      <c r="F105" s="20">
        <f>D105*E105</f>
        <v/>
      </c>
      <c r="G105" s="19" t="n">
        <v>0.4</v>
      </c>
      <c r="H105" s="21">
        <f>F105*G105</f>
        <v/>
      </c>
      <c r="I105" s="15" t="n">
        <v>0</v>
      </c>
      <c r="J105" s="15">
        <f>I105*360</f>
        <v/>
      </c>
      <c r="K105" s="15">
        <f>J105*0.1</f>
        <v/>
      </c>
    </row>
    <row r="106" ht="15.75" customHeight="1" s="34">
      <c r="A106" s="7" t="inlineStr">
        <is>
          <t>Water Grill Denver</t>
        </is>
      </c>
      <c r="B106" s="7" t="inlineStr">
        <is>
          <t>Restaurant</t>
        </is>
      </c>
      <c r="C106" s="7" t="inlineStr">
        <is>
          <t>King's Seafood Company</t>
        </is>
      </c>
      <c r="D106" s="22" t="n">
        <v>100</v>
      </c>
      <c r="E106" s="19" t="n">
        <v>0.6</v>
      </c>
      <c r="F106" s="20">
        <f>D106*E106</f>
        <v/>
      </c>
      <c r="G106" s="19" t="n">
        <v>0.4</v>
      </c>
      <c r="H106" s="21">
        <f>F106*G106</f>
        <v/>
      </c>
      <c r="I106" s="15" t="n">
        <v>0</v>
      </c>
      <c r="J106" s="15">
        <f>I106*360</f>
        <v/>
      </c>
      <c r="K106" s="15">
        <f>J106*0.1</f>
        <v/>
      </c>
    </row>
    <row r="107" ht="15.75" customHeight="1" s="34">
      <c r="A107" s="7" t="inlineStr">
        <is>
          <t>Corinne Denver</t>
        </is>
      </c>
      <c r="B107" s="7" t="inlineStr">
        <is>
          <t>Restaurant</t>
        </is>
      </c>
      <c r="C107" s="7" t="inlineStr">
        <is>
          <t>Le Meridien Denver Downtown hotel valet</t>
        </is>
      </c>
      <c r="D107" s="22" t="n">
        <v>100</v>
      </c>
      <c r="E107" s="19" t="n">
        <v>0.6</v>
      </c>
      <c r="F107" s="20">
        <f>D107*E107</f>
        <v/>
      </c>
      <c r="G107" s="19" t="n">
        <v>0.4</v>
      </c>
      <c r="H107" s="21">
        <f>F107*G107</f>
        <v/>
      </c>
      <c r="I107" s="15" t="n">
        <v>0</v>
      </c>
      <c r="J107" s="15">
        <f>I107*360</f>
        <v/>
      </c>
      <c r="K107" s="15">
        <f>J107*0.1</f>
        <v/>
      </c>
    </row>
    <row r="108" ht="15.75" customHeight="1" s="34">
      <c r="A108" s="7" t="inlineStr">
        <is>
          <t>Salt Water Social</t>
        </is>
      </c>
      <c r="B108" s="7" t="inlineStr">
        <is>
          <t>Restaurant</t>
        </is>
      </c>
      <c r="C108" s="7" t="inlineStr">
        <is>
          <t>Salt Water Social (independent)</t>
        </is>
      </c>
      <c r="D108" s="22" t="n">
        <v>100</v>
      </c>
      <c r="E108" s="19" t="n">
        <v>0.6</v>
      </c>
      <c r="F108" s="20">
        <f>D108*E108</f>
        <v/>
      </c>
      <c r="G108" s="19" t="n">
        <v>0.4</v>
      </c>
      <c r="H108" s="21">
        <f>F108*G108</f>
        <v/>
      </c>
      <c r="I108" s="15" t="n">
        <v>0</v>
      </c>
      <c r="J108" s="15">
        <f>I108*360</f>
        <v/>
      </c>
      <c r="K108" s="15">
        <f>J108*0.1</f>
        <v/>
      </c>
    </row>
    <row r="109" ht="15.75" customHeight="1" s="34">
      <c r="A109" s="7" t="inlineStr">
        <is>
          <t>Alma Fonda Fina</t>
        </is>
      </c>
      <c r="B109" s="7" t="inlineStr">
        <is>
          <t>Restaurant</t>
        </is>
      </c>
      <c r="C109" s="7" t="inlineStr">
        <is>
          <t>Chef Johnny Curiel (independent)</t>
        </is>
      </c>
      <c r="D109" s="22" t="n">
        <v>100</v>
      </c>
      <c r="E109" s="19" t="n">
        <v>0.6</v>
      </c>
      <c r="F109" s="20">
        <f>D109*E109</f>
        <v/>
      </c>
      <c r="G109" s="19" t="n">
        <v>0.4</v>
      </c>
      <c r="H109" s="21">
        <f>F109*G109</f>
        <v/>
      </c>
      <c r="I109" s="15" t="n">
        <v>0</v>
      </c>
      <c r="J109" s="15">
        <f>I109*360</f>
        <v/>
      </c>
      <c r="K109" s="15">
        <f>J109*0.1</f>
        <v/>
      </c>
    </row>
    <row r="110" ht="15.75" customHeight="1" s="34">
      <c r="A110" s="7" t="inlineStr">
        <is>
          <t>UCHealth University of Colorado Hospital</t>
        </is>
      </c>
      <c r="B110" s="7" t="inlineStr">
        <is>
          <t>Hospital</t>
        </is>
      </c>
      <c r="C110" s="7" t="inlineStr">
        <is>
          <t>UCHealth (self-operated)</t>
        </is>
      </c>
      <c r="D110" s="22" t="n">
        <v>100</v>
      </c>
      <c r="E110" s="19" t="n">
        <v>0.6</v>
      </c>
      <c r="F110" s="20">
        <f>D110*E110</f>
        <v/>
      </c>
      <c r="G110" s="19" t="n">
        <v>0.4</v>
      </c>
      <c r="H110" s="21">
        <f>F110*G110</f>
        <v/>
      </c>
      <c r="I110" s="15" t="n">
        <v>0</v>
      </c>
      <c r="J110" s="15">
        <f>I110*360</f>
        <v/>
      </c>
      <c r="K110" s="15">
        <f>J110*0.1</f>
        <v/>
      </c>
    </row>
    <row r="111" ht="15.75" customHeight="1" s="34">
      <c r="A111" s="7" t="inlineStr">
        <is>
          <t>Denver Health Medical Center</t>
        </is>
      </c>
      <c r="B111" s="7" t="inlineStr">
        <is>
          <t>Hospital</t>
        </is>
      </c>
      <c r="C111" s="7" t="inlineStr">
        <is>
          <t>Denver Health (self-operated)</t>
        </is>
      </c>
      <c r="D111" s="22" t="n">
        <v>100</v>
      </c>
      <c r="E111" s="19" t="n">
        <v>0.6</v>
      </c>
      <c r="F111" s="20">
        <f>D111*E111</f>
        <v/>
      </c>
      <c r="G111" s="19" t="n">
        <v>0.4</v>
      </c>
      <c r="H111" s="21">
        <f>F111*G111</f>
        <v/>
      </c>
      <c r="I111" s="15" t="n">
        <v>0</v>
      </c>
      <c r="J111" s="15">
        <f>I111*360</f>
        <v/>
      </c>
      <c r="K111" s="15">
        <f>J111*0.1</f>
        <v/>
      </c>
    </row>
    <row r="112" ht="15.75" customHeight="1" s="34">
      <c r="A112" s="7" t="inlineStr">
        <is>
          <t>National Jewish Health</t>
        </is>
      </c>
      <c r="B112" s="7" t="inlineStr">
        <is>
          <t>Hospital</t>
        </is>
      </c>
      <c r="C112" s="7" t="inlineStr">
        <is>
          <t>National Jewish Health (self-operated)</t>
        </is>
      </c>
      <c r="D112" s="22" t="n">
        <v>100</v>
      </c>
      <c r="E112" s="19" t="n">
        <v>0.6</v>
      </c>
      <c r="F112" s="20">
        <f>D112*E112</f>
        <v/>
      </c>
      <c r="G112" s="19" t="n">
        <v>0.4</v>
      </c>
      <c r="H112" s="21">
        <f>F112*G112</f>
        <v/>
      </c>
      <c r="I112" s="15" t="n">
        <v>0</v>
      </c>
      <c r="J112" s="15">
        <f>I112*360</f>
        <v/>
      </c>
      <c r="K112" s="15">
        <f>J112*0.1</f>
        <v/>
      </c>
    </row>
    <row r="113" ht="15.75" customHeight="1" s="34">
      <c r="A113" s="7" t="inlineStr">
        <is>
          <t>Rose Medical Center (HCA HealthONE Rose)</t>
        </is>
      </c>
      <c r="B113" s="7" t="inlineStr">
        <is>
          <t>Hospital</t>
        </is>
      </c>
      <c r="C113" s="7" t="inlineStr">
        <is>
          <t>HCA HealthONE</t>
        </is>
      </c>
      <c r="D113" s="22" t="n">
        <v>100</v>
      </c>
      <c r="E113" s="19" t="n">
        <v>0.6</v>
      </c>
      <c r="F113" s="20">
        <f>D113*E113</f>
        <v/>
      </c>
      <c r="G113" s="19" t="n">
        <v>0.4</v>
      </c>
      <c r="H113" s="21">
        <f>F113*G113</f>
        <v/>
      </c>
      <c r="I113" s="15" t="n">
        <v>0</v>
      </c>
      <c r="J113" s="15">
        <f>I113*360</f>
        <v/>
      </c>
      <c r="K113" s="15">
        <f>J113*0.1</f>
        <v/>
      </c>
    </row>
    <row r="114" ht="15.75" customHeight="1" s="34">
      <c r="A114" s="7" t="inlineStr">
        <is>
          <t>Presbyterian/St. Luke's Medical Center (HCA HealthONE PSL)</t>
        </is>
      </c>
      <c r="B114" s="7" t="inlineStr">
        <is>
          <t>Hospital</t>
        </is>
      </c>
      <c r="C114" s="7" t="inlineStr">
        <is>
          <t>HCA HealthONE</t>
        </is>
      </c>
      <c r="D114" s="22" t="n">
        <v>100</v>
      </c>
      <c r="E114" s="19" t="n">
        <v>0.6</v>
      </c>
      <c r="F114" s="20">
        <f>D114*E114</f>
        <v/>
      </c>
      <c r="G114" s="19" t="n">
        <v>0.4</v>
      </c>
      <c r="H114" s="21">
        <f>F114*G114</f>
        <v/>
      </c>
      <c r="I114" s="15" t="n">
        <v>0</v>
      </c>
      <c r="J114" s="15">
        <f>I114*360</f>
        <v/>
      </c>
      <c r="K114" s="15">
        <f>J114*0.1</f>
        <v/>
      </c>
    </row>
    <row r="115" ht="15.75" customHeight="1" s="34">
      <c r="A115" s="7" t="inlineStr">
        <is>
          <t>Swedish Medical Center (HCA HealthONE Swedish)</t>
        </is>
      </c>
      <c r="B115" s="7" t="inlineStr">
        <is>
          <t>Hospital</t>
        </is>
      </c>
      <c r="C115" s="7" t="inlineStr">
        <is>
          <t>HCA HealthONE</t>
        </is>
      </c>
      <c r="D115" s="22" t="n">
        <v>100</v>
      </c>
      <c r="E115" s="19" t="n">
        <v>0.6</v>
      </c>
      <c r="F115" s="20">
        <f>D115*E115</f>
        <v/>
      </c>
      <c r="G115" s="19" t="n">
        <v>0.4</v>
      </c>
      <c r="H115" s="21">
        <f>F115*G115</f>
        <v/>
      </c>
      <c r="I115" s="15" t="n">
        <v>0</v>
      </c>
      <c r="J115" s="15">
        <f>I115*360</f>
        <v/>
      </c>
      <c r="K115" s="15">
        <f>J115*0.1</f>
        <v/>
      </c>
    </row>
    <row r="116" ht="15.75" customHeight="1" s="34">
      <c r="A116" s="7" t="inlineStr">
        <is>
          <t>Sky Ridge Medical Center (HCA HealthONE Sky Ridge)</t>
        </is>
      </c>
      <c r="B116" s="7" t="inlineStr">
        <is>
          <t>Hospital</t>
        </is>
      </c>
      <c r="C116" s="7" t="inlineStr">
        <is>
          <t>HCA HealthONE</t>
        </is>
      </c>
      <c r="D116" s="22" t="n">
        <v>100</v>
      </c>
      <c r="E116" s="19" t="n">
        <v>0.6</v>
      </c>
      <c r="F116" s="20">
        <f>D116*E116</f>
        <v/>
      </c>
      <c r="G116" s="19" t="n">
        <v>0.4</v>
      </c>
      <c r="H116" s="21">
        <f>F116*G116</f>
        <v/>
      </c>
      <c r="I116" s="15" t="n">
        <v>0</v>
      </c>
      <c r="J116" s="15">
        <f>I116*360</f>
        <v/>
      </c>
      <c r="K116" s="15">
        <f>J116*0.1</f>
        <v/>
      </c>
    </row>
    <row r="117" ht="15.75" customHeight="1" s="34">
      <c r="A117" s="7" t="inlineStr">
        <is>
          <t>AdventHealth Porter (formerly Porter Adventist Hospital)</t>
        </is>
      </c>
      <c r="B117" s="7" t="inlineStr">
        <is>
          <t>Hospital</t>
        </is>
      </c>
      <c r="C117" s="7" t="inlineStr">
        <is>
          <t>AdventHealth (CommonSpirit affiliate / Adventist Health System)</t>
        </is>
      </c>
      <c r="D117" s="22" t="n">
        <v>100</v>
      </c>
      <c r="E117" s="19" t="n">
        <v>0.6</v>
      </c>
      <c r="F117" s="20">
        <f>D117*E117</f>
        <v/>
      </c>
      <c r="G117" s="19" t="n">
        <v>0.4</v>
      </c>
      <c r="H117" s="21">
        <f>F117*G117</f>
        <v/>
      </c>
      <c r="I117" s="15" t="n">
        <v>0</v>
      </c>
      <c r="J117" s="15">
        <f>I117*360</f>
        <v/>
      </c>
      <c r="K117" s="15">
        <f>J117*0.1</f>
        <v/>
      </c>
    </row>
    <row r="118" ht="15.75" customHeight="1" s="34">
      <c r="A118" s="7" t="inlineStr">
        <is>
          <t>Children's Hospital Colorado (Anschutz Campus)</t>
        </is>
      </c>
      <c r="B118" s="7" t="inlineStr">
        <is>
          <t>Hospital</t>
        </is>
      </c>
      <c r="C118" s="7" t="inlineStr">
        <is>
          <t>Children's Hospital Colorado (self-operated)</t>
        </is>
      </c>
      <c r="D118" s="22" t="n">
        <v>100</v>
      </c>
      <c r="E118" s="19" t="n">
        <v>0.6</v>
      </c>
      <c r="F118" s="20">
        <f>D118*E118</f>
        <v/>
      </c>
      <c r="G118" s="19" t="n">
        <v>0.4</v>
      </c>
      <c r="H118" s="21">
        <f>F118*G118</f>
        <v/>
      </c>
      <c r="I118" s="15" t="n">
        <v>0</v>
      </c>
      <c r="J118" s="15">
        <f>I118*360</f>
        <v/>
      </c>
      <c r="K118" s="15">
        <f>J118*0.1</f>
        <v/>
      </c>
    </row>
    <row r="119" ht="15.75" customHeight="1" s="34">
      <c r="A119" s="7" t="inlineStr">
        <is>
          <t>Rocky Mountain Regional VA Medical Center</t>
        </is>
      </c>
      <c r="B119" s="7" t="inlineStr">
        <is>
          <t>Hospital</t>
        </is>
      </c>
      <c r="C119" s="7" t="inlineStr">
        <is>
          <t>U.S. Department of Veterans Affairs</t>
        </is>
      </c>
      <c r="D119" s="22" t="n">
        <v>100</v>
      </c>
      <c r="E119" s="19" t="n">
        <v>0.6</v>
      </c>
      <c r="F119" s="20">
        <f>D119*E119</f>
        <v/>
      </c>
      <c r="G119" s="19" t="n">
        <v>0.4</v>
      </c>
      <c r="H119" s="21">
        <f>F119*G119</f>
        <v/>
      </c>
      <c r="I119" s="15" t="n">
        <v>0</v>
      </c>
      <c r="J119" s="15">
        <f>I119*360</f>
        <v/>
      </c>
      <c r="K119" s="15">
        <f>J119*0.1</f>
        <v/>
      </c>
    </row>
    <row r="120" ht="15.75" customHeight="1" s="34">
      <c r="A120" s="7" t="inlineStr">
        <is>
          <t>Saint Joseph Hospital (Intermountain Health)</t>
        </is>
      </c>
      <c r="B120" s="7" t="inlineStr">
        <is>
          <t>Hospital</t>
        </is>
      </c>
      <c r="C120" s="7" t="inlineStr">
        <is>
          <t>Intermountain Health (formerly SCL Health)</t>
        </is>
      </c>
      <c r="D120" s="22" t="n">
        <v>100</v>
      </c>
      <c r="E120" s="19" t="n">
        <v>0.6</v>
      </c>
      <c r="F120" s="20">
        <f>D120*E120</f>
        <v/>
      </c>
      <c r="G120" s="19" t="n">
        <v>0.4</v>
      </c>
      <c r="H120" s="21">
        <f>F120*G120</f>
        <v/>
      </c>
      <c r="I120" s="15" t="n">
        <v>0</v>
      </c>
      <c r="J120" s="15">
        <f>I120*360</f>
        <v/>
      </c>
      <c r="K120" s="15">
        <f>J120*0.1</f>
        <v/>
      </c>
    </row>
    <row r="121" ht="15.75" customHeight="1" s="34">
      <c r="A121" s="7" t="inlineStr">
        <is>
          <t>St. Anthony Hospital (CommonSpirit/Centura)</t>
        </is>
      </c>
      <c r="B121" s="7" t="inlineStr">
        <is>
          <t>Hospital</t>
        </is>
      </c>
      <c r="C121" s="7" t="inlineStr">
        <is>
          <t>CommonSpirit Health (Centura Health)</t>
        </is>
      </c>
      <c r="D121" s="22" t="n">
        <v>100</v>
      </c>
      <c r="E121" s="19" t="n">
        <v>0.6</v>
      </c>
      <c r="F121" s="20">
        <f>D121*E121</f>
        <v/>
      </c>
      <c r="G121" s="19" t="n">
        <v>0.4</v>
      </c>
      <c r="H121" s="21">
        <f>F121*G121</f>
        <v/>
      </c>
      <c r="I121" s="15" t="n">
        <v>0</v>
      </c>
      <c r="J121" s="15">
        <f>I121*360</f>
        <v/>
      </c>
      <c r="K121" s="15">
        <f>J121*0.1</f>
        <v/>
      </c>
    </row>
    <row r="122" ht="15.75" customHeight="1" s="34">
      <c r="A122" s="7" t="inlineStr">
        <is>
          <t>Colorado Convention Center</t>
        </is>
      </c>
      <c r="B122" s="7" t="inlineStr">
        <is>
          <t>Event Venue</t>
        </is>
      </c>
      <c r="C122" s="7" t="n"/>
      <c r="E122" s="19" t="n">
        <v>0.6</v>
      </c>
      <c r="F122" s="20">
        <f>D122*E122</f>
        <v/>
      </c>
      <c r="G122" s="19" t="n">
        <v>0.4</v>
      </c>
      <c r="H122" s="21">
        <f>F122*G122</f>
        <v/>
      </c>
      <c r="I122" s="15" t="n">
        <v>0</v>
      </c>
      <c r="J122" s="15">
        <f>I122*360</f>
        <v/>
      </c>
      <c r="K122" s="15">
        <f>J122*0.1</f>
        <v/>
      </c>
    </row>
    <row r="123" ht="15.75" customHeight="1" s="34">
      <c r="A123" s="7" t="inlineStr">
        <is>
          <t>Denver Performing Arts Complex (DPAC) / Bellco Theatre</t>
        </is>
      </c>
      <c r="B123" s="7" t="inlineStr">
        <is>
          <t>Event Venue</t>
        </is>
      </c>
      <c r="C123" s="7" t="n"/>
      <c r="E123" s="19" t="n">
        <v>0.6</v>
      </c>
      <c r="F123" s="20">
        <f>D123*E123</f>
        <v/>
      </c>
      <c r="G123" s="19" t="n">
        <v>0.4</v>
      </c>
      <c r="H123" s="21">
        <f>F123*G123</f>
        <v/>
      </c>
      <c r="I123" s="15" t="n">
        <v>0</v>
      </c>
      <c r="J123" s="15">
        <f>I123*360</f>
        <v/>
      </c>
      <c r="K123" s="15">
        <f>J123*0.1</f>
        <v/>
      </c>
    </row>
    <row r="124" ht="15.75" customHeight="1" s="34">
      <c r="A124" s="7" t="inlineStr">
        <is>
          <t>Ellie Caulkins Opera House</t>
        </is>
      </c>
      <c r="B124" s="7" t="inlineStr">
        <is>
          <t>Event Venue</t>
        </is>
      </c>
      <c r="C124" s="7" t="n"/>
      <c r="E124" s="19" t="n">
        <v>0.6</v>
      </c>
      <c r="F124" s="20">
        <f>D124*E124</f>
        <v/>
      </c>
      <c r="G124" s="19" t="n">
        <v>0.4</v>
      </c>
      <c r="H124" s="21">
        <f>F124*G124</f>
        <v/>
      </c>
      <c r="I124" s="15" t="n">
        <v>0</v>
      </c>
      <c r="J124" s="15">
        <f>I124*360</f>
        <v/>
      </c>
      <c r="K124" s="15">
        <f>J124*0.1</f>
        <v/>
      </c>
    </row>
    <row r="125" ht="15.75" customHeight="1" s="34">
      <c r="A125" s="7" t="inlineStr">
        <is>
          <t>Boettcher Concert Hall</t>
        </is>
      </c>
      <c r="B125" s="7" t="inlineStr">
        <is>
          <t>Event Venue</t>
        </is>
      </c>
      <c r="C125" s="7" t="n"/>
      <c r="E125" s="19" t="n">
        <v>0.6</v>
      </c>
      <c r="F125" s="20">
        <f>D125*E125</f>
        <v/>
      </c>
      <c r="G125" s="19" t="n">
        <v>0.4</v>
      </c>
      <c r="H125" s="21">
        <f>F125*G125</f>
        <v/>
      </c>
      <c r="I125" s="15" t="n">
        <v>0</v>
      </c>
      <c r="J125" s="15">
        <f>I125*360</f>
        <v/>
      </c>
      <c r="K125" s="15">
        <f>J125*0.1</f>
        <v/>
      </c>
    </row>
    <row r="126" ht="15.75" customHeight="1" s="34">
      <c r="A126" s="7" t="inlineStr">
        <is>
          <t>Ball Arena</t>
        </is>
      </c>
      <c r="B126" s="7" t="inlineStr">
        <is>
          <t>Event Venue</t>
        </is>
      </c>
      <c r="C126" s="7" t="n"/>
      <c r="E126" s="19" t="n">
        <v>0.6</v>
      </c>
      <c r="F126" s="20">
        <f>D126*E126</f>
        <v/>
      </c>
      <c r="G126" s="19" t="n">
        <v>0.4</v>
      </c>
      <c r="H126" s="21">
        <f>F126*G126</f>
        <v/>
      </c>
      <c r="I126" s="15" t="n">
        <v>0</v>
      </c>
      <c r="J126" s="15">
        <f>I126*360</f>
        <v/>
      </c>
      <c r="K126" s="15">
        <f>J126*0.1</f>
        <v/>
      </c>
    </row>
    <row r="127" ht="15.75" customHeight="1" s="34">
      <c r="A127" s="7" t="inlineStr">
        <is>
          <t>Empower Field at Mile High</t>
        </is>
      </c>
      <c r="B127" s="7" t="inlineStr">
        <is>
          <t>Event Venue</t>
        </is>
      </c>
      <c r="C127" s="7" t="n"/>
      <c r="E127" s="19" t="n">
        <v>0.6</v>
      </c>
      <c r="F127" s="20">
        <f>D127*E127</f>
        <v/>
      </c>
      <c r="G127" s="19" t="n">
        <v>0.4</v>
      </c>
      <c r="H127" s="21">
        <f>F127*G127</f>
        <v/>
      </c>
      <c r="I127" s="15" t="n">
        <v>0</v>
      </c>
      <c r="J127" s="15">
        <f>I127*360</f>
        <v/>
      </c>
      <c r="K127" s="15">
        <f>J127*0.1</f>
        <v/>
      </c>
    </row>
    <row r="128" ht="15.75" customHeight="1" s="34">
      <c r="A128" s="7" t="inlineStr">
        <is>
          <t>Coors Field</t>
        </is>
      </c>
      <c r="B128" s="7" t="inlineStr">
        <is>
          <t>Event Venue</t>
        </is>
      </c>
      <c r="C128" s="7" t="n"/>
      <c r="E128" s="19" t="n">
        <v>0.6</v>
      </c>
      <c r="F128" s="20">
        <f>D128*E128</f>
        <v/>
      </c>
      <c r="G128" s="19" t="n">
        <v>0.4</v>
      </c>
      <c r="H128" s="21">
        <f>F128*G128</f>
        <v/>
      </c>
      <c r="I128" s="15" t="n">
        <v>0</v>
      </c>
      <c r="J128" s="15">
        <f>I128*360</f>
        <v/>
      </c>
      <c r="K128" s="15">
        <f>J128*0.1</f>
        <v/>
      </c>
    </row>
    <row r="129" ht="15.75" customHeight="1" s="34">
      <c r="A129" s="7" t="inlineStr">
        <is>
          <t>Red Rocks Amphitheatre</t>
        </is>
      </c>
      <c r="B129" s="7" t="inlineStr">
        <is>
          <t>Event Venue</t>
        </is>
      </c>
      <c r="C129" s="7" t="n"/>
      <c r="E129" s="19" t="n">
        <v>0.6</v>
      </c>
      <c r="F129" s="20">
        <f>D129*E129</f>
        <v/>
      </c>
      <c r="G129" s="19" t="n">
        <v>0.4</v>
      </c>
      <c r="H129" s="21">
        <f>F129*G129</f>
        <v/>
      </c>
      <c r="I129" s="15" t="n">
        <v>0</v>
      </c>
      <c r="J129" s="15">
        <f>I129*360</f>
        <v/>
      </c>
      <c r="K129" s="15">
        <f>J129*0.1</f>
        <v/>
      </c>
    </row>
    <row r="130" ht="15.75" customHeight="1" s="34">
      <c r="A130" s="7" t="inlineStr">
        <is>
          <t>Mission Ballroom</t>
        </is>
      </c>
      <c r="B130" s="7" t="inlineStr">
        <is>
          <t>Event Venue</t>
        </is>
      </c>
      <c r="C130" s="7" t="n"/>
      <c r="E130" s="19" t="n">
        <v>0.6</v>
      </c>
      <c r="F130" s="20">
        <f>D130*E130</f>
        <v/>
      </c>
      <c r="G130" s="19" t="n">
        <v>0.4</v>
      </c>
      <c r="H130" s="21">
        <f>F130*G130</f>
        <v/>
      </c>
      <c r="I130" s="15" t="n">
        <v>0</v>
      </c>
      <c r="J130" s="15">
        <f>I130*360</f>
        <v/>
      </c>
      <c r="K130" s="15">
        <f>J130*0.1</f>
        <v/>
      </c>
    </row>
    <row r="131" ht="15.75" customHeight="1" s="34">
      <c r="A131" s="7" t="inlineStr">
        <is>
          <t>Denver Botanic Gardens (York Street)</t>
        </is>
      </c>
      <c r="B131" s="7" t="inlineStr">
        <is>
          <t>Event Venue</t>
        </is>
      </c>
      <c r="C131" s="7" t="n"/>
      <c r="E131" s="19" t="n">
        <v>0.6</v>
      </c>
      <c r="F131" s="20">
        <f>D131*E131</f>
        <v/>
      </c>
      <c r="G131" s="19" t="n">
        <v>0.4</v>
      </c>
      <c r="H131" s="21">
        <f>F131*G131</f>
        <v/>
      </c>
      <c r="I131" s="15" t="n">
        <v>0</v>
      </c>
      <c r="J131" s="15">
        <f>I131*360</f>
        <v/>
      </c>
      <c r="K131" s="15">
        <f>J131*0.1</f>
        <v/>
      </c>
    </row>
    <row r="132" ht="15.75" customHeight="1" s="34">
      <c r="A132" s="7" t="inlineStr">
        <is>
          <t>Denver Art Museum</t>
        </is>
      </c>
      <c r="B132" s="7" t="inlineStr">
        <is>
          <t>Event Venue</t>
        </is>
      </c>
      <c r="C132" s="7" t="n"/>
      <c r="E132" s="19" t="n">
        <v>0.6</v>
      </c>
      <c r="F132" s="20">
        <f>D132*E132</f>
        <v/>
      </c>
      <c r="G132" s="19" t="n">
        <v>0.4</v>
      </c>
      <c r="H132" s="21">
        <f>F132*G132</f>
        <v/>
      </c>
      <c r="I132" s="15" t="n">
        <v>0</v>
      </c>
      <c r="J132" s="15">
        <f>I132*360</f>
        <v/>
      </c>
      <c r="K132" s="15">
        <f>J132*0.1</f>
        <v/>
      </c>
    </row>
    <row r="133" ht="15.75" customHeight="1" s="34">
      <c r="A133" s="7" t="inlineStr">
        <is>
          <t>History Colorado Center</t>
        </is>
      </c>
      <c r="B133" s="7" t="inlineStr">
        <is>
          <t>Event Venue</t>
        </is>
      </c>
      <c r="C133" s="7" t="n"/>
      <c r="E133" s="19" t="n">
        <v>0.6</v>
      </c>
      <c r="F133" s="20">
        <f>D133*E133</f>
        <v/>
      </c>
      <c r="G133" s="19" t="n">
        <v>0.4</v>
      </c>
      <c r="H133" s="21">
        <f>F133*G133</f>
        <v/>
      </c>
      <c r="I133" s="15" t="n">
        <v>0</v>
      </c>
      <c r="J133" s="15">
        <f>I133*360</f>
        <v/>
      </c>
      <c r="K133" s="15">
        <f>J133*0.1</f>
        <v/>
      </c>
    </row>
    <row r="134" ht="15.75" customHeight="1" s="34">
      <c r="A134" s="7" t="inlineStr">
        <is>
          <t>Wings Over the Rockies Air &amp; Space Museum</t>
        </is>
      </c>
      <c r="B134" s="7" t="inlineStr">
        <is>
          <t>Event Venue</t>
        </is>
      </c>
      <c r="C134" s="7" t="n"/>
      <c r="E134" s="19" t="n">
        <v>0.6</v>
      </c>
      <c r="F134" s="20">
        <f>D134*E134</f>
        <v/>
      </c>
      <c r="G134" s="19" t="n">
        <v>0.4</v>
      </c>
      <c r="H134" s="21">
        <f>F134*G134</f>
        <v/>
      </c>
      <c r="I134" s="15" t="n">
        <v>0</v>
      </c>
      <c r="J134" s="15">
        <f>I134*360</f>
        <v/>
      </c>
      <c r="K134" s="15">
        <f>J134*0.1</f>
        <v/>
      </c>
    </row>
    <row r="135" ht="15.75" customHeight="1" s="34">
      <c r="A135" s="7" t="inlineStr">
        <is>
          <t>McGregor Square</t>
        </is>
      </c>
      <c r="B135" s="7" t="inlineStr">
        <is>
          <t>Event Venue</t>
        </is>
      </c>
      <c r="C135" s="7" t="n"/>
      <c r="E135" s="19" t="n">
        <v>0.6</v>
      </c>
      <c r="F135" s="20">
        <f>D135*E135</f>
        <v/>
      </c>
      <c r="G135" s="19" t="n">
        <v>0.4</v>
      </c>
      <c r="H135" s="21">
        <f>F135*G135</f>
        <v/>
      </c>
      <c r="I135" s="15" t="n">
        <v>0</v>
      </c>
      <c r="J135" s="15">
        <f>I135*360</f>
        <v/>
      </c>
      <c r="K135" s="15">
        <f>J135*0.1</f>
        <v/>
      </c>
    </row>
    <row r="136" ht="15.75" customHeight="1" s="34">
      <c r="A136" s="7" t="inlineStr">
        <is>
          <t>Denver International Airport (DEN)</t>
        </is>
      </c>
      <c r="B136" s="7" t="inlineStr">
        <is>
          <t>Airport</t>
        </is>
      </c>
      <c r="C136" s="7" t="inlineStr">
        <is>
          <t>LAZ Parking</t>
        </is>
      </c>
      <c r="E136" s="19" t="n">
        <v>0.6</v>
      </c>
      <c r="F136" s="20">
        <f>D136*E136</f>
        <v/>
      </c>
      <c r="G136" s="19" t="n">
        <v>0.4</v>
      </c>
      <c r="H136" s="21">
        <f>F136*G136</f>
        <v/>
      </c>
      <c r="I136" s="15" t="n">
        <v>0</v>
      </c>
      <c r="J136" s="15">
        <f>I136*360</f>
        <v/>
      </c>
      <c r="K136" s="15">
        <f>J136*0.1</f>
        <v/>
      </c>
    </row>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portrait" paperSize="9"/>
</worksheet>
</file>

<file path=xl/worksheets/sheet6.xml><?xml version="1.0" encoding="utf-8"?>
<worksheet xmlns="http://schemas.openxmlformats.org/spreadsheetml/2006/main">
  <sheetPr>
    <tabColor rgb="FFA84B2F"/>
    <outlinePr summaryBelow="1" summaryRight="1"/>
    <pageSetUpPr/>
  </sheetPr>
  <dimension ref="A1:V26"/>
  <sheetViews>
    <sheetView workbookViewId="0">
      <selection activeCell="A1" sqref="A1"/>
    </sheetView>
  </sheetViews>
  <sheetFormatPr baseColWidth="8" defaultColWidth="14.43" defaultRowHeight="15" customHeight="1"/>
  <cols>
    <col width="18" customWidth="1" style="34" min="1" max="22"/>
    <col width="8.710000000000001" customWidth="1" style="34" min="23" max="26"/>
  </cols>
  <sheetData>
    <row r="1">
      <c r="A1" s="23" t="inlineStr">
        <is>
          <t>SOPHI's              MARKET SCORE</t>
        </is>
      </c>
      <c r="C1" s="24" t="inlineStr">
        <is>
          <t>TAM</t>
        </is>
      </c>
      <c r="D1" s="25" t="inlineStr">
        <is>
          <t>SAM</t>
        </is>
      </c>
      <c r="E1" s="26" t="inlineStr">
        <is>
          <t>SOM</t>
        </is>
      </c>
      <c r="G1" s="27" t="inlineStr">
        <is>
          <t>Total</t>
        </is>
      </c>
      <c r="H1" s="27" t="inlineStr">
        <is>
          <t>Location</t>
        </is>
      </c>
      <c r="I1" s="27" t="inlineStr">
        <is>
          <t>Connections</t>
        </is>
      </c>
      <c r="J1" s="27" t="inlineStr">
        <is>
          <t>Garage</t>
        </is>
      </c>
      <c r="K1" s="27" t="inlineStr">
        <is>
          <t>Growth</t>
        </is>
      </c>
      <c r="L1" s="27" t="inlineStr">
        <is>
          <t>Capacity</t>
        </is>
      </c>
      <c r="M1" s="27" t="inlineStr">
        <is>
          <t>Cash Flow</t>
        </is>
      </c>
      <c r="O1" s="28" t="inlineStr">
        <is>
          <t>Connection 3</t>
        </is>
      </c>
      <c r="P1" s="28" t="inlineStr">
        <is>
          <t>Volume 2    170 + 2     100 + 1</t>
        </is>
      </c>
      <c r="Q1" s="28" t="inlineStr">
        <is>
          <t>Location Downtown 1 Far -1</t>
        </is>
      </c>
      <c r="R1" s="28" t="inlineStr">
        <is>
          <t>High End</t>
        </is>
      </c>
      <c r="S1" s="28" t="inlineStr">
        <is>
          <t>Garage Connection 2 location 1</t>
        </is>
      </c>
      <c r="T1" s="28" t="inlineStr">
        <is>
          <t xml:space="preserve"> Valet &amp; Paid Self Park</t>
        </is>
      </c>
      <c r="U1" s="28" t="inlineStr">
        <is>
          <t>Points</t>
        </is>
      </c>
      <c r="V1" s="28" t="inlineStr">
        <is>
          <t>Priority</t>
        </is>
      </c>
    </row>
    <row r="2">
      <c r="C2" s="29">
        <f>RevenueForecasting!M2</f>
        <v/>
      </c>
    </row>
    <row r="3">
      <c r="C3" s="30" t="inlineStr">
        <is>
          <t>Sum of all predicted valet revenues</t>
        </is>
      </c>
      <c r="D3" s="30" t="inlineStr">
        <is>
          <t>Locations likely to adopt valet/switch providers</t>
        </is>
      </c>
      <c r="E3" s="30" t="inlineStr">
        <is>
          <t>SAM / # of SAM locations (1 location landed)</t>
        </is>
      </c>
    </row>
    <row r="4">
      <c r="C4" s="30" t="inlineStr">
        <is>
          <t>All valet, parking contracts, additional services</t>
        </is>
      </c>
      <c r="D4" s="30" t="inlineStr">
        <is>
          <t>Realistically obtainable</t>
        </is>
      </c>
      <c r="E4" s="30" t="inlineStr">
        <is>
          <t>Going to get (Year 1 target)</t>
        </is>
      </c>
      <c r="H4" s="17" t="inlineStr">
        <is>
          <t>0 miles</t>
        </is>
      </c>
      <c r="I4" s="17" t="inlineStr">
        <is>
          <t>locations? 0/7</t>
        </is>
      </c>
      <c r="J4" s="17" t="inlineStr">
        <is>
          <t>public? 8/8</t>
        </is>
      </c>
      <c r="K4" s="17" t="inlineStr">
        <is>
          <t>Population? 4/4</t>
        </is>
      </c>
      <c r="L4" s="17" t="inlineStr">
        <is>
          <t>personal bandwidth 0/4</t>
        </is>
      </c>
      <c r="M4" s="17" t="inlineStr">
        <is>
          <t>costs</t>
        </is>
      </c>
    </row>
    <row r="5">
      <c r="H5" s="17" t="inlineStr">
        <is>
          <t>DEN</t>
        </is>
      </c>
      <c r="I5" s="17" t="inlineStr">
        <is>
          <t>1 connection -&gt; 5                                      2+ connections -&gt; 7</t>
        </is>
      </c>
      <c r="J5" s="17" t="inlineStr">
        <is>
          <t>yes or no</t>
        </is>
      </c>
      <c r="K5" s="17" t="inlineStr">
        <is>
          <t>small city, medium city,                      large city,  metropolis</t>
        </is>
      </c>
    </row>
    <row r="6">
      <c r="I6" s="17" t="inlineStr">
        <is>
          <t>employees? 3</t>
        </is>
      </c>
      <c r="J6" s="17" t="inlineStr">
        <is>
          <t>connection? 2</t>
        </is>
      </c>
      <c r="K6" s="17" t="inlineStr">
        <is>
          <t>Events Space? 4</t>
        </is>
      </c>
      <c r="L6" s="17" t="inlineStr">
        <is>
          <t>hire 0/3</t>
        </is>
      </c>
    </row>
    <row r="7">
      <c r="A7" s="31" t="inlineStr">
        <is>
          <t>Average Self Park</t>
        </is>
      </c>
      <c r="B7" s="31" t="inlineStr">
        <is>
          <t>Average Valet</t>
        </is>
      </c>
      <c r="I7" s="17" t="inlineStr">
        <is>
          <t># of possible employees</t>
        </is>
      </c>
      <c r="J7" s="17" t="inlineStr">
        <is>
          <t>yes or no</t>
        </is>
      </c>
      <c r="K7" s="17" t="inlineStr">
        <is>
          <t># of markets</t>
        </is>
      </c>
    </row>
    <row r="8">
      <c r="A8" s="32" t="n">
        <v>32.53</v>
      </c>
      <c r="B8" s="32" t="n">
        <v>54.77</v>
      </c>
    </row>
    <row r="10">
      <c r="A10" s="23" t="inlineStr">
        <is>
          <t>DENVER MARKET KEY METRICS</t>
        </is>
      </c>
    </row>
    <row r="12">
      <c r="A12" s="31" t="inlineStr">
        <is>
          <t>Metro Population</t>
        </is>
      </c>
      <c r="C12" s="33" t="inlineStr">
        <is>
          <t>~2.97 million (2025)</t>
        </is>
      </c>
    </row>
    <row r="13">
      <c r="A13" s="31" t="inlineStr">
        <is>
          <t>City of Denver Population</t>
        </is>
      </c>
      <c r="C13" s="33" t="inlineStr">
        <is>
          <t>~720,000 (2024)</t>
        </is>
      </c>
    </row>
    <row r="14">
      <c r="A14" s="31" t="inlineStr">
        <is>
          <t>Annual Visitors</t>
        </is>
      </c>
      <c r="C14" s="33" t="inlineStr">
        <is>
          <t>37.1 million (2024)</t>
        </is>
      </c>
    </row>
    <row r="15">
      <c r="A15" s="31" t="inlineStr">
        <is>
          <t>Overnight Visitors</t>
        </is>
      </c>
      <c r="C15" s="33" t="inlineStr">
        <is>
          <t>19.8 million (2024)</t>
        </is>
      </c>
    </row>
    <row r="16">
      <c r="A16" s="31" t="inlineStr">
        <is>
          <t>Visitor Spending</t>
        </is>
      </c>
      <c r="C16" s="33" t="inlineStr">
        <is>
          <t>$10.3 billion (2024)</t>
        </is>
      </c>
    </row>
    <row r="17">
      <c r="A17" s="31" t="inlineStr">
        <is>
          <t>DEN Passengers</t>
        </is>
      </c>
      <c r="C17" s="33" t="inlineStr">
        <is>
          <t>82.4 million (2025 record)</t>
        </is>
      </c>
    </row>
    <row r="18">
      <c r="A18" s="31" t="inlineStr">
        <is>
          <t>Hotels in Denver</t>
        </is>
      </c>
      <c r="C18" s="33" t="inlineStr">
        <is>
          <t>169 properties</t>
        </is>
      </c>
    </row>
    <row r="19">
      <c r="A19" s="31" t="inlineStr">
        <is>
          <t>Hotel Rooms</t>
        </is>
      </c>
      <c r="C19" s="33" t="inlineStr">
        <is>
          <t>26,460 rooms</t>
        </is>
      </c>
    </row>
    <row r="20">
      <c r="A20" s="31" t="inlineStr">
        <is>
          <t>Downtown Hotels</t>
        </is>
      </c>
      <c r="C20" s="33" t="inlineStr">
        <is>
          <t>52 properties, ~12,944 rooms</t>
        </is>
      </c>
    </row>
    <row r="21" ht="15.75" customHeight="1" s="34">
      <c r="A21" s="31" t="inlineStr">
        <is>
          <t>Downtown Occupancy</t>
        </is>
      </c>
      <c r="C21" s="33" t="inlineStr">
        <is>
          <t>66.8% (2025)</t>
        </is>
      </c>
    </row>
    <row r="22" ht="15.75" customHeight="1" s="34">
      <c r="A22" s="31" t="inlineStr">
        <is>
          <t>Downtown ADR</t>
        </is>
      </c>
      <c r="C22" s="33" t="inlineStr">
        <is>
          <t>$207.74 (2025)</t>
        </is>
      </c>
    </row>
    <row r="23" ht="15.75" customHeight="1" s="34">
      <c r="A23" s="31" t="inlineStr">
        <is>
          <t>Convention Center Impact</t>
        </is>
      </c>
      <c r="C23" s="33" t="inlineStr">
        <is>
          <t>$1B+ economic impact (2025 record)</t>
        </is>
      </c>
    </row>
    <row r="24" ht="15.75" customHeight="1" s="34">
      <c r="A24" s="31" t="inlineStr">
        <is>
          <t>Avg Hotel Valet Rate</t>
        </is>
      </c>
      <c r="C24" s="33" t="inlineStr">
        <is>
          <t>$55/night</t>
        </is>
      </c>
    </row>
    <row r="25" ht="15.75" customHeight="1" s="34">
      <c r="A25" s="31" t="inlineStr">
        <is>
          <t>Avg Hotel Self-Park</t>
        </is>
      </c>
      <c r="C25" s="33" t="inlineStr">
        <is>
          <t>$33/day</t>
        </is>
      </c>
    </row>
    <row r="26" ht="15.75" customHeight="1" s="34">
      <c r="A26" s="31" t="inlineStr">
        <is>
          <t>Global AVP Market</t>
        </is>
      </c>
      <c r="C26" s="33" t="inlineStr">
        <is>
          <t>$793M (2025), 32.7% CAGR to $5.6B by 2034</t>
        </is>
      </c>
    </row>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pageMargins left="0.75" right="0.75" top="1" bottom="1" header="0" footer="0"/>
  <pageSetup orientation="portrait" paperSize="9"/>
</worksheet>
</file>

<file path=xl/worksheets/sheet7.xml><?xml version="1.0" encoding="utf-8"?>
<worksheet xmlns="http://schemas.openxmlformats.org/spreadsheetml/2006/main">
  <sheetPr>
    <tabColor rgb="FF944454"/>
    <outlinePr summaryBelow="1" summaryRight="1"/>
    <pageSetUpPr/>
  </sheetPr>
  <dimension ref="A1:D41"/>
  <sheetViews>
    <sheetView workbookViewId="0">
      <selection activeCell="A1" sqref="A1"/>
    </sheetView>
  </sheetViews>
  <sheetFormatPr baseColWidth="8" defaultColWidth="14.43" defaultRowHeight="15" customHeight="1"/>
  <cols>
    <col width="30" customWidth="1" style="34" min="1" max="1"/>
    <col width="45" customWidth="1" style="34" min="2" max="2"/>
    <col width="50" customWidth="1" style="34" min="3" max="4"/>
    <col width="8.710000000000001" customWidth="1" style="34" min="5" max="26"/>
  </cols>
  <sheetData>
    <row r="1">
      <c r="A1" s="2" t="inlineStr">
        <is>
          <t>Denver, CO Market Notes - 2026</t>
        </is>
      </c>
    </row>
    <row r="3">
      <c r="A3" s="3" t="inlineStr">
        <is>
          <t>MAJOR PARKING OPERATORS IN DENVER</t>
        </is>
      </c>
    </row>
    <row r="4">
      <c r="A4" s="10" t="inlineStr">
        <is>
          <t>Operator</t>
        </is>
      </c>
      <c r="B4" s="10" t="inlineStr">
        <is>
          <t>Focus</t>
        </is>
      </c>
      <c r="C4" s="10" t="inlineStr">
        <is>
          <t>Key Denver Locations</t>
        </is>
      </c>
      <c r="D4" s="10" t="inlineStr">
        <is>
          <t>Notes</t>
        </is>
      </c>
    </row>
    <row r="5">
      <c r="A5" s="7" t="inlineStr">
        <is>
          <t>Propark Mobility</t>
        </is>
      </c>
      <c r="B5" s="7" t="inlineStr">
        <is>
          <t>Dominant hotel valet operator</t>
        </is>
      </c>
      <c r="C5" s="7" t="inlineStr">
        <is>
          <t>12+ hotel locations incl. Hyatt Regency, Sheraton, Thompson, Westin DEN</t>
        </is>
      </c>
      <c r="D5" s="7" t="inlineStr">
        <is>
          <t>Also operates Canopy Airport Parking (4,500 spaces, LEED Gold)</t>
        </is>
      </c>
    </row>
    <row r="6">
      <c r="A6" s="7" t="inlineStr">
        <is>
          <t>SP+/Metropolis</t>
        </is>
      </c>
      <c r="B6" s="7" t="inlineStr">
        <is>
          <t>Largest national operator (4,000+ locations)</t>
        </is>
      </c>
      <c r="C6" s="7" t="inlineStr">
        <is>
          <t>Coors Field lots, Cherry Creek, multiple downtown garages</t>
        </is>
      </c>
      <c r="D6" s="7" t="inlineStr">
        <is>
          <t>Merged with REEF Technology in $1.5B acquisition (May 2024)</t>
        </is>
      </c>
    </row>
    <row r="7">
      <c r="A7" s="7" t="inlineStr">
        <is>
          <t>LAZ Parking</t>
        </is>
      </c>
      <c r="B7" s="7" t="inlineStr">
        <is>
          <t>Airport &amp; entertainment venues</t>
        </is>
      </c>
      <c r="C7" s="7" t="inlineStr">
        <is>
          <t>DEN Airport (5-year contract Feb 2024), Clayton Lane, Ball Arena</t>
        </is>
      </c>
      <c r="D7" s="7" t="inlineStr">
        <is>
          <t>Largest airport parking operation in North America</t>
        </is>
      </c>
    </row>
    <row r="8">
      <c r="A8" s="7" t="inlineStr">
        <is>
          <t>ABM Parking</t>
        </is>
      </c>
      <c r="B8" s="7" t="inlineStr">
        <is>
          <t>Commercial office</t>
        </is>
      </c>
      <c r="C8" s="7" t="inlineStr">
        <is>
          <t>Denver Place Garage (999 18th St)</t>
        </is>
      </c>
      <c r="D8" s="7" t="inlineStr">
        <is>
          <t>Broad client type coverage</t>
        </is>
      </c>
    </row>
    <row r="9">
      <c r="A9" s="7" t="inlineStr">
        <is>
          <t>Interstate Parking</t>
        </is>
      </c>
      <c r="B9" s="7" t="inlineStr">
        <is>
          <t>Downtown LoDo focus</t>
        </is>
      </c>
      <c r="C9" s="7" t="inlineStr">
        <is>
          <t>6 downtown facilities incl. Union Station Block A</t>
        </is>
      </c>
      <c r="D9" s="7" t="inlineStr">
        <is>
          <t>Uses Knightscope security robots</t>
        </is>
      </c>
    </row>
    <row r="10">
      <c r="A10" s="7" t="inlineStr">
        <is>
          <t>Reimagined Parking (REEF/Impark)</t>
        </is>
      </c>
      <c r="B10" s="7" t="inlineStr">
        <is>
          <t>Cherry Creek district</t>
        </is>
      </c>
      <c r="C10" s="7" t="inlineStr">
        <is>
          <t>Multiple Cherry Creek North garages</t>
        </is>
      </c>
      <c r="D10" s="7" t="inlineStr">
        <is>
          <t>Operates under Impark/Lanier/Republic brands</t>
        </is>
      </c>
    </row>
    <row r="11">
      <c r="A11" s="7" t="inlineStr">
        <is>
          <t>Denison Parking</t>
        </is>
      </c>
      <c r="B11" s="7" t="inlineStr">
        <is>
          <t>Retail/shopping</t>
        </is>
      </c>
      <c r="C11" s="7" t="inlineStr">
        <is>
          <t>Cherry Creek Shopping Center (5,700 spaces)</t>
        </is>
      </c>
      <c r="D11" s="7" t="inlineStr">
        <is>
          <t>Local operator</t>
        </is>
      </c>
    </row>
    <row r="12">
      <c r="A12" s="7" t="inlineStr">
        <is>
          <t>Great West Parking</t>
        </is>
      </c>
      <c r="B12" s="7" t="inlineStr">
        <is>
          <t>Cherry Creek valet</t>
        </is>
      </c>
      <c r="C12" s="7" t="inlineStr">
        <is>
          <t>Cherry Creek commercial properties</t>
        </is>
      </c>
      <c r="D12" s="7" t="inlineStr">
        <is>
          <t>Local valet specialist</t>
        </is>
      </c>
    </row>
    <row r="13">
      <c r="A13" s="7" t="inlineStr">
        <is>
          <t>Pro Park</t>
        </is>
      </c>
      <c r="B13" s="7" t="inlineStr">
        <is>
          <t>Hotel valet</t>
        </is>
      </c>
      <c r="C13" s="7" t="inlineStr">
        <is>
          <t>Jacquard, Hotel Clio</t>
        </is>
      </c>
      <c r="D13" s="7" t="inlineStr">
        <is>
          <t>Boutique hotel focus</t>
        </is>
      </c>
    </row>
    <row r="16">
      <c r="A16" s="3" t="inlineStr">
        <is>
          <t>PARKING RATE BENCHMARKS - 2026</t>
        </is>
      </c>
    </row>
    <row r="17">
      <c r="A17" s="31" t="inlineStr">
        <is>
          <t>Downtown Self-Park (Daily)</t>
        </is>
      </c>
      <c r="B17" s="7" t="inlineStr">
        <is>
          <t>$10-$35/day (lots $10-$15, garages $23-$35)</t>
        </is>
      </c>
    </row>
    <row r="18">
      <c r="A18" s="31" t="inlineStr">
        <is>
          <t>Downtown Self-Park (Monthly)</t>
        </is>
      </c>
      <c r="B18" s="7" t="inlineStr">
        <is>
          <t>$155-$235 typical unreserved</t>
        </is>
      </c>
    </row>
    <row r="19">
      <c r="A19" s="31" t="inlineStr">
        <is>
          <t>Hotel Valet (Luxury)</t>
        </is>
      </c>
      <c r="B19" s="7" t="inlineStr">
        <is>
          <t>$65-$72/night (Ritz-Carlton $72, Four Seasons $65, Le Méridien $72)</t>
        </is>
      </c>
    </row>
    <row r="20">
      <c r="A20" s="31" t="inlineStr">
        <is>
          <t>Hotel Valet (Upscale)</t>
        </is>
      </c>
      <c r="B20" s="7" t="inlineStr">
        <is>
          <t>$50-$64/night (Thompson $64, Sheraton $67, Hyatt Regency $67)</t>
        </is>
      </c>
    </row>
    <row r="21" ht="15.75" customHeight="1" s="34">
      <c r="A21" s="31" t="inlineStr">
        <is>
          <t>Hotel Valet (Upper-Midscale)</t>
        </is>
      </c>
      <c r="B21" s="7" t="inlineStr">
        <is>
          <t>$39-$49/night (SpringHill $49, Hilton Garden Inn $49)</t>
        </is>
      </c>
    </row>
    <row r="22" ht="15.75" customHeight="1" s="34">
      <c r="A22" s="31" t="inlineStr">
        <is>
          <t>Cherry Creek Daily</t>
        </is>
      </c>
      <c r="B22" s="7" t="inlineStr">
        <is>
          <t>$15-$36/day (M-F max)</t>
        </is>
      </c>
    </row>
    <row r="23" ht="15.75" customHeight="1" s="34">
      <c r="A23" s="31" t="inlineStr">
        <is>
          <t>Cherry Creek Monthly</t>
        </is>
      </c>
      <c r="B23" s="7" t="inlineStr">
        <is>
          <t>$140-$235 unreserved</t>
        </is>
      </c>
    </row>
    <row r="24" ht="15.75" customHeight="1" s="34">
      <c r="A24" s="31" t="inlineStr">
        <is>
          <t>Event Parking (Ball Arena)</t>
        </is>
      </c>
      <c r="B24" s="7" t="inlineStr">
        <is>
          <t>$35-$95 depending on event/lot</t>
        </is>
      </c>
    </row>
    <row r="25" ht="15.75" customHeight="1" s="34">
      <c r="A25" s="31" t="inlineStr">
        <is>
          <t>Event Parking (Coors Field)</t>
        </is>
      </c>
      <c r="B25" s="7" t="inlineStr">
        <is>
          <t>$18-$35</t>
        </is>
      </c>
    </row>
    <row r="26" ht="15.75" customHeight="1" s="34">
      <c r="A26" s="31" t="inlineStr">
        <is>
          <t>DIA Garage</t>
        </is>
      </c>
      <c r="B26" s="7" t="inlineStr">
        <is>
          <t>$30/day, $210/week</t>
        </is>
      </c>
    </row>
    <row r="27" ht="15.75" customHeight="1" s="34">
      <c r="A27" s="31" t="inlineStr">
        <is>
          <t>DIA Economy</t>
        </is>
      </c>
      <c r="B27" s="7" t="inlineStr">
        <is>
          <t>$18/day</t>
        </is>
      </c>
    </row>
    <row r="28" ht="15.75" customHeight="1" s="34">
      <c r="A28" s="31" t="inlineStr">
        <is>
          <t>DIA Shuttle</t>
        </is>
      </c>
      <c r="B28" s="7" t="inlineStr">
        <is>
          <t>$8/day</t>
        </is>
      </c>
    </row>
    <row r="29" ht="15.75" customHeight="1" s="34">
      <c r="A29" s="31" t="inlineStr">
        <is>
          <t>Rate Trend</t>
        </is>
      </c>
      <c r="B29" s="7" t="inlineStr">
        <is>
          <t>Increasing: DIA raised 25% (May 2025); downtown rates up modestly YoY</t>
        </is>
      </c>
    </row>
    <row r="30" ht="15.75" customHeight="1" s="34"/>
    <row r="31" ht="15.75" customHeight="1" s="34"/>
    <row r="32" ht="15.75" customHeight="1" s="34">
      <c r="A32" s="3" t="inlineStr">
        <is>
          <t>COMPETITIVE LANDSCAPE &amp; OPPORTUNITY</t>
        </is>
      </c>
    </row>
    <row r="33" ht="15.75" customHeight="1" s="34">
      <c r="A33" s="7" t="inlineStr">
        <is>
          <t>• No automated valet operators currently in Denver - Sophi Mobility would be first-mover</t>
        </is>
      </c>
    </row>
    <row r="34" ht="15.75" customHeight="1" s="34">
      <c r="A34" s="7" t="inlineStr">
        <is>
          <t>• Propark Mobility is dominant hotel valet player with 12+ hotel contracts</t>
        </is>
      </c>
    </row>
    <row r="35" ht="15.75" customHeight="1" s="34">
      <c r="A35" s="7" t="inlineStr">
        <is>
          <t>• PMC Valet (similar to Charlotte) is NOT a major presence in Denver</t>
        </is>
      </c>
    </row>
    <row r="36" ht="15.75" customHeight="1" s="34">
      <c r="A36" s="7" t="inlineStr">
        <is>
          <t>• Waymo autonomous ride-hail targeting Denver for 2026 launch - creates tech-forward awareness</t>
        </is>
      </c>
    </row>
    <row r="37" ht="15.75" customHeight="1" s="34">
      <c r="A37" s="7" t="inlineStr">
        <is>
          <t>• Knightscope security robots already deployed in downtown garages (Interstate Parking)</t>
        </is>
      </c>
    </row>
    <row r="38" ht="15.75" customHeight="1" s="34">
      <c r="A38" s="7" t="inlineStr">
        <is>
          <t>• Global AVP (Automated Valet Parking) market: $793M (2025), growing 32.7% CAGR to $5.6B by 2034</t>
        </is>
      </c>
    </row>
    <row r="39" ht="15.75" customHeight="1" s="34">
      <c r="A39" s="7" t="inlineStr">
        <is>
          <t>• DEN Airport is 3rd busiest in North America - massive parking revenue opportunity</t>
        </is>
      </c>
    </row>
    <row r="40" ht="15.75" customHeight="1" s="34">
      <c r="A40" s="7" t="inlineStr">
        <is>
          <t>• Convention center had record $1B+ economic impact in 2025 - strong event-driven demand</t>
        </is>
      </c>
    </row>
    <row r="41" ht="15.75" customHeight="1" s="34">
      <c r="A41" s="7" t="inlineStr">
        <is>
          <t>• Denver hotel construction pipeline: several new properties opened 2024-2026 (Populus, Kimpton Claret, Apiary)</t>
        </is>
      </c>
    </row>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13">
    <mergeCell ref="A1:D1"/>
    <mergeCell ref="A40:D40"/>
    <mergeCell ref="A37:D37"/>
    <mergeCell ref="A34:D34"/>
    <mergeCell ref="A35:D35"/>
    <mergeCell ref="A3:D3"/>
    <mergeCell ref="A38:D38"/>
    <mergeCell ref="A39:D39"/>
    <mergeCell ref="A41:D41"/>
    <mergeCell ref="A16:D16"/>
    <mergeCell ref="A33:D33"/>
    <mergeCell ref="A32:D32"/>
    <mergeCell ref="A36:D36"/>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O1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style="34" min="1" max="1"/>
    <col width="12" customWidth="1" style="34" min="2" max="2"/>
    <col width="26" customWidth="1" style="34" min="3" max="3"/>
    <col width="10" customWidth="1" style="34" min="4" max="4"/>
    <col width="8" customWidth="1" style="34" min="5" max="5"/>
    <col width="9" customWidth="1" style="34" min="6" max="6"/>
    <col width="9" customWidth="1" style="34" min="7" max="7"/>
    <col width="11" customWidth="1" style="34" min="8" max="8"/>
    <col width="10" customWidth="1" style="34" min="9" max="9"/>
    <col width="8" customWidth="1" style="34" min="10" max="10"/>
    <col width="9" customWidth="1" style="34" min="11" max="11"/>
    <col width="12" customWidth="1" style="34" min="12" max="12"/>
    <col width="14" customWidth="1" style="34" min="13" max="13"/>
    <col width="28" customWidth="1" style="34" min="14" max="14"/>
    <col width="60" customWidth="1" style="34" min="15" max="15"/>
  </cols>
  <sheetData>
    <row r="1">
      <c r="A1" s="35" t="inlineStr">
        <is>
          <t>Account</t>
        </is>
      </c>
      <c r="B1" s="35" t="inlineStr">
        <is>
          <t>Account Type</t>
        </is>
      </c>
      <c r="C1" s="35" t="inlineStr">
        <is>
          <t>TAM Class</t>
        </is>
      </c>
      <c r="D1" s="35" t="inlineStr">
        <is>
          <t>Rooms/Beds</t>
        </is>
      </c>
      <c r="E1" s="35" t="inlineStr">
        <is>
          <t>Seats</t>
        </is>
      </c>
      <c r="F1" s="35" t="inlineStr">
        <is>
          <t>Occupancy %</t>
        </is>
      </c>
      <c r="G1" s="35" t="inlineStr">
        <is>
          <t>Turnover</t>
        </is>
      </c>
      <c r="H1" s="35" t="inlineStr">
        <is>
          <t>Valet Conv %</t>
        </is>
      </c>
      <c r="I1" s="35" t="inlineStr">
        <is>
          <t>Valet Rate</t>
        </is>
      </c>
      <c r="J1" s="35" t="inlineStr">
        <is>
          <t>Op Days</t>
        </is>
      </c>
      <c r="K1" s="35" t="inlineStr">
        <is>
          <t>Peak Mod</t>
        </is>
      </c>
      <c r="L1" s="35" t="inlineStr">
        <is>
          <t>Daily Rev</t>
        </is>
      </c>
      <c r="M1" s="35" t="inlineStr">
        <is>
          <t>TAM</t>
        </is>
      </c>
      <c r="N1" s="35" t="inlineStr">
        <is>
          <t>TAM Status</t>
        </is>
      </c>
      <c r="O1" s="35" t="inlineStr">
        <is>
          <t>Notes / Source</t>
        </is>
      </c>
    </row>
    <row r="2">
      <c r="A2" s="0" t="inlineStr">
        <is>
          <t>Le Méridien Denver Downtown</t>
        </is>
      </c>
      <c r="B2" s="0" t="inlineStr">
        <is>
          <t>Hotel</t>
        </is>
      </c>
      <c r="C2" s="36" t="inlineStr">
        <is>
          <t>Hotel — Downtown Select-Service</t>
        </is>
      </c>
      <c r="D2" s="0" t="n">
        <v>272</v>
      </c>
      <c r="E2" s="0" t="inlineStr"/>
      <c r="F2" s="37" t="n">
        <v>0.6</v>
      </c>
      <c r="G2" s="0" t="inlineStr"/>
      <c r="H2" s="37" t="n">
        <v>0.25</v>
      </c>
      <c r="I2" s="38" t="n">
        <v>72</v>
      </c>
      <c r="J2" s="0" t="n">
        <v>360</v>
      </c>
      <c r="K2" s="0" t="inlineStr"/>
      <c r="L2" s="38" t="n">
        <v>2937.6</v>
      </c>
      <c r="M2" s="38" t="n">
        <v>1057536</v>
      </c>
      <c r="N2" s="0" t="inlineStr">
        <is>
          <t>Active TAM</t>
        </is>
      </c>
      <c r="O2" s="0" t="inlineStr">
        <is>
          <t>Auto-class: downtown full-service &lt;300 rooms. Occ 60% flat (refine w/STR).</t>
        </is>
      </c>
    </row>
    <row r="3">
      <c r="A3" s="0" t="inlineStr">
        <is>
          <t>The Ritz-Carlton, Denver</t>
        </is>
      </c>
      <c r="B3" s="0" t="inlineStr">
        <is>
          <t>Hotel</t>
        </is>
      </c>
      <c r="C3" s="36" t="inlineStr">
        <is>
          <t>Hotel — Downtown Select-Service</t>
        </is>
      </c>
      <c r="D3" s="0" t="n">
        <v>205</v>
      </c>
      <c r="E3" s="0" t="inlineStr"/>
      <c r="F3" s="37" t="n">
        <v>0.6</v>
      </c>
      <c r="G3" s="0" t="inlineStr"/>
      <c r="H3" s="37" t="n">
        <v>0.25</v>
      </c>
      <c r="I3" s="38" t="n">
        <v>72</v>
      </c>
      <c r="J3" s="0" t="n">
        <v>360</v>
      </c>
      <c r="K3" s="0" t="inlineStr"/>
      <c r="L3" s="38" t="n">
        <v>2214</v>
      </c>
      <c r="M3" s="38" t="n">
        <v>797040</v>
      </c>
      <c r="N3" s="0" t="inlineStr">
        <is>
          <t>Active TAM</t>
        </is>
      </c>
      <c r="O3" s="0" t="inlineStr">
        <is>
          <t>Auto-class: downtown full-service &lt;300 rooms. Occ 60% flat (refine w/STR).</t>
        </is>
      </c>
    </row>
    <row r="4">
      <c r="A4" s="0" t="inlineStr">
        <is>
          <t>AC Hotel Denver Downtown</t>
        </is>
      </c>
      <c r="B4" s="0" t="inlineStr">
        <is>
          <t>Hotel</t>
        </is>
      </c>
      <c r="C4" s="36" t="inlineStr">
        <is>
          <t>Hotel — Downtown Select-Service</t>
        </is>
      </c>
      <c r="D4" s="0" t="n">
        <v>223</v>
      </c>
      <c r="E4" s="0" t="inlineStr"/>
      <c r="F4" s="37" t="n">
        <v>0.6</v>
      </c>
      <c r="G4" s="0" t="inlineStr"/>
      <c r="H4" s="37" t="n">
        <v>0.25</v>
      </c>
      <c r="I4" s="38" t="n">
        <v>72</v>
      </c>
      <c r="J4" s="0" t="n">
        <v>360</v>
      </c>
      <c r="K4" s="0" t="inlineStr"/>
      <c r="L4" s="38" t="n">
        <v>2408.4</v>
      </c>
      <c r="M4" s="38" t="n">
        <v>867023.9999999999</v>
      </c>
      <c r="N4" s="0" t="inlineStr">
        <is>
          <t>Active TAM</t>
        </is>
      </c>
      <c r="O4" s="0" t="inlineStr">
        <is>
          <t>Auto-class: downtown + select-service flag [name-inferred downtown; workbook flag=No]. Occ 60% flat (refine w/STR).</t>
        </is>
      </c>
    </row>
    <row r="5">
      <c r="A5" s="0" t="inlineStr">
        <is>
          <t>Embassy Suites by Hilton Denver Downtown Convention Center</t>
        </is>
      </c>
      <c r="B5" s="0" t="inlineStr">
        <is>
          <t>Hotel</t>
        </is>
      </c>
      <c r="C5" s="36" t="inlineStr">
        <is>
          <t>Hotel — Downtown+Convention</t>
        </is>
      </c>
      <c r="D5" s="0" t="n">
        <v>403</v>
      </c>
      <c r="E5" s="0" t="inlineStr"/>
      <c r="F5" s="37" t="n">
        <v>0.6</v>
      </c>
      <c r="G5" s="0" t="inlineStr"/>
      <c r="H5" s="37" t="n">
        <v>0.4</v>
      </c>
      <c r="I5" s="38" t="n">
        <v>70</v>
      </c>
      <c r="J5" s="0" t="n">
        <v>360</v>
      </c>
      <c r="K5" s="0" t="inlineStr"/>
      <c r="L5" s="38" t="n">
        <v>6770.4</v>
      </c>
      <c r="M5" s="38" t="n">
        <v>2437344</v>
      </c>
      <c r="N5" s="0" t="inlineStr">
        <is>
          <t>Active TAM</t>
        </is>
      </c>
      <c r="O5" s="0" t="inlineStr">
        <is>
          <t>Auto-class: convention keyword in name. Occ 60% flat (refine w/STR).</t>
        </is>
      </c>
    </row>
    <row r="6">
      <c r="A6" s="0" t="inlineStr">
        <is>
          <t>Aloft Denver Downtown</t>
        </is>
      </c>
      <c r="B6" s="0" t="inlineStr">
        <is>
          <t>Hotel</t>
        </is>
      </c>
      <c r="C6" s="36" t="inlineStr">
        <is>
          <t>Hotel — Downtown Select-Service</t>
        </is>
      </c>
      <c r="D6" s="0" t="n">
        <v>140</v>
      </c>
      <c r="E6" s="0" t="inlineStr"/>
      <c r="F6" s="37" t="n">
        <v>0.6</v>
      </c>
      <c r="G6" s="0" t="inlineStr"/>
      <c r="H6" s="37" t="n">
        <v>0.25</v>
      </c>
      <c r="I6" s="38" t="n">
        <v>68</v>
      </c>
      <c r="J6" s="0" t="n">
        <v>360</v>
      </c>
      <c r="K6" s="0" t="inlineStr"/>
      <c r="L6" s="38" t="n">
        <v>1428</v>
      </c>
      <c r="M6" s="38" t="n">
        <v>514080</v>
      </c>
      <c r="N6" s="0" t="inlineStr">
        <is>
          <t>Active TAM</t>
        </is>
      </c>
      <c r="O6" s="0" t="inlineStr">
        <is>
          <t>Auto-class: downtown + select-service flag [name-inferred downtown; workbook flag=No]. Occ 60% flat (refine w/STR).</t>
        </is>
      </c>
    </row>
    <row r="7">
      <c r="A7" s="0" t="inlineStr">
        <is>
          <t>Sheraton Denver Downtown Hotel</t>
        </is>
      </c>
      <c r="B7" s="0" t="inlineStr">
        <is>
          <t>Hotel</t>
        </is>
      </c>
      <c r="C7" s="36" t="inlineStr">
        <is>
          <t>Hotel — Downtown+Convention</t>
        </is>
      </c>
      <c r="D7" s="0" t="n">
        <v>1238</v>
      </c>
      <c r="E7" s="0" t="inlineStr"/>
      <c r="F7" s="37" t="n">
        <v>0.6</v>
      </c>
      <c r="G7" s="0" t="inlineStr"/>
      <c r="H7" s="37" t="n">
        <v>0.4</v>
      </c>
      <c r="I7" s="38" t="n">
        <v>67</v>
      </c>
      <c r="J7" s="0" t="n">
        <v>360</v>
      </c>
      <c r="K7" s="0" t="inlineStr"/>
      <c r="L7" s="38" t="n">
        <v>19907.04</v>
      </c>
      <c r="M7" s="38" t="n">
        <v>7166534.4</v>
      </c>
      <c r="N7" s="0" t="inlineStr">
        <is>
          <t>Active TAM</t>
        </is>
      </c>
      <c r="O7" s="0" t="inlineStr">
        <is>
          <t>Auto-class: downtown + 1238 rooms (&gt;=400). Occ 60% flat (refine w/STR).</t>
        </is>
      </c>
    </row>
    <row r="8">
      <c r="A8" s="0" t="inlineStr">
        <is>
          <t>Hyatt Regency Denver at Colorado Convention Center</t>
        </is>
      </c>
      <c r="B8" s="0" t="inlineStr">
        <is>
          <t>Hotel</t>
        </is>
      </c>
      <c r="C8" s="36" t="inlineStr">
        <is>
          <t>Hotel — Downtown+Convention</t>
        </is>
      </c>
      <c r="D8" s="0" t="n">
        <v>1100</v>
      </c>
      <c r="E8" s="0" t="inlineStr"/>
      <c r="F8" s="37" t="n">
        <v>0.6</v>
      </c>
      <c r="G8" s="0" t="inlineStr"/>
      <c r="H8" s="37" t="n">
        <v>0.4</v>
      </c>
      <c r="I8" s="38" t="n">
        <v>67</v>
      </c>
      <c r="J8" s="0" t="n">
        <v>360</v>
      </c>
      <c r="K8" s="0" t="inlineStr"/>
      <c r="L8" s="38" t="n">
        <v>17688</v>
      </c>
      <c r="M8" s="38" t="n">
        <v>6367680</v>
      </c>
      <c r="N8" s="0" t="inlineStr">
        <is>
          <t>Active TAM</t>
        </is>
      </c>
      <c r="O8" s="0" t="inlineStr">
        <is>
          <t>Auto-class: convention keyword in name. Occ 60% flat (refine w/STR).</t>
        </is>
      </c>
    </row>
    <row r="9">
      <c r="A9" s="0" t="inlineStr">
        <is>
          <t>The Jacquard, Autograph Collection</t>
        </is>
      </c>
      <c r="B9" s="0" t="inlineStr">
        <is>
          <t>Hotel</t>
        </is>
      </c>
      <c r="C9" s="36" t="inlineStr">
        <is>
          <t>Hotel — Suburban/Airport</t>
        </is>
      </c>
      <c r="D9" s="0" t="n">
        <v>198</v>
      </c>
      <c r="E9" s="0" t="inlineStr"/>
      <c r="F9" s="37" t="n">
        <v>0.6</v>
      </c>
      <c r="G9" s="0" t="inlineStr"/>
      <c r="H9" s="37" t="n">
        <v>0.15</v>
      </c>
      <c r="I9" s="38" t="n">
        <v>65</v>
      </c>
      <c r="J9" s="0" t="n">
        <v>360</v>
      </c>
      <c r="K9" s="0" t="inlineStr"/>
      <c r="L9" s="38" t="n">
        <v>1158.3</v>
      </c>
      <c r="M9" s="38" t="n">
        <v>416988</v>
      </c>
      <c r="N9" s="0" t="inlineStr">
        <is>
          <t>Active TAM</t>
        </is>
      </c>
      <c r="O9" s="0" t="inlineStr">
        <is>
          <t>Auto-class: not downtown (by flag or name). Occ 60% flat (refine w/STR).</t>
        </is>
      </c>
    </row>
    <row r="10">
      <c r="A10" s="0" t="inlineStr">
        <is>
          <t>Four Seasons Hotel Denver</t>
        </is>
      </c>
      <c r="B10" s="0" t="inlineStr">
        <is>
          <t>Hotel</t>
        </is>
      </c>
      <c r="C10" s="36" t="inlineStr">
        <is>
          <t>Hotel — Downtown Select-Service</t>
        </is>
      </c>
      <c r="D10" s="0" t="n">
        <v>239</v>
      </c>
      <c r="E10" s="0" t="inlineStr"/>
      <c r="F10" s="37" t="n">
        <v>0.6</v>
      </c>
      <c r="G10" s="0" t="inlineStr"/>
      <c r="H10" s="37" t="n">
        <v>0.25</v>
      </c>
      <c r="I10" s="38" t="n">
        <v>65</v>
      </c>
      <c r="J10" s="0" t="n">
        <v>360</v>
      </c>
      <c r="K10" s="0" t="inlineStr"/>
      <c r="L10" s="38" t="n">
        <v>2330.25</v>
      </c>
      <c r="M10" s="38" t="n">
        <v>838890</v>
      </c>
      <c r="N10" s="0" t="inlineStr">
        <is>
          <t>Active TAM</t>
        </is>
      </c>
      <c r="O10" s="0" t="inlineStr">
        <is>
          <t>Auto-class: downtown full-service &lt;300 rooms. Occ 60% flat (refine w/STR).</t>
        </is>
      </c>
    </row>
    <row r="11">
      <c r="A11" s="0" t="inlineStr">
        <is>
          <t>The Brown Palace Hotel and Spa, Autograph Collection</t>
        </is>
      </c>
      <c r="B11" s="0" t="inlineStr">
        <is>
          <t>Hotel</t>
        </is>
      </c>
      <c r="C11" s="36" t="inlineStr">
        <is>
          <t>Hotel — Resort</t>
        </is>
      </c>
      <c r="D11" s="0" t="n">
        <v>241</v>
      </c>
      <c r="E11" s="0" t="inlineStr"/>
      <c r="F11" s="37" t="n">
        <v>0.6</v>
      </c>
      <c r="G11" s="0" t="inlineStr"/>
      <c r="H11" s="37" t="n">
        <v>0.5</v>
      </c>
      <c r="I11" s="38" t="n">
        <v>65</v>
      </c>
      <c r="J11" s="0" t="n">
        <v>360</v>
      </c>
      <c r="K11" s="0" t="inlineStr"/>
      <c r="L11" s="38" t="n">
        <v>4699.5</v>
      </c>
      <c r="M11" s="38" t="n">
        <v>1691820</v>
      </c>
      <c r="N11" s="0" t="inlineStr">
        <is>
          <t>Active TAM</t>
        </is>
      </c>
      <c r="O11" s="0" t="inlineStr">
        <is>
          <t>Auto-class: resort keyword: 'spa'. Occ 60% flat (refine w/STR).</t>
        </is>
      </c>
    </row>
    <row r="12">
      <c r="A12" s="0" t="inlineStr">
        <is>
          <t>Thompson Denver, by Hyatt</t>
        </is>
      </c>
      <c r="B12" s="0" t="inlineStr">
        <is>
          <t>Hotel</t>
        </is>
      </c>
      <c r="C12" s="36" t="inlineStr">
        <is>
          <t>Hotel — Downtown Select-Service</t>
        </is>
      </c>
      <c r="D12" s="0" t="n">
        <v>216</v>
      </c>
      <c r="E12" s="0" t="inlineStr"/>
      <c r="F12" s="37" t="n">
        <v>0.6</v>
      </c>
      <c r="G12" s="0" t="inlineStr"/>
      <c r="H12" s="37" t="n">
        <v>0.25</v>
      </c>
      <c r="I12" s="38" t="n">
        <v>64</v>
      </c>
      <c r="J12" s="0" t="n">
        <v>360</v>
      </c>
      <c r="K12" s="0" t="inlineStr"/>
      <c r="L12" s="38" t="n">
        <v>2073.6</v>
      </c>
      <c r="M12" s="38" t="n">
        <v>746496</v>
      </c>
      <c r="N12" s="0" t="inlineStr">
        <is>
          <t>Active TAM</t>
        </is>
      </c>
      <c r="O12" s="0" t="inlineStr">
        <is>
          <t>Auto-class: downtown full-service &lt;300 rooms. Occ 60% flat (refine w/STR).</t>
        </is>
      </c>
    </row>
    <row r="13">
      <c r="A13" s="0" t="inlineStr">
        <is>
          <t>Grand Hyatt Denver</t>
        </is>
      </c>
      <c r="B13" s="0" t="inlineStr">
        <is>
          <t>Hotel</t>
        </is>
      </c>
      <c r="C13" s="36" t="inlineStr">
        <is>
          <t>Hotel — Downtown+Convention</t>
        </is>
      </c>
      <c r="D13" s="0" t="n">
        <v>516</v>
      </c>
      <c r="E13" s="0" t="inlineStr"/>
      <c r="F13" s="37" t="n">
        <v>0.6</v>
      </c>
      <c r="G13" s="0" t="inlineStr"/>
      <c r="H13" s="37" t="n">
        <v>0.4</v>
      </c>
      <c r="I13" s="38" t="n">
        <v>64</v>
      </c>
      <c r="J13" s="0" t="n">
        <v>360</v>
      </c>
      <c r="K13" s="0" t="inlineStr"/>
      <c r="L13" s="38" t="n">
        <v>7925.759999999999</v>
      </c>
      <c r="M13" s="38" t="n">
        <v>2853273.6</v>
      </c>
      <c r="N13" s="0" t="inlineStr">
        <is>
          <t>Active TAM</t>
        </is>
      </c>
      <c r="O13" s="0" t="inlineStr">
        <is>
          <t>Auto-class: downtown + 516 rooms (&gt;=400). Occ 60% flat (refine w/STR).</t>
        </is>
      </c>
    </row>
    <row r="14">
      <c r="A14" s="0" t="inlineStr">
        <is>
          <t>Hyatt Place Denver/Downtown</t>
        </is>
      </c>
      <c r="B14" s="0" t="inlineStr">
        <is>
          <t>Hotel</t>
        </is>
      </c>
      <c r="C14" s="36" t="inlineStr">
        <is>
          <t>Hotel — Downtown Select-Service</t>
        </is>
      </c>
      <c r="D14" s="0" t="n">
        <v>248</v>
      </c>
      <c r="E14" s="0" t="inlineStr"/>
      <c r="F14" s="37" t="n">
        <v>0.6</v>
      </c>
      <c r="G14" s="0" t="inlineStr"/>
      <c r="H14" s="37" t="n">
        <v>0.25</v>
      </c>
      <c r="I14" s="38" t="n">
        <v>64</v>
      </c>
      <c r="J14" s="0" t="n">
        <v>360</v>
      </c>
      <c r="K14" s="0" t="inlineStr"/>
      <c r="L14" s="38" t="n">
        <v>2380.8</v>
      </c>
      <c r="M14" s="38" t="n">
        <v>857087.9999999999</v>
      </c>
      <c r="N14" s="0" t="inlineStr">
        <is>
          <t>Active TAM</t>
        </is>
      </c>
      <c r="O14" s="0" t="inlineStr">
        <is>
          <t>Auto-class: downtown + select-service flag [name-inferred downtown; workbook flag=No]. Occ 60% flat (refine w/STR).</t>
        </is>
      </c>
    </row>
    <row r="15">
      <c r="A15" s="0" t="inlineStr">
        <is>
          <t>Populus</t>
        </is>
      </c>
      <c r="B15" s="0" t="inlineStr">
        <is>
          <t>Hotel</t>
        </is>
      </c>
      <c r="C15" s="36" t="inlineStr">
        <is>
          <t>Hotel — Downtown Select-Service</t>
        </is>
      </c>
      <c r="D15" s="0" t="n">
        <v>265</v>
      </c>
      <c r="E15" s="0" t="inlineStr"/>
      <c r="F15" s="37" t="n">
        <v>0.6</v>
      </c>
      <c r="G15" s="0" t="inlineStr"/>
      <c r="H15" s="37" t="n">
        <v>0.25</v>
      </c>
      <c r="I15" s="38" t="n">
        <v>64</v>
      </c>
      <c r="J15" s="0" t="n">
        <v>360</v>
      </c>
      <c r="K15" s="0" t="inlineStr"/>
      <c r="L15" s="38" t="n">
        <v>2544</v>
      </c>
      <c r="M15" s="38" t="n">
        <v>915840</v>
      </c>
      <c r="N15" s="0" t="inlineStr">
        <is>
          <t>Active TAM</t>
        </is>
      </c>
      <c r="O15" s="0" t="inlineStr">
        <is>
          <t>Auto-class: manual override: 'Populus'. Occ 60% flat (refine w/STR).</t>
        </is>
      </c>
    </row>
    <row r="16">
      <c r="A16" s="0" t="inlineStr">
        <is>
          <t>Hilton Denver City Center</t>
        </is>
      </c>
      <c r="B16" s="0" t="inlineStr">
        <is>
          <t>Hotel</t>
        </is>
      </c>
      <c r="C16" s="36" t="inlineStr">
        <is>
          <t>Hotel — Downtown+Convention</t>
        </is>
      </c>
      <c r="D16" s="0" t="n">
        <v>613</v>
      </c>
      <c r="E16" s="0" t="inlineStr"/>
      <c r="F16" s="37" t="n">
        <v>0.6</v>
      </c>
      <c r="G16" s="0" t="inlineStr"/>
      <c r="H16" s="37" t="n">
        <v>0.4</v>
      </c>
      <c r="I16" s="38" t="n">
        <v>64</v>
      </c>
      <c r="J16" s="0" t="n">
        <v>360</v>
      </c>
      <c r="K16" s="0" t="inlineStr"/>
      <c r="L16" s="38" t="n">
        <v>9415.68</v>
      </c>
      <c r="M16" s="38" t="n">
        <v>3389644.8</v>
      </c>
      <c r="N16" s="0" t="inlineStr">
        <is>
          <t>Active TAM</t>
        </is>
      </c>
      <c r="O16" s="0" t="inlineStr">
        <is>
          <t>Auto-class: downtown + 613 rooms (&gt;=400). Occ 60% flat (refine w/STR).</t>
        </is>
      </c>
    </row>
    <row r="17">
      <c r="A17" s="0" t="inlineStr">
        <is>
          <t>Halcyon, a hotel in Cherry Creek</t>
        </is>
      </c>
      <c r="B17" s="0" t="inlineStr">
        <is>
          <t>Hotel</t>
        </is>
      </c>
      <c r="C17" s="36" t="inlineStr">
        <is>
          <t>Hotel — Suburban/Airport</t>
        </is>
      </c>
      <c r="D17" s="0" t="n">
        <v>154</v>
      </c>
      <c r="E17" s="0" t="inlineStr"/>
      <c r="F17" s="37" t="n">
        <v>0.6</v>
      </c>
      <c r="G17" s="0" t="inlineStr"/>
      <c r="H17" s="37" t="n">
        <v>0.15</v>
      </c>
      <c r="I17" s="38" t="n">
        <v>60</v>
      </c>
      <c r="J17" s="0" t="n">
        <v>360</v>
      </c>
      <c r="K17" s="0" t="inlineStr"/>
      <c r="L17" s="38" t="n">
        <v>831.5999999999999</v>
      </c>
      <c r="M17" s="38" t="n">
        <v>299375.9999999999</v>
      </c>
      <c r="N17" s="0" t="inlineStr">
        <is>
          <t>Active TAM</t>
        </is>
      </c>
      <c r="O17" s="0" t="inlineStr">
        <is>
          <t>Auto-class: not downtown (by flag or name). Occ 60% flat (refine w/STR).</t>
        </is>
      </c>
    </row>
    <row r="18">
      <c r="A18" s="0" t="inlineStr">
        <is>
          <t>Hampton Inn &amp; Suites Denver Downtown-Convention Center</t>
        </is>
      </c>
      <c r="B18" s="0" t="inlineStr">
        <is>
          <t>Hotel</t>
        </is>
      </c>
      <c r="C18" s="36" t="inlineStr">
        <is>
          <t>Hotel — Downtown+Convention</t>
        </is>
      </c>
      <c r="D18" s="0" t="n">
        <v>120</v>
      </c>
      <c r="E18" s="0" t="inlineStr"/>
      <c r="F18" s="37" t="n">
        <v>0.6</v>
      </c>
      <c r="G18" s="0" t="inlineStr"/>
      <c r="H18" s="37" t="n">
        <v>0.4</v>
      </c>
      <c r="I18" s="38" t="n">
        <v>60</v>
      </c>
      <c r="J18" s="0" t="n">
        <v>360</v>
      </c>
      <c r="K18" s="0" t="inlineStr"/>
      <c r="L18" s="38" t="n">
        <v>1728</v>
      </c>
      <c r="M18" s="38" t="n">
        <v>622080</v>
      </c>
      <c r="N18" s="0" t="inlineStr">
        <is>
          <t>Active TAM</t>
        </is>
      </c>
      <c r="O18" s="0" t="inlineStr">
        <is>
          <t>Auto-class: convention keyword in name. Occ 60% flat (refine w/STR).</t>
        </is>
      </c>
    </row>
    <row r="19">
      <c r="A19" s="0" t="inlineStr">
        <is>
          <t>Tru by Hilton Denver Downtown Convention Center</t>
        </is>
      </c>
      <c r="B19" s="0" t="inlineStr">
        <is>
          <t>Hotel</t>
        </is>
      </c>
      <c r="C19" s="36" t="inlineStr">
        <is>
          <t>Hotel — Downtown+Convention</t>
        </is>
      </c>
      <c r="D19" s="0" t="n">
        <v>176</v>
      </c>
      <c r="E19" s="0" t="inlineStr"/>
      <c r="F19" s="37" t="n">
        <v>0.6</v>
      </c>
      <c r="G19" s="0" t="inlineStr"/>
      <c r="H19" s="37" t="n">
        <v>0.4</v>
      </c>
      <c r="I19" s="38" t="n">
        <v>60</v>
      </c>
      <c r="J19" s="0" t="n">
        <v>360</v>
      </c>
      <c r="K19" s="0" t="inlineStr"/>
      <c r="L19" s="38" t="n">
        <v>2534.4</v>
      </c>
      <c r="M19" s="38" t="n">
        <v>912384</v>
      </c>
      <c r="N19" s="0" t="inlineStr">
        <is>
          <t>Active TAM</t>
        </is>
      </c>
      <c r="O19" s="0" t="inlineStr">
        <is>
          <t>Auto-class: convention keyword in name. Occ 60% flat (refine w/STR).</t>
        </is>
      </c>
    </row>
    <row r="20">
      <c r="A20" s="0" t="inlineStr">
        <is>
          <t>Home2 Suites by Hilton Denver Downtown Convention Center</t>
        </is>
      </c>
      <c r="B20" s="0" t="inlineStr">
        <is>
          <t>Hotel</t>
        </is>
      </c>
      <c r="C20" s="36" t="inlineStr">
        <is>
          <t>Hotel — Downtown+Convention</t>
        </is>
      </c>
      <c r="D20" s="0" t="n">
        <v>206</v>
      </c>
      <c r="E20" s="0" t="inlineStr"/>
      <c r="F20" s="37" t="n">
        <v>0.6</v>
      </c>
      <c r="G20" s="0" t="inlineStr"/>
      <c r="H20" s="37" t="n">
        <v>0.4</v>
      </c>
      <c r="I20" s="38" t="n">
        <v>60</v>
      </c>
      <c r="J20" s="0" t="n">
        <v>360</v>
      </c>
      <c r="K20" s="0" t="inlineStr"/>
      <c r="L20" s="38" t="n">
        <v>2966.4</v>
      </c>
      <c r="M20" s="38" t="n">
        <v>1067904</v>
      </c>
      <c r="N20" s="0" t="inlineStr">
        <is>
          <t>Active TAM</t>
        </is>
      </c>
      <c r="O20" s="0" t="inlineStr">
        <is>
          <t>Auto-class: convention keyword in name. Occ 60% flat (refine w/STR).</t>
        </is>
      </c>
    </row>
    <row r="21">
      <c r="A21" s="0" t="inlineStr">
        <is>
          <t>Homewood Suites by Hilton Denver Downtown-Convention Center</t>
        </is>
      </c>
      <c r="B21" s="0" t="inlineStr">
        <is>
          <t>Hotel</t>
        </is>
      </c>
      <c r="C21" s="36" t="inlineStr">
        <is>
          <t>Hotel — Downtown+Convention</t>
        </is>
      </c>
      <c r="D21" s="0" t="n">
        <v>182</v>
      </c>
      <c r="E21" s="0" t="inlineStr"/>
      <c r="F21" s="37" t="n">
        <v>0.6</v>
      </c>
      <c r="G21" s="0" t="inlineStr"/>
      <c r="H21" s="37" t="n">
        <v>0.4</v>
      </c>
      <c r="I21" s="38" t="n">
        <v>60</v>
      </c>
      <c r="J21" s="0" t="n">
        <v>360</v>
      </c>
      <c r="K21" s="0" t="inlineStr"/>
      <c r="L21" s="38" t="n">
        <v>2620.8</v>
      </c>
      <c r="M21" s="38" t="n">
        <v>943488.0000000001</v>
      </c>
      <c r="N21" s="0" t="inlineStr">
        <is>
          <t>Active TAM</t>
        </is>
      </c>
      <c r="O21" s="0" t="inlineStr">
        <is>
          <t>Auto-class: convention keyword in name. Occ 60% flat (refine w/STR).</t>
        </is>
      </c>
    </row>
    <row r="22">
      <c r="A22" s="0" t="inlineStr">
        <is>
          <t>Hotel Clio, a Luxury Collection Hotel, Denver Cherry Creek</t>
        </is>
      </c>
      <c r="B22" s="0" t="inlineStr">
        <is>
          <t>Hotel</t>
        </is>
      </c>
      <c r="C22" s="36" t="inlineStr">
        <is>
          <t>Hotel — Suburban/Airport</t>
        </is>
      </c>
      <c r="D22" s="0" t="n">
        <v>199</v>
      </c>
      <c r="E22" s="0" t="inlineStr"/>
      <c r="F22" s="37" t="n">
        <v>0.6</v>
      </c>
      <c r="G22" s="0" t="inlineStr"/>
      <c r="H22" s="37" t="n">
        <v>0.15</v>
      </c>
      <c r="I22" s="38" t="n">
        <v>59</v>
      </c>
      <c r="J22" s="0" t="n">
        <v>360</v>
      </c>
      <c r="K22" s="0" t="inlineStr"/>
      <c r="L22" s="38" t="n">
        <v>1056.69</v>
      </c>
      <c r="M22" s="38" t="n">
        <v>380408.4</v>
      </c>
      <c r="N22" s="0" t="inlineStr">
        <is>
          <t>Active TAM</t>
        </is>
      </c>
      <c r="O22" s="0" t="inlineStr">
        <is>
          <t>Auto-class: not downtown (by flag or name). Occ 60% flat (refine w/STR).</t>
        </is>
      </c>
    </row>
    <row r="23">
      <c r="A23" s="0" t="inlineStr">
        <is>
          <t>Clayton Hotel &amp; Members Club</t>
        </is>
      </c>
      <c r="B23" s="0" t="inlineStr">
        <is>
          <t>Hotel</t>
        </is>
      </c>
      <c r="C23" s="36" t="inlineStr">
        <is>
          <t>Hotel — Suburban/Airport</t>
        </is>
      </c>
      <c r="D23" s="0" t="n">
        <v>63</v>
      </c>
      <c r="E23" s="0" t="inlineStr"/>
      <c r="F23" s="37" t="n">
        <v>0.6</v>
      </c>
      <c r="G23" s="0" t="inlineStr"/>
      <c r="H23" s="37" t="n">
        <v>0.15</v>
      </c>
      <c r="I23" s="38" t="n">
        <v>59</v>
      </c>
      <c r="J23" s="0" t="n">
        <v>360</v>
      </c>
      <c r="K23" s="0" t="inlineStr"/>
      <c r="L23" s="38" t="n">
        <v>334.5299999999999</v>
      </c>
      <c r="M23" s="38" t="n">
        <v>120430.8</v>
      </c>
      <c r="N23" s="0" t="inlineStr">
        <is>
          <t>Active TAM</t>
        </is>
      </c>
      <c r="O23" s="0" t="inlineStr">
        <is>
          <t>Auto-class: not downtown (by flag or name). Occ 60% flat (refine w/STR).</t>
        </is>
      </c>
    </row>
    <row r="24">
      <c r="A24" s="0" t="inlineStr">
        <is>
          <t>The Slate Hotel Denver Downtown, Tapestry by Hilton</t>
        </is>
      </c>
      <c r="B24" s="0" t="inlineStr">
        <is>
          <t>Hotel</t>
        </is>
      </c>
      <c r="C24" s="36" t="inlineStr">
        <is>
          <t>Hotel — Downtown Select-Service</t>
        </is>
      </c>
      <c r="D24" s="0" t="n">
        <v>251</v>
      </c>
      <c r="E24" s="0" t="inlineStr"/>
      <c r="F24" s="37" t="n">
        <v>0.6</v>
      </c>
      <c r="G24" s="0" t="inlineStr"/>
      <c r="H24" s="37" t="n">
        <v>0.25</v>
      </c>
      <c r="I24" s="38" t="n">
        <v>59</v>
      </c>
      <c r="J24" s="0" t="n">
        <v>360</v>
      </c>
      <c r="K24" s="0" t="inlineStr"/>
      <c r="L24" s="38" t="n">
        <v>2221.35</v>
      </c>
      <c r="M24" s="38" t="n">
        <v>799686</v>
      </c>
      <c r="N24" s="0" t="inlineStr">
        <is>
          <t>Active TAM</t>
        </is>
      </c>
      <c r="O24" s="0" t="inlineStr">
        <is>
          <t>Auto-class: downtown full-service &lt;300 rooms. Occ 60% flat (refine w/STR).</t>
        </is>
      </c>
    </row>
    <row r="25">
      <c r="A25" s="0" t="inlineStr">
        <is>
          <t>Kimpton Hotel Monaco Denver</t>
        </is>
      </c>
      <c r="B25" s="0" t="inlineStr">
        <is>
          <t>Hotel</t>
        </is>
      </c>
      <c r="C25" s="36" t="inlineStr">
        <is>
          <t>Hotel — Downtown Select-Service</t>
        </is>
      </c>
      <c r="D25" s="0" t="n">
        <v>189</v>
      </c>
      <c r="E25" s="0" t="inlineStr"/>
      <c r="F25" s="37" t="n">
        <v>0.6</v>
      </c>
      <c r="G25" s="0" t="inlineStr"/>
      <c r="H25" s="37" t="n">
        <v>0.25</v>
      </c>
      <c r="I25" s="38" t="n">
        <v>59</v>
      </c>
      <c r="J25" s="0" t="n">
        <v>360</v>
      </c>
      <c r="K25" s="0" t="inlineStr"/>
      <c r="L25" s="38" t="n">
        <v>1672.65</v>
      </c>
      <c r="M25" s="38" t="n">
        <v>602154</v>
      </c>
      <c r="N25" s="0" t="inlineStr">
        <is>
          <t>Active TAM</t>
        </is>
      </c>
      <c r="O25" s="0" t="inlineStr">
        <is>
          <t>Auto-class: downtown full-service &lt;300 rooms. Occ 60% flat (refine w/STR).</t>
        </is>
      </c>
    </row>
    <row r="26">
      <c r="A26" s="0" t="inlineStr">
        <is>
          <t>Magnolia Hotel Denver, a Tribute Portfolio Hotel</t>
        </is>
      </c>
      <c r="B26" s="0" t="inlineStr">
        <is>
          <t>Hotel</t>
        </is>
      </c>
      <c r="C26" s="36" t="inlineStr">
        <is>
          <t>Hotel — Downtown Select-Service</t>
        </is>
      </c>
      <c r="D26" s="0" t="n">
        <v>297</v>
      </c>
      <c r="E26" s="0" t="inlineStr"/>
      <c r="F26" s="37" t="n">
        <v>0.6</v>
      </c>
      <c r="G26" s="0" t="inlineStr"/>
      <c r="H26" s="37" t="n">
        <v>0.25</v>
      </c>
      <c r="I26" s="38" t="n">
        <v>59</v>
      </c>
      <c r="J26" s="0" t="n">
        <v>360</v>
      </c>
      <c r="K26" s="0" t="inlineStr"/>
      <c r="L26" s="38" t="n">
        <v>2628.45</v>
      </c>
      <c r="M26" s="38" t="n">
        <v>946241.9999999999</v>
      </c>
      <c r="N26" s="0" t="inlineStr">
        <is>
          <t>Active TAM</t>
        </is>
      </c>
      <c r="O26" s="0" t="inlineStr">
        <is>
          <t>Auto-class: downtown full-service &lt;300 rooms. Occ 60% flat (refine w/STR).</t>
        </is>
      </c>
    </row>
    <row r="27">
      <c r="A27" s="0" t="inlineStr">
        <is>
          <t>Hyatt Centric Downtown Denver</t>
        </is>
      </c>
      <c r="B27" s="0" t="inlineStr">
        <is>
          <t>Hotel</t>
        </is>
      </c>
      <c r="C27" s="36" t="inlineStr">
        <is>
          <t>Hotel — Downtown Select-Service</t>
        </is>
      </c>
      <c r="D27" s="0" t="n">
        <v>264</v>
      </c>
      <c r="E27" s="0" t="inlineStr"/>
      <c r="F27" s="37" t="n">
        <v>0.6</v>
      </c>
      <c r="G27" s="0" t="inlineStr"/>
      <c r="H27" s="37" t="n">
        <v>0.25</v>
      </c>
      <c r="I27" s="38" t="n">
        <v>59</v>
      </c>
      <c r="J27" s="0" t="n">
        <v>360</v>
      </c>
      <c r="K27" s="0" t="inlineStr"/>
      <c r="L27" s="38" t="n">
        <v>2336.4</v>
      </c>
      <c r="M27" s="38" t="n">
        <v>841104</v>
      </c>
      <c r="N27" s="0" t="inlineStr">
        <is>
          <t>Active TAM</t>
        </is>
      </c>
      <c r="O27" s="0" t="inlineStr">
        <is>
          <t>Auto-class: downtown full-service &lt;300 rooms. Occ 60% flat (refine w/STR).</t>
        </is>
      </c>
    </row>
    <row r="28">
      <c r="A28" s="0" t="inlineStr">
        <is>
          <t>Hotel Indigo Denver Downtown-Union Station</t>
        </is>
      </c>
      <c r="B28" s="0" t="inlineStr">
        <is>
          <t>Hotel</t>
        </is>
      </c>
      <c r="C28" s="36" t="inlineStr">
        <is>
          <t>Hotel — Downtown Select-Service</t>
        </is>
      </c>
      <c r="D28" s="0" t="n">
        <v>180</v>
      </c>
      <c r="E28" s="0" t="inlineStr"/>
      <c r="F28" s="37" t="n">
        <v>0.6</v>
      </c>
      <c r="G28" s="0" t="inlineStr"/>
      <c r="H28" s="37" t="n">
        <v>0.25</v>
      </c>
      <c r="I28" s="38" t="n">
        <v>55</v>
      </c>
      <c r="J28" s="0" t="n">
        <v>360</v>
      </c>
      <c r="K28" s="0" t="inlineStr"/>
      <c r="L28" s="38" t="n">
        <v>1485</v>
      </c>
      <c r="M28" s="38" t="n">
        <v>534600</v>
      </c>
      <c r="N28" s="0" t="inlineStr">
        <is>
          <t>Active TAM</t>
        </is>
      </c>
      <c r="O28" s="0" t="inlineStr">
        <is>
          <t>Auto-class: downtown full-service &lt;300 rooms [name-inferred downtown]. Occ 60% flat (refine w/STR).</t>
        </is>
      </c>
    </row>
    <row r="29">
      <c r="A29" s="0" t="inlineStr">
        <is>
          <t>Hotel Teatro</t>
        </is>
      </c>
      <c r="B29" s="0" t="inlineStr">
        <is>
          <t>Hotel</t>
        </is>
      </c>
      <c r="C29" s="36" t="inlineStr">
        <is>
          <t>Hotel — Downtown Select-Service</t>
        </is>
      </c>
      <c r="D29" s="0" t="n">
        <v>111</v>
      </c>
      <c r="E29" s="0" t="inlineStr"/>
      <c r="F29" s="37" t="n">
        <v>0.6</v>
      </c>
      <c r="G29" s="0" t="inlineStr"/>
      <c r="H29" s="37" t="n">
        <v>0.25</v>
      </c>
      <c r="I29" s="38" t="n">
        <v>55</v>
      </c>
      <c r="J29" s="0" t="n">
        <v>360</v>
      </c>
      <c r="K29" s="0" t="inlineStr"/>
      <c r="L29" s="38" t="n">
        <v>915.7499999999999</v>
      </c>
      <c r="M29" s="38" t="n">
        <v>329669.9999999999</v>
      </c>
      <c r="N29" s="0" t="inlineStr">
        <is>
          <t>Active TAM</t>
        </is>
      </c>
      <c r="O29" s="0" t="inlineStr">
        <is>
          <t>Auto-class: manual override: 'Hotel Teatro'. Occ 60% flat (refine w/STR).</t>
        </is>
      </c>
    </row>
    <row r="30">
      <c r="A30" s="0" t="inlineStr">
        <is>
          <t>Kimpton Claret Hotel</t>
        </is>
      </c>
      <c r="B30" s="0" t="inlineStr">
        <is>
          <t>Hotel</t>
        </is>
      </c>
      <c r="C30" s="36" t="inlineStr">
        <is>
          <t>Hotel — Suburban/Airport</t>
        </is>
      </c>
      <c r="D30" s="0" t="n">
        <v>190</v>
      </c>
      <c r="E30" s="0" t="inlineStr"/>
      <c r="F30" s="37" t="n">
        <v>0.6</v>
      </c>
      <c r="G30" s="0" t="inlineStr"/>
      <c r="H30" s="37" t="n">
        <v>0.15</v>
      </c>
      <c r="I30" s="38" t="n">
        <v>55</v>
      </c>
      <c r="J30" s="0" t="n">
        <v>360</v>
      </c>
      <c r="K30" s="0" t="inlineStr"/>
      <c r="L30" s="38" t="n">
        <v>940.4999999999999</v>
      </c>
      <c r="M30" s="38" t="n">
        <v>338579.9999999999</v>
      </c>
      <c r="N30" s="0" t="inlineStr">
        <is>
          <t>Active TAM</t>
        </is>
      </c>
      <c r="O30" s="0" t="inlineStr">
        <is>
          <t>Auto-class: not downtown (by flag or name). Occ 60% flat (refine w/STR).</t>
        </is>
      </c>
    </row>
    <row r="31">
      <c r="A31" s="0" t="inlineStr">
        <is>
          <t>Apiary Hotel Belleview Station</t>
        </is>
      </c>
      <c r="B31" s="0" t="inlineStr">
        <is>
          <t>Hotel</t>
        </is>
      </c>
      <c r="C31" s="36" t="inlineStr">
        <is>
          <t>Hotel — Suburban/Airport</t>
        </is>
      </c>
      <c r="D31" s="0" t="n">
        <v>175</v>
      </c>
      <c r="E31" s="0" t="inlineStr"/>
      <c r="F31" s="37" t="n">
        <v>0.6</v>
      </c>
      <c r="G31" s="0" t="inlineStr"/>
      <c r="H31" s="37" t="n">
        <v>0.15</v>
      </c>
      <c r="I31" s="38" t="n">
        <v>55</v>
      </c>
      <c r="J31" s="0" t="n">
        <v>360</v>
      </c>
      <c r="K31" s="0" t="inlineStr"/>
      <c r="L31" s="38" t="n">
        <v>866.25</v>
      </c>
      <c r="M31" s="38" t="n">
        <v>311850</v>
      </c>
      <c r="N31" s="0" t="inlineStr">
        <is>
          <t>Active TAM</t>
        </is>
      </c>
      <c r="O31" s="0" t="inlineStr">
        <is>
          <t>Auto-class: not downtown (by flag or name). Occ 60% flat (refine w/STR).</t>
        </is>
      </c>
    </row>
    <row r="32">
      <c r="A32" s="0" t="inlineStr">
        <is>
          <t>The Art Hotel Denver, Curio Collection by Hilton</t>
        </is>
      </c>
      <c r="B32" s="0" t="inlineStr">
        <is>
          <t>Hotel</t>
        </is>
      </c>
      <c r="C32" s="36" t="inlineStr">
        <is>
          <t>Hotel — Downtown Select-Service</t>
        </is>
      </c>
      <c r="D32" s="0" t="n">
        <v>165</v>
      </c>
      <c r="E32" s="0" t="inlineStr"/>
      <c r="F32" s="37" t="n">
        <v>0.6</v>
      </c>
      <c r="G32" s="0" t="inlineStr"/>
      <c r="H32" s="37" t="n">
        <v>0.25</v>
      </c>
      <c r="I32" s="38" t="n">
        <v>54</v>
      </c>
      <c r="J32" s="0" t="n">
        <v>360</v>
      </c>
      <c r="K32" s="0" t="inlineStr"/>
      <c r="L32" s="38" t="n">
        <v>1336.5</v>
      </c>
      <c r="M32" s="38" t="n">
        <v>481140</v>
      </c>
      <c r="N32" s="0" t="inlineStr">
        <is>
          <t>Active TAM</t>
        </is>
      </c>
      <c r="O32" s="0" t="inlineStr">
        <is>
          <t>Auto-class: manual override: 'The Art Hotel Denver'. Occ 60% flat (refine w/STR).</t>
        </is>
      </c>
    </row>
    <row r="33">
      <c r="A33" s="0" t="inlineStr">
        <is>
          <t>The Westin Denver Downtown</t>
        </is>
      </c>
      <c r="B33" s="0" t="inlineStr">
        <is>
          <t>Hotel</t>
        </is>
      </c>
      <c r="C33" s="36" t="inlineStr">
        <is>
          <t>Hotel — Downtown+Convention</t>
        </is>
      </c>
      <c r="D33" s="0" t="n">
        <v>432</v>
      </c>
      <c r="E33" s="0" t="inlineStr"/>
      <c r="F33" s="37" t="n">
        <v>0.6</v>
      </c>
      <c r="G33" s="0" t="inlineStr"/>
      <c r="H33" s="37" t="n">
        <v>0.4</v>
      </c>
      <c r="I33" s="38" t="n">
        <v>54</v>
      </c>
      <c r="J33" s="0" t="n">
        <v>360</v>
      </c>
      <c r="K33" s="0" t="inlineStr"/>
      <c r="L33" s="38" t="n">
        <v>5598.72</v>
      </c>
      <c r="M33" s="38" t="n">
        <v>2015539.2</v>
      </c>
      <c r="N33" s="0" t="inlineStr">
        <is>
          <t>Active TAM</t>
        </is>
      </c>
      <c r="O33" s="0" t="inlineStr">
        <is>
          <t>Auto-class: downtown + 432 rooms (&gt;=400). Occ 60% flat (refine w/STR).</t>
        </is>
      </c>
    </row>
    <row r="34">
      <c r="A34" s="0" t="inlineStr">
        <is>
          <t>The Westin Denver International Airport</t>
        </is>
      </c>
      <c r="B34" s="0" t="inlineStr">
        <is>
          <t>Hotel</t>
        </is>
      </c>
      <c r="C34" s="36" t="inlineStr">
        <is>
          <t>Hotel — Suburban/Airport</t>
        </is>
      </c>
      <c r="D34" s="0" t="n">
        <v>519</v>
      </c>
      <c r="E34" s="0" t="inlineStr"/>
      <c r="F34" s="37" t="n">
        <v>0.6</v>
      </c>
      <c r="G34" s="0" t="inlineStr"/>
      <c r="H34" s="37" t="n">
        <v>0.15</v>
      </c>
      <c r="I34" s="38" t="n">
        <v>54</v>
      </c>
      <c r="J34" s="0" t="n">
        <v>360</v>
      </c>
      <c r="K34" s="0" t="inlineStr"/>
      <c r="L34" s="38" t="n">
        <v>2522.34</v>
      </c>
      <c r="M34" s="38" t="n">
        <v>908042.3999999999</v>
      </c>
      <c r="N34" s="0" t="inlineStr">
        <is>
          <t>Active TAM</t>
        </is>
      </c>
      <c r="O34" s="0" t="inlineStr">
        <is>
          <t>Auto-class: not downtown (by flag or name). Occ 60% flat (refine w/STR).</t>
        </is>
      </c>
    </row>
    <row r="35">
      <c r="A35" s="0" t="inlineStr">
        <is>
          <t>The Maven Hotel at Dairy Block</t>
        </is>
      </c>
      <c r="B35" s="0" t="inlineStr">
        <is>
          <t>Hotel</t>
        </is>
      </c>
      <c r="C35" s="36" t="inlineStr">
        <is>
          <t>Hotel — Downtown Select-Service</t>
        </is>
      </c>
      <c r="D35" s="0" t="n">
        <v>172</v>
      </c>
      <c r="E35" s="0" t="inlineStr"/>
      <c r="F35" s="37" t="n">
        <v>0.6</v>
      </c>
      <c r="G35" s="0" t="inlineStr"/>
      <c r="H35" s="37" t="n">
        <v>0.25</v>
      </c>
      <c r="I35" s="38" t="n">
        <v>53</v>
      </c>
      <c r="J35" s="0" t="n">
        <v>360</v>
      </c>
      <c r="K35" s="0" t="inlineStr"/>
      <c r="L35" s="38" t="n">
        <v>1367.4</v>
      </c>
      <c r="M35" s="38" t="n">
        <v>492264.0000000001</v>
      </c>
      <c r="N35" s="0" t="inlineStr">
        <is>
          <t>Active TAM</t>
        </is>
      </c>
      <c r="O35" s="0" t="inlineStr">
        <is>
          <t>Auto-class: manual override: 'The Maven Hotel at Dairy Block'. Occ 60% flat (refine w/STR).</t>
        </is>
      </c>
    </row>
    <row r="36">
      <c r="A36" s="0" t="inlineStr">
        <is>
          <t>Catbird Hotel</t>
        </is>
      </c>
      <c r="B36" s="0" t="inlineStr">
        <is>
          <t>Hotel</t>
        </is>
      </c>
      <c r="C36" s="36" t="inlineStr">
        <is>
          <t>Hotel — Downtown Select-Service</t>
        </is>
      </c>
      <c r="D36" s="0" t="n">
        <v>165</v>
      </c>
      <c r="E36" s="0" t="inlineStr"/>
      <c r="F36" s="37" t="n">
        <v>0.6</v>
      </c>
      <c r="G36" s="0" t="inlineStr"/>
      <c r="H36" s="37" t="n">
        <v>0.25</v>
      </c>
      <c r="I36" s="38" t="n">
        <v>52</v>
      </c>
      <c r="J36" s="0" t="n">
        <v>360</v>
      </c>
      <c r="K36" s="0" t="inlineStr"/>
      <c r="L36" s="38" t="n">
        <v>1287</v>
      </c>
      <c r="M36" s="38" t="n">
        <v>463320</v>
      </c>
      <c r="N36" s="0" t="inlineStr">
        <is>
          <t>Active TAM</t>
        </is>
      </c>
      <c r="O36" s="0" t="inlineStr">
        <is>
          <t>Auto-class: manual override: 'Catbird Hotel'. Occ 60% flat (refine w/STR).</t>
        </is>
      </c>
    </row>
    <row r="37">
      <c r="A37" s="0" t="inlineStr">
        <is>
          <t>Limelight Denver</t>
        </is>
      </c>
      <c r="B37" s="0" t="inlineStr">
        <is>
          <t>Hotel</t>
        </is>
      </c>
      <c r="C37" s="36" t="inlineStr">
        <is>
          <t>Hotel — Suburban/Airport</t>
        </is>
      </c>
      <c r="D37" s="0" t="n">
        <v>200</v>
      </c>
      <c r="E37" s="0" t="inlineStr"/>
      <c r="F37" s="37" t="n">
        <v>0.6</v>
      </c>
      <c r="G37" s="0" t="inlineStr"/>
      <c r="H37" s="37" t="n">
        <v>0.15</v>
      </c>
      <c r="I37" s="38" t="n">
        <v>50</v>
      </c>
      <c r="J37" s="0" t="n">
        <v>360</v>
      </c>
      <c r="K37" s="0" t="inlineStr"/>
      <c r="L37" s="38" t="n">
        <v>900</v>
      </c>
      <c r="M37" s="38" t="n">
        <v>324000</v>
      </c>
      <c r="N37" s="0" t="inlineStr">
        <is>
          <t>Active TAM</t>
        </is>
      </c>
      <c r="O37" s="0" t="inlineStr">
        <is>
          <t>Auto-class: not downtown (by flag or name). Occ 60% flat (refine w/STR).</t>
        </is>
      </c>
    </row>
    <row r="38">
      <c r="A38" s="0" t="inlineStr">
        <is>
          <t>The Crawford Hotel</t>
        </is>
      </c>
      <c r="B38" s="0" t="inlineStr">
        <is>
          <t>Hotel</t>
        </is>
      </c>
      <c r="C38" s="36" t="inlineStr">
        <is>
          <t>Hotel — Downtown Select-Service</t>
        </is>
      </c>
      <c r="D38" s="0" t="n">
        <v>112</v>
      </c>
      <c r="E38" s="0" t="inlineStr"/>
      <c r="F38" s="37" t="n">
        <v>0.6</v>
      </c>
      <c r="G38" s="0" t="inlineStr"/>
      <c r="H38" s="37" t="n">
        <v>0.25</v>
      </c>
      <c r="I38" s="38" t="n">
        <v>50</v>
      </c>
      <c r="J38" s="0" t="n">
        <v>360</v>
      </c>
      <c r="K38" s="0" t="inlineStr"/>
      <c r="L38" s="38" t="n">
        <v>840</v>
      </c>
      <c r="M38" s="38" t="n">
        <v>302400</v>
      </c>
      <c r="N38" s="0" t="inlineStr">
        <is>
          <t>Active TAM</t>
        </is>
      </c>
      <c r="O38" s="0" t="inlineStr">
        <is>
          <t>Auto-class: manual override: 'The Crawford Hotel'. Occ 60% flat (refine w/STR).</t>
        </is>
      </c>
    </row>
    <row r="39">
      <c r="A39" s="0" t="inlineStr">
        <is>
          <t>Warwick Denver</t>
        </is>
      </c>
      <c r="B39" s="0" t="inlineStr">
        <is>
          <t>Hotel</t>
        </is>
      </c>
      <c r="C39" s="36" t="inlineStr">
        <is>
          <t>Hotel — Suburban/Airport</t>
        </is>
      </c>
      <c r="D39" s="0" t="n">
        <v>216</v>
      </c>
      <c r="E39" s="0" t="inlineStr"/>
      <c r="F39" s="37" t="n">
        <v>0.6</v>
      </c>
      <c r="G39" s="0" t="inlineStr"/>
      <c r="H39" s="37" t="n">
        <v>0.15</v>
      </c>
      <c r="I39" s="38" t="n">
        <v>50</v>
      </c>
      <c r="J39" s="0" t="n">
        <v>360</v>
      </c>
      <c r="K39" s="0" t="inlineStr"/>
      <c r="L39" s="38" t="n">
        <v>971.9999999999999</v>
      </c>
      <c r="M39" s="38" t="n">
        <v>349919.9999999999</v>
      </c>
      <c r="N39" s="0" t="inlineStr">
        <is>
          <t>Active TAM</t>
        </is>
      </c>
      <c r="O39" s="0" t="inlineStr">
        <is>
          <t>Auto-class: not downtown (by flag or name). Occ 60% flat (refine w/STR).</t>
        </is>
      </c>
    </row>
    <row r="40">
      <c r="A40" s="0" t="inlineStr">
        <is>
          <t>Moxy Denver Cherry Creek</t>
        </is>
      </c>
      <c r="B40" s="0" t="inlineStr">
        <is>
          <t>Hotel</t>
        </is>
      </c>
      <c r="C40" s="36" t="inlineStr">
        <is>
          <t>Hotel — Suburban/Airport</t>
        </is>
      </c>
      <c r="D40" s="0" t="n">
        <v>140</v>
      </c>
      <c r="E40" s="0" t="inlineStr"/>
      <c r="F40" s="37" t="n">
        <v>0.6</v>
      </c>
      <c r="G40" s="0" t="inlineStr"/>
      <c r="H40" s="37" t="n">
        <v>0.15</v>
      </c>
      <c r="I40" s="38" t="n">
        <v>49</v>
      </c>
      <c r="J40" s="0" t="n">
        <v>360</v>
      </c>
      <c r="K40" s="0" t="inlineStr"/>
      <c r="L40" s="38" t="n">
        <v>617.4</v>
      </c>
      <c r="M40" s="38" t="n">
        <v>222264</v>
      </c>
      <c r="N40" s="0" t="inlineStr">
        <is>
          <t>Active TAM</t>
        </is>
      </c>
      <c r="O40" s="0" t="inlineStr">
        <is>
          <t>Auto-class: not downtown (by flag or name). Occ 60% flat (refine w/STR).</t>
        </is>
      </c>
    </row>
    <row r="41">
      <c r="A41" s="0" t="inlineStr">
        <is>
          <t>SpringHill Suites Denver Downtown</t>
        </is>
      </c>
      <c r="B41" s="0" t="inlineStr">
        <is>
          <t>Hotel</t>
        </is>
      </c>
      <c r="C41" s="36" t="inlineStr">
        <is>
          <t>Hotel — Downtown Select-Service</t>
        </is>
      </c>
      <c r="D41" s="0" t="n">
        <v>150</v>
      </c>
      <c r="E41" s="0" t="inlineStr"/>
      <c r="F41" s="37" t="n">
        <v>0.6</v>
      </c>
      <c r="G41" s="0" t="inlineStr"/>
      <c r="H41" s="37" t="n">
        <v>0.25</v>
      </c>
      <c r="I41" s="38" t="n">
        <v>49</v>
      </c>
      <c r="J41" s="0" t="n">
        <v>360</v>
      </c>
      <c r="K41" s="0" t="inlineStr"/>
      <c r="L41" s="38" t="n">
        <v>1102.5</v>
      </c>
      <c r="M41" s="38" t="n">
        <v>396900</v>
      </c>
      <c r="N41" s="0" t="inlineStr">
        <is>
          <t>Active TAM</t>
        </is>
      </c>
      <c r="O41" s="0" t="inlineStr">
        <is>
          <t>Auto-class: downtown + select-service flag [name-inferred downtown; workbook flag=No]. Occ 60% flat (refine w/STR).</t>
        </is>
      </c>
    </row>
    <row r="42">
      <c r="A42" s="0" t="inlineStr">
        <is>
          <t>Hilton Garden Inn Denver Union Station</t>
        </is>
      </c>
      <c r="B42" s="0" t="inlineStr">
        <is>
          <t>Hotel</t>
        </is>
      </c>
      <c r="C42" s="36" t="inlineStr">
        <is>
          <t>Hotel — Downtown Select-Service</t>
        </is>
      </c>
      <c r="D42" s="0" t="n">
        <v>223</v>
      </c>
      <c r="E42" s="0" t="inlineStr"/>
      <c r="F42" s="37" t="n">
        <v>0.6</v>
      </c>
      <c r="G42" s="0" t="inlineStr"/>
      <c r="H42" s="37" t="n">
        <v>0.25</v>
      </c>
      <c r="I42" s="38" t="n">
        <v>49</v>
      </c>
      <c r="J42" s="0" t="n">
        <v>360</v>
      </c>
      <c r="K42" s="0" t="inlineStr"/>
      <c r="L42" s="38" t="n">
        <v>1639.05</v>
      </c>
      <c r="M42" s="38" t="n">
        <v>590057.9999999999</v>
      </c>
      <c r="N42" s="0" t="inlineStr">
        <is>
          <t>Active TAM</t>
        </is>
      </c>
      <c r="O42" s="0" t="inlineStr">
        <is>
          <t>Auto-class: downtown full-service &lt;300 rooms. Occ 60% flat (refine w/STR).</t>
        </is>
      </c>
    </row>
    <row r="43">
      <c r="A43" s="0" t="inlineStr">
        <is>
          <t>Gaylord Rockies Resort &amp; Convention Center</t>
        </is>
      </c>
      <c r="B43" s="0" t="inlineStr">
        <is>
          <t>Hotel</t>
        </is>
      </c>
      <c r="C43" s="36" t="inlineStr">
        <is>
          <t>Hotel — Resort</t>
        </is>
      </c>
      <c r="D43" s="0" t="n">
        <v>1501</v>
      </c>
      <c r="E43" s="0" t="inlineStr"/>
      <c r="F43" s="37" t="n">
        <v>0.6</v>
      </c>
      <c r="G43" s="0" t="inlineStr"/>
      <c r="H43" s="37" t="n">
        <v>0.5</v>
      </c>
      <c r="I43" s="38" t="n">
        <v>48</v>
      </c>
      <c r="J43" s="0" t="n">
        <v>360</v>
      </c>
      <c r="K43" s="0" t="inlineStr"/>
      <c r="L43" s="38" t="n">
        <v>21614.4</v>
      </c>
      <c r="M43" s="38" t="n">
        <v>7781184.000000001</v>
      </c>
      <c r="N43" s="0" t="inlineStr">
        <is>
          <t>Active TAM</t>
        </is>
      </c>
      <c r="O43" s="0" t="inlineStr">
        <is>
          <t>Auto-class: resort keyword: 'gaylord'. Occ 60% flat (refine w/STR).</t>
        </is>
      </c>
    </row>
    <row r="44">
      <c r="A44" s="0" t="inlineStr">
        <is>
          <t>The Rally Hotel at McGregor Square</t>
        </is>
      </c>
      <c r="B44" s="0" t="inlineStr">
        <is>
          <t>Hotel</t>
        </is>
      </c>
      <c r="C44" s="36" t="inlineStr">
        <is>
          <t>Hotel — Downtown Select-Service</t>
        </is>
      </c>
      <c r="D44" s="0" t="n">
        <v>182</v>
      </c>
      <c r="E44" s="0" t="inlineStr"/>
      <c r="F44" s="37" t="n">
        <v>0.6</v>
      </c>
      <c r="G44" s="0" t="inlineStr"/>
      <c r="H44" s="37" t="n">
        <v>0.25</v>
      </c>
      <c r="I44" s="38" t="n">
        <v>46</v>
      </c>
      <c r="J44" s="0" t="n">
        <v>360</v>
      </c>
      <c r="K44" s="0" t="inlineStr"/>
      <c r="L44" s="38" t="n">
        <v>1255.8</v>
      </c>
      <c r="M44" s="38" t="n">
        <v>452088</v>
      </c>
      <c r="N44" s="0" t="inlineStr">
        <is>
          <t>Active TAM</t>
        </is>
      </c>
      <c r="O44" s="0" t="inlineStr">
        <is>
          <t>Auto-class: manual override: 'The Rally Hotel at McGregor Square'. Occ 60% flat (refine w/STR).</t>
        </is>
      </c>
    </row>
    <row r="45">
      <c r="A45" s="0" t="inlineStr">
        <is>
          <t>Hampton Inn &amp; Suites Denver-Downtown</t>
        </is>
      </c>
      <c r="B45" s="0" t="inlineStr">
        <is>
          <t>Hotel</t>
        </is>
      </c>
      <c r="C45" s="36" t="inlineStr">
        <is>
          <t>Hotel — Downtown Select-Service</t>
        </is>
      </c>
      <c r="D45" s="0" t="n">
        <v>156</v>
      </c>
      <c r="E45" s="0" t="inlineStr"/>
      <c r="F45" s="37" t="n">
        <v>0.6</v>
      </c>
      <c r="G45" s="0" t="inlineStr"/>
      <c r="H45" s="37" t="n">
        <v>0.25</v>
      </c>
      <c r="I45" s="38" t="n">
        <v>45</v>
      </c>
      <c r="J45" s="0" t="n">
        <v>360</v>
      </c>
      <c r="K45" s="0" t="inlineStr"/>
      <c r="L45" s="38" t="n">
        <v>1053</v>
      </c>
      <c r="M45" s="38" t="n">
        <v>379080</v>
      </c>
      <c r="N45" s="0" t="inlineStr">
        <is>
          <t>Active TAM</t>
        </is>
      </c>
      <c r="O45" s="0" t="inlineStr">
        <is>
          <t>Auto-class: downtown + select-service flag [name-inferred downtown; workbook flag=No]. Occ 60% flat (refine w/STR).</t>
        </is>
      </c>
    </row>
    <row r="46">
      <c r="A46" s="0" t="inlineStr">
        <is>
          <t>Renaissance Denver Downtown City Center Hotel</t>
        </is>
      </c>
      <c r="B46" s="0" t="inlineStr">
        <is>
          <t>Hotel</t>
        </is>
      </c>
      <c r="C46" s="36" t="inlineStr">
        <is>
          <t>Hotel — Downtown Select-Service</t>
        </is>
      </c>
      <c r="D46" s="0" t="n">
        <v>230</v>
      </c>
      <c r="E46" s="0" t="inlineStr"/>
      <c r="F46" s="37" t="n">
        <v>0.6</v>
      </c>
      <c r="G46" s="0" t="inlineStr"/>
      <c r="H46" s="37" t="n">
        <v>0.25</v>
      </c>
      <c r="I46" s="38" t="n">
        <v>43</v>
      </c>
      <c r="J46" s="0" t="n">
        <v>360</v>
      </c>
      <c r="K46" s="0" t="inlineStr"/>
      <c r="L46" s="38" t="n">
        <v>1483.5</v>
      </c>
      <c r="M46" s="38" t="n">
        <v>534060</v>
      </c>
      <c r="N46" s="0" t="inlineStr">
        <is>
          <t>Active TAM</t>
        </is>
      </c>
      <c r="O46" s="0" t="inlineStr">
        <is>
          <t>Auto-class: downtown full-service &lt;300 rooms. Occ 60% flat (refine w/STR).</t>
        </is>
      </c>
    </row>
    <row r="47">
      <c r="A47" s="0" t="inlineStr">
        <is>
          <t>Hyatt House Denver/Downtown</t>
        </is>
      </c>
      <c r="B47" s="0" t="inlineStr">
        <is>
          <t>Hotel</t>
        </is>
      </c>
      <c r="C47" s="36" t="inlineStr">
        <is>
          <t>Hotel — Downtown Select-Service</t>
        </is>
      </c>
      <c r="D47" s="0" t="n">
        <v>113</v>
      </c>
      <c r="E47" s="0" t="inlineStr"/>
      <c r="F47" s="37" t="n">
        <v>0.6</v>
      </c>
      <c r="G47" s="0" t="inlineStr"/>
      <c r="H47" s="37" t="n">
        <v>0.25</v>
      </c>
      <c r="I47" s="38" t="n">
        <v>42</v>
      </c>
      <c r="J47" s="0" t="n">
        <v>360</v>
      </c>
      <c r="K47" s="0" t="inlineStr"/>
      <c r="L47" s="38" t="n">
        <v>711.9</v>
      </c>
      <c r="M47" s="38" t="n">
        <v>256284</v>
      </c>
      <c r="N47" s="0" t="inlineStr">
        <is>
          <t>Active TAM</t>
        </is>
      </c>
      <c r="O47" s="0" t="inlineStr">
        <is>
          <t>Auto-class: downtown + select-service flag [name-inferred downtown; workbook flag=No]. Occ 60% flat (refine w/STR).</t>
        </is>
      </c>
    </row>
    <row r="48">
      <c r="A48" s="0" t="inlineStr">
        <is>
          <t>The Oxford Hotel</t>
        </is>
      </c>
      <c r="B48" s="0" t="inlineStr">
        <is>
          <t>Hotel</t>
        </is>
      </c>
      <c r="C48" s="36" t="inlineStr">
        <is>
          <t>Hotel — Downtown Select-Service</t>
        </is>
      </c>
      <c r="D48" s="0" t="n">
        <v>80</v>
      </c>
      <c r="E48" s="0" t="inlineStr"/>
      <c r="F48" s="37" t="n">
        <v>0.6</v>
      </c>
      <c r="G48" s="0" t="inlineStr"/>
      <c r="H48" s="37" t="n">
        <v>0.25</v>
      </c>
      <c r="I48" s="38" t="n">
        <v>40</v>
      </c>
      <c r="J48" s="0" t="n">
        <v>360</v>
      </c>
      <c r="K48" s="0" t="inlineStr"/>
      <c r="L48" s="38" t="n">
        <v>480</v>
      </c>
      <c r="M48" s="38" t="n">
        <v>172800</v>
      </c>
      <c r="N48" s="0" t="inlineStr">
        <is>
          <t>Active TAM</t>
        </is>
      </c>
      <c r="O48" s="0" t="inlineStr">
        <is>
          <t>Auto-class: manual override: 'The Oxford Hotel'. Occ 60% flat (refine w/STR).</t>
        </is>
      </c>
    </row>
    <row r="49">
      <c r="A49" s="0" t="inlineStr">
        <is>
          <t>Benson Hotel &amp; Faculty Club</t>
        </is>
      </c>
      <c r="B49" s="0" t="inlineStr">
        <is>
          <t>Hotel</t>
        </is>
      </c>
      <c r="C49" s="36" t="inlineStr">
        <is>
          <t>Hotel — Downtown Select-Service</t>
        </is>
      </c>
      <c r="D49" s="0" t="n">
        <v>106</v>
      </c>
      <c r="E49" s="0" t="inlineStr"/>
      <c r="F49" s="37" t="n">
        <v>0.6</v>
      </c>
      <c r="G49" s="0" t="inlineStr"/>
      <c r="H49" s="37" t="n">
        <v>0.25</v>
      </c>
      <c r="I49" s="38" t="n">
        <v>39</v>
      </c>
      <c r="J49" s="0" t="n">
        <v>360</v>
      </c>
      <c r="K49" s="0" t="inlineStr"/>
      <c r="L49" s="38" t="n">
        <v>620.0999999999999</v>
      </c>
      <c r="M49" s="38" t="n">
        <v>223236</v>
      </c>
      <c r="N49" s="0" t="inlineStr">
        <is>
          <t>Active TAM</t>
        </is>
      </c>
      <c r="O49" s="0" t="inlineStr">
        <is>
          <t>Auto-class: manual override: 'Benson Hotel &amp; Faculty Club'. Occ 60% flat (refine w/STR).</t>
        </is>
      </c>
    </row>
    <row r="50">
      <c r="A50" s="0" t="inlineStr">
        <is>
          <t>The Ramble Hotel</t>
        </is>
      </c>
      <c r="B50" s="0" t="inlineStr">
        <is>
          <t>Hotel</t>
        </is>
      </c>
      <c r="C50" s="36" t="inlineStr">
        <is>
          <t>Hotel — Suburban/Airport</t>
        </is>
      </c>
      <c r="D50" s="0" t="n">
        <v>50</v>
      </c>
      <c r="E50" s="0" t="inlineStr"/>
      <c r="F50" s="37" t="n">
        <v>0.6</v>
      </c>
      <c r="G50" s="0" t="inlineStr"/>
      <c r="H50" s="37" t="n">
        <v>0.15</v>
      </c>
      <c r="I50" s="38" t="n">
        <v>35</v>
      </c>
      <c r="J50" s="0" t="n">
        <v>360</v>
      </c>
      <c r="K50" s="0" t="inlineStr"/>
      <c r="L50" s="38" t="n">
        <v>157.5</v>
      </c>
      <c r="M50" s="38" t="n">
        <v>56700</v>
      </c>
      <c r="N50" s="0" t="inlineStr">
        <is>
          <t>Active TAM</t>
        </is>
      </c>
      <c r="O50" s="0" t="inlineStr">
        <is>
          <t>Auto-class: not downtown (by flag or name). Occ 60% flat (refine w/STR).</t>
        </is>
      </c>
    </row>
    <row r="51">
      <c r="A51" s="0" t="inlineStr">
        <is>
          <t>Denver Marriott Tech Center</t>
        </is>
      </c>
      <c r="B51" s="0" t="inlineStr">
        <is>
          <t>Hotel</t>
        </is>
      </c>
      <c r="C51" s="36" t="inlineStr">
        <is>
          <t>Hotel — Suburban/Airport</t>
        </is>
      </c>
      <c r="D51" s="0" t="n">
        <v>605</v>
      </c>
      <c r="E51" s="0" t="inlineStr"/>
      <c r="F51" s="37" t="n">
        <v>0.6</v>
      </c>
      <c r="G51" s="0" t="inlineStr"/>
      <c r="H51" s="37" t="n">
        <v>0.15</v>
      </c>
      <c r="I51" s="38" t="n">
        <v>25</v>
      </c>
      <c r="J51" s="0" t="n">
        <v>360</v>
      </c>
      <c r="K51" s="0" t="inlineStr"/>
      <c r="L51" s="38" t="n">
        <v>1361.25</v>
      </c>
      <c r="M51" s="38" t="n">
        <v>490050</v>
      </c>
      <c r="N51" s="0" t="inlineStr">
        <is>
          <t>Active TAM</t>
        </is>
      </c>
      <c r="O51" s="0" t="inlineStr">
        <is>
          <t>Auto-class: not downtown (by flag or name). Occ 60% flat (refine w/STR).</t>
        </is>
      </c>
    </row>
    <row r="52">
      <c r="A52" s="0" t="inlineStr">
        <is>
          <t>Hyatt Regency Denver Tech Center</t>
        </is>
      </c>
      <c r="B52" s="0" t="inlineStr">
        <is>
          <t>Hotel</t>
        </is>
      </c>
      <c r="C52" s="36" t="inlineStr">
        <is>
          <t>Hotel — Suburban/Airport</t>
        </is>
      </c>
      <c r="D52" s="0" t="n">
        <v>451</v>
      </c>
      <c r="E52" s="0" t="inlineStr"/>
      <c r="F52" s="37" t="n">
        <v>0.6</v>
      </c>
      <c r="G52" s="0" t="inlineStr"/>
      <c r="H52" s="37" t="n">
        <v>0.15</v>
      </c>
      <c r="I52" s="38" t="n">
        <v>25</v>
      </c>
      <c r="J52" s="0" t="n">
        <v>360</v>
      </c>
      <c r="K52" s="0" t="inlineStr"/>
      <c r="L52" s="38" t="n">
        <v>1014.75</v>
      </c>
      <c r="M52" s="38" t="n">
        <v>365309.9999999999</v>
      </c>
      <c r="N52" s="0" t="inlineStr">
        <is>
          <t>Active TAM</t>
        </is>
      </c>
      <c r="O52" s="0" t="inlineStr">
        <is>
          <t>Auto-class: not downtown (by flag or name). Occ 60% flat (refine w/STR).</t>
        </is>
      </c>
    </row>
    <row r="53">
      <c r="A53" s="0" t="inlineStr">
        <is>
          <t>Renaissance Denver Hotel &amp; Conference Center</t>
        </is>
      </c>
      <c r="B53" s="0" t="inlineStr">
        <is>
          <t>Hotel</t>
        </is>
      </c>
      <c r="C53" s="36" t="inlineStr">
        <is>
          <t>Hotel — Suburban/Airport</t>
        </is>
      </c>
      <c r="D53" s="0" t="n">
        <v>399</v>
      </c>
      <c r="E53" s="0" t="inlineStr"/>
      <c r="F53" s="37" t="n">
        <v>0.6</v>
      </c>
      <c r="G53" s="0" t="inlineStr"/>
      <c r="H53" s="37" t="n">
        <v>0.15</v>
      </c>
      <c r="I53" s="38" t="n">
        <v>19</v>
      </c>
      <c r="J53" s="0" t="n">
        <v>360</v>
      </c>
      <c r="K53" s="0" t="inlineStr"/>
      <c r="L53" s="38" t="n">
        <v>682.29</v>
      </c>
      <c r="M53" s="38" t="n">
        <v>245624.4</v>
      </c>
      <c r="N53" s="0" t="inlineStr">
        <is>
          <t>Active TAM</t>
        </is>
      </c>
      <c r="O53" s="0" t="inlineStr">
        <is>
          <t>Auto-class: not downtown (by flag or name). Occ 60% flat (refine w/STR).</t>
        </is>
      </c>
    </row>
    <row r="54">
      <c r="A54" s="0" t="inlineStr">
        <is>
          <t>DoubleTree by Hilton Hotel Denver</t>
        </is>
      </c>
      <c r="B54" s="0" t="inlineStr">
        <is>
          <t>Hotel</t>
        </is>
      </c>
      <c r="C54" s="36" t="inlineStr">
        <is>
          <t>Hotel — Suburban/Airport</t>
        </is>
      </c>
      <c r="D54" s="0" t="n">
        <v>561</v>
      </c>
      <c r="E54" s="0" t="inlineStr"/>
      <c r="F54" s="37" t="n">
        <v>0.6</v>
      </c>
      <c r="G54" s="0" t="inlineStr"/>
      <c r="H54" s="37" t="n">
        <v>0.15</v>
      </c>
      <c r="I54" s="0" t="inlineStr"/>
      <c r="J54" s="0" t="n">
        <v>360</v>
      </c>
      <c r="K54" s="0" t="inlineStr"/>
      <c r="L54" s="0" t="inlineStr"/>
      <c r="M54" s="0" t="inlineStr"/>
      <c r="N54" s="0" t="inlineStr">
        <is>
          <t>No Valet / TAM = $0</t>
        </is>
      </c>
      <c r="O54" s="0" t="inlineStr">
        <is>
          <t>Hotel has no valet (rate field: 'No Valet'). Auto-class: not downtown (by flag or name). Qualitative pipeline only.</t>
        </is>
      </c>
    </row>
    <row r="55">
      <c r="A55" s="0" t="inlineStr">
        <is>
          <t>Courtyard Denver Central Park</t>
        </is>
      </c>
      <c r="B55" s="0" t="inlineStr">
        <is>
          <t>Hotel</t>
        </is>
      </c>
      <c r="C55" s="36" t="inlineStr">
        <is>
          <t>Hotel — Suburban/Airport</t>
        </is>
      </c>
      <c r="D55" s="0" t="n">
        <v>146</v>
      </c>
      <c r="E55" s="0" t="inlineStr"/>
      <c r="F55" s="37" t="n">
        <v>0.6</v>
      </c>
      <c r="G55" s="0" t="inlineStr"/>
      <c r="H55" s="37" t="n">
        <v>0.15</v>
      </c>
      <c r="I55" s="0" t="inlineStr"/>
      <c r="J55" s="0" t="n">
        <v>360</v>
      </c>
      <c r="K55" s="0" t="inlineStr"/>
      <c r="L55" s="0" t="inlineStr"/>
      <c r="M55" s="0" t="inlineStr"/>
      <c r="N55" s="0" t="inlineStr">
        <is>
          <t>No Valet / TAM = $0</t>
        </is>
      </c>
      <c r="O55" s="0" t="inlineStr">
        <is>
          <t>Hotel has no valet (rate field: 'No Valet'). Auto-class: not downtown (by flag or name). Qualitative pipeline only.</t>
        </is>
      </c>
    </row>
    <row r="56">
      <c r="A56" s="0" t="inlineStr">
        <is>
          <t>Hampton Inn &amp; Suites Denver-Speer Boulevard</t>
        </is>
      </c>
      <c r="B56" s="0" t="inlineStr">
        <is>
          <t>Hotel</t>
        </is>
      </c>
      <c r="C56" s="36" t="inlineStr">
        <is>
          <t>Hotel — Suburban/Airport</t>
        </is>
      </c>
      <c r="D56" s="0" t="n">
        <v>153</v>
      </c>
      <c r="E56" s="0" t="inlineStr"/>
      <c r="F56" s="37" t="n">
        <v>0.6</v>
      </c>
      <c r="G56" s="0" t="inlineStr"/>
      <c r="H56" s="37" t="n">
        <v>0.15</v>
      </c>
      <c r="I56" s="0" t="inlineStr"/>
      <c r="J56" s="0" t="n">
        <v>360</v>
      </c>
      <c r="K56" s="0" t="inlineStr"/>
      <c r="L56" s="0" t="inlineStr"/>
      <c r="M56" s="0" t="inlineStr"/>
      <c r="N56" s="0" t="inlineStr">
        <is>
          <t>No Valet / TAM = $0</t>
        </is>
      </c>
      <c r="O56" s="0" t="inlineStr">
        <is>
          <t>Hotel has no valet (rate field: 'No Valet'). Auto-class: not downtown (by flag or name). Qualitative pipeline only.</t>
        </is>
      </c>
    </row>
    <row r="57">
      <c r="A57" s="0" t="inlineStr">
        <is>
          <t>Drury Inn &amp; Suites Denver Central Park</t>
        </is>
      </c>
      <c r="B57" s="0" t="inlineStr">
        <is>
          <t>Hotel</t>
        </is>
      </c>
      <c r="C57" s="36" t="inlineStr">
        <is>
          <t>Hotel — Suburban/Airport</t>
        </is>
      </c>
      <c r="D57" s="0" t="n">
        <v>209</v>
      </c>
      <c r="E57" s="0" t="inlineStr"/>
      <c r="F57" s="37" t="n">
        <v>0.6</v>
      </c>
      <c r="G57" s="0" t="inlineStr"/>
      <c r="H57" s="37" t="n">
        <v>0.15</v>
      </c>
      <c r="I57" s="0" t="inlineStr"/>
      <c r="J57" s="0" t="n">
        <v>360</v>
      </c>
      <c r="K57" s="0" t="inlineStr"/>
      <c r="L57" s="0" t="inlineStr"/>
      <c r="M57" s="0" t="inlineStr"/>
      <c r="N57" s="0" t="inlineStr">
        <is>
          <t>No Valet / TAM = $0</t>
        </is>
      </c>
      <c r="O57" s="0" t="inlineStr">
        <is>
          <t>Hotel has no valet (rate field: 'No Valet'). Auto-class: not downtown (by flag or name). Qualitative pipeline only.</t>
        </is>
      </c>
    </row>
    <row r="58">
      <c r="A58" s="0" t="inlineStr">
        <is>
          <t>Cambria Hotel Denver Downtown RiNo</t>
        </is>
      </c>
      <c r="B58" s="0" t="inlineStr">
        <is>
          <t>Hotel</t>
        </is>
      </c>
      <c r="C58" s="36" t="inlineStr">
        <is>
          <t>Hotel — Downtown Select-Service</t>
        </is>
      </c>
      <c r="D58" s="0" t="n">
        <v>153</v>
      </c>
      <c r="E58" s="0" t="inlineStr"/>
      <c r="F58" s="37" t="n">
        <v>0.6</v>
      </c>
      <c r="G58" s="0" t="inlineStr"/>
      <c r="H58" s="37" t="n">
        <v>0.25</v>
      </c>
      <c r="I58" s="0" t="inlineStr"/>
      <c r="J58" s="0" t="n">
        <v>360</v>
      </c>
      <c r="K58" s="0" t="inlineStr"/>
      <c r="L58" s="0" t="inlineStr"/>
      <c r="M58" s="0" t="inlineStr"/>
      <c r="N58" s="0" t="inlineStr">
        <is>
          <t>No Valet / TAM = $0</t>
        </is>
      </c>
      <c r="O58" s="0" t="inlineStr">
        <is>
          <t>Hotel has no valet (rate field: 'No Valet'). Auto-class: downtown full-service &lt;300 rooms [name-inferred downtown]. Qualitative pipeline only.</t>
        </is>
      </c>
    </row>
    <row r="59">
      <c r="A59" s="0" t="inlineStr">
        <is>
          <t>The Source Hotel</t>
        </is>
      </c>
      <c r="B59" s="0" t="inlineStr">
        <is>
          <t>Hotel</t>
        </is>
      </c>
      <c r="C59" s="36" t="inlineStr">
        <is>
          <t>Hotel — Suburban/Airport</t>
        </is>
      </c>
      <c r="D59" s="0" t="n">
        <v>100</v>
      </c>
      <c r="E59" s="0" t="inlineStr"/>
      <c r="F59" s="37" t="n">
        <v>0.6</v>
      </c>
      <c r="G59" s="0" t="inlineStr"/>
      <c r="H59" s="37" t="n">
        <v>0.15</v>
      </c>
      <c r="I59" s="0" t="inlineStr"/>
      <c r="J59" s="0" t="n">
        <v>360</v>
      </c>
      <c r="K59" s="0" t="inlineStr"/>
      <c r="L59" s="0" t="inlineStr"/>
      <c r="M59" s="0" t="inlineStr"/>
      <c r="N59" s="0" t="inlineStr">
        <is>
          <t>No Valet / TAM = $0</t>
        </is>
      </c>
      <c r="O59" s="0" t="inlineStr">
        <is>
          <t>Hotel has no valet (rate field: 'No Valet'). Auto-class: not downtown (by flag or name). Qualitative pipeline only.</t>
        </is>
      </c>
    </row>
    <row r="60">
      <c r="A60" s="0" t="inlineStr">
        <is>
          <t>the Curtis Denver - a DoubleTree by Hilton Hotel</t>
        </is>
      </c>
      <c r="B60" s="0" t="inlineStr">
        <is>
          <t>Hotel</t>
        </is>
      </c>
      <c r="C60" s="36" t="inlineStr">
        <is>
          <t>Hotel — Downtown+Convention</t>
        </is>
      </c>
      <c r="D60" s="0" t="n">
        <v>336</v>
      </c>
      <c r="E60" s="0" t="inlineStr"/>
      <c r="F60" s="37" t="n">
        <v>0.6</v>
      </c>
      <c r="G60" s="0" t="inlineStr"/>
      <c r="H60" s="37" t="n">
        <v>0.4</v>
      </c>
      <c r="I60" s="0" t="inlineStr"/>
      <c r="J60" s="0" t="n">
        <v>360</v>
      </c>
      <c r="K60" s="0" t="inlineStr"/>
      <c r="L60" s="0" t="inlineStr"/>
      <c r="M60" s="0" t="inlineStr"/>
      <c r="N60" s="0" t="inlineStr">
        <is>
          <t>No Valet / TAM = $0</t>
        </is>
      </c>
      <c r="O60" s="0" t="inlineStr">
        <is>
          <t>Hotel has no valet (rate field: 'No Valet'). Auto-class: downtown + 336 rooms. Qualitative pipeline only.</t>
        </is>
      </c>
    </row>
    <row r="61">
      <c r="A61" s="0" t="inlineStr">
        <is>
          <t>Courtyard Denver Downtown</t>
        </is>
      </c>
      <c r="B61" s="0" t="inlineStr">
        <is>
          <t>Hotel</t>
        </is>
      </c>
      <c r="C61" s="36" t="inlineStr">
        <is>
          <t>Hotel — Downtown Select-Service</t>
        </is>
      </c>
      <c r="D61" s="0" t="n">
        <v>177</v>
      </c>
      <c r="E61" s="0" t="inlineStr"/>
      <c r="F61" s="37" t="n">
        <v>0.6</v>
      </c>
      <c r="G61" s="0" t="inlineStr"/>
      <c r="H61" s="37" t="n">
        <v>0.25</v>
      </c>
      <c r="I61" s="0" t="inlineStr"/>
      <c r="J61" s="0" t="n">
        <v>360</v>
      </c>
      <c r="K61" s="0" t="inlineStr"/>
      <c r="L61" s="0" t="inlineStr"/>
      <c r="M61" s="0" t="inlineStr"/>
      <c r="N61" s="0" t="inlineStr">
        <is>
          <t>No Valet / TAM = $0</t>
        </is>
      </c>
      <c r="O61" s="0" t="inlineStr">
        <is>
          <t>Hotel has no valet (rate field: 'No Valet'). Auto-class: downtown + select-service flag [name-inferred downtown; workbook flag=No]. Qualitative pipeline only.</t>
        </is>
      </c>
    </row>
    <row r="62">
      <c r="A62" s="0" t="inlineStr">
        <is>
          <t>Hyatt Regency Aurora-Denver Conference Center</t>
        </is>
      </c>
      <c r="B62" s="0" t="inlineStr">
        <is>
          <t>Hotel</t>
        </is>
      </c>
      <c r="C62" s="36" t="inlineStr">
        <is>
          <t>Hotel — Suburban/Airport</t>
        </is>
      </c>
      <c r="D62" s="0" t="n">
        <v>249</v>
      </c>
      <c r="E62" s="0" t="inlineStr"/>
      <c r="F62" s="37" t="n">
        <v>0.6</v>
      </c>
      <c r="G62" s="0" t="inlineStr"/>
      <c r="H62" s="37" t="n">
        <v>0.15</v>
      </c>
      <c r="I62" s="0" t="inlineStr"/>
      <c r="J62" s="0" t="n">
        <v>360</v>
      </c>
      <c r="K62" s="0" t="inlineStr"/>
      <c r="L62" s="0" t="inlineStr"/>
      <c r="M62" s="0" t="inlineStr"/>
      <c r="N62" s="0" t="inlineStr">
        <is>
          <t>No Valet / TAM = $0</t>
        </is>
      </c>
      <c r="O62" s="0" t="inlineStr">
        <is>
          <t>Hotel has no valet (rate field: 0). Auto-class: not downtown (by flag or name). Qualitative pipeline only.</t>
        </is>
      </c>
    </row>
    <row r="63">
      <c r="A63" s="0" t="inlineStr">
        <is>
          <t>Sonesta Denver Downtown</t>
        </is>
      </c>
      <c r="B63" s="0" t="inlineStr">
        <is>
          <t>Hotel</t>
        </is>
      </c>
      <c r="C63" s="36" t="inlineStr">
        <is>
          <t>Hotel — Downtown+Convention</t>
        </is>
      </c>
      <c r="D63" s="0" t="n">
        <v>380</v>
      </c>
      <c r="E63" s="0" t="inlineStr"/>
      <c r="F63" s="37" t="n">
        <v>0.6</v>
      </c>
      <c r="G63" s="0" t="inlineStr"/>
      <c r="H63" s="37" t="n">
        <v>0.4</v>
      </c>
      <c r="I63" s="0" t="inlineStr"/>
      <c r="J63" s="0" t="n">
        <v>360</v>
      </c>
      <c r="K63" s="0" t="inlineStr"/>
      <c r="L63" s="0" t="inlineStr"/>
      <c r="M63" s="0" t="inlineStr"/>
      <c r="N63" s="0" t="inlineStr">
        <is>
          <t>No Valet / TAM = $0</t>
        </is>
      </c>
      <c r="O63" s="0" t="inlineStr">
        <is>
          <t>Hotel has no valet (rate field: 'No Valet'). Auto-class: downtown + 380 rooms. Qualitative pipeline only.</t>
        </is>
      </c>
    </row>
    <row r="64">
      <c r="A64" s="0" t="inlineStr">
        <is>
          <t>Vīb Hotel by Best Western Denver RiNo</t>
        </is>
      </c>
      <c r="B64" s="0" t="inlineStr">
        <is>
          <t>Hotel</t>
        </is>
      </c>
      <c r="C64" s="36" t="inlineStr">
        <is>
          <t>Hotel — Downtown Select-Service</t>
        </is>
      </c>
      <c r="D64" s="0" t="n">
        <v>140</v>
      </c>
      <c r="E64" s="0" t="inlineStr"/>
      <c r="F64" s="37" t="n">
        <v>0.6</v>
      </c>
      <c r="G64" s="0" t="inlineStr"/>
      <c r="H64" s="37" t="n">
        <v>0.25</v>
      </c>
      <c r="I64" s="0" t="inlineStr"/>
      <c r="J64" s="0" t="n">
        <v>360</v>
      </c>
      <c r="K64" s="0" t="inlineStr"/>
      <c r="L64" s="0" t="inlineStr"/>
      <c r="M64" s="0" t="inlineStr"/>
      <c r="N64" s="0" t="inlineStr">
        <is>
          <t>No Valet / TAM = $0</t>
        </is>
      </c>
      <c r="O64" s="0" t="inlineStr">
        <is>
          <t>Hotel has no valet (rate field: 'No Valet'). Auto-class: downtown + select-service flag [name-inferred downtown; workbook flag=No]. Qualitative pipeline only.</t>
        </is>
      </c>
    </row>
    <row r="65">
      <c r="A65" s="0" t="inlineStr">
        <is>
          <t>Element Denver Downtown East</t>
        </is>
      </c>
      <c r="B65" s="0" t="inlineStr">
        <is>
          <t>Hotel</t>
        </is>
      </c>
      <c r="C65" s="36" t="inlineStr">
        <is>
          <t>Hotel — Downtown Select-Service</t>
        </is>
      </c>
      <c r="D65" s="0" t="n">
        <v>157</v>
      </c>
      <c r="E65" s="0" t="inlineStr"/>
      <c r="F65" s="37" t="n">
        <v>0.6</v>
      </c>
      <c r="G65" s="0" t="inlineStr"/>
      <c r="H65" s="37" t="n">
        <v>0.25</v>
      </c>
      <c r="I65" s="0" t="inlineStr"/>
      <c r="J65" s="0" t="n">
        <v>360</v>
      </c>
      <c r="K65" s="0" t="inlineStr"/>
      <c r="L65" s="0" t="inlineStr"/>
      <c r="M65" s="0" t="inlineStr"/>
      <c r="N65" s="0" t="inlineStr">
        <is>
          <t>No Valet / TAM = $0</t>
        </is>
      </c>
      <c r="O65" s="0" t="inlineStr">
        <is>
          <t>Hotel has no valet (rate field: 'No Valet'). Auto-class: downtown + select-service flag [name-inferred downtown; workbook flag=No]. Qualitative pipeline only.</t>
        </is>
      </c>
    </row>
    <row r="66">
      <c r="A66" s="0" t="inlineStr">
        <is>
          <t>DoubleTree by Hilton Hotel Denver Tech Center</t>
        </is>
      </c>
      <c r="B66" s="0" t="inlineStr">
        <is>
          <t>Hotel</t>
        </is>
      </c>
      <c r="C66" s="36" t="inlineStr">
        <is>
          <t>Hotel — Suburban/Airport</t>
        </is>
      </c>
      <c r="D66" s="0" t="n">
        <v>305</v>
      </c>
      <c r="E66" s="0" t="inlineStr"/>
      <c r="F66" s="37" t="n">
        <v>0.6</v>
      </c>
      <c r="G66" s="0" t="inlineStr"/>
      <c r="H66" s="37" t="n">
        <v>0.15</v>
      </c>
      <c r="I66" s="0" t="inlineStr"/>
      <c r="J66" s="0" t="n">
        <v>360</v>
      </c>
      <c r="K66" s="0" t="inlineStr"/>
      <c r="L66" s="0" t="inlineStr"/>
      <c r="M66" s="0" t="inlineStr"/>
      <c r="N66" s="0" t="inlineStr">
        <is>
          <t>No Valet / TAM = $0</t>
        </is>
      </c>
      <c r="O66" s="0" t="inlineStr">
        <is>
          <t>Hotel has no valet (rate field: 'No Valet'). Auto-class: not downtown (by flag or name). Qualitative pipeline only.</t>
        </is>
      </c>
    </row>
    <row r="67">
      <c r="A67" s="0" t="inlineStr">
        <is>
          <t>Embassy Suites by Hilton Denver Tech Center</t>
        </is>
      </c>
      <c r="B67" s="0" t="inlineStr">
        <is>
          <t>Hotel</t>
        </is>
      </c>
      <c r="C67" s="36" t="inlineStr">
        <is>
          <t>Hotel — Suburban/Airport</t>
        </is>
      </c>
      <c r="D67" s="0" t="n">
        <v>236</v>
      </c>
      <c r="E67" s="0" t="inlineStr"/>
      <c r="F67" s="37" t="n">
        <v>0.6</v>
      </c>
      <c r="G67" s="0" t="inlineStr"/>
      <c r="H67" s="37" t="n">
        <v>0.15</v>
      </c>
      <c r="I67" s="0" t="inlineStr"/>
      <c r="J67" s="0" t="n">
        <v>360</v>
      </c>
      <c r="K67" s="0" t="inlineStr"/>
      <c r="L67" s="0" t="inlineStr"/>
      <c r="M67" s="0" t="inlineStr"/>
      <c r="N67" s="0" t="inlineStr">
        <is>
          <t>No Valet / TAM = $0</t>
        </is>
      </c>
      <c r="O67" s="0" t="inlineStr">
        <is>
          <t>Hotel has no valet (rate field: 'No Valet'). Auto-class: not downtown (by flag or name). Qualitative pipeline only.</t>
        </is>
      </c>
    </row>
    <row r="68">
      <c r="A68" s="0" t="inlineStr">
        <is>
          <t>The Inverness Denver, a Hilton Golf &amp; Spa Resort</t>
        </is>
      </c>
      <c r="B68" s="0" t="inlineStr">
        <is>
          <t>Hotel</t>
        </is>
      </c>
      <c r="C68" s="36" t="inlineStr">
        <is>
          <t>Hotel — Resort</t>
        </is>
      </c>
      <c r="D68" s="0" t="n">
        <v>302</v>
      </c>
      <c r="E68" s="0" t="inlineStr"/>
      <c r="F68" s="37" t="n">
        <v>0.6</v>
      </c>
      <c r="G68" s="0" t="inlineStr"/>
      <c r="H68" s="37" t="n">
        <v>0.5</v>
      </c>
      <c r="I68" s="0" t="inlineStr"/>
      <c r="J68" s="0" t="n">
        <v>360</v>
      </c>
      <c r="K68" s="0" t="inlineStr"/>
      <c r="L68" s="0" t="inlineStr"/>
      <c r="M68" s="0" t="inlineStr"/>
      <c r="N68" s="0" t="inlineStr">
        <is>
          <t>No Valet / TAM = $0</t>
        </is>
      </c>
      <c r="O68" s="0" t="inlineStr">
        <is>
          <t>Hotel has no valet (rate field: 'Free (included in resort fee)'). Auto-class: resort keyword: 'resort'. Qualitative pipeline only.</t>
        </is>
      </c>
    </row>
    <row r="69">
      <c r="A69" s="0" t="inlineStr">
        <is>
          <t>Embassy Suites by Hilton Denver Tech Center North</t>
        </is>
      </c>
      <c r="B69" s="0" t="inlineStr">
        <is>
          <t>Hotel</t>
        </is>
      </c>
      <c r="C69" s="36" t="inlineStr">
        <is>
          <t>Hotel — Suburban/Airport</t>
        </is>
      </c>
      <c r="D69" s="0" t="n">
        <v>205</v>
      </c>
      <c r="E69" s="0" t="inlineStr"/>
      <c r="F69" s="37" t="n">
        <v>0.6</v>
      </c>
      <c r="G69" s="0" t="inlineStr"/>
      <c r="H69" s="37" t="n">
        <v>0.15</v>
      </c>
      <c r="I69" s="0" t="inlineStr"/>
      <c r="J69" s="0" t="n">
        <v>360</v>
      </c>
      <c r="K69" s="0" t="inlineStr"/>
      <c r="L69" s="0" t="inlineStr"/>
      <c r="M69" s="0" t="inlineStr"/>
      <c r="N69" s="0" t="inlineStr">
        <is>
          <t>No Valet / TAM = $0</t>
        </is>
      </c>
      <c r="O69" s="0" t="inlineStr">
        <is>
          <t>Hotel has no valet (rate field: 'No Valet'). Auto-class: not downtown (by flag or name). Qualitative pipeline only.</t>
        </is>
      </c>
    </row>
    <row r="70">
      <c r="A70" s="0" t="inlineStr">
        <is>
          <t>Denver Marriott South at Park Meadows</t>
        </is>
      </c>
      <c r="B70" s="0" t="inlineStr">
        <is>
          <t>Hotel</t>
        </is>
      </c>
      <c r="C70" s="36" t="inlineStr">
        <is>
          <t>Hotel — Suburban/Airport</t>
        </is>
      </c>
      <c r="D70" s="0" t="n">
        <v>279</v>
      </c>
      <c r="E70" s="0" t="inlineStr"/>
      <c r="F70" s="37" t="n">
        <v>0.6</v>
      </c>
      <c r="G70" s="0" t="inlineStr"/>
      <c r="H70" s="37" t="n">
        <v>0.15</v>
      </c>
      <c r="I70" s="0" t="inlineStr"/>
      <c r="J70" s="0" t="n">
        <v>360</v>
      </c>
      <c r="K70" s="0" t="inlineStr"/>
      <c r="L70" s="0" t="inlineStr"/>
      <c r="M70" s="0" t="inlineStr"/>
      <c r="N70" s="0" t="inlineStr">
        <is>
          <t>No Valet / TAM = $0</t>
        </is>
      </c>
      <c r="O70" s="0" t="inlineStr">
        <is>
          <t>Hotel has no valet (rate field: 'No Valet'). Auto-class: not downtown (by flag or name). Qualitative pipeline only.</t>
        </is>
      </c>
    </row>
    <row r="71">
      <c r="A71" s="0" t="inlineStr">
        <is>
          <t>Hilton Garden Inn Denver Tech Center</t>
        </is>
      </c>
      <c r="B71" s="0" t="inlineStr">
        <is>
          <t>Hotel</t>
        </is>
      </c>
      <c r="C71" s="36" t="inlineStr">
        <is>
          <t>Hotel — Suburban/Airport</t>
        </is>
      </c>
      <c r="D71" s="0" t="n">
        <v>180</v>
      </c>
      <c r="E71" s="0" t="inlineStr"/>
      <c r="F71" s="37" t="n">
        <v>0.6</v>
      </c>
      <c r="G71" s="0" t="inlineStr"/>
      <c r="H71" s="37" t="n">
        <v>0.15</v>
      </c>
      <c r="I71" s="0" t="inlineStr"/>
      <c r="J71" s="0" t="n">
        <v>360</v>
      </c>
      <c r="K71" s="0" t="inlineStr"/>
      <c r="L71" s="0" t="inlineStr"/>
      <c r="M71" s="0" t="inlineStr"/>
      <c r="N71" s="0" t="inlineStr">
        <is>
          <t>No Valet / TAM = $0</t>
        </is>
      </c>
      <c r="O71" s="0" t="inlineStr">
        <is>
          <t>Hotel has no valet (rate field: 'No Valet'). Auto-class: not downtown (by flag or name). Qualitative pipeline only.</t>
        </is>
      </c>
    </row>
    <row r="72">
      <c r="A72" s="0" t="inlineStr">
        <is>
          <t>DoubleTree by Hilton Hotel Denver - Aurora</t>
        </is>
      </c>
      <c r="B72" s="0" t="inlineStr">
        <is>
          <t>Hotel</t>
        </is>
      </c>
      <c r="C72" s="36" t="inlineStr">
        <is>
          <t>Hotel — Suburban/Airport</t>
        </is>
      </c>
      <c r="D72" s="0" t="n">
        <v>248</v>
      </c>
      <c r="E72" s="0" t="inlineStr"/>
      <c r="F72" s="37" t="n">
        <v>0.6</v>
      </c>
      <c r="G72" s="0" t="inlineStr"/>
      <c r="H72" s="37" t="n">
        <v>0.15</v>
      </c>
      <c r="I72" s="0" t="inlineStr"/>
      <c r="J72" s="0" t="n">
        <v>360</v>
      </c>
      <c r="K72" s="0" t="inlineStr"/>
      <c r="L72" s="0" t="inlineStr"/>
      <c r="M72" s="0" t="inlineStr"/>
      <c r="N72" s="0" t="inlineStr">
        <is>
          <t>No Valet / TAM = $0</t>
        </is>
      </c>
      <c r="O72" s="0" t="inlineStr">
        <is>
          <t>Hotel has no valet (rate field: 'No Valet'). Auto-class: not downtown (by flag or name). Qualitative pipeline only.</t>
        </is>
      </c>
    </row>
    <row r="73">
      <c r="A73" s="0" t="inlineStr">
        <is>
          <t>Crowne Plaza Denver Airport Convention Center</t>
        </is>
      </c>
      <c r="B73" s="0" t="inlineStr">
        <is>
          <t>Hotel</t>
        </is>
      </c>
      <c r="C73" s="36" t="inlineStr">
        <is>
          <t>Hotel — Downtown+Convention</t>
        </is>
      </c>
      <c r="D73" s="0" t="n">
        <v>255</v>
      </c>
      <c r="E73" s="0" t="inlineStr"/>
      <c r="F73" s="37" t="n">
        <v>0.6</v>
      </c>
      <c r="G73" s="0" t="inlineStr"/>
      <c r="H73" s="37" t="n">
        <v>0.4</v>
      </c>
      <c r="I73" s="0" t="inlineStr"/>
      <c r="J73" s="0" t="n">
        <v>360</v>
      </c>
      <c r="K73" s="0" t="inlineStr"/>
      <c r="L73" s="0" t="inlineStr"/>
      <c r="M73" s="0" t="inlineStr"/>
      <c r="N73" s="0" t="inlineStr">
        <is>
          <t>No Valet / TAM = $0</t>
        </is>
      </c>
      <c r="O73" s="0" t="inlineStr">
        <is>
          <t>Hotel has no valet (rate field: 'No Valet'). Auto-class: convention keyword in name. Qualitative pipeline only.</t>
        </is>
      </c>
    </row>
    <row r="74">
      <c r="A74" s="0" t="inlineStr">
        <is>
          <t>Courtyard Denver Downtown West (Stadium Area)</t>
        </is>
      </c>
      <c r="B74" s="0" t="inlineStr">
        <is>
          <t>Hotel</t>
        </is>
      </c>
      <c r="C74" s="36" t="inlineStr">
        <is>
          <t>Hotel — Downtown Select-Service</t>
        </is>
      </c>
      <c r="D74" s="0" t="n">
        <v>118</v>
      </c>
      <c r="E74" s="0" t="inlineStr"/>
      <c r="F74" s="37" t="n">
        <v>0.6</v>
      </c>
      <c r="G74" s="0" t="inlineStr"/>
      <c r="H74" s="37" t="n">
        <v>0.25</v>
      </c>
      <c r="I74" s="0" t="inlineStr"/>
      <c r="J74" s="0" t="n">
        <v>360</v>
      </c>
      <c r="K74" s="0" t="inlineStr"/>
      <c r="L74" s="0" t="inlineStr"/>
      <c r="M74" s="0" t="inlineStr"/>
      <c r="N74" s="0" t="inlineStr">
        <is>
          <t>No Valet / TAM = $0</t>
        </is>
      </c>
      <c r="O74" s="0" t="inlineStr">
        <is>
          <t>Hotel has no valet (rate field: 'No Valet'). Auto-class: downtown + select-service flag [name-inferred downtown; workbook flag=No]. Qualitative pipeline only.</t>
        </is>
      </c>
    </row>
    <row r="75">
      <c r="A75" s="0" t="inlineStr">
        <is>
          <t>Urban Cowboy Denver</t>
        </is>
      </c>
      <c r="B75" s="0" t="inlineStr">
        <is>
          <t>Hotel</t>
        </is>
      </c>
      <c r="C75" s="36" t="inlineStr">
        <is>
          <t>Hotel — Suburban/Airport</t>
        </is>
      </c>
      <c r="D75" s="0" t="n">
        <v>9</v>
      </c>
      <c r="E75" s="0" t="inlineStr"/>
      <c r="F75" s="37" t="n">
        <v>0.6</v>
      </c>
      <c r="G75" s="0" t="inlineStr"/>
      <c r="H75" s="37" t="n">
        <v>0.15</v>
      </c>
      <c r="I75" s="0" t="inlineStr"/>
      <c r="J75" s="0" t="n">
        <v>360</v>
      </c>
      <c r="K75" s="0" t="inlineStr"/>
      <c r="L75" s="0" t="inlineStr"/>
      <c r="M75" s="0" t="inlineStr"/>
      <c r="N75" s="0" t="inlineStr">
        <is>
          <t>No Valet / TAM = $0</t>
        </is>
      </c>
      <c r="O75" s="0" t="inlineStr">
        <is>
          <t>Hotel has no valet (rate field: 'No Valet'). Auto-class: not downtown (by flag or name). Qualitative pipeline only.</t>
        </is>
      </c>
    </row>
    <row r="76">
      <c r="A76" s="0" t="inlineStr">
        <is>
          <t>Hyatt Place Denver/Cherry Creek</t>
        </is>
      </c>
      <c r="B76" s="0" t="inlineStr">
        <is>
          <t>Hotel</t>
        </is>
      </c>
      <c r="C76" s="36" t="inlineStr">
        <is>
          <t>Hotel — Suburban/Airport</t>
        </is>
      </c>
      <c r="D76" s="0" t="n">
        <v>133</v>
      </c>
      <c r="E76" s="0" t="inlineStr"/>
      <c r="F76" s="37" t="n">
        <v>0.6</v>
      </c>
      <c r="G76" s="0" t="inlineStr"/>
      <c r="H76" s="37" t="n">
        <v>0.15</v>
      </c>
      <c r="I76" s="0" t="inlineStr"/>
      <c r="J76" s="0" t="n">
        <v>360</v>
      </c>
      <c r="K76" s="0" t="inlineStr"/>
      <c r="L76" s="0" t="inlineStr"/>
      <c r="M76" s="0" t="inlineStr"/>
      <c r="N76" s="0" t="inlineStr">
        <is>
          <t>No Valet / TAM = $0</t>
        </is>
      </c>
      <c r="O76" s="0" t="inlineStr">
        <is>
          <t>Hotel has no valet (rate field: 'No Valet'). Auto-class: not downtown (by flag or name). Qualitative pipeline only.</t>
        </is>
      </c>
    </row>
    <row r="77">
      <c r="A77" s="0" t="inlineStr">
        <is>
          <t>Hyatt Place Denver Tech Center</t>
        </is>
      </c>
      <c r="B77" s="0" t="inlineStr">
        <is>
          <t>Hotel</t>
        </is>
      </c>
      <c r="C77" s="36" t="inlineStr">
        <is>
          <t>Hotel — Suburban/Airport</t>
        </is>
      </c>
      <c r="D77" s="0" t="n">
        <v>126</v>
      </c>
      <c r="E77" s="0" t="inlineStr"/>
      <c r="F77" s="37" t="n">
        <v>0.6</v>
      </c>
      <c r="G77" s="0" t="inlineStr"/>
      <c r="H77" s="37" t="n">
        <v>0.15</v>
      </c>
      <c r="I77" s="0" t="inlineStr"/>
      <c r="J77" s="0" t="n">
        <v>360</v>
      </c>
      <c r="K77" s="0" t="inlineStr"/>
      <c r="L77" s="0" t="inlineStr"/>
      <c r="M77" s="0" t="inlineStr"/>
      <c r="N77" s="0" t="inlineStr">
        <is>
          <t>No Valet / TAM = $0</t>
        </is>
      </c>
      <c r="O77" s="0" t="inlineStr">
        <is>
          <t>Hotel has no valet (rate field: 'No Valet'). Auto-class: not downtown (by flag or name). Qualitative pipeline only.</t>
        </is>
      </c>
    </row>
    <row r="78">
      <c r="A78" s="0" t="inlineStr">
        <is>
          <t>Hyatt Place Denver Airport</t>
        </is>
      </c>
      <c r="B78" s="0" t="inlineStr">
        <is>
          <t>Hotel</t>
        </is>
      </c>
      <c r="C78" s="36" t="inlineStr">
        <is>
          <t>Hotel — Suburban/Airport</t>
        </is>
      </c>
      <c r="D78" s="0" t="n">
        <v>127</v>
      </c>
      <c r="E78" s="0" t="inlineStr"/>
      <c r="F78" s="37" t="n">
        <v>0.6</v>
      </c>
      <c r="G78" s="0" t="inlineStr"/>
      <c r="H78" s="37" t="n">
        <v>0.15</v>
      </c>
      <c r="I78" s="0" t="inlineStr"/>
      <c r="J78" s="0" t="n">
        <v>360</v>
      </c>
      <c r="K78" s="0" t="inlineStr"/>
      <c r="L78" s="0" t="inlineStr"/>
      <c r="M78" s="0" t="inlineStr"/>
      <c r="N78" s="0" t="inlineStr">
        <is>
          <t>No Valet / TAM = $0</t>
        </is>
      </c>
      <c r="O78" s="0" t="inlineStr">
        <is>
          <t>Hotel has no valet (rate field: 'No Valet'). Auto-class: not downtown (by flag or name). Qualitative pipeline only.</t>
        </is>
      </c>
    </row>
    <row r="79">
      <c r="A79" s="0" t="inlineStr">
        <is>
          <t>Hyatt Place Peña Station / Denver Airport</t>
        </is>
      </c>
      <c r="B79" s="0" t="inlineStr">
        <is>
          <t>Hotel</t>
        </is>
      </c>
      <c r="C79" s="36" t="inlineStr">
        <is>
          <t>Hotel — Suburban/Airport</t>
        </is>
      </c>
      <c r="D79" s="0" t="n">
        <v>150</v>
      </c>
      <c r="E79" s="0" t="inlineStr"/>
      <c r="F79" s="37" t="n">
        <v>0.6</v>
      </c>
      <c r="G79" s="0" t="inlineStr"/>
      <c r="H79" s="37" t="n">
        <v>0.15</v>
      </c>
      <c r="I79" s="0" t="inlineStr"/>
      <c r="J79" s="0" t="n">
        <v>360</v>
      </c>
      <c r="K79" s="0" t="inlineStr"/>
      <c r="L79" s="0" t="inlineStr"/>
      <c r="M79" s="0" t="inlineStr"/>
      <c r="N79" s="0" t="inlineStr">
        <is>
          <t>No Valet / TAM = $0</t>
        </is>
      </c>
      <c r="O79" s="0" t="inlineStr">
        <is>
          <t>Hotel has no valet (rate field: 'No Valet'). Auto-class: not downtown (by flag or name). Qualitative pipeline only.</t>
        </is>
      </c>
    </row>
    <row r="80">
      <c r="A80" s="0" t="inlineStr">
        <is>
          <t>Aloft Denver Airport at Gateway Park</t>
        </is>
      </c>
      <c r="B80" s="0" t="inlineStr">
        <is>
          <t>Hotel</t>
        </is>
      </c>
      <c r="C80" s="36" t="inlineStr">
        <is>
          <t>Hotel — Suburban/Airport</t>
        </is>
      </c>
      <c r="D80" s="0" t="n">
        <v>136</v>
      </c>
      <c r="E80" s="0" t="inlineStr"/>
      <c r="F80" s="37" t="n">
        <v>0.6</v>
      </c>
      <c r="G80" s="0" t="inlineStr"/>
      <c r="H80" s="37" t="n">
        <v>0.15</v>
      </c>
      <c r="I80" s="0" t="inlineStr"/>
      <c r="J80" s="0" t="n">
        <v>360</v>
      </c>
      <c r="K80" s="0" t="inlineStr"/>
      <c r="L80" s="0" t="inlineStr"/>
      <c r="M80" s="0" t="inlineStr"/>
      <c r="N80" s="0" t="inlineStr">
        <is>
          <t>No Valet / TAM = $0</t>
        </is>
      </c>
      <c r="O80" s="0" t="inlineStr">
        <is>
          <t>Hotel has no valet (rate field: 'No Valet'). Auto-class: not downtown (by flag or name). Qualitative pipeline only.</t>
        </is>
      </c>
    </row>
    <row r="81">
      <c r="A81" s="0" t="inlineStr">
        <is>
          <t>Four Points by Sheraton Englewood Centennial Airport</t>
        </is>
      </c>
      <c r="B81" s="0" t="inlineStr">
        <is>
          <t>Hotel</t>
        </is>
      </c>
      <c r="C81" s="36" t="inlineStr">
        <is>
          <t>Hotel — Suburban/Airport</t>
        </is>
      </c>
      <c r="D81" s="0" t="n">
        <v>132</v>
      </c>
      <c r="E81" s="0" t="inlineStr"/>
      <c r="F81" s="37" t="n">
        <v>0.6</v>
      </c>
      <c r="G81" s="0" t="inlineStr"/>
      <c r="H81" s="37" t="n">
        <v>0.15</v>
      </c>
      <c r="I81" s="0" t="inlineStr"/>
      <c r="J81" s="0" t="n">
        <v>360</v>
      </c>
      <c r="K81" s="0" t="inlineStr"/>
      <c r="L81" s="0" t="inlineStr"/>
      <c r="M81" s="0" t="inlineStr"/>
      <c r="N81" s="0" t="inlineStr">
        <is>
          <t>No Valet / TAM = $0</t>
        </is>
      </c>
      <c r="O81" s="0" t="inlineStr">
        <is>
          <t>Hotel has no valet (rate field: 'No Valet'). Auto-class: not downtown (by flag or name). Qualitative pipeline only.</t>
        </is>
      </c>
    </row>
    <row r="82">
      <c r="A82" s="0" t="inlineStr">
        <is>
          <t>Mint House Denver - Downtown Union Station</t>
        </is>
      </c>
      <c r="B82" s="0" t="inlineStr">
        <is>
          <t>Hotel</t>
        </is>
      </c>
      <c r="C82" s="36" t="inlineStr">
        <is>
          <t>Hotel — Downtown Select-Service</t>
        </is>
      </c>
      <c r="D82" s="0" t="n">
        <v>40</v>
      </c>
      <c r="E82" s="0" t="inlineStr"/>
      <c r="F82" s="37" t="n">
        <v>0.6</v>
      </c>
      <c r="G82" s="0" t="inlineStr"/>
      <c r="H82" s="37" t="n">
        <v>0.25</v>
      </c>
      <c r="I82" s="0" t="inlineStr"/>
      <c r="J82" s="0" t="n">
        <v>360</v>
      </c>
      <c r="K82" s="0" t="inlineStr"/>
      <c r="L82" s="0" t="inlineStr"/>
      <c r="M82" s="0" t="inlineStr"/>
      <c r="N82" s="0" t="inlineStr">
        <is>
          <t>No Valet / TAM = $0</t>
        </is>
      </c>
      <c r="O82" s="0" t="inlineStr">
        <is>
          <t>Hotel has no valet (rate field: 'No Valet'). Auto-class: downtown full-service &lt;300 rooms. Qualitative pipeline only.</t>
        </is>
      </c>
    </row>
    <row r="83">
      <c r="A83" s="0" t="inlineStr">
        <is>
          <t>Sonder at Skyline</t>
        </is>
      </c>
      <c r="B83" s="0" t="inlineStr">
        <is>
          <t>Hotel</t>
        </is>
      </c>
      <c r="C83" s="36" t="inlineStr">
        <is>
          <t>Hotel — Suburban/Airport</t>
        </is>
      </c>
      <c r="D83" s="0" t="n">
        <v>93</v>
      </c>
      <c r="E83" s="0" t="inlineStr"/>
      <c r="F83" s="37" t="n">
        <v>0.6</v>
      </c>
      <c r="G83" s="0" t="inlineStr"/>
      <c r="H83" s="37" t="n">
        <v>0.15</v>
      </c>
      <c r="I83" s="0" t="inlineStr"/>
      <c r="J83" s="0" t="n">
        <v>360</v>
      </c>
      <c r="K83" s="0" t="inlineStr"/>
      <c r="L83" s="0" t="inlineStr"/>
      <c r="M83" s="0" t="inlineStr"/>
      <c r="N83" s="0" t="inlineStr">
        <is>
          <t>No Valet / TAM = $0</t>
        </is>
      </c>
      <c r="O83" s="0" t="inlineStr">
        <is>
          <t>Hotel has no valet (rate field: 'No Valet'). Auto-class: not downtown (by flag or name). Qualitative pipeline only.</t>
        </is>
      </c>
    </row>
    <row r="84">
      <c r="A84" s="0" t="inlineStr">
        <is>
          <t>Hyatt House Denver Tech Center</t>
        </is>
      </c>
      <c r="B84" s="0" t="inlineStr">
        <is>
          <t>Hotel</t>
        </is>
      </c>
      <c r="C84" s="36" t="inlineStr">
        <is>
          <t>Hotel — Suburban/Airport</t>
        </is>
      </c>
      <c r="D84" s="0" t="n">
        <v>128</v>
      </c>
      <c r="E84" s="0" t="inlineStr"/>
      <c r="F84" s="37" t="n">
        <v>0.6</v>
      </c>
      <c r="G84" s="0" t="inlineStr"/>
      <c r="H84" s="37" t="n">
        <v>0.15</v>
      </c>
      <c r="I84" s="0" t="inlineStr"/>
      <c r="J84" s="0" t="n">
        <v>360</v>
      </c>
      <c r="K84" s="0" t="inlineStr"/>
      <c r="L84" s="0" t="inlineStr"/>
      <c r="M84" s="0" t="inlineStr"/>
      <c r="N84" s="0" t="inlineStr">
        <is>
          <t>No Valet / TAM = $0</t>
        </is>
      </c>
      <c r="O84" s="0" t="inlineStr">
        <is>
          <t>Hotel has no valet (rate field: 'No Valet'). Auto-class: not downtown (by flag or name). Qualitative pipeline only.</t>
        </is>
      </c>
    </row>
    <row r="85">
      <c r="A85" s="0" t="inlineStr">
        <is>
          <t>Springhill Suites by Marriott Denver Airport at Gateway Park</t>
        </is>
      </c>
      <c r="B85" s="0" t="inlineStr">
        <is>
          <t>Hotel</t>
        </is>
      </c>
      <c r="C85" s="36" t="inlineStr">
        <is>
          <t>Hotel — Suburban/Airport</t>
        </is>
      </c>
      <c r="D85" s="0" t="n">
        <v>124</v>
      </c>
      <c r="E85" s="0" t="inlineStr"/>
      <c r="F85" s="37" t="n">
        <v>0.6</v>
      </c>
      <c r="G85" s="0" t="inlineStr"/>
      <c r="H85" s="37" t="n">
        <v>0.15</v>
      </c>
      <c r="I85" s="0" t="inlineStr"/>
      <c r="J85" s="0" t="n">
        <v>360</v>
      </c>
      <c r="K85" s="0" t="inlineStr"/>
      <c r="L85" s="0" t="inlineStr"/>
      <c r="M85" s="0" t="inlineStr"/>
      <c r="N85" s="0" t="inlineStr">
        <is>
          <t>No Valet / TAM = $0</t>
        </is>
      </c>
      <c r="O85" s="0" t="inlineStr">
        <is>
          <t>Hotel has no valet (rate field: 'No Valet'). Auto-class: not downtown (by flag or name). Qualitative pipeline only.</t>
        </is>
      </c>
    </row>
    <row r="86">
      <c r="A86" s="0" t="inlineStr">
        <is>
          <t>Hyatt House Denver Aurora Anschutz Medical Campus</t>
        </is>
      </c>
      <c r="B86" s="0" t="inlineStr">
        <is>
          <t>Hotel</t>
        </is>
      </c>
      <c r="C86" s="36" t="inlineStr">
        <is>
          <t>Hotel — Suburban/Airport</t>
        </is>
      </c>
      <c r="D86" s="0" t="n">
        <v>124</v>
      </c>
      <c r="E86" s="0" t="inlineStr"/>
      <c r="F86" s="37" t="n">
        <v>0.6</v>
      </c>
      <c r="G86" s="0" t="inlineStr"/>
      <c r="H86" s="37" t="n">
        <v>0.15</v>
      </c>
      <c r="I86" s="0" t="inlineStr"/>
      <c r="J86" s="0" t="n">
        <v>360</v>
      </c>
      <c r="K86" s="0" t="inlineStr"/>
      <c r="L86" s="0" t="inlineStr"/>
      <c r="M86" s="0" t="inlineStr"/>
      <c r="N86" s="0" t="inlineStr">
        <is>
          <t>No Valet / TAM = $0</t>
        </is>
      </c>
      <c r="O86" s="0" t="inlineStr">
        <is>
          <t>Hotel has no valet (rate field: 'No Valet'). Auto-class: not downtown (by flag or name). Qualitative pipeline only.</t>
        </is>
      </c>
    </row>
    <row r="87">
      <c r="A87" s="0" t="inlineStr">
        <is>
          <t>Home2 Suites by Hilton Denver Central Park</t>
        </is>
      </c>
      <c r="B87" s="0" t="inlineStr">
        <is>
          <t>Hotel</t>
        </is>
      </c>
      <c r="C87" s="36" t="inlineStr">
        <is>
          <t>Hotel — Suburban/Airport</t>
        </is>
      </c>
      <c r="D87" s="0" t="n">
        <v>117</v>
      </c>
      <c r="E87" s="0" t="inlineStr"/>
      <c r="F87" s="37" t="n">
        <v>0.6</v>
      </c>
      <c r="G87" s="0" t="inlineStr"/>
      <c r="H87" s="37" t="n">
        <v>0.15</v>
      </c>
      <c r="I87" s="0" t="inlineStr"/>
      <c r="J87" s="0" t="n">
        <v>360</v>
      </c>
      <c r="K87" s="0" t="inlineStr"/>
      <c r="L87" s="0" t="inlineStr"/>
      <c r="M87" s="0" t="inlineStr"/>
      <c r="N87" s="0" t="inlineStr">
        <is>
          <t>No Valet / TAM = $0</t>
        </is>
      </c>
      <c r="O87" s="0" t="inlineStr">
        <is>
          <t>Hotel has no valet (rate field: 'No Valet'). Auto-class: not downtown (by flag or name). Qualitative pipeline only.</t>
        </is>
      </c>
    </row>
    <row r="88">
      <c r="A88" s="0" t="inlineStr">
        <is>
          <t>The Capital Grille - Denver</t>
        </is>
      </c>
      <c r="B88" s="0" t="inlineStr">
        <is>
          <t>Restaurant</t>
        </is>
      </c>
      <c r="C88" s="39" t="inlineStr">
        <is>
          <t>Restaurant — Excluded</t>
        </is>
      </c>
      <c r="D88" s="0" t="inlineStr"/>
      <c r="E88" s="0" t="inlineStr"/>
      <c r="F88" s="0" t="inlineStr"/>
      <c r="G88" s="0" t="inlineStr"/>
      <c r="H88" s="0" t="inlineStr"/>
      <c r="I88" s="0" t="inlineStr"/>
      <c r="J88" s="0" t="inlineStr"/>
      <c r="K88" s="0" t="inlineStr"/>
      <c r="L88" s="0" t="inlineStr"/>
      <c r="M88" s="0" t="inlineStr"/>
      <c r="N88" s="0" t="inlineStr">
        <is>
          <t>EXCLUDED — no active valet / not eligible</t>
        </is>
      </c>
      <c r="O88" s="0" t="inlineStr">
        <is>
          <t>Not in eligible FD universe (steakhouse/fine dining with active independent valet)</t>
        </is>
      </c>
    </row>
    <row r="89">
      <c r="A89" s="0" t="inlineStr">
        <is>
          <t>Ocean Prime - Denver (Larimer Square)</t>
        </is>
      </c>
      <c r="B89" s="0" t="inlineStr">
        <is>
          <t>Restaurant</t>
        </is>
      </c>
      <c r="C89" s="39" t="inlineStr">
        <is>
          <t>Restaurant — Seafood Steakhouse</t>
        </is>
      </c>
      <c r="D89" s="0" t="inlineStr"/>
      <c r="E89" s="0" t="n">
        <v>225</v>
      </c>
      <c r="F89" s="0" t="inlineStr"/>
      <c r="G89" s="0" t="n">
        <v>1.5</v>
      </c>
      <c r="H89" s="37" t="n">
        <v>0.125</v>
      </c>
      <c r="I89" s="0" t="inlineStr"/>
      <c r="J89" s="0" t="n">
        <v>250</v>
      </c>
      <c r="K89" s="37" t="n">
        <v>1.08</v>
      </c>
      <c r="L89" s="38" t="n">
        <v>843.75</v>
      </c>
      <c r="M89" s="38" t="n">
        <v>227812.5</v>
      </c>
      <c r="N89" s="0" t="inlineStr">
        <is>
          <t>Active TAM (MEDIUM confidence)</t>
        </is>
      </c>
      <c r="O89" s="0" t="inlineStr">
        <is>
          <t>Ocean Prime brand-standard 200-250; 234 private dining seats across rooms confirmed. | [Ocean Prime](https://ocean-prime.com/locations-menus/denver-larimer-square/), [EventUp](https://eventup.com/venue/ocean-prime-larimer-square/)</t>
        </is>
      </c>
    </row>
    <row r="90">
      <c r="A90" s="0" t="inlineStr">
        <is>
          <t>Ruth's Chris Steak House - Denver</t>
        </is>
      </c>
      <c r="B90" s="0" t="inlineStr">
        <is>
          <t>Restaurant</t>
        </is>
      </c>
      <c r="C90" s="39" t="inlineStr">
        <is>
          <t>Restaurant — Steakhouse</t>
        </is>
      </c>
      <c r="D90" s="0" t="inlineStr"/>
      <c r="E90" s="0" t="n">
        <v>275</v>
      </c>
      <c r="F90" s="0" t="inlineStr"/>
      <c r="G90" s="0" t="n">
        <v>1.5</v>
      </c>
      <c r="H90" s="37" t="n">
        <v>0.125</v>
      </c>
      <c r="I90" s="0" t="inlineStr"/>
      <c r="J90" s="0" t="n">
        <v>250</v>
      </c>
      <c r="K90" s="37" t="n">
        <v>1.08</v>
      </c>
      <c r="L90" s="38" t="n">
        <v>1031.25</v>
      </c>
      <c r="M90" s="38" t="n">
        <v>278437.5</v>
      </c>
      <c r="N90" s="0" t="inlineStr">
        <is>
          <t>Active TAM (MEDIUM confidence)</t>
        </is>
      </c>
      <c r="O90" s="0" t="inlineStr">
        <is>
          <t>Brand-standard Ruth's Chris 250-300. Address note: 1445 Market closed 2009, current location 707 15th St. | [Brand standard benchmark; PRNewswire](https://www.prnewswire.com/news-releases/denver-welcomes-ruths-chris-steak-house-to-the-mile-high-city-242296641.html)</t>
        </is>
      </c>
    </row>
    <row r="91">
      <c r="A91" s="0" t="inlineStr">
        <is>
          <t>STK Steakhouse Denver</t>
        </is>
      </c>
      <c r="B91" s="0" t="inlineStr">
        <is>
          <t>Restaurant</t>
        </is>
      </c>
      <c r="C91" s="39" t="inlineStr">
        <is>
          <t>Restaurant — Excluded</t>
        </is>
      </c>
      <c r="D91" s="0" t="inlineStr"/>
      <c r="E91" s="0" t="inlineStr"/>
      <c r="F91" s="0" t="inlineStr"/>
      <c r="G91" s="0" t="inlineStr"/>
      <c r="H91" s="0" t="inlineStr"/>
      <c r="I91" s="0" t="inlineStr"/>
      <c r="J91" s="0" t="inlineStr"/>
      <c r="K91" s="0" t="inlineStr"/>
      <c r="L91" s="0" t="inlineStr"/>
      <c r="M91" s="0" t="inlineStr"/>
      <c r="N91" s="0" t="inlineStr">
        <is>
          <t>EXCLUDED — no active valet / not eligible</t>
        </is>
      </c>
      <c r="O91" s="0" t="inlineStr">
        <is>
          <t>Not in eligible FD universe (steakhouse/fine dining with active independent valet)</t>
        </is>
      </c>
    </row>
    <row r="92">
      <c r="A92" s="0" t="inlineStr">
        <is>
          <t>Guard &amp; Grace</t>
        </is>
      </c>
      <c r="B92" s="0" t="inlineStr">
        <is>
          <t>Restaurant</t>
        </is>
      </c>
      <c r="C92" s="39" t="inlineStr">
        <is>
          <t>Restaurant — Excluded</t>
        </is>
      </c>
      <c r="D92" s="0" t="inlineStr"/>
      <c r="E92" s="0" t="inlineStr"/>
      <c r="F92" s="0" t="inlineStr"/>
      <c r="G92" s="0" t="inlineStr"/>
      <c r="H92" s="0" t="inlineStr"/>
      <c r="I92" s="0" t="inlineStr"/>
      <c r="J92" s="0" t="inlineStr"/>
      <c r="K92" s="0" t="inlineStr"/>
      <c r="L92" s="0" t="inlineStr"/>
      <c r="M92" s="0" t="inlineStr"/>
      <c r="N92" s="0" t="inlineStr">
        <is>
          <t>EXCLUDED — no active valet / not eligible</t>
        </is>
      </c>
      <c r="O92" s="0" t="inlineStr">
        <is>
          <t>Not in eligible FD universe (steakhouse/fine dining with active independent valet)</t>
        </is>
      </c>
    </row>
    <row r="93">
      <c r="A93" s="0" t="inlineStr">
        <is>
          <t>Elway's Downtown</t>
        </is>
      </c>
      <c r="B93" s="0" t="inlineStr">
        <is>
          <t>Restaurant</t>
        </is>
      </c>
      <c r="C93" s="39" t="inlineStr">
        <is>
          <t>Restaurant — Excluded</t>
        </is>
      </c>
      <c r="D93" s="0" t="inlineStr"/>
      <c r="E93" s="0" t="inlineStr"/>
      <c r="F93" s="0" t="inlineStr"/>
      <c r="G93" s="0" t="inlineStr"/>
      <c r="H93" s="0" t="inlineStr"/>
      <c r="I93" s="0" t="inlineStr"/>
      <c r="J93" s="0" t="inlineStr"/>
      <c r="K93" s="0" t="inlineStr"/>
      <c r="L93" s="0" t="inlineStr"/>
      <c r="M93" s="0" t="inlineStr"/>
      <c r="N93" s="0" t="inlineStr">
        <is>
          <t>EXCLUDED — no active valet / not eligible</t>
        </is>
      </c>
      <c r="O93" s="0" t="inlineStr">
        <is>
          <t>Not in eligible FD universe (steakhouse/fine dining with active independent valet)</t>
        </is>
      </c>
    </row>
    <row r="94">
      <c r="A94" s="0" t="inlineStr">
        <is>
          <t>Elway's Cherry Creek</t>
        </is>
      </c>
      <c r="B94" s="0" t="inlineStr">
        <is>
          <t>Restaurant</t>
        </is>
      </c>
      <c r="C94" s="39" t="inlineStr">
        <is>
          <t>Restaurant — Excluded</t>
        </is>
      </c>
      <c r="D94" s="0" t="inlineStr"/>
      <c r="E94" s="0" t="inlineStr"/>
      <c r="F94" s="0" t="inlineStr"/>
      <c r="G94" s="0" t="inlineStr"/>
      <c r="H94" s="0" t="inlineStr"/>
      <c r="I94" s="0" t="inlineStr"/>
      <c r="J94" s="0" t="inlineStr"/>
      <c r="K94" s="0" t="inlineStr"/>
      <c r="L94" s="0" t="inlineStr"/>
      <c r="M94" s="0" t="inlineStr"/>
      <c r="N94" s="0" t="inlineStr">
        <is>
          <t>EXCLUDED — no active valet / not eligible</t>
        </is>
      </c>
      <c r="O94" s="0" t="inlineStr">
        <is>
          <t>Not in eligible FD universe (steakhouse/fine dining with active independent valet)</t>
        </is>
      </c>
    </row>
    <row r="95">
      <c r="A95" s="0" t="inlineStr">
        <is>
          <t>Shanahan's Steakhouse</t>
        </is>
      </c>
      <c r="B95" s="0" t="inlineStr">
        <is>
          <t>Restaurant</t>
        </is>
      </c>
      <c r="C95" s="39" t="inlineStr">
        <is>
          <t>Restaurant — Steakhouse</t>
        </is>
      </c>
      <c r="D95" s="0" t="inlineStr"/>
      <c r="E95" s="0" t="n">
        <v>200</v>
      </c>
      <c r="F95" s="0" t="inlineStr"/>
      <c r="G95" s="0" t="n">
        <v>1.5</v>
      </c>
      <c r="H95" s="37" t="n">
        <v>0.125</v>
      </c>
      <c r="I95" s="0" t="inlineStr"/>
      <c r="J95" s="0" t="n">
        <v>250</v>
      </c>
      <c r="K95" s="37" t="n">
        <v>1.08</v>
      </c>
      <c r="L95" s="38" t="n">
        <v>750</v>
      </c>
      <c r="M95" s="38" t="n">
        <v>202500</v>
      </c>
      <c r="N95" s="0" t="inlineStr">
        <is>
          <t>Active TAM (LOW confidence)</t>
        </is>
      </c>
      <c r="O95" s="0" t="inlineStr">
        <is>
          <t>No published dining-room count. 200 seats is steakhouse default; private dining 72 confirmed. | [Shanahan's private dining](https://www.shanahanssteakhouse.com/private-dining)</t>
        </is>
      </c>
    </row>
    <row r="96">
      <c r="A96" s="0" t="inlineStr">
        <is>
          <t>Del Frisco's Double Eagle Steakhouse</t>
        </is>
      </c>
      <c r="B96" s="0" t="inlineStr">
        <is>
          <t>Restaurant</t>
        </is>
      </c>
      <c r="C96" s="39" t="inlineStr">
        <is>
          <t>Restaurant — Steakhouse</t>
        </is>
      </c>
      <c r="D96" s="0" t="inlineStr"/>
      <c r="E96" s="0" t="n">
        <v>450</v>
      </c>
      <c r="F96" s="0" t="inlineStr"/>
      <c r="G96" s="0" t="n">
        <v>1.5</v>
      </c>
      <c r="H96" s="37" t="n">
        <v>0.125</v>
      </c>
      <c r="I96" s="0" t="inlineStr"/>
      <c r="J96" s="0" t="n">
        <v>250</v>
      </c>
      <c r="K96" s="37" t="n">
        <v>1.08</v>
      </c>
      <c r="L96" s="38" t="n">
        <v>1687.5</v>
      </c>
      <c r="M96" s="38" t="n">
        <v>455625.0000000001</v>
      </c>
      <c r="N96" s="0" t="inlineStr">
        <is>
          <t>Active TAM (HIGH confidence)</t>
        </is>
      </c>
      <c r="O96" s="0" t="inlineStr">
        <is>
          <t>Published 450 seats post-2018 renovation. Largest of the 7. | [303 Magazine](https://303magazine.com/2018/11/del-friscos-double-eagle-steak-house-new-menu/)</t>
        </is>
      </c>
    </row>
    <row r="97">
      <c r="A97" s="0" t="inlineStr">
        <is>
          <t>Del Frisco's Grille - Cherry Creek</t>
        </is>
      </c>
      <c r="B97" s="0" t="inlineStr">
        <is>
          <t>Restaurant</t>
        </is>
      </c>
      <c r="C97" s="39" t="inlineStr">
        <is>
          <t>Restaurant — Excluded</t>
        </is>
      </c>
      <c r="D97" s="0" t="inlineStr"/>
      <c r="E97" s="0" t="inlineStr"/>
      <c r="F97" s="0" t="inlineStr"/>
      <c r="G97" s="0" t="inlineStr"/>
      <c r="H97" s="0" t="inlineStr"/>
      <c r="I97" s="0" t="inlineStr"/>
      <c r="J97" s="0" t="inlineStr"/>
      <c r="K97" s="0" t="inlineStr"/>
      <c r="L97" s="0" t="inlineStr"/>
      <c r="M97" s="0" t="inlineStr"/>
      <c r="N97" s="0" t="inlineStr">
        <is>
          <t>EXCLUDED — no active valet / not eligible</t>
        </is>
      </c>
      <c r="O97" s="0" t="inlineStr">
        <is>
          <t>Not in eligible FD universe (steakhouse/fine dining with active independent valet)</t>
        </is>
      </c>
    </row>
    <row r="98">
      <c r="A98" s="0" t="inlineStr">
        <is>
          <t>Tavernetta</t>
        </is>
      </c>
      <c r="B98" s="0" t="inlineStr">
        <is>
          <t>Restaurant</t>
        </is>
      </c>
      <c r="C98" s="39" t="inlineStr">
        <is>
          <t>Restaurant — Excluded</t>
        </is>
      </c>
      <c r="D98" s="0" t="inlineStr"/>
      <c r="E98" s="0" t="inlineStr"/>
      <c r="F98" s="0" t="inlineStr"/>
      <c r="G98" s="0" t="inlineStr"/>
      <c r="H98" s="0" t="inlineStr"/>
      <c r="I98" s="0" t="inlineStr"/>
      <c r="J98" s="0" t="inlineStr"/>
      <c r="K98" s="0" t="inlineStr"/>
      <c r="L98" s="0" t="inlineStr"/>
      <c r="M98" s="0" t="inlineStr"/>
      <c r="N98" s="0" t="inlineStr">
        <is>
          <t>EXCLUDED — no active valet / not eligible</t>
        </is>
      </c>
      <c r="O98" s="0" t="inlineStr">
        <is>
          <t>Not in eligible FD universe (steakhouse/fine dining with active independent valet)</t>
        </is>
      </c>
    </row>
    <row r="99">
      <c r="A99" s="0" t="inlineStr">
        <is>
          <t>Sunday Vinyl</t>
        </is>
      </c>
      <c r="B99" s="0" t="inlineStr">
        <is>
          <t>Restaurant</t>
        </is>
      </c>
      <c r="C99" s="39" t="inlineStr">
        <is>
          <t>Restaurant — Excluded</t>
        </is>
      </c>
      <c r="D99" s="0" t="inlineStr"/>
      <c r="E99" s="0" t="inlineStr"/>
      <c r="F99" s="0" t="inlineStr"/>
      <c r="G99" s="0" t="inlineStr"/>
      <c r="H99" s="0" t="inlineStr"/>
      <c r="I99" s="0" t="inlineStr"/>
      <c r="J99" s="0" t="inlineStr"/>
      <c r="K99" s="0" t="inlineStr"/>
      <c r="L99" s="0" t="inlineStr"/>
      <c r="M99" s="0" t="inlineStr"/>
      <c r="N99" s="0" t="inlineStr">
        <is>
          <t>EXCLUDED — no active valet / not eligible</t>
        </is>
      </c>
      <c r="O99" s="0" t="inlineStr">
        <is>
          <t>Not in eligible FD universe (steakhouse/fine dining with active independent valet)</t>
        </is>
      </c>
    </row>
    <row r="100">
      <c r="A100" s="0" t="inlineStr">
        <is>
          <t>Frasca Food and Wine</t>
        </is>
      </c>
      <c r="B100" s="0" t="inlineStr">
        <is>
          <t>Restaurant</t>
        </is>
      </c>
      <c r="C100" s="39" t="inlineStr">
        <is>
          <t>Restaurant — Excluded</t>
        </is>
      </c>
      <c r="D100" s="0" t="inlineStr"/>
      <c r="E100" s="0" t="inlineStr"/>
      <c r="F100" s="0" t="inlineStr"/>
      <c r="G100" s="0" t="inlineStr"/>
      <c r="H100" s="0" t="inlineStr"/>
      <c r="I100" s="0" t="inlineStr"/>
      <c r="J100" s="0" t="inlineStr"/>
      <c r="K100" s="0" t="inlineStr"/>
      <c r="L100" s="0" t="inlineStr"/>
      <c r="M100" s="0" t="inlineStr"/>
      <c r="N100" s="0" t="inlineStr">
        <is>
          <t>EXCLUDED — no active valet / not eligible</t>
        </is>
      </c>
      <c r="O100" s="0" t="inlineStr">
        <is>
          <t>Not in eligible FD universe (steakhouse/fine dining with active independent valet)</t>
        </is>
      </c>
    </row>
    <row r="101">
      <c r="A101" s="0" t="inlineStr">
        <is>
          <t>Rioja</t>
        </is>
      </c>
      <c r="B101" s="0" t="inlineStr">
        <is>
          <t>Restaurant</t>
        </is>
      </c>
      <c r="C101" s="39" t="inlineStr">
        <is>
          <t>Restaurant — Excluded</t>
        </is>
      </c>
      <c r="D101" s="0" t="inlineStr"/>
      <c r="E101" s="0" t="inlineStr"/>
      <c r="F101" s="0" t="inlineStr"/>
      <c r="G101" s="0" t="inlineStr"/>
      <c r="H101" s="0" t="inlineStr"/>
      <c r="I101" s="0" t="inlineStr"/>
      <c r="J101" s="0" t="inlineStr"/>
      <c r="K101" s="0" t="inlineStr"/>
      <c r="L101" s="0" t="inlineStr"/>
      <c r="M101" s="0" t="inlineStr"/>
      <c r="N101" s="0" t="inlineStr">
        <is>
          <t>EXCLUDED — no active valet / not eligible</t>
        </is>
      </c>
      <c r="O101" s="0" t="inlineStr">
        <is>
          <t>Not in eligible FD universe (steakhouse/fine dining with active independent valet)</t>
        </is>
      </c>
    </row>
    <row r="102">
      <c r="A102" s="0" t="inlineStr">
        <is>
          <t>Barolo Grill</t>
        </is>
      </c>
      <c r="B102" s="0" t="inlineStr">
        <is>
          <t>Restaurant</t>
        </is>
      </c>
      <c r="C102" s="39" t="inlineStr">
        <is>
          <t>Restaurant — Excluded</t>
        </is>
      </c>
      <c r="D102" s="0" t="inlineStr"/>
      <c r="E102" s="0" t="inlineStr"/>
      <c r="F102" s="0" t="inlineStr"/>
      <c r="G102" s="0" t="inlineStr"/>
      <c r="H102" s="0" t="inlineStr"/>
      <c r="I102" s="0" t="inlineStr"/>
      <c r="J102" s="0" t="inlineStr"/>
      <c r="K102" s="0" t="inlineStr"/>
      <c r="L102" s="0" t="inlineStr"/>
      <c r="M102" s="0" t="inlineStr"/>
      <c r="N102" s="0" t="inlineStr">
        <is>
          <t>EXCLUDED — no active valet / not eligible</t>
        </is>
      </c>
      <c r="O102" s="0" t="inlineStr">
        <is>
          <t>Not in eligible FD universe (steakhouse/fine dining with active independent valet)</t>
        </is>
      </c>
    </row>
    <row r="103">
      <c r="A103" s="0" t="inlineStr">
        <is>
          <t>Mizuna</t>
        </is>
      </c>
      <c r="B103" s="0" t="inlineStr">
        <is>
          <t>Restaurant</t>
        </is>
      </c>
      <c r="C103" s="39" t="inlineStr">
        <is>
          <t>Restaurant — Fine Dining (boutique)</t>
        </is>
      </c>
      <c r="D103" s="0" t="inlineStr"/>
      <c r="E103" s="0" t="n">
        <v>79</v>
      </c>
      <c r="F103" s="0" t="inlineStr"/>
      <c r="G103" s="0" t="n">
        <v>1.5</v>
      </c>
      <c r="H103" s="37" t="n">
        <v>0.125</v>
      </c>
      <c r="I103" s="0" t="inlineStr"/>
      <c r="J103" s="0" t="n">
        <v>250</v>
      </c>
      <c r="K103" s="37" t="n">
        <v>1.08</v>
      </c>
      <c r="L103" s="38" t="n">
        <v>296.25</v>
      </c>
      <c r="M103" s="38" t="n">
        <v>79987.5</v>
      </c>
      <c r="N103" s="0" t="inlineStr">
        <is>
          <t>Active TAM (HIGH confidence)</t>
        </is>
      </c>
      <c r="O103" s="0" t="inlineStr">
        <is>
          <t>55 dining + 24 private = 79 published. Smallest of the 7; boutique chef-driven fine dining. | [Cvent](https://www.cvent.com/venues/denver/restaurant/mizuna/venue-1a94c9f1-8d62-4ccd-b90f-bb633aa3d6e4)</t>
        </is>
      </c>
    </row>
    <row r="104">
      <c r="A104" s="0" t="inlineStr">
        <is>
          <t>Wildflower</t>
        </is>
      </c>
      <c r="B104" s="0" t="inlineStr">
        <is>
          <t>Restaurant</t>
        </is>
      </c>
      <c r="C104" s="39" t="inlineStr">
        <is>
          <t>Restaurant — Excluded</t>
        </is>
      </c>
      <c r="D104" s="0" t="inlineStr"/>
      <c r="E104" s="0" t="inlineStr"/>
      <c r="F104" s="0" t="inlineStr"/>
      <c r="G104" s="0" t="inlineStr"/>
      <c r="H104" s="0" t="inlineStr"/>
      <c r="I104" s="0" t="inlineStr"/>
      <c r="J104" s="0" t="inlineStr"/>
      <c r="K104" s="0" t="inlineStr"/>
      <c r="L104" s="0" t="inlineStr"/>
      <c r="M104" s="0" t="inlineStr"/>
      <c r="N104" s="0" t="inlineStr">
        <is>
          <t>EXCLUDED — no active valet / not eligible</t>
        </is>
      </c>
      <c r="O104" s="0" t="inlineStr">
        <is>
          <t>Not in eligible FD universe (steakhouse/fine dining with active independent valet)</t>
        </is>
      </c>
    </row>
    <row r="105">
      <c r="A105" s="0" t="inlineStr">
        <is>
          <t>Le Colonial Denver</t>
        </is>
      </c>
      <c r="B105" s="0" t="inlineStr">
        <is>
          <t>Restaurant</t>
        </is>
      </c>
      <c r="C105" s="39" t="inlineStr">
        <is>
          <t>Restaurant — French-Vietnamese Fine Dining</t>
        </is>
      </c>
      <c r="D105" s="0" t="inlineStr"/>
      <c r="E105" s="0" t="n">
        <v>220</v>
      </c>
      <c r="F105" s="0" t="inlineStr"/>
      <c r="G105" s="0" t="n">
        <v>1.5</v>
      </c>
      <c r="H105" s="37" t="n">
        <v>0.125</v>
      </c>
      <c r="I105" s="0" t="inlineStr"/>
      <c r="J105" s="0" t="n">
        <v>250</v>
      </c>
      <c r="K105" s="37" t="n">
        <v>1.08</v>
      </c>
      <c r="L105" s="38" t="n">
        <v>825</v>
      </c>
      <c r="M105" s="38" t="n">
        <v>222750</v>
      </c>
      <c r="N105" s="0" t="inlineStr">
        <is>
          <t>Active TAM (LOW confidence)</t>
        </is>
      </c>
      <c r="O105" s="0" t="inlineStr">
        <is>
          <t>Research computed 400 from 6K sqft gross (includes kitchen/bar/aisles). Realistic FD dining ~200-240. | [Meetings + Events](https://meetingsmags.com/colorado/co_news/le-colonial-debuts-in-denver/)</t>
        </is>
      </c>
    </row>
    <row r="106">
      <c r="A106" s="0" t="inlineStr">
        <is>
          <t>Water Grill Denver</t>
        </is>
      </c>
      <c r="B106" s="0" t="inlineStr">
        <is>
          <t>Restaurant</t>
        </is>
      </c>
      <c r="C106" s="39" t="inlineStr">
        <is>
          <t>Restaurant — Seafood</t>
        </is>
      </c>
      <c r="D106" s="0" t="inlineStr"/>
      <c r="E106" s="0" t="n">
        <v>346</v>
      </c>
      <c r="F106" s="0" t="inlineStr"/>
      <c r="G106" s="0" t="n">
        <v>1.5</v>
      </c>
      <c r="H106" s="37" t="n">
        <v>0.125</v>
      </c>
      <c r="I106" s="0" t="inlineStr"/>
      <c r="J106" s="0" t="n">
        <v>250</v>
      </c>
      <c r="K106" s="37" t="n">
        <v>1.08</v>
      </c>
      <c r="L106" s="38" t="n">
        <v>1297.5</v>
      </c>
      <c r="M106" s="38" t="n">
        <v>350325</v>
      </c>
      <c r="N106" s="0" t="inlineStr">
        <is>
          <t>Active TAM (HIGH confidence)</t>
        </is>
      </c>
      <c r="O106" s="0" t="inlineStr">
        <is>
          <t>240 dining + 70 private + 36 bar = 346 — fully published. | [City Lifestyle](https://citylifestyle.com/articles/lodos-up-and-coming-water-grill), [Water Grill](https://www.watergrill.com/denver)</t>
        </is>
      </c>
    </row>
    <row r="107">
      <c r="A107" s="0" t="inlineStr">
        <is>
          <t>Corinne Denver</t>
        </is>
      </c>
      <c r="B107" s="0" t="inlineStr">
        <is>
          <t>Restaurant</t>
        </is>
      </c>
      <c r="C107" s="39" t="inlineStr">
        <is>
          <t>Restaurant — Excluded</t>
        </is>
      </c>
      <c r="D107" s="0" t="inlineStr"/>
      <c r="E107" s="0" t="inlineStr"/>
      <c r="F107" s="0" t="inlineStr"/>
      <c r="G107" s="0" t="inlineStr"/>
      <c r="H107" s="0" t="inlineStr"/>
      <c r="I107" s="0" t="inlineStr"/>
      <c r="J107" s="0" t="inlineStr"/>
      <c r="K107" s="0" t="inlineStr"/>
      <c r="L107" s="0" t="inlineStr"/>
      <c r="M107" s="0" t="inlineStr"/>
      <c r="N107" s="0" t="inlineStr">
        <is>
          <t>EXCLUDED — no active valet / not eligible</t>
        </is>
      </c>
      <c r="O107" s="0" t="inlineStr">
        <is>
          <t>Not in eligible FD universe (steakhouse/fine dining with active independent valet)</t>
        </is>
      </c>
    </row>
    <row r="108">
      <c r="A108" s="0" t="inlineStr">
        <is>
          <t>Salt Water Social</t>
        </is>
      </c>
      <c r="B108" s="0" t="inlineStr">
        <is>
          <t>Restaurant</t>
        </is>
      </c>
      <c r="C108" s="39" t="inlineStr">
        <is>
          <t>Restaurant — Excluded</t>
        </is>
      </c>
      <c r="D108" s="0" t="inlineStr"/>
      <c r="E108" s="0" t="inlineStr"/>
      <c r="F108" s="0" t="inlineStr"/>
      <c r="G108" s="0" t="inlineStr"/>
      <c r="H108" s="0" t="inlineStr"/>
      <c r="I108" s="0" t="inlineStr"/>
      <c r="J108" s="0" t="inlineStr"/>
      <c r="K108" s="0" t="inlineStr"/>
      <c r="L108" s="0" t="inlineStr"/>
      <c r="M108" s="0" t="inlineStr"/>
      <c r="N108" s="0" t="inlineStr">
        <is>
          <t>EXCLUDED — no active valet / not eligible</t>
        </is>
      </c>
      <c r="O108" s="0" t="inlineStr">
        <is>
          <t>Not in eligible FD universe (steakhouse/fine dining with active independent valet)</t>
        </is>
      </c>
    </row>
    <row r="109">
      <c r="A109" s="0" t="inlineStr">
        <is>
          <t>Alma Fonda Fina</t>
        </is>
      </c>
      <c r="B109" s="0" t="inlineStr">
        <is>
          <t>Restaurant</t>
        </is>
      </c>
      <c r="C109" s="39" t="inlineStr">
        <is>
          <t>Restaurant — Excluded</t>
        </is>
      </c>
      <c r="D109" s="0" t="inlineStr"/>
      <c r="E109" s="0" t="inlineStr"/>
      <c r="F109" s="0" t="inlineStr"/>
      <c r="G109" s="0" t="inlineStr"/>
      <c r="H109" s="0" t="inlineStr"/>
      <c r="I109" s="0" t="inlineStr"/>
      <c r="J109" s="0" t="inlineStr"/>
      <c r="K109" s="0" t="inlineStr"/>
      <c r="L109" s="0" t="inlineStr"/>
      <c r="M109" s="0" t="inlineStr"/>
      <c r="N109" s="0" t="inlineStr">
        <is>
          <t>EXCLUDED — no active valet / not eligible</t>
        </is>
      </c>
      <c r="O109" s="0" t="inlineStr">
        <is>
          <t>Not in eligible FD universe (steakhouse/fine dining with active independent valet)</t>
        </is>
      </c>
    </row>
    <row r="110">
      <c r="A110" s="0" t="inlineStr">
        <is>
          <t>UCHealth University of Colorado Hospital</t>
        </is>
      </c>
      <c r="B110" s="0" t="inlineStr">
        <is>
          <t>Hospital</t>
        </is>
      </c>
      <c r="C110" s="40" t="inlineStr">
        <is>
          <t>Hospital — Qualitative</t>
        </is>
      </c>
      <c r="D110" s="0" t="inlineStr"/>
      <c r="E110" s="0" t="inlineStr"/>
      <c r="F110" s="0" t="inlineStr"/>
      <c r="G110" s="0" t="inlineStr"/>
      <c r="H110" s="0" t="inlineStr"/>
      <c r="I110" s="0" t="inlineStr"/>
      <c r="J110" s="0" t="inlineStr"/>
      <c r="K110" s="0" t="inlineStr"/>
      <c r="L110" s="0" t="inlineStr"/>
      <c r="M110" s="0" t="inlineStr"/>
      <c r="N110" s="0" t="inlineStr">
        <is>
          <t>PIPELINE ONLY</t>
        </is>
      </c>
      <c r="O110" s="0" t="inlineStr">
        <is>
          <t>Hospital deals are RFP/profit-share; excluded from TAM until IU Health benchmark formalized</t>
        </is>
      </c>
    </row>
    <row r="111">
      <c r="A111" s="0" t="inlineStr">
        <is>
          <t>Denver Health Medical Center</t>
        </is>
      </c>
      <c r="B111" s="0" t="inlineStr">
        <is>
          <t>Hospital</t>
        </is>
      </c>
      <c r="C111" s="40" t="inlineStr">
        <is>
          <t>Hospital — Qualitative</t>
        </is>
      </c>
      <c r="D111" s="0" t="inlineStr"/>
      <c r="E111" s="0" t="inlineStr"/>
      <c r="F111" s="0" t="inlineStr"/>
      <c r="G111" s="0" t="inlineStr"/>
      <c r="H111" s="0" t="inlineStr"/>
      <c r="I111" s="0" t="inlineStr"/>
      <c r="J111" s="0" t="inlineStr"/>
      <c r="K111" s="0" t="inlineStr"/>
      <c r="L111" s="0" t="inlineStr"/>
      <c r="M111" s="0" t="inlineStr"/>
      <c r="N111" s="0" t="inlineStr">
        <is>
          <t>PIPELINE ONLY</t>
        </is>
      </c>
      <c r="O111" s="0" t="inlineStr">
        <is>
          <t>Hospital deals are RFP/profit-share; excluded from TAM until IU Health benchmark formalized</t>
        </is>
      </c>
    </row>
    <row r="112">
      <c r="A112" s="0" t="inlineStr">
        <is>
          <t>National Jewish Health</t>
        </is>
      </c>
      <c r="B112" s="0" t="inlineStr">
        <is>
          <t>Hospital</t>
        </is>
      </c>
      <c r="C112" s="40" t="inlineStr">
        <is>
          <t>Hospital — Qualitative</t>
        </is>
      </c>
      <c r="D112" s="0" t="inlineStr"/>
      <c r="E112" s="0" t="inlineStr"/>
      <c r="F112" s="0" t="inlineStr"/>
      <c r="G112" s="0" t="inlineStr"/>
      <c r="H112" s="0" t="inlineStr"/>
      <c r="I112" s="0" t="inlineStr"/>
      <c r="J112" s="0" t="inlineStr"/>
      <c r="K112" s="0" t="inlineStr"/>
      <c r="L112" s="0" t="inlineStr"/>
      <c r="M112" s="0" t="inlineStr"/>
      <c r="N112" s="0" t="inlineStr">
        <is>
          <t>PIPELINE ONLY</t>
        </is>
      </c>
      <c r="O112" s="0" t="inlineStr">
        <is>
          <t>Hospital deals are RFP/profit-share; excluded from TAM until IU Health benchmark formalized</t>
        </is>
      </c>
    </row>
    <row r="113">
      <c r="A113" s="0" t="inlineStr">
        <is>
          <t>Rose Medical Center (HCA HealthONE Rose)</t>
        </is>
      </c>
      <c r="B113" s="0" t="inlineStr">
        <is>
          <t>Hospital</t>
        </is>
      </c>
      <c r="C113" s="40" t="inlineStr">
        <is>
          <t>Hospital — Qualitative</t>
        </is>
      </c>
      <c r="D113" s="0" t="inlineStr"/>
      <c r="E113" s="0" t="inlineStr"/>
      <c r="F113" s="0" t="inlineStr"/>
      <c r="G113" s="0" t="inlineStr"/>
      <c r="H113" s="0" t="inlineStr"/>
      <c r="I113" s="0" t="inlineStr"/>
      <c r="J113" s="0" t="inlineStr"/>
      <c r="K113" s="0" t="inlineStr"/>
      <c r="L113" s="0" t="inlineStr"/>
      <c r="M113" s="0" t="inlineStr"/>
      <c r="N113" s="0" t="inlineStr">
        <is>
          <t>PIPELINE ONLY</t>
        </is>
      </c>
      <c r="O113" s="0" t="inlineStr">
        <is>
          <t>Hospital deals are RFP/profit-share; excluded from TAM until IU Health benchmark formalized</t>
        </is>
      </c>
    </row>
    <row r="114">
      <c r="A114" s="0" t="inlineStr">
        <is>
          <t>Presbyterian/St. Luke's Medical Center (HCA HealthONE PSL)</t>
        </is>
      </c>
      <c r="B114" s="0" t="inlineStr">
        <is>
          <t>Hospital</t>
        </is>
      </c>
      <c r="C114" s="40" t="inlineStr">
        <is>
          <t>Hospital — Qualitative</t>
        </is>
      </c>
      <c r="D114" s="0" t="inlineStr"/>
      <c r="E114" s="0" t="inlineStr"/>
      <c r="F114" s="0" t="inlineStr"/>
      <c r="G114" s="0" t="inlineStr"/>
      <c r="H114" s="0" t="inlineStr"/>
      <c r="I114" s="0" t="inlineStr"/>
      <c r="J114" s="0" t="inlineStr"/>
      <c r="K114" s="0" t="inlineStr"/>
      <c r="L114" s="0" t="inlineStr"/>
      <c r="M114" s="0" t="inlineStr"/>
      <c r="N114" s="0" t="inlineStr">
        <is>
          <t>PIPELINE ONLY</t>
        </is>
      </c>
      <c r="O114" s="0" t="inlineStr">
        <is>
          <t>Hospital deals are RFP/profit-share; excluded from TAM until IU Health benchmark formalized</t>
        </is>
      </c>
    </row>
    <row r="115">
      <c r="A115" s="0" t="inlineStr">
        <is>
          <t>Swedish Medical Center (HCA HealthONE Swedish)</t>
        </is>
      </c>
      <c r="B115" s="0" t="inlineStr">
        <is>
          <t>Hospital</t>
        </is>
      </c>
      <c r="C115" s="40" t="inlineStr">
        <is>
          <t>Hospital — Qualitative</t>
        </is>
      </c>
      <c r="D115" s="0" t="inlineStr"/>
      <c r="E115" s="0" t="inlineStr"/>
      <c r="F115" s="0" t="inlineStr"/>
      <c r="G115" s="0" t="inlineStr"/>
      <c r="H115" s="0" t="inlineStr"/>
      <c r="I115" s="0" t="inlineStr"/>
      <c r="J115" s="0" t="inlineStr"/>
      <c r="K115" s="0" t="inlineStr"/>
      <c r="L115" s="0" t="inlineStr"/>
      <c r="M115" s="0" t="inlineStr"/>
      <c r="N115" s="0" t="inlineStr">
        <is>
          <t>PIPELINE ONLY</t>
        </is>
      </c>
      <c r="O115" s="0" t="inlineStr">
        <is>
          <t>Hospital deals are RFP/profit-share; excluded from TAM until IU Health benchmark formalized</t>
        </is>
      </c>
    </row>
    <row r="116">
      <c r="A116" s="0" t="inlineStr">
        <is>
          <t>Sky Ridge Medical Center (HCA HealthONE Sky Ridge)</t>
        </is>
      </c>
      <c r="B116" s="0" t="inlineStr">
        <is>
          <t>Hospital</t>
        </is>
      </c>
      <c r="C116" s="40" t="inlineStr">
        <is>
          <t>Hospital — Qualitative</t>
        </is>
      </c>
      <c r="D116" s="0" t="inlineStr"/>
      <c r="E116" s="0" t="inlineStr"/>
      <c r="F116" s="0" t="inlineStr"/>
      <c r="G116" s="0" t="inlineStr"/>
      <c r="H116" s="0" t="inlineStr"/>
      <c r="I116" s="0" t="inlineStr"/>
      <c r="J116" s="0" t="inlineStr"/>
      <c r="K116" s="0" t="inlineStr"/>
      <c r="L116" s="0" t="inlineStr"/>
      <c r="M116" s="0" t="inlineStr"/>
      <c r="N116" s="0" t="inlineStr">
        <is>
          <t>PIPELINE ONLY</t>
        </is>
      </c>
      <c r="O116" s="0" t="inlineStr">
        <is>
          <t>Hospital deals are RFP/profit-share; excluded from TAM until IU Health benchmark formalized</t>
        </is>
      </c>
    </row>
    <row r="117">
      <c r="A117" s="0" t="inlineStr">
        <is>
          <t>AdventHealth Porter (formerly Porter Adventist Hospital)</t>
        </is>
      </c>
      <c r="B117" s="0" t="inlineStr">
        <is>
          <t>Hospital</t>
        </is>
      </c>
      <c r="C117" s="40" t="inlineStr">
        <is>
          <t>Hospital — Qualitative</t>
        </is>
      </c>
      <c r="D117" s="0" t="inlineStr"/>
      <c r="E117" s="0" t="inlineStr"/>
      <c r="F117" s="0" t="inlineStr"/>
      <c r="G117" s="0" t="inlineStr"/>
      <c r="H117" s="0" t="inlineStr"/>
      <c r="I117" s="0" t="inlineStr"/>
      <c r="J117" s="0" t="inlineStr"/>
      <c r="K117" s="0" t="inlineStr"/>
      <c r="L117" s="0" t="inlineStr"/>
      <c r="M117" s="0" t="inlineStr"/>
      <c r="N117" s="0" t="inlineStr">
        <is>
          <t>PIPELINE ONLY</t>
        </is>
      </c>
      <c r="O117" s="0" t="inlineStr">
        <is>
          <t>Hospital deals are RFP/profit-share; excluded from TAM until IU Health benchmark formalized</t>
        </is>
      </c>
    </row>
    <row r="118">
      <c r="A118" s="0" t="inlineStr">
        <is>
          <t>Children's Hospital Colorado (Anschutz Campus)</t>
        </is>
      </c>
      <c r="B118" s="0" t="inlineStr">
        <is>
          <t>Hospital</t>
        </is>
      </c>
      <c r="C118" s="40" t="inlineStr">
        <is>
          <t>Hospital — Qualitative</t>
        </is>
      </c>
      <c r="D118" s="0" t="inlineStr"/>
      <c r="E118" s="0" t="inlineStr"/>
      <c r="F118" s="0" t="inlineStr"/>
      <c r="G118" s="0" t="inlineStr"/>
      <c r="H118" s="0" t="inlineStr"/>
      <c r="I118" s="0" t="inlineStr"/>
      <c r="J118" s="0" t="inlineStr"/>
      <c r="K118" s="0" t="inlineStr"/>
      <c r="L118" s="0" t="inlineStr"/>
      <c r="M118" s="0" t="inlineStr"/>
      <c r="N118" s="0" t="inlineStr">
        <is>
          <t>PIPELINE ONLY</t>
        </is>
      </c>
      <c r="O118" s="0" t="inlineStr">
        <is>
          <t>Hospital deals are RFP/profit-share; excluded from TAM until IU Health benchmark formalized</t>
        </is>
      </c>
    </row>
    <row r="119">
      <c r="A119" s="0" t="inlineStr">
        <is>
          <t>Rocky Mountain Regional VA Medical Center</t>
        </is>
      </c>
      <c r="B119" s="0" t="inlineStr">
        <is>
          <t>Hospital</t>
        </is>
      </c>
      <c r="C119" s="40" t="inlineStr">
        <is>
          <t>Hospital — Qualitative</t>
        </is>
      </c>
      <c r="D119" s="0" t="inlineStr"/>
      <c r="E119" s="0" t="inlineStr"/>
      <c r="F119" s="0" t="inlineStr"/>
      <c r="G119" s="0" t="inlineStr"/>
      <c r="H119" s="0" t="inlineStr"/>
      <c r="I119" s="0" t="inlineStr"/>
      <c r="J119" s="0" t="inlineStr"/>
      <c r="K119" s="0" t="inlineStr"/>
      <c r="L119" s="0" t="inlineStr"/>
      <c r="M119" s="0" t="inlineStr"/>
      <c r="N119" s="0" t="inlineStr">
        <is>
          <t>PIPELINE ONLY</t>
        </is>
      </c>
      <c r="O119" s="0" t="inlineStr">
        <is>
          <t>Hospital deals are RFP/profit-share; excluded from TAM until IU Health benchmark formalized</t>
        </is>
      </c>
    </row>
    <row r="120">
      <c r="A120" s="0" t="inlineStr">
        <is>
          <t>Saint Joseph Hospital (Intermountain Health)</t>
        </is>
      </c>
      <c r="B120" s="0" t="inlineStr">
        <is>
          <t>Hospital</t>
        </is>
      </c>
      <c r="C120" s="40" t="inlineStr">
        <is>
          <t>Hospital — Qualitative</t>
        </is>
      </c>
      <c r="D120" s="0" t="inlineStr"/>
      <c r="E120" s="0" t="inlineStr"/>
      <c r="F120" s="0" t="inlineStr"/>
      <c r="G120" s="0" t="inlineStr"/>
      <c r="H120" s="0" t="inlineStr"/>
      <c r="I120" s="0" t="inlineStr"/>
      <c r="J120" s="0" t="inlineStr"/>
      <c r="K120" s="0" t="inlineStr"/>
      <c r="L120" s="0" t="inlineStr"/>
      <c r="M120" s="0" t="inlineStr"/>
      <c r="N120" s="0" t="inlineStr">
        <is>
          <t>PIPELINE ONLY</t>
        </is>
      </c>
      <c r="O120" s="0" t="inlineStr">
        <is>
          <t>Hospital deals are RFP/profit-share; excluded from TAM until IU Health benchmark formalized</t>
        </is>
      </c>
    </row>
    <row r="121">
      <c r="A121" s="0" t="inlineStr">
        <is>
          <t>St. Anthony Hospital (CommonSpirit/Centura)</t>
        </is>
      </c>
      <c r="B121" s="0" t="inlineStr">
        <is>
          <t>Hospital</t>
        </is>
      </c>
      <c r="C121" s="40" t="inlineStr">
        <is>
          <t>Hospital — Qualitative</t>
        </is>
      </c>
      <c r="D121" s="0" t="inlineStr"/>
      <c r="E121" s="0" t="inlineStr"/>
      <c r="F121" s="0" t="inlineStr"/>
      <c r="G121" s="0" t="inlineStr"/>
      <c r="H121" s="0" t="inlineStr"/>
      <c r="I121" s="0" t="inlineStr"/>
      <c r="J121" s="0" t="inlineStr"/>
      <c r="K121" s="0" t="inlineStr"/>
      <c r="L121" s="0" t="inlineStr"/>
      <c r="M121" s="0" t="inlineStr"/>
      <c r="N121" s="0" t="inlineStr">
        <is>
          <t>PIPELINE ONLY</t>
        </is>
      </c>
      <c r="O121" s="0" t="inlineStr">
        <is>
          <t>Hospital deals are RFP/profit-share; excluded from TAM until IU Health benchmark formalized</t>
        </is>
      </c>
    </row>
    <row r="122">
      <c r="A122" s="0" t="inlineStr">
        <is>
          <t>Colorado Convention Center</t>
        </is>
      </c>
      <c r="B122" s="0" t="inlineStr">
        <is>
          <t>Event Venue</t>
        </is>
      </c>
      <c r="C122" s="40" t="inlineStr">
        <is>
          <t>Venue — Qualitative</t>
        </is>
      </c>
      <c r="D122" s="0" t="inlineStr"/>
      <c r="E122" s="0" t="inlineStr"/>
      <c r="F122" s="0" t="inlineStr"/>
      <c r="G122" s="0" t="inlineStr"/>
      <c r="H122" s="0" t="inlineStr"/>
      <c r="I122" s="0" t="inlineStr"/>
      <c r="J122" s="0" t="inlineStr"/>
      <c r="K122" s="0" t="inlineStr"/>
      <c r="L122" s="0" t="inlineStr"/>
      <c r="M122" s="0" t="inlineStr"/>
      <c r="N122" s="0" t="inlineStr">
        <is>
          <t>PIPELINE ONLY</t>
        </is>
      </c>
      <c r="O122" s="0" t="inlineStr">
        <is>
          <t>Event venues driven by attendance + event calendar; strategic relationship opportunity</t>
        </is>
      </c>
    </row>
    <row r="123">
      <c r="A123" s="0" t="inlineStr">
        <is>
          <t>Denver Performing Arts Complex (DPAC) / Bellco Theatre</t>
        </is>
      </c>
      <c r="B123" s="0" t="inlineStr">
        <is>
          <t>Event Venue</t>
        </is>
      </c>
      <c r="C123" s="40" t="inlineStr">
        <is>
          <t>Venue — Qualitative</t>
        </is>
      </c>
      <c r="D123" s="0" t="inlineStr"/>
      <c r="E123" s="0" t="inlineStr"/>
      <c r="F123" s="0" t="inlineStr"/>
      <c r="G123" s="0" t="inlineStr"/>
      <c r="H123" s="0" t="inlineStr"/>
      <c r="I123" s="0" t="inlineStr"/>
      <c r="J123" s="0" t="inlineStr"/>
      <c r="K123" s="0" t="inlineStr"/>
      <c r="L123" s="0" t="inlineStr"/>
      <c r="M123" s="0" t="inlineStr"/>
      <c r="N123" s="0" t="inlineStr">
        <is>
          <t>PIPELINE ONLY</t>
        </is>
      </c>
      <c r="O123" s="0" t="inlineStr">
        <is>
          <t>Event venues driven by attendance + event calendar; strategic relationship opportunity</t>
        </is>
      </c>
    </row>
    <row r="124">
      <c r="A124" s="0" t="inlineStr">
        <is>
          <t>Ellie Caulkins Opera House</t>
        </is>
      </c>
      <c r="B124" s="0" t="inlineStr">
        <is>
          <t>Event Venue</t>
        </is>
      </c>
      <c r="C124" s="40" t="inlineStr">
        <is>
          <t>Venue — Qualitative</t>
        </is>
      </c>
      <c r="D124" s="0" t="inlineStr"/>
      <c r="E124" s="0" t="inlineStr"/>
      <c r="F124" s="0" t="inlineStr"/>
      <c r="G124" s="0" t="inlineStr"/>
      <c r="H124" s="0" t="inlineStr"/>
      <c r="I124" s="0" t="inlineStr"/>
      <c r="J124" s="0" t="inlineStr"/>
      <c r="K124" s="0" t="inlineStr"/>
      <c r="L124" s="0" t="inlineStr"/>
      <c r="M124" s="0" t="inlineStr"/>
      <c r="N124" s="0" t="inlineStr">
        <is>
          <t>PIPELINE ONLY</t>
        </is>
      </c>
      <c r="O124" s="0" t="inlineStr">
        <is>
          <t>Event venues driven by attendance + event calendar; strategic relationship opportunity</t>
        </is>
      </c>
    </row>
    <row r="125">
      <c r="A125" s="0" t="inlineStr">
        <is>
          <t>Boettcher Concert Hall</t>
        </is>
      </c>
      <c r="B125" s="0" t="inlineStr">
        <is>
          <t>Event Venue</t>
        </is>
      </c>
      <c r="C125" s="40" t="inlineStr">
        <is>
          <t>Venue — Qualitative</t>
        </is>
      </c>
      <c r="D125" s="0" t="inlineStr"/>
      <c r="E125" s="0" t="inlineStr"/>
      <c r="F125" s="0" t="inlineStr"/>
      <c r="G125" s="0" t="inlineStr"/>
      <c r="H125" s="0" t="inlineStr"/>
      <c r="I125" s="0" t="inlineStr"/>
      <c r="J125" s="0" t="inlineStr"/>
      <c r="K125" s="0" t="inlineStr"/>
      <c r="L125" s="0" t="inlineStr"/>
      <c r="M125" s="0" t="inlineStr"/>
      <c r="N125" s="0" t="inlineStr">
        <is>
          <t>PIPELINE ONLY</t>
        </is>
      </c>
      <c r="O125" s="0" t="inlineStr">
        <is>
          <t>Event venues driven by attendance + event calendar; strategic relationship opportunity</t>
        </is>
      </c>
    </row>
    <row r="126">
      <c r="A126" s="0" t="inlineStr">
        <is>
          <t>Ball Arena</t>
        </is>
      </c>
      <c r="B126" s="0" t="inlineStr">
        <is>
          <t>Event Venue</t>
        </is>
      </c>
      <c r="C126" s="40" t="inlineStr">
        <is>
          <t>Venue — Qualitative</t>
        </is>
      </c>
      <c r="D126" s="0" t="inlineStr"/>
      <c r="E126" s="0" t="inlineStr"/>
      <c r="F126" s="0" t="inlineStr"/>
      <c r="G126" s="0" t="inlineStr"/>
      <c r="H126" s="0" t="inlineStr"/>
      <c r="I126" s="0" t="inlineStr"/>
      <c r="J126" s="0" t="inlineStr"/>
      <c r="K126" s="0" t="inlineStr"/>
      <c r="L126" s="0" t="inlineStr"/>
      <c r="M126" s="0" t="inlineStr"/>
      <c r="N126" s="0" t="inlineStr">
        <is>
          <t>PIPELINE ONLY</t>
        </is>
      </c>
      <c r="O126" s="0" t="inlineStr">
        <is>
          <t>Event venues driven by attendance + event calendar; strategic relationship opportunity</t>
        </is>
      </c>
    </row>
    <row r="127">
      <c r="A127" s="0" t="inlineStr">
        <is>
          <t>Empower Field at Mile High</t>
        </is>
      </c>
      <c r="B127" s="0" t="inlineStr">
        <is>
          <t>Event Venue</t>
        </is>
      </c>
      <c r="C127" s="40" t="inlineStr">
        <is>
          <t>Venue — Qualitative</t>
        </is>
      </c>
      <c r="D127" s="0" t="inlineStr"/>
      <c r="E127" s="0" t="inlineStr"/>
      <c r="F127" s="0" t="inlineStr"/>
      <c r="G127" s="0" t="inlineStr"/>
      <c r="H127" s="0" t="inlineStr"/>
      <c r="I127" s="0" t="inlineStr"/>
      <c r="J127" s="0" t="inlineStr"/>
      <c r="K127" s="0" t="inlineStr"/>
      <c r="L127" s="0" t="inlineStr"/>
      <c r="M127" s="0" t="inlineStr"/>
      <c r="N127" s="0" t="inlineStr">
        <is>
          <t>PIPELINE ONLY</t>
        </is>
      </c>
      <c r="O127" s="0" t="inlineStr">
        <is>
          <t>Event venues driven by attendance + event calendar; strategic relationship opportunity</t>
        </is>
      </c>
    </row>
    <row r="128">
      <c r="A128" s="0" t="inlineStr">
        <is>
          <t>Coors Field</t>
        </is>
      </c>
      <c r="B128" s="0" t="inlineStr">
        <is>
          <t>Event Venue</t>
        </is>
      </c>
      <c r="C128" s="40" t="inlineStr">
        <is>
          <t>Venue — Qualitative</t>
        </is>
      </c>
      <c r="D128" s="0" t="inlineStr"/>
      <c r="E128" s="0" t="inlineStr"/>
      <c r="F128" s="0" t="inlineStr"/>
      <c r="G128" s="0" t="inlineStr"/>
      <c r="H128" s="0" t="inlineStr"/>
      <c r="I128" s="0" t="inlineStr"/>
      <c r="J128" s="0" t="inlineStr"/>
      <c r="K128" s="0" t="inlineStr"/>
      <c r="L128" s="0" t="inlineStr"/>
      <c r="M128" s="0" t="inlineStr"/>
      <c r="N128" s="0" t="inlineStr">
        <is>
          <t>PIPELINE ONLY</t>
        </is>
      </c>
      <c r="O128" s="0" t="inlineStr">
        <is>
          <t>Event venues driven by attendance + event calendar; strategic relationship opportunity</t>
        </is>
      </c>
    </row>
    <row r="129">
      <c r="A129" s="0" t="inlineStr">
        <is>
          <t>Red Rocks Amphitheatre</t>
        </is>
      </c>
      <c r="B129" s="0" t="inlineStr">
        <is>
          <t>Event Venue</t>
        </is>
      </c>
      <c r="C129" s="40" t="inlineStr">
        <is>
          <t>Venue — Qualitative</t>
        </is>
      </c>
      <c r="D129" s="0" t="inlineStr"/>
      <c r="E129" s="0" t="inlineStr"/>
      <c r="F129" s="0" t="inlineStr"/>
      <c r="G129" s="0" t="inlineStr"/>
      <c r="H129" s="0" t="inlineStr"/>
      <c r="I129" s="0" t="inlineStr"/>
      <c r="J129" s="0" t="inlineStr"/>
      <c r="K129" s="0" t="inlineStr"/>
      <c r="L129" s="0" t="inlineStr"/>
      <c r="M129" s="0" t="inlineStr"/>
      <c r="N129" s="0" t="inlineStr">
        <is>
          <t>PIPELINE ONLY</t>
        </is>
      </c>
      <c r="O129" s="0" t="inlineStr">
        <is>
          <t>Event venues driven by attendance + event calendar; strategic relationship opportunity</t>
        </is>
      </c>
    </row>
    <row r="130">
      <c r="A130" s="0" t="inlineStr">
        <is>
          <t>Mission Ballroom</t>
        </is>
      </c>
      <c r="B130" s="0" t="inlineStr">
        <is>
          <t>Event Venue</t>
        </is>
      </c>
      <c r="C130" s="40" t="inlineStr">
        <is>
          <t>Venue — Qualitative</t>
        </is>
      </c>
      <c r="D130" s="0" t="inlineStr"/>
      <c r="E130" s="0" t="inlineStr"/>
      <c r="F130" s="0" t="inlineStr"/>
      <c r="G130" s="0" t="inlineStr"/>
      <c r="H130" s="0" t="inlineStr"/>
      <c r="I130" s="0" t="inlineStr"/>
      <c r="J130" s="0" t="inlineStr"/>
      <c r="K130" s="0" t="inlineStr"/>
      <c r="L130" s="0" t="inlineStr"/>
      <c r="M130" s="0" t="inlineStr"/>
      <c r="N130" s="0" t="inlineStr">
        <is>
          <t>PIPELINE ONLY</t>
        </is>
      </c>
      <c r="O130" s="0" t="inlineStr">
        <is>
          <t>Event venues driven by attendance + event calendar; strategic relationship opportunity</t>
        </is>
      </c>
    </row>
    <row r="131">
      <c r="A131" s="0" t="inlineStr">
        <is>
          <t>Denver Botanic Gardens (York Street)</t>
        </is>
      </c>
      <c r="B131" s="0" t="inlineStr">
        <is>
          <t>Event Venue</t>
        </is>
      </c>
      <c r="C131" s="40" t="inlineStr">
        <is>
          <t>Venue — Qualitative</t>
        </is>
      </c>
      <c r="D131" s="0" t="inlineStr"/>
      <c r="E131" s="0" t="inlineStr"/>
      <c r="F131" s="0" t="inlineStr"/>
      <c r="G131" s="0" t="inlineStr"/>
      <c r="H131" s="0" t="inlineStr"/>
      <c r="I131" s="0" t="inlineStr"/>
      <c r="J131" s="0" t="inlineStr"/>
      <c r="K131" s="0" t="inlineStr"/>
      <c r="L131" s="0" t="inlineStr"/>
      <c r="M131" s="0" t="inlineStr"/>
      <c r="N131" s="0" t="inlineStr">
        <is>
          <t>PIPELINE ONLY</t>
        </is>
      </c>
      <c r="O131" s="0" t="inlineStr">
        <is>
          <t>Event venues driven by attendance + event calendar; strategic relationship opportunity</t>
        </is>
      </c>
    </row>
    <row r="132">
      <c r="A132" s="0" t="inlineStr">
        <is>
          <t>Denver Art Museum</t>
        </is>
      </c>
      <c r="B132" s="0" t="inlineStr">
        <is>
          <t>Event Venue</t>
        </is>
      </c>
      <c r="C132" s="40" t="inlineStr">
        <is>
          <t>Venue — Qualitative</t>
        </is>
      </c>
      <c r="D132" s="0" t="inlineStr"/>
      <c r="E132" s="0" t="inlineStr"/>
      <c r="F132" s="0" t="inlineStr"/>
      <c r="G132" s="0" t="inlineStr"/>
      <c r="H132" s="0" t="inlineStr"/>
      <c r="I132" s="0" t="inlineStr"/>
      <c r="J132" s="0" t="inlineStr"/>
      <c r="K132" s="0" t="inlineStr"/>
      <c r="L132" s="0" t="inlineStr"/>
      <c r="M132" s="0" t="inlineStr"/>
      <c r="N132" s="0" t="inlineStr">
        <is>
          <t>PIPELINE ONLY</t>
        </is>
      </c>
      <c r="O132" s="0" t="inlineStr">
        <is>
          <t>Event venues driven by attendance + event calendar; strategic relationship opportunity</t>
        </is>
      </c>
    </row>
    <row r="133">
      <c r="A133" s="0" t="inlineStr">
        <is>
          <t>History Colorado Center</t>
        </is>
      </c>
      <c r="B133" s="0" t="inlineStr">
        <is>
          <t>Event Venue</t>
        </is>
      </c>
      <c r="C133" s="40" t="inlineStr">
        <is>
          <t>Venue — Qualitative</t>
        </is>
      </c>
      <c r="D133" s="0" t="inlineStr"/>
      <c r="E133" s="0" t="inlineStr"/>
      <c r="F133" s="0" t="inlineStr"/>
      <c r="G133" s="0" t="inlineStr"/>
      <c r="H133" s="0" t="inlineStr"/>
      <c r="I133" s="0" t="inlineStr"/>
      <c r="J133" s="0" t="inlineStr"/>
      <c r="K133" s="0" t="inlineStr"/>
      <c r="L133" s="0" t="inlineStr"/>
      <c r="M133" s="0" t="inlineStr"/>
      <c r="N133" s="0" t="inlineStr">
        <is>
          <t>PIPELINE ONLY</t>
        </is>
      </c>
      <c r="O133" s="0" t="inlineStr">
        <is>
          <t>Event venues driven by attendance + event calendar; strategic relationship opportunity</t>
        </is>
      </c>
    </row>
    <row r="134">
      <c r="A134" s="0" t="inlineStr">
        <is>
          <t>Wings Over the Rockies Air &amp; Space Museum</t>
        </is>
      </c>
      <c r="B134" s="0" t="inlineStr">
        <is>
          <t>Event Venue</t>
        </is>
      </c>
      <c r="C134" s="40" t="inlineStr">
        <is>
          <t>Venue — Qualitative</t>
        </is>
      </c>
      <c r="D134" s="0" t="inlineStr"/>
      <c r="E134" s="0" t="inlineStr"/>
      <c r="F134" s="0" t="inlineStr"/>
      <c r="G134" s="0" t="inlineStr"/>
      <c r="H134" s="0" t="inlineStr"/>
      <c r="I134" s="0" t="inlineStr"/>
      <c r="J134" s="0" t="inlineStr"/>
      <c r="K134" s="0" t="inlineStr"/>
      <c r="L134" s="0" t="inlineStr"/>
      <c r="M134" s="0" t="inlineStr"/>
      <c r="N134" s="0" t="inlineStr">
        <is>
          <t>PIPELINE ONLY</t>
        </is>
      </c>
      <c r="O134" s="0" t="inlineStr">
        <is>
          <t>Event venues driven by attendance + event calendar; strategic relationship opportunity</t>
        </is>
      </c>
    </row>
    <row r="135">
      <c r="A135" s="0" t="inlineStr">
        <is>
          <t>McGregor Square</t>
        </is>
      </c>
      <c r="B135" s="0" t="inlineStr">
        <is>
          <t>Event Venue</t>
        </is>
      </c>
      <c r="C135" s="40" t="inlineStr">
        <is>
          <t>Venue — Qualitative</t>
        </is>
      </c>
      <c r="D135" s="0" t="inlineStr"/>
      <c r="E135" s="0" t="inlineStr"/>
      <c r="F135" s="0" t="inlineStr"/>
      <c r="G135" s="0" t="inlineStr"/>
      <c r="H135" s="0" t="inlineStr"/>
      <c r="I135" s="0" t="inlineStr"/>
      <c r="J135" s="0" t="inlineStr"/>
      <c r="K135" s="0" t="inlineStr"/>
      <c r="L135" s="0" t="inlineStr"/>
      <c r="M135" s="0" t="inlineStr"/>
      <c r="N135" s="0" t="inlineStr">
        <is>
          <t>PIPELINE ONLY</t>
        </is>
      </c>
      <c r="O135" s="0" t="inlineStr">
        <is>
          <t>Event venues driven by attendance + event calendar; strategic relationship opportunity</t>
        </is>
      </c>
    </row>
    <row r="136">
      <c r="A136" s="0" t="inlineStr">
        <is>
          <t>Denver International Airport (DEN)</t>
        </is>
      </c>
      <c r="B136" s="0" t="inlineStr">
        <is>
          <t>Airport</t>
        </is>
      </c>
      <c r="C136" s="40" t="inlineStr">
        <is>
          <t>Airport — Excluded</t>
        </is>
      </c>
      <c r="D136" s="0" t="inlineStr"/>
      <c r="E136" s="0" t="inlineStr"/>
      <c r="F136" s="0" t="inlineStr"/>
      <c r="G136" s="0" t="inlineStr"/>
      <c r="H136" s="0" t="inlineStr"/>
      <c r="I136" s="0" t="inlineStr"/>
      <c r="J136" s="0" t="inlineStr"/>
      <c r="K136" s="0" t="inlineStr"/>
      <c r="L136" s="0" t="inlineStr"/>
      <c r="M136" s="0" t="inlineStr"/>
      <c r="N136" s="0" t="inlineStr">
        <is>
          <t>EXCLUDED</t>
        </is>
      </c>
      <c r="O136" s="0" t="inlineStr">
        <is>
          <t>Airport parking = authority RFP, not hotel-style valet; strategic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0" customWidth="1" style="34" min="1" max="1"/>
    <col width="14" customWidth="1" style="34" min="2" max="2"/>
    <col width="18" customWidth="1" style="34" min="3" max="3"/>
    <col width="36" customWidth="1" style="34" min="4" max="4"/>
  </cols>
  <sheetData>
    <row r="1">
      <c r="A1" s="41" t="inlineStr">
        <is>
          <t>Denver — Conservative TAM Summary</t>
        </is>
      </c>
    </row>
    <row r="3">
      <c r="A3" s="42" t="inlineStr">
        <is>
          <t>Account Type</t>
        </is>
      </c>
      <c r="B3" s="42" t="inlineStr">
        <is>
          <t># Accounts</t>
        </is>
      </c>
      <c r="C3" s="42" t="inlineStr">
        <is>
          <t>TAM</t>
        </is>
      </c>
      <c r="D3" s="42" t="inlineStr">
        <is>
          <t>Status</t>
        </is>
      </c>
    </row>
    <row r="4">
      <c r="A4" s="0" t="inlineStr">
        <is>
          <t>Hotel</t>
        </is>
      </c>
      <c r="B4" s="0" t="n">
        <v>86</v>
      </c>
      <c r="C4" s="38" t="n">
        <v>57469499.99999999</v>
      </c>
      <c r="D4" s="0" t="inlineStr">
        <is>
          <t>Active TAM</t>
        </is>
      </c>
    </row>
    <row r="5">
      <c r="A5" s="0" t="inlineStr">
        <is>
          <t>Restaurant</t>
        </is>
      </c>
      <c r="B5" s="0" t="n">
        <v>7</v>
      </c>
      <c r="C5" s="38" t="n">
        <v>1817437.5</v>
      </c>
      <c r="D5" s="0" t="inlineStr">
        <is>
          <t>Active TAM</t>
        </is>
      </c>
    </row>
    <row r="6">
      <c r="A6" s="0" t="inlineStr">
        <is>
          <t>Hospital</t>
        </is>
      </c>
      <c r="B6" s="0" t="n">
        <v>12</v>
      </c>
      <c r="C6" s="38" t="n">
        <v>0</v>
      </c>
      <c r="D6" s="0" t="inlineStr">
        <is>
          <t>Qualitative pipeline only</t>
        </is>
      </c>
    </row>
    <row r="7">
      <c r="A7" s="0" t="inlineStr">
        <is>
          <t>Event Venue</t>
        </is>
      </c>
      <c r="B7" s="0" t="n">
        <v>14</v>
      </c>
      <c r="C7" s="38" t="n">
        <v>0</v>
      </c>
      <c r="D7" s="0" t="inlineStr">
        <is>
          <t>Qualitative pipeline only</t>
        </is>
      </c>
    </row>
    <row r="8">
      <c r="A8" s="0" t="inlineStr">
        <is>
          <t>Airport</t>
        </is>
      </c>
      <c r="B8" s="0" t="n">
        <v>1</v>
      </c>
      <c r="C8" s="38" t="n">
        <v>0</v>
      </c>
      <c r="D8" s="0" t="inlineStr">
        <is>
          <t>Qualitative pipeline only</t>
        </is>
      </c>
    </row>
    <row r="9">
      <c r="A9" s="43" t="inlineStr">
        <is>
          <t>TOTAL</t>
        </is>
      </c>
      <c r="B9" s="43" t="n">
        <v>120</v>
      </c>
      <c r="C9" s="44" t="n">
        <v>59286937.49999999</v>
      </c>
    </row>
    <row r="11">
      <c r="A11" s="45" t="inlineStr">
        <is>
          <t>HOTEL BREAKDOWN BY CLASS</t>
        </is>
      </c>
    </row>
    <row r="12">
      <c r="A12" s="43" t="inlineStr">
        <is>
          <t>Class</t>
        </is>
      </c>
      <c r="B12" s="43" t="inlineStr">
        <is>
          <t># Hotels</t>
        </is>
      </c>
      <c r="C12" s="43" t="inlineStr">
        <is>
          <t>Conv %</t>
        </is>
      </c>
    </row>
    <row r="13">
      <c r="A13" s="0" t="inlineStr">
        <is>
          <t>Downtown+Convention</t>
        </is>
      </c>
      <c r="B13" s="0" t="n">
        <v>13</v>
      </c>
      <c r="C13" s="46" t="n">
        <v>0.4</v>
      </c>
    </row>
    <row r="14">
      <c r="A14" s="0" t="inlineStr">
        <is>
          <t>Downtown Select-Service</t>
        </is>
      </c>
      <c r="B14" s="0" t="n">
        <v>32</v>
      </c>
      <c r="C14" s="46" t="n">
        <v>0.25</v>
      </c>
    </row>
    <row r="15">
      <c r="A15" s="0" t="inlineStr">
        <is>
          <t>Resort</t>
        </is>
      </c>
      <c r="B15" s="0" t="n">
        <v>3</v>
      </c>
      <c r="C15" s="46" t="n">
        <v>0.5</v>
      </c>
    </row>
    <row r="16">
      <c r="A16" s="0" t="inlineStr">
        <is>
          <t>Suburban/Airport</t>
        </is>
      </c>
      <c r="B16" s="0" t="n">
        <v>38</v>
      </c>
      <c r="C16" s="46" t="n">
        <v>0.15</v>
      </c>
    </row>
    <row r="18">
      <c r="A18" s="45" t="inlineStr">
        <is>
          <t>RESTAURANTS WITH ACTIVE TAM</t>
        </is>
      </c>
    </row>
    <row r="19">
      <c r="A19" s="43" t="inlineStr">
        <is>
          <t>Restaurant</t>
        </is>
      </c>
      <c r="B19" s="43" t="inlineStr">
        <is>
          <t>Seats</t>
        </is>
      </c>
      <c r="C19" s="43" t="inlineStr">
        <is>
          <t>TAM</t>
        </is>
      </c>
    </row>
    <row r="20">
      <c r="A20" s="0" t="inlineStr">
        <is>
          <t>Del Frisco's Double Eagle Steakhouse</t>
        </is>
      </c>
      <c r="B20" s="0" t="n">
        <v>450</v>
      </c>
      <c r="C20" s="38" t="n">
        <v>455625.0000000001</v>
      </c>
    </row>
    <row r="21">
      <c r="A21" s="0" t="inlineStr">
        <is>
          <t>Water Grill Denver</t>
        </is>
      </c>
      <c r="B21" s="0" t="n">
        <v>346</v>
      </c>
      <c r="C21" s="38" t="n">
        <v>350325</v>
      </c>
    </row>
    <row r="22">
      <c r="A22" s="0" t="inlineStr">
        <is>
          <t>Ruth's Chris Steak House - Denver</t>
        </is>
      </c>
      <c r="B22" s="0" t="n">
        <v>275</v>
      </c>
      <c r="C22" s="38" t="n">
        <v>278437.5</v>
      </c>
    </row>
    <row r="23">
      <c r="A23" s="0" t="inlineStr">
        <is>
          <t>Ocean Prime - Denver (Larimer Square)</t>
        </is>
      </c>
      <c r="B23" s="0" t="n">
        <v>225</v>
      </c>
      <c r="C23" s="38" t="n">
        <v>227812.5</v>
      </c>
    </row>
    <row r="24">
      <c r="A24" s="0" t="inlineStr">
        <is>
          <t>Le Colonial Denver</t>
        </is>
      </c>
      <c r="B24" s="0" t="n">
        <v>220</v>
      </c>
      <c r="C24" s="38" t="n">
        <v>222750</v>
      </c>
    </row>
    <row r="25">
      <c r="A25" s="0" t="inlineStr">
        <is>
          <t>Shanahan's Steakhouse</t>
        </is>
      </c>
      <c r="B25" s="0" t="n">
        <v>200</v>
      </c>
      <c r="C25" s="38" t="n">
        <v>202500</v>
      </c>
    </row>
    <row r="26">
      <c r="A26" s="0" t="inlineStr">
        <is>
          <t>Mizuna</t>
        </is>
      </c>
      <c r="B26" s="0" t="n">
        <v>79</v>
      </c>
      <c r="C26" s="38" t="n">
        <v>79987.5</v>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style="34" min="1" max="1"/>
  </cols>
  <sheetData>
    <row r="1">
      <c r="A1" s="41" t="inlineStr">
        <is>
          <t>SOPHI CONSERVATIVE TAM METHODOLOGY</t>
        </is>
      </c>
    </row>
    <row r="2">
      <c r="A2" s="47" t="inlineStr"/>
    </row>
    <row r="3">
      <c r="A3" s="47" t="inlineStr">
        <is>
          <t>Replaces original RevenueForecasting formulas. Hospitals / Venues / Airports now qualitative only.</t>
        </is>
      </c>
    </row>
    <row r="4">
      <c r="A4" s="47" t="inlineStr"/>
    </row>
    <row r="5">
      <c r="A5" s="45" t="inlineStr">
        <is>
          <t>HOTEL FORMULA</t>
        </is>
      </c>
    </row>
    <row r="6">
      <c r="A6" s="47" t="inlineStr">
        <is>
          <t xml:space="preserve">  TAM = Rooms × Occupancy × Valet Conversion (tiered) × Valet Rate × 360 days</t>
        </is>
      </c>
    </row>
    <row r="7">
      <c r="A7" s="47" t="inlineStr">
        <is>
          <t xml:space="preserve">  Occupancy: 60% flat across all hotels</t>
        </is>
      </c>
    </row>
    <row r="8">
      <c r="A8" s="47" t="inlineStr">
        <is>
          <t xml:space="preserve">    ⚠️ FLAG: Refine with STR actuals per-submarket before finalizing fundraise model</t>
        </is>
      </c>
    </row>
    <row r="9">
      <c r="A9" s="47" t="inlineStr">
        <is>
          <t xml:space="preserve">  Valet Conversion by archetype (auto-classified — review recommended):</t>
        </is>
      </c>
    </row>
    <row r="10">
      <c r="A10" s="47" t="inlineStr">
        <is>
          <t xml:space="preserve">    Downtown+Convention:     40%</t>
        </is>
      </c>
    </row>
    <row r="11">
      <c r="A11" s="47" t="inlineStr">
        <is>
          <t xml:space="preserve">    Downtown Select-Service: 25%</t>
        </is>
      </c>
    </row>
    <row r="12">
      <c r="A12" s="47" t="inlineStr">
        <is>
          <t xml:space="preserve">    Resort:                  50%</t>
        </is>
      </c>
    </row>
    <row r="13">
      <c r="A13" s="47" t="inlineStr">
        <is>
          <t xml:space="preserve">    Suburban/Airport:        15%</t>
        </is>
      </c>
    </row>
    <row r="14">
      <c r="A14" s="47" t="inlineStr">
        <is>
          <t xml:space="preserve">  Operating Days: 360 (captures soft-closures / transition days)</t>
        </is>
      </c>
    </row>
    <row r="15">
      <c r="A15" s="47" t="inlineStr"/>
    </row>
    <row r="16">
      <c r="A16" s="45" t="inlineStr">
        <is>
          <t>RESTAURANT FORMULA</t>
        </is>
      </c>
    </row>
    <row r="17">
      <c r="A17" s="47" t="inlineStr">
        <is>
          <t xml:space="preserve">  TAM = Max Occupancy × 1.5 turns × 12.5% valet conv × $20 rate × 250 days × 1.08 peak mod</t>
        </is>
      </c>
    </row>
    <row r="18">
      <c r="A18" s="47" t="inlineStr">
        <is>
          <t xml:space="preserve">  Eligibility: only steakhouses &amp; fine dining with ACTIVE INDEPENDENT VALET today</t>
        </is>
      </c>
    </row>
    <row r="19">
      <c r="A19" s="47" t="inlineStr">
        <is>
          <t xml:space="preserve">  Excluded: no-valet, hotel-dependent valet (double-count), complimentary/validated only</t>
        </is>
      </c>
    </row>
    <row r="20">
      <c r="A20" s="47" t="inlineStr">
        <is>
          <t xml:space="preserve">  Seat data: public research (restaurant sites, OpenTable, event pages) with industry bounds</t>
        </is>
      </c>
    </row>
    <row r="21">
      <c r="A21" s="47" t="inlineStr">
        <is>
          <t xml:space="preserve">    ⚠️ FLAG: Seat counts are best-available public data; refine with direct outreach pre-fundraise</t>
        </is>
      </c>
    </row>
    <row r="22">
      <c r="A22" s="47" t="inlineStr">
        <is>
          <t xml:space="preserve">  Operating Days: 250 = 5 days/wk × 52 wks minus ~10 major holidays</t>
        </is>
      </c>
    </row>
    <row r="23">
      <c r="A23" s="47" t="inlineStr">
        <is>
          <t xml:space="preserve">  Peak Demand Modifier: +8% for V-day, NYE, Mother's/Father's Day, Christmas Eve, local peaks</t>
        </is>
      </c>
    </row>
    <row r="24">
      <c r="A24" s="47" t="inlineStr"/>
    </row>
    <row r="25">
      <c r="A25" s="45" t="inlineStr">
        <is>
          <t>HOSPITAL / EVENT VENUE / AIRPORT</t>
        </is>
      </c>
    </row>
    <row r="26">
      <c r="A26" s="47" t="inlineStr">
        <is>
          <t xml:space="preserve">  TAM = $0 (qualitative pipeline only)</t>
        </is>
      </c>
    </row>
    <row r="27">
      <c r="A27" s="47" t="inlineStr">
        <is>
          <t xml:space="preserve">  Rationale: Deal structures are RFP-driven, profit-share, or fixed-cost; not formulaic TAM.</t>
        </is>
      </c>
    </row>
    <row r="28">
      <c r="A28" s="47" t="inlineStr">
        <is>
          <t xml:space="preserve">  IU Health North reference point: $36K NOI. Once bed/patient-volume KPI is confirmed,</t>
        </is>
      </c>
    </row>
    <row r="29">
      <c r="A29" s="47" t="inlineStr">
        <is>
          <t xml:space="preserve">  this can be extrapolated for Phase 2 valuation uplift — tracked separately from TAM.</t>
        </is>
      </c>
    </row>
    <row r="30">
      <c r="A30" s="47" t="inlineStr"/>
    </row>
    <row r="31">
      <c r="A31" s="45" t="inlineStr">
        <is>
          <t>ACTIVE FLAGS TO REVIEW BEFORE FUNDRAISE</t>
        </is>
      </c>
    </row>
    <row r="32">
      <c r="A32" s="47" t="inlineStr">
        <is>
          <t xml:space="preserve">  1. Hotel occupancy 60% flat → replace with STR actuals per submarket</t>
        </is>
      </c>
    </row>
    <row r="33">
      <c r="A33" s="47" t="inlineStr">
        <is>
          <t xml:space="preserve">  2. Hotel valet-conv tier auto-classified → manual review for edge cases (e.g. Gaylord Rockies)</t>
        </is>
      </c>
    </row>
    <row r="34">
      <c r="A34" s="47" t="inlineStr">
        <is>
          <t xml:space="preserve">  3. Restaurant seat counts sourced from public data → validate via direct contact</t>
        </is>
      </c>
    </row>
    <row r="35">
      <c r="A35" s="47" t="inlineStr">
        <is>
          <t xml:space="preserve">  4. Hospital/venue/airport TAM dropped to $0 → build IU Health-benchmarked KPI proxy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34" min="1" max="1"/>
    <col width="13" customWidth="1" style="34" min="2" max="2"/>
    <col width="9" customWidth="1" style="34" min="3" max="3"/>
    <col width="7" customWidth="1" style="34" min="4" max="4"/>
    <col width="18" customWidth="1" style="34" min="5" max="5"/>
    <col width="9" customWidth="1" style="34" min="6" max="6"/>
    <col width="14" customWidth="1" style="34" min="7" max="7"/>
    <col width="7" customWidth="1" style="34" min="8" max="8"/>
    <col width="7" customWidth="1" style="34" min="9" max="9"/>
    <col width="10" customWidth="1" style="34" min="10" max="10"/>
    <col width="7" customWidth="1" style="34" min="11" max="11"/>
    <col width="7" customWidth="1" style="34" min="12" max="12"/>
    <col width="7" customWidth="1" style="34" min="13" max="13"/>
    <col width="24" customWidth="1" style="34" min="14" max="14"/>
    <col width="8" customWidth="1" style="34" min="15" max="15"/>
    <col width="8" customWidth="1" style="34" min="16" max="16"/>
    <col width="18" customWidth="1" style="34" min="17" max="17"/>
    <col width="7" customWidth="1" style="34" min="18" max="18"/>
    <col width="7" customWidth="1" style="34" min="19" max="19"/>
    <col width="7" customWidth="1" style="34" min="20" max="20"/>
    <col width="7" customWidth="1" style="34" min="21" max="21"/>
    <col width="7" customWidth="1" style="34" min="22" max="22"/>
    <col width="12" customWidth="1" style="34" min="23" max="23"/>
    <col width="12" customWidth="1" style="34" min="24" max="24"/>
    <col width="12" customWidth="1" style="34" min="25" max="25"/>
    <col width="12" customWidth="1" style="34" min="26" max="26"/>
    <col width="12" customWidth="1" style="34" min="27" max="27"/>
  </cols>
  <sheetData>
    <row r="1">
      <c r="A1" s="35" t="inlineStr">
        <is>
          <t>Account</t>
        </is>
      </c>
      <c r="B1" s="35" t="inlineStr">
        <is>
          <t>Type</t>
        </is>
      </c>
      <c r="C1" s="35" t="inlineStr">
        <is>
          <t>Downtown</t>
        </is>
      </c>
      <c r="D1" s="35" t="inlineStr">
        <is>
          <t>Rooms</t>
        </is>
      </c>
      <c r="E1" s="35" t="inlineStr">
        <is>
          <t>Valet Op (incumbent)</t>
        </is>
      </c>
      <c r="F1" s="35" t="inlineStr">
        <is>
          <t>Valet Rate</t>
        </is>
      </c>
      <c r="G1" s="35" t="inlineStr">
        <is>
          <t>Est. Annual Rev (TAM)</t>
        </is>
      </c>
      <c r="H1" s="35" t="inlineStr">
        <is>
          <t>Fit (25%)</t>
        </is>
      </c>
      <c r="I1" s="35" t="inlineStr">
        <is>
          <t>Size (25%)</t>
        </is>
      </c>
      <c r="J1" s="35" t="inlineStr">
        <is>
          <t>Owner Base (20%)</t>
        </is>
      </c>
      <c r="K1" s="35" t="inlineStr">
        <is>
          <t>Addr (15%)</t>
        </is>
      </c>
      <c r="L1" s="35" t="inlineStr">
        <is>
          <t>Adj (15%)</t>
        </is>
      </c>
      <c r="M1" s="35" t="inlineStr">
        <is>
          <t>Rel Lift</t>
        </is>
      </c>
      <c r="N1" s="35" t="inlineStr">
        <is>
          <t>Rel Tag</t>
        </is>
      </c>
      <c r="O1" s="35" t="inlineStr">
        <is>
          <t>WAS Raw</t>
        </is>
      </c>
      <c r="P1" s="35" t="inlineStr">
        <is>
          <t>WAS Final</t>
        </is>
      </c>
      <c r="Q1" s="35" t="inlineStr">
        <is>
          <t>Tier</t>
        </is>
      </c>
      <c r="R1" s="35" t="inlineStr">
        <is>
          <t>Y1 %</t>
        </is>
      </c>
      <c r="S1" s="35" t="inlineStr">
        <is>
          <t>Y2 %</t>
        </is>
      </c>
      <c r="T1" s="35" t="inlineStr">
        <is>
          <t>Y3 %</t>
        </is>
      </c>
      <c r="U1" s="35" t="inlineStr">
        <is>
          <t>Y4 %</t>
        </is>
      </c>
      <c r="V1" s="35" t="inlineStr">
        <is>
          <t>Y5 %</t>
        </is>
      </c>
      <c r="W1" s="35" t="inlineStr">
        <is>
          <t>Y1 Rev</t>
        </is>
      </c>
      <c r="X1" s="35" t="inlineStr">
        <is>
          <t>Y2 Rev</t>
        </is>
      </c>
      <c r="Y1" s="35" t="inlineStr">
        <is>
          <t>Y3 Rev</t>
        </is>
      </c>
      <c r="Z1" s="35" t="inlineStr">
        <is>
          <t>Y4 Rev</t>
        </is>
      </c>
      <c r="AA1" s="35" t="inlineStr">
        <is>
          <t>Y5 Rev</t>
        </is>
      </c>
    </row>
    <row r="2">
      <c r="A2" t="inlineStr">
        <is>
          <t>Le Méridien Denver Downtown</t>
        </is>
      </c>
      <c r="B2" t="inlineStr">
        <is>
          <t>Hotel</t>
        </is>
      </c>
      <c r="C2" t="inlineStr">
        <is>
          <t>YES</t>
        </is>
      </c>
      <c r="D2" t="n">
        <v>272</v>
      </c>
      <c r="E2" t="inlineStr"/>
      <c r="F2" t="n">
        <v>72</v>
      </c>
      <c r="G2" s="38" t="n">
        <v>1057536</v>
      </c>
      <c r="H2" t="n">
        <v>4</v>
      </c>
      <c r="I2" t="n">
        <v>3</v>
      </c>
      <c r="J2" t="n">
        <v>2</v>
      </c>
      <c r="K2" t="n">
        <v>4</v>
      </c>
      <c r="L2" t="n">
        <v>4</v>
      </c>
      <c r="M2" s="48" t="n">
        <v>0</v>
      </c>
      <c r="N2" t="inlineStr"/>
      <c r="O2" s="48" t="n">
        <v>3.35</v>
      </c>
      <c r="P2" s="48" t="n">
        <v>3.35</v>
      </c>
      <c r="Q2" s="49" t="inlineStr">
        <is>
          <t>C — Opportunistic</t>
        </is>
      </c>
      <c r="R2" s="37" t="n">
        <v>0.02</v>
      </c>
      <c r="S2" s="37" t="n">
        <v>0.09724000000000002</v>
      </c>
      <c r="T2" s="37" t="n">
        <v>0.28625</v>
      </c>
      <c r="U2" s="37" t="n">
        <v>0.4145</v>
      </c>
      <c r="V2" s="37" t="n">
        <v>0.5</v>
      </c>
      <c r="W2" s="38" t="n">
        <v>21150.72</v>
      </c>
      <c r="X2" s="38" t="n">
        <v>102834.80064</v>
      </c>
      <c r="Y2" s="38" t="n">
        <v>302719.68</v>
      </c>
      <c r="Z2" s="38" t="n">
        <v>438348.672</v>
      </c>
      <c r="AA2" s="38" t="n">
        <v>528768</v>
      </c>
    </row>
    <row r="3">
      <c r="A3" t="inlineStr">
        <is>
          <t>The Ritz-Carlton, Denver</t>
        </is>
      </c>
      <c r="B3" t="inlineStr">
        <is>
          <t>Hotel</t>
        </is>
      </c>
      <c r="C3" t="inlineStr">
        <is>
          <t>YES</t>
        </is>
      </c>
      <c r="D3" t="n">
        <v>205</v>
      </c>
      <c r="E3" t="inlineStr"/>
      <c r="F3" t="n">
        <v>72</v>
      </c>
      <c r="G3" s="38" t="n">
        <v>797040</v>
      </c>
      <c r="H3" t="n">
        <v>4</v>
      </c>
      <c r="I3" t="n">
        <v>3</v>
      </c>
      <c r="J3" t="n">
        <v>3</v>
      </c>
      <c r="K3" t="n">
        <v>4</v>
      </c>
      <c r="L3" t="n">
        <v>4</v>
      </c>
      <c r="M3" s="48" t="n">
        <v>0</v>
      </c>
      <c r="N3" t="inlineStr"/>
      <c r="O3" s="48" t="n">
        <v>3.55</v>
      </c>
      <c r="P3" s="48" t="n">
        <v>3.55</v>
      </c>
      <c r="Q3" s="50" t="inlineStr">
        <is>
          <t>B — Core</t>
        </is>
      </c>
      <c r="R3" s="37" t="n">
        <v>0.08</v>
      </c>
      <c r="S3" s="37" t="n">
        <v>0.22066</v>
      </c>
      <c r="T3" s="37" t="n">
        <v>0.560625</v>
      </c>
      <c r="U3" s="37" t="n">
        <v>0.7867499999999999</v>
      </c>
      <c r="V3" s="37" t="n">
        <v>0.9375</v>
      </c>
      <c r="W3" s="38" t="n">
        <v>63763.2</v>
      </c>
      <c r="X3" s="38" t="n">
        <v>175874.8464</v>
      </c>
      <c r="Y3" s="38" t="n">
        <v>446840.55</v>
      </c>
      <c r="Z3" s="38" t="n">
        <v>627071.22</v>
      </c>
      <c r="AA3" s="38" t="n">
        <v>747225</v>
      </c>
    </row>
    <row r="4">
      <c r="A4" t="inlineStr">
        <is>
          <t>AC Hotel Denver Downtown</t>
        </is>
      </c>
      <c r="B4" t="inlineStr">
        <is>
          <t>Hotel</t>
        </is>
      </c>
      <c r="C4" t="inlineStr">
        <is>
          <t>NO</t>
        </is>
      </c>
      <c r="D4" t="n">
        <v>223</v>
      </c>
      <c r="E4" t="inlineStr">
        <is>
          <t>Towne Park</t>
        </is>
      </c>
      <c r="F4" t="n">
        <v>72</v>
      </c>
      <c r="G4" s="38" t="n">
        <v>867023.9999999999</v>
      </c>
      <c r="H4" t="n">
        <v>3</v>
      </c>
      <c r="I4" t="n">
        <v>3</v>
      </c>
      <c r="J4" t="n">
        <v>2</v>
      </c>
      <c r="K4" t="n">
        <v>2</v>
      </c>
      <c r="L4" t="n">
        <v>2</v>
      </c>
      <c r="M4" s="48" t="n">
        <v>0</v>
      </c>
      <c r="N4" t="inlineStr"/>
      <c r="O4" s="48" t="n">
        <v>2.5</v>
      </c>
      <c r="P4" s="48" t="n">
        <v>2.5</v>
      </c>
      <c r="Q4" s="49" t="inlineStr">
        <is>
          <t>C — Opportunistic</t>
        </is>
      </c>
      <c r="R4" s="37" t="n">
        <v>0.02</v>
      </c>
      <c r="S4" s="37" t="n">
        <v>0.09724000000000002</v>
      </c>
      <c r="T4" s="37" t="n">
        <v>0.28625</v>
      </c>
      <c r="U4" s="37" t="n">
        <v>0.4145</v>
      </c>
      <c r="V4" s="37" t="n">
        <v>0.5</v>
      </c>
      <c r="W4" s="38" t="n">
        <v>17340.48</v>
      </c>
      <c r="X4" s="38" t="n">
        <v>84309.41376000001</v>
      </c>
      <c r="Y4" s="38" t="n">
        <v>248185.62</v>
      </c>
      <c r="Z4" s="38" t="n">
        <v>359381.4479999999</v>
      </c>
      <c r="AA4" s="38" t="n">
        <v>433511.9999999999</v>
      </c>
    </row>
    <row r="5">
      <c r="A5" t="inlineStr">
        <is>
          <t>Embassy Suites by Hilton Denver Downtown Convention Center</t>
        </is>
      </c>
      <c r="B5" t="inlineStr">
        <is>
          <t>Hotel</t>
        </is>
      </c>
      <c r="C5" t="inlineStr">
        <is>
          <t>NO</t>
        </is>
      </c>
      <c r="D5" t="n">
        <v>403</v>
      </c>
      <c r="E5" t="inlineStr">
        <is>
          <t>SP+</t>
        </is>
      </c>
      <c r="F5" t="n">
        <v>70</v>
      </c>
      <c r="G5" s="38" t="n">
        <v>2437344</v>
      </c>
      <c r="H5" t="n">
        <v>4</v>
      </c>
      <c r="I5" t="n">
        <v>4</v>
      </c>
      <c r="J5" t="n">
        <v>3</v>
      </c>
      <c r="K5" t="n">
        <v>2</v>
      </c>
      <c r="L5" t="n">
        <v>2</v>
      </c>
      <c r="M5" s="48" t="n">
        <v>0.15</v>
      </c>
      <c r="N5" t="inlineStr">
        <is>
          <t>Brand familiarity (historical): Hilton_family</t>
        </is>
      </c>
      <c r="O5" s="48" t="n">
        <v>3.2</v>
      </c>
      <c r="P5" s="48" t="n">
        <v>3.35</v>
      </c>
      <c r="Q5" s="49" t="inlineStr">
        <is>
          <t>C — Opportunistic</t>
        </is>
      </c>
      <c r="R5" s="37" t="n">
        <v>0.02</v>
      </c>
      <c r="S5" s="37" t="n">
        <v>0.09724000000000002</v>
      </c>
      <c r="T5" s="37" t="n">
        <v>0.28625</v>
      </c>
      <c r="U5" s="37" t="n">
        <v>0.4145</v>
      </c>
      <c r="V5" s="37" t="n">
        <v>0.5</v>
      </c>
      <c r="W5" s="38" t="n">
        <v>48746.88</v>
      </c>
      <c r="X5" s="38" t="n">
        <v>237007.3305600001</v>
      </c>
      <c r="Y5" s="38" t="n">
        <v>697689.72</v>
      </c>
      <c r="Z5" s="38" t="n">
        <v>1010279.088</v>
      </c>
      <c r="AA5" s="38" t="n">
        <v>1218672</v>
      </c>
    </row>
    <row r="6">
      <c r="A6" t="inlineStr">
        <is>
          <t>Aloft Denver Downtown</t>
        </is>
      </c>
      <c r="B6" t="inlineStr">
        <is>
          <t>Hotel</t>
        </is>
      </c>
      <c r="C6" t="inlineStr">
        <is>
          <t>NO</t>
        </is>
      </c>
      <c r="D6" t="n">
        <v>140</v>
      </c>
      <c r="E6" t="inlineStr">
        <is>
          <t>LAZ</t>
        </is>
      </c>
      <c r="F6" t="n">
        <v>68</v>
      </c>
      <c r="G6" s="38" t="n">
        <v>514080</v>
      </c>
      <c r="H6" t="n">
        <v>3</v>
      </c>
      <c r="I6" t="n">
        <v>2</v>
      </c>
      <c r="J6" t="n">
        <v>2</v>
      </c>
      <c r="K6" t="n">
        <v>2</v>
      </c>
      <c r="L6" t="n">
        <v>2</v>
      </c>
      <c r="M6" s="48" t="n">
        <v>0.3</v>
      </c>
      <c r="N6" t="inlineStr">
        <is>
          <t>Brand familiarity (current): Marriott_family</t>
        </is>
      </c>
      <c r="O6" s="48" t="n">
        <v>2.25</v>
      </c>
      <c r="P6" s="48" t="n">
        <v>2.55</v>
      </c>
      <c r="Q6" s="49" t="inlineStr">
        <is>
          <t>C — Opportunistic</t>
        </is>
      </c>
      <c r="R6" s="37" t="n">
        <v>0.02</v>
      </c>
      <c r="S6" s="37" t="n">
        <v>0.09724000000000002</v>
      </c>
      <c r="T6" s="37" t="n">
        <v>0.28625</v>
      </c>
      <c r="U6" s="37" t="n">
        <v>0.4145</v>
      </c>
      <c r="V6" s="37" t="n">
        <v>0.5</v>
      </c>
      <c r="W6" s="38" t="n">
        <v>10281.6</v>
      </c>
      <c r="X6" s="38" t="n">
        <v>49989.13920000001</v>
      </c>
      <c r="Y6" s="38" t="n">
        <v>147155.4</v>
      </c>
      <c r="Z6" s="38" t="n">
        <v>213086.16</v>
      </c>
      <c r="AA6" s="38" t="n">
        <v>257040</v>
      </c>
    </row>
    <row r="7">
      <c r="A7" t="inlineStr">
        <is>
          <t>Sheraton Denver Downtown Hotel</t>
        </is>
      </c>
      <c r="B7" t="inlineStr">
        <is>
          <t>Hotel</t>
        </is>
      </c>
      <c r="C7" t="inlineStr">
        <is>
          <t>YES</t>
        </is>
      </c>
      <c r="D7" t="n">
        <v>1238</v>
      </c>
      <c r="E7" t="inlineStr"/>
      <c r="F7" t="n">
        <v>67</v>
      </c>
      <c r="G7" s="38" t="n">
        <v>7166534.4</v>
      </c>
      <c r="H7" t="n">
        <v>5</v>
      </c>
      <c r="I7" t="n">
        <v>5</v>
      </c>
      <c r="J7" t="n">
        <v>3</v>
      </c>
      <c r="K7" t="n">
        <v>4</v>
      </c>
      <c r="L7" t="n">
        <v>4</v>
      </c>
      <c r="M7" s="48" t="n">
        <v>0.3</v>
      </c>
      <c r="N7" t="inlineStr">
        <is>
          <t>Brand familiarity (current): Marriott_family</t>
        </is>
      </c>
      <c r="O7" s="48" t="n">
        <v>4.3</v>
      </c>
      <c r="P7" s="48" t="n">
        <v>4.6</v>
      </c>
      <c r="Q7" s="51" t="inlineStr">
        <is>
          <t>A — Beachhead</t>
        </is>
      </c>
      <c r="R7" s="37" t="n">
        <v>0.4</v>
      </c>
      <c r="S7" s="37" t="n">
        <v>0.499</v>
      </c>
      <c r="T7" s="37" t="n">
        <v>0.7025</v>
      </c>
      <c r="U7" s="37" t="n">
        <v>0.851</v>
      </c>
      <c r="V7" s="37" t="n">
        <v>0.95</v>
      </c>
      <c r="W7" s="38" t="n">
        <v>2866613.76</v>
      </c>
      <c r="X7" s="38" t="n">
        <v>3576100.6656</v>
      </c>
      <c r="Y7" s="38" t="n">
        <v>5034490.416</v>
      </c>
      <c r="Z7" s="38" t="n">
        <v>6098720.7744</v>
      </c>
      <c r="AA7" s="38" t="n">
        <v>6808207.68</v>
      </c>
    </row>
    <row r="8">
      <c r="A8" t="inlineStr">
        <is>
          <t>Hyatt Regency Denver at Colorado Convention Center</t>
        </is>
      </c>
      <c r="B8" t="inlineStr">
        <is>
          <t>Hotel</t>
        </is>
      </c>
      <c r="C8" t="inlineStr">
        <is>
          <t>NO</t>
        </is>
      </c>
      <c r="D8" t="n">
        <v>1100</v>
      </c>
      <c r="E8" t="inlineStr"/>
      <c r="F8" t="n">
        <v>67</v>
      </c>
      <c r="G8" s="38" t="n">
        <v>6367680</v>
      </c>
      <c r="H8" t="n">
        <v>5</v>
      </c>
      <c r="I8" t="n">
        <v>5</v>
      </c>
      <c r="J8" t="n">
        <v>3</v>
      </c>
      <c r="K8" t="n">
        <v>4</v>
      </c>
      <c r="L8" t="n">
        <v>2</v>
      </c>
      <c r="M8" s="48" t="n">
        <v>0</v>
      </c>
      <c r="N8" t="inlineStr"/>
      <c r="O8" s="48" t="n">
        <v>4</v>
      </c>
      <c r="P8" s="48" t="n">
        <v>4</v>
      </c>
      <c r="Q8" s="50" t="inlineStr">
        <is>
          <t>B — Core</t>
        </is>
      </c>
      <c r="R8" s="37" t="n">
        <v>0.08</v>
      </c>
      <c r="S8" s="37" t="n">
        <v>0.22066</v>
      </c>
      <c r="T8" s="37" t="n">
        <v>0.560625</v>
      </c>
      <c r="U8" s="37" t="n">
        <v>0.7867499999999999</v>
      </c>
      <c r="V8" s="37" t="n">
        <v>0.9375</v>
      </c>
      <c r="W8" s="38" t="n">
        <v>509414.4</v>
      </c>
      <c r="X8" s="38" t="n">
        <v>1405092.2688</v>
      </c>
      <c r="Y8" s="38" t="n">
        <v>3569880.6</v>
      </c>
      <c r="Z8" s="38" t="n">
        <v>5009772.239999999</v>
      </c>
      <c r="AA8" s="38" t="n">
        <v>5969700</v>
      </c>
    </row>
    <row r="9">
      <c r="A9" t="inlineStr">
        <is>
          <t>The Jacquard, Autograph Collection</t>
        </is>
      </c>
      <c r="B9" t="inlineStr">
        <is>
          <t>Hotel</t>
        </is>
      </c>
      <c r="C9" t="inlineStr">
        <is>
          <t>NO</t>
        </is>
      </c>
      <c r="D9" t="n">
        <v>198</v>
      </c>
      <c r="E9" t="inlineStr">
        <is>
          <t>Pro Park</t>
        </is>
      </c>
      <c r="F9" t="n">
        <v>65</v>
      </c>
      <c r="G9" s="38" t="n">
        <v>416988</v>
      </c>
      <c r="H9" t="n">
        <v>3</v>
      </c>
      <c r="I9" t="n">
        <v>2</v>
      </c>
      <c r="J9" t="n">
        <v>3</v>
      </c>
      <c r="K9" t="n">
        <v>3</v>
      </c>
      <c r="L9" t="n">
        <v>2</v>
      </c>
      <c r="M9" s="48" t="n">
        <v>0.3</v>
      </c>
      <c r="N9" t="inlineStr">
        <is>
          <t>Brand familiarity (current): Marriott_family</t>
        </is>
      </c>
      <c r="O9" s="48" t="n">
        <v>2.6</v>
      </c>
      <c r="P9" s="48" t="n">
        <v>2.9</v>
      </c>
      <c r="Q9" s="49" t="inlineStr">
        <is>
          <t>C — Opportunistic</t>
        </is>
      </c>
      <c r="R9" s="37" t="n">
        <v>0.02</v>
      </c>
      <c r="S9" s="37" t="n">
        <v>0.09724000000000002</v>
      </c>
      <c r="T9" s="37" t="n">
        <v>0.28625</v>
      </c>
      <c r="U9" s="37" t="n">
        <v>0.4145</v>
      </c>
      <c r="V9" s="37" t="n">
        <v>0.5</v>
      </c>
      <c r="W9" s="38" t="n">
        <v>8339.76</v>
      </c>
      <c r="X9" s="38" t="n">
        <v>40547.91312000001</v>
      </c>
      <c r="Y9" s="38" t="n">
        <v>119362.815</v>
      </c>
      <c r="Z9" s="38" t="n">
        <v>172841.526</v>
      </c>
      <c r="AA9" s="38" t="n">
        <v>208494</v>
      </c>
    </row>
    <row r="10">
      <c r="A10" t="inlineStr">
        <is>
          <t>Four Seasons Hotel Denver</t>
        </is>
      </c>
      <c r="B10" t="inlineStr">
        <is>
          <t>Hotel</t>
        </is>
      </c>
      <c r="C10" t="inlineStr">
        <is>
          <t>YES</t>
        </is>
      </c>
      <c r="D10" t="n">
        <v>239</v>
      </c>
      <c r="E10" t="inlineStr">
        <is>
          <t>In House</t>
        </is>
      </c>
      <c r="F10" t="n">
        <v>65</v>
      </c>
      <c r="G10" s="38" t="n">
        <v>838890</v>
      </c>
      <c r="H10" t="n">
        <v>4</v>
      </c>
      <c r="I10" t="n">
        <v>3</v>
      </c>
      <c r="J10" t="n">
        <v>3</v>
      </c>
      <c r="K10" t="n">
        <v>5</v>
      </c>
      <c r="L10" t="n">
        <v>4</v>
      </c>
      <c r="M10" s="48" t="n">
        <v>0</v>
      </c>
      <c r="N10" t="inlineStr"/>
      <c r="O10" s="48" t="n">
        <v>3.7</v>
      </c>
      <c r="P10" s="48" t="n">
        <v>3.7</v>
      </c>
      <c r="Q10" s="50" t="inlineStr">
        <is>
          <t>B — Core</t>
        </is>
      </c>
      <c r="R10" s="37" t="n">
        <v>0.08</v>
      </c>
      <c r="S10" s="37" t="n">
        <v>0.22066</v>
      </c>
      <c r="T10" s="37" t="n">
        <v>0.560625</v>
      </c>
      <c r="U10" s="37" t="n">
        <v>0.7867499999999999</v>
      </c>
      <c r="V10" s="37" t="n">
        <v>0.9375</v>
      </c>
      <c r="W10" s="38" t="n">
        <v>67111.2</v>
      </c>
      <c r="X10" s="38" t="n">
        <v>185109.4674</v>
      </c>
      <c r="Y10" s="38" t="n">
        <v>470302.70625</v>
      </c>
      <c r="Z10" s="38" t="n">
        <v>659996.7074999999</v>
      </c>
      <c r="AA10" s="38" t="n">
        <v>786459.375</v>
      </c>
    </row>
    <row r="11">
      <c r="A11" t="inlineStr">
        <is>
          <t>The Brown Palace Hotel and Spa, Autograph Collection</t>
        </is>
      </c>
      <c r="B11" t="inlineStr">
        <is>
          <t>Hotel</t>
        </is>
      </c>
      <c r="C11" t="inlineStr">
        <is>
          <t>YES</t>
        </is>
      </c>
      <c r="D11" t="n">
        <v>241</v>
      </c>
      <c r="E11" t="inlineStr"/>
      <c r="F11" t="n">
        <v>65</v>
      </c>
      <c r="G11" s="38" t="n">
        <v>1691820</v>
      </c>
      <c r="H11" t="n">
        <v>4</v>
      </c>
      <c r="I11" t="n">
        <v>4</v>
      </c>
      <c r="J11" t="n">
        <v>3</v>
      </c>
      <c r="K11" t="n">
        <v>4</v>
      </c>
      <c r="L11" t="n">
        <v>4</v>
      </c>
      <c r="M11" s="48" t="n">
        <v>0.3</v>
      </c>
      <c r="N11" t="inlineStr">
        <is>
          <t>Brand familiarity (current): Marriott_family</t>
        </is>
      </c>
      <c r="O11" s="48" t="n">
        <v>3.8</v>
      </c>
      <c r="P11" s="48" t="n">
        <v>4.1</v>
      </c>
      <c r="Q11" s="50" t="inlineStr">
        <is>
          <t>B — Core</t>
        </is>
      </c>
      <c r="R11" s="37" t="n">
        <v>0.08</v>
      </c>
      <c r="S11" s="37" t="n">
        <v>0.22066</v>
      </c>
      <c r="T11" s="37" t="n">
        <v>0.560625</v>
      </c>
      <c r="U11" s="37" t="n">
        <v>0.7867499999999999</v>
      </c>
      <c r="V11" s="37" t="n">
        <v>0.9375</v>
      </c>
      <c r="W11" s="38" t="n">
        <v>135345.6</v>
      </c>
      <c r="X11" s="38" t="n">
        <v>373317.0012000001</v>
      </c>
      <c r="Y11" s="38" t="n">
        <v>948476.5875</v>
      </c>
      <c r="Z11" s="38" t="n">
        <v>1331039.385</v>
      </c>
      <c r="AA11" s="38" t="n">
        <v>1586081.25</v>
      </c>
    </row>
    <row r="12">
      <c r="A12" t="inlineStr">
        <is>
          <t>Thompson Denver, by Hyatt</t>
        </is>
      </c>
      <c r="B12" t="inlineStr">
        <is>
          <t>Hotel</t>
        </is>
      </c>
      <c r="C12" t="inlineStr">
        <is>
          <t>YES</t>
        </is>
      </c>
      <c r="D12" t="n">
        <v>216</v>
      </c>
      <c r="E12" t="inlineStr"/>
      <c r="F12" t="n">
        <v>64</v>
      </c>
      <c r="G12" s="38" t="n">
        <v>746496</v>
      </c>
      <c r="H12" t="n">
        <v>4</v>
      </c>
      <c r="I12" t="n">
        <v>2</v>
      </c>
      <c r="J12" t="n">
        <v>3</v>
      </c>
      <c r="K12" t="n">
        <v>4</v>
      </c>
      <c r="L12" t="n">
        <v>4</v>
      </c>
      <c r="M12" s="48" t="n">
        <v>0</v>
      </c>
      <c r="N12" t="inlineStr"/>
      <c r="O12" s="48" t="n">
        <v>3.3</v>
      </c>
      <c r="P12" s="48" t="n">
        <v>3.3</v>
      </c>
      <c r="Q12" s="49" t="inlineStr">
        <is>
          <t>C — Opportunistic</t>
        </is>
      </c>
      <c r="R12" s="37" t="n">
        <v>0.02</v>
      </c>
      <c r="S12" s="37" t="n">
        <v>0.09724000000000002</v>
      </c>
      <c r="T12" s="37" t="n">
        <v>0.28625</v>
      </c>
      <c r="U12" s="37" t="n">
        <v>0.4145</v>
      </c>
      <c r="V12" s="37" t="n">
        <v>0.5</v>
      </c>
      <c r="W12" s="38" t="n">
        <v>14929.92</v>
      </c>
      <c r="X12" s="38" t="n">
        <v>72589.27104000002</v>
      </c>
      <c r="Y12" s="38" t="n">
        <v>213684.48</v>
      </c>
      <c r="Z12" s="38" t="n">
        <v>309422.592</v>
      </c>
      <c r="AA12" s="38" t="n">
        <v>373248</v>
      </c>
    </row>
    <row r="13">
      <c r="A13" t="inlineStr">
        <is>
          <t>Grand Hyatt Denver</t>
        </is>
      </c>
      <c r="B13" t="inlineStr">
        <is>
          <t>Hotel</t>
        </is>
      </c>
      <c r="C13" t="inlineStr">
        <is>
          <t>YES</t>
        </is>
      </c>
      <c r="D13" t="n">
        <v>516</v>
      </c>
      <c r="E13" t="inlineStr"/>
      <c r="F13" t="n">
        <v>64</v>
      </c>
      <c r="G13" s="38" t="n">
        <v>2853273.6</v>
      </c>
      <c r="H13" t="n">
        <v>5</v>
      </c>
      <c r="I13" t="n">
        <v>5</v>
      </c>
      <c r="J13" t="n">
        <v>3</v>
      </c>
      <c r="K13" t="n">
        <v>4</v>
      </c>
      <c r="L13" t="n">
        <v>4</v>
      </c>
      <c r="M13" s="48" t="n">
        <v>0</v>
      </c>
      <c r="N13" t="inlineStr"/>
      <c r="O13" s="48" t="n">
        <v>4.3</v>
      </c>
      <c r="P13" s="48" t="n">
        <v>4.3</v>
      </c>
      <c r="Q13" s="50" t="inlineStr">
        <is>
          <t>B — Core</t>
        </is>
      </c>
      <c r="R13" s="37" t="n">
        <v>0.08</v>
      </c>
      <c r="S13" s="37" t="n">
        <v>0.22066</v>
      </c>
      <c r="T13" s="37" t="n">
        <v>0.560625</v>
      </c>
      <c r="U13" s="37" t="n">
        <v>0.7867499999999999</v>
      </c>
      <c r="V13" s="37" t="n">
        <v>0.9375</v>
      </c>
      <c r="W13" s="38" t="n">
        <v>228261.888</v>
      </c>
      <c r="X13" s="38" t="n">
        <v>629603.352576</v>
      </c>
      <c r="Y13" s="38" t="n">
        <v>1599616.512</v>
      </c>
      <c r="Z13" s="38" t="n">
        <v>2244813.0048</v>
      </c>
      <c r="AA13" s="38" t="n">
        <v>2674944</v>
      </c>
    </row>
    <row r="14">
      <c r="A14" t="inlineStr">
        <is>
          <t>Hyatt Place Denver/Downtown</t>
        </is>
      </c>
      <c r="B14" t="inlineStr">
        <is>
          <t>Hotel</t>
        </is>
      </c>
      <c r="C14" t="inlineStr">
        <is>
          <t>NO</t>
        </is>
      </c>
      <c r="D14" t="n">
        <v>248</v>
      </c>
      <c r="E14" t="inlineStr">
        <is>
          <t>Towne Park</t>
        </is>
      </c>
      <c r="F14" t="n">
        <v>64</v>
      </c>
      <c r="G14" s="38" t="n">
        <v>857087.9999999999</v>
      </c>
      <c r="H14" t="n">
        <v>3</v>
      </c>
      <c r="I14" t="n">
        <v>3</v>
      </c>
      <c r="J14" t="n">
        <v>3</v>
      </c>
      <c r="K14" t="n">
        <v>2</v>
      </c>
      <c r="L14" t="n">
        <v>2</v>
      </c>
      <c r="M14" s="48" t="n">
        <v>0</v>
      </c>
      <c r="N14" t="inlineStr"/>
      <c r="O14" s="48" t="n">
        <v>2.7</v>
      </c>
      <c r="P14" s="48" t="n">
        <v>2.7</v>
      </c>
      <c r="Q14" s="49" t="inlineStr">
        <is>
          <t>C — Opportunistic</t>
        </is>
      </c>
      <c r="R14" s="37" t="n">
        <v>0.02</v>
      </c>
      <c r="S14" s="37" t="n">
        <v>0.09724000000000002</v>
      </c>
      <c r="T14" s="37" t="n">
        <v>0.28625</v>
      </c>
      <c r="U14" s="37" t="n">
        <v>0.4145</v>
      </c>
      <c r="V14" s="37" t="n">
        <v>0.5</v>
      </c>
      <c r="W14" s="38" t="n">
        <v>17141.76</v>
      </c>
      <c r="X14" s="38" t="n">
        <v>83343.23712000001</v>
      </c>
      <c r="Y14" s="38" t="n">
        <v>245341.44</v>
      </c>
      <c r="Z14" s="38" t="n">
        <v>355262.9759999999</v>
      </c>
      <c r="AA14" s="38" t="n">
        <v>428543.9999999999</v>
      </c>
    </row>
    <row r="15">
      <c r="A15" t="inlineStr">
        <is>
          <t>Populus</t>
        </is>
      </c>
      <c r="B15" t="inlineStr">
        <is>
          <t>Hotel</t>
        </is>
      </c>
      <c r="C15" t="inlineStr">
        <is>
          <t>NO</t>
        </is>
      </c>
      <c r="D15" t="n">
        <v>265</v>
      </c>
      <c r="E15" t="inlineStr"/>
      <c r="F15" t="n">
        <v>64</v>
      </c>
      <c r="G15" s="38" t="n">
        <v>915840</v>
      </c>
      <c r="H15" t="n">
        <v>4</v>
      </c>
      <c r="I15" t="n">
        <v>3</v>
      </c>
      <c r="J15" t="n">
        <v>2</v>
      </c>
      <c r="K15" t="n">
        <v>4</v>
      </c>
      <c r="L15" t="n">
        <v>2</v>
      </c>
      <c r="M15" s="48" t="n">
        <v>0</v>
      </c>
      <c r="N15" t="inlineStr"/>
      <c r="O15" s="48" t="n">
        <v>3.05</v>
      </c>
      <c r="P15" s="48" t="n">
        <v>3.05</v>
      </c>
      <c r="Q15" s="49" t="inlineStr">
        <is>
          <t>C — Opportunistic</t>
        </is>
      </c>
      <c r="R15" s="37" t="n">
        <v>0.02</v>
      </c>
      <c r="S15" s="37" t="n">
        <v>0.09724000000000002</v>
      </c>
      <c r="T15" s="37" t="n">
        <v>0.28625</v>
      </c>
      <c r="U15" s="37" t="n">
        <v>0.4145</v>
      </c>
      <c r="V15" s="37" t="n">
        <v>0.5</v>
      </c>
      <c r="W15" s="38" t="n">
        <v>18316.8</v>
      </c>
      <c r="X15" s="38" t="n">
        <v>89056.28160000002</v>
      </c>
      <c r="Y15" s="38" t="n">
        <v>262159.2</v>
      </c>
      <c r="Z15" s="38" t="n">
        <v>379615.68</v>
      </c>
      <c r="AA15" s="38" t="n">
        <v>457920</v>
      </c>
    </row>
    <row r="16">
      <c r="A16" t="inlineStr">
        <is>
          <t>Hilton Denver City Center</t>
        </is>
      </c>
      <c r="B16" t="inlineStr">
        <is>
          <t>Hotel</t>
        </is>
      </c>
      <c r="C16" t="inlineStr">
        <is>
          <t>YES</t>
        </is>
      </c>
      <c r="D16" t="n">
        <v>613</v>
      </c>
      <c r="E16" t="inlineStr"/>
      <c r="F16" t="n">
        <v>64</v>
      </c>
      <c r="G16" s="38" t="n">
        <v>3389644.8</v>
      </c>
      <c r="H16" t="n">
        <v>5</v>
      </c>
      <c r="I16" t="n">
        <v>5</v>
      </c>
      <c r="J16" t="n">
        <v>3</v>
      </c>
      <c r="K16" t="n">
        <v>4</v>
      </c>
      <c r="L16" t="n">
        <v>4</v>
      </c>
      <c r="M16" s="48" t="n">
        <v>0.15</v>
      </c>
      <c r="N16" t="inlineStr">
        <is>
          <t>Brand familiarity (historical): Hilton_family</t>
        </is>
      </c>
      <c r="O16" s="48" t="n">
        <v>4.3</v>
      </c>
      <c r="P16" s="48" t="n">
        <v>4.45</v>
      </c>
      <c r="Q16" s="50" t="inlineStr">
        <is>
          <t>B — Core</t>
        </is>
      </c>
      <c r="R16" s="37" t="n">
        <v>0.08</v>
      </c>
      <c r="S16" s="37" t="n">
        <v>0.22066</v>
      </c>
      <c r="T16" s="37" t="n">
        <v>0.560625</v>
      </c>
      <c r="U16" s="37" t="n">
        <v>0.7867499999999999</v>
      </c>
      <c r="V16" s="37" t="n">
        <v>0.9375</v>
      </c>
      <c r="W16" s="38" t="n">
        <v>271171.584</v>
      </c>
      <c r="X16" s="38" t="n">
        <v>747959.0215680001</v>
      </c>
      <c r="Y16" s="38" t="n">
        <v>1900319.616</v>
      </c>
      <c r="Z16" s="38" t="n">
        <v>2666803.0464</v>
      </c>
      <c r="AA16" s="38" t="n">
        <v>3177792</v>
      </c>
    </row>
    <row r="17">
      <c r="A17" t="inlineStr">
        <is>
          <t>Halcyon, a hotel in Cherry Creek</t>
        </is>
      </c>
      <c r="B17" t="inlineStr">
        <is>
          <t>Hotel</t>
        </is>
      </c>
      <c r="C17" t="inlineStr">
        <is>
          <t>NO</t>
        </is>
      </c>
      <c r="D17" t="n">
        <v>154</v>
      </c>
      <c r="E17" t="inlineStr"/>
      <c r="F17" t="n">
        <v>60</v>
      </c>
      <c r="G17" s="38" t="n">
        <v>299375.9999999999</v>
      </c>
      <c r="H17" t="n">
        <v>3</v>
      </c>
      <c r="I17" t="n">
        <v>2</v>
      </c>
      <c r="J17" t="n">
        <v>2</v>
      </c>
      <c r="K17" t="n">
        <v>4</v>
      </c>
      <c r="L17" t="n">
        <v>2</v>
      </c>
      <c r="M17" s="48" t="n">
        <v>0</v>
      </c>
      <c r="N17" t="inlineStr"/>
      <c r="O17" s="48" t="n">
        <v>2.55</v>
      </c>
      <c r="P17" s="48" t="n">
        <v>2.55</v>
      </c>
      <c r="Q17" s="49" t="inlineStr">
        <is>
          <t>C — Opportunistic</t>
        </is>
      </c>
      <c r="R17" s="37" t="n">
        <v>0.02</v>
      </c>
      <c r="S17" s="37" t="n">
        <v>0.09724000000000002</v>
      </c>
      <c r="T17" s="37" t="n">
        <v>0.28625</v>
      </c>
      <c r="U17" s="37" t="n">
        <v>0.4145</v>
      </c>
      <c r="V17" s="37" t="n">
        <v>0.5</v>
      </c>
      <c r="W17" s="38" t="n">
        <v>5987.519999999998</v>
      </c>
      <c r="X17" s="38" t="n">
        <v>29111.32223999999</v>
      </c>
      <c r="Y17" s="38" t="n">
        <v>85696.37999999996</v>
      </c>
      <c r="Z17" s="38" t="n">
        <v>124091.3519999999</v>
      </c>
      <c r="AA17" s="38" t="n">
        <v>149687.9999999999</v>
      </c>
    </row>
    <row r="18">
      <c r="A18" t="inlineStr">
        <is>
          <t>Hampton Inn &amp; Suites Denver Downtown-Convention Center</t>
        </is>
      </c>
      <c r="B18" t="inlineStr">
        <is>
          <t>Hotel</t>
        </is>
      </c>
      <c r="C18" t="inlineStr">
        <is>
          <t>NO</t>
        </is>
      </c>
      <c r="D18" t="n">
        <v>120</v>
      </c>
      <c r="E18" t="inlineStr"/>
      <c r="F18" t="n">
        <v>60</v>
      </c>
      <c r="G18" s="38" t="n">
        <v>622080</v>
      </c>
      <c r="H18" t="n">
        <v>3</v>
      </c>
      <c r="I18" t="n">
        <v>2</v>
      </c>
      <c r="J18" t="n">
        <v>3</v>
      </c>
      <c r="K18" t="n">
        <v>4</v>
      </c>
      <c r="L18" t="n">
        <v>2</v>
      </c>
      <c r="M18" s="48" t="n">
        <v>0.15</v>
      </c>
      <c r="N18" t="inlineStr">
        <is>
          <t>Brand familiarity (historical): Hilton_family</t>
        </is>
      </c>
      <c r="O18" s="48" t="n">
        <v>2.75</v>
      </c>
      <c r="P18" s="48" t="n">
        <v>2.9</v>
      </c>
      <c r="Q18" s="49" t="inlineStr">
        <is>
          <t>C — Opportunistic</t>
        </is>
      </c>
      <c r="R18" s="37" t="n">
        <v>0.02</v>
      </c>
      <c r="S18" s="37" t="n">
        <v>0.09724000000000002</v>
      </c>
      <c r="T18" s="37" t="n">
        <v>0.28625</v>
      </c>
      <c r="U18" s="37" t="n">
        <v>0.4145</v>
      </c>
      <c r="V18" s="37" t="n">
        <v>0.5</v>
      </c>
      <c r="W18" s="38" t="n">
        <v>12441.6</v>
      </c>
      <c r="X18" s="38" t="n">
        <v>60491.05920000001</v>
      </c>
      <c r="Y18" s="38" t="n">
        <v>178070.4</v>
      </c>
      <c r="Z18" s="38" t="n">
        <v>257852.16</v>
      </c>
      <c r="AA18" s="38" t="n">
        <v>311040</v>
      </c>
    </row>
    <row r="19">
      <c r="A19" t="inlineStr">
        <is>
          <t>Tru by Hilton Denver Downtown Convention Center</t>
        </is>
      </c>
      <c r="B19" t="inlineStr">
        <is>
          <t>Hotel</t>
        </is>
      </c>
      <c r="C19" t="inlineStr">
        <is>
          <t>NO</t>
        </is>
      </c>
      <c r="D19" t="n">
        <v>176</v>
      </c>
      <c r="E19" t="inlineStr"/>
      <c r="F19" t="n">
        <v>60</v>
      </c>
      <c r="G19" s="38" t="n">
        <v>912384</v>
      </c>
      <c r="H19" t="n">
        <v>3</v>
      </c>
      <c r="I19" t="n">
        <v>3</v>
      </c>
      <c r="J19" t="n">
        <v>3</v>
      </c>
      <c r="K19" t="n">
        <v>4</v>
      </c>
      <c r="L19" t="n">
        <v>2</v>
      </c>
      <c r="M19" s="48" t="n">
        <v>0.15</v>
      </c>
      <c r="N19" t="inlineStr">
        <is>
          <t>Brand familiarity (historical): Hilton_family</t>
        </is>
      </c>
      <c r="O19" s="48" t="n">
        <v>3</v>
      </c>
      <c r="P19" s="48" t="n">
        <v>3.15</v>
      </c>
      <c r="Q19" s="49" t="inlineStr">
        <is>
          <t>C — Opportunistic</t>
        </is>
      </c>
      <c r="R19" s="37" t="n">
        <v>0.02</v>
      </c>
      <c r="S19" s="37" t="n">
        <v>0.09724000000000002</v>
      </c>
      <c r="T19" s="37" t="n">
        <v>0.28625</v>
      </c>
      <c r="U19" s="37" t="n">
        <v>0.4145</v>
      </c>
      <c r="V19" s="37" t="n">
        <v>0.5</v>
      </c>
      <c r="W19" s="38" t="n">
        <v>18247.68</v>
      </c>
      <c r="X19" s="38" t="n">
        <v>88720.22016000003</v>
      </c>
      <c r="Y19" s="38" t="n">
        <v>261169.92</v>
      </c>
      <c r="Z19" s="38" t="n">
        <v>378183.168</v>
      </c>
      <c r="AA19" s="38" t="n">
        <v>456192</v>
      </c>
    </row>
    <row r="20">
      <c r="A20" t="inlineStr">
        <is>
          <t>Home2 Suites by Hilton Denver Downtown Convention Center</t>
        </is>
      </c>
      <c r="B20" t="inlineStr">
        <is>
          <t>Hotel</t>
        </is>
      </c>
      <c r="C20" t="inlineStr">
        <is>
          <t>NO</t>
        </is>
      </c>
      <c r="D20" t="n">
        <v>206</v>
      </c>
      <c r="E20" t="inlineStr"/>
      <c r="F20" t="n">
        <v>60</v>
      </c>
      <c r="G20" s="38" t="n">
        <v>1067904</v>
      </c>
      <c r="H20" t="n">
        <v>3</v>
      </c>
      <c r="I20" t="n">
        <v>3</v>
      </c>
      <c r="J20" t="n">
        <v>3</v>
      </c>
      <c r="K20" t="n">
        <v>4</v>
      </c>
      <c r="L20" t="n">
        <v>2</v>
      </c>
      <c r="M20" s="48" t="n">
        <v>0.15</v>
      </c>
      <c r="N20" t="inlineStr">
        <is>
          <t>Brand familiarity (historical): Hilton_family</t>
        </is>
      </c>
      <c r="O20" s="48" t="n">
        <v>3</v>
      </c>
      <c r="P20" s="48" t="n">
        <v>3.15</v>
      </c>
      <c r="Q20" s="49" t="inlineStr">
        <is>
          <t>C — Opportunistic</t>
        </is>
      </c>
      <c r="R20" s="37" t="n">
        <v>0.02</v>
      </c>
      <c r="S20" s="37" t="n">
        <v>0.09724000000000002</v>
      </c>
      <c r="T20" s="37" t="n">
        <v>0.28625</v>
      </c>
      <c r="U20" s="37" t="n">
        <v>0.4145</v>
      </c>
      <c r="V20" s="37" t="n">
        <v>0.5</v>
      </c>
      <c r="W20" s="38" t="n">
        <v>21358.08</v>
      </c>
      <c r="X20" s="38" t="n">
        <v>103842.98496</v>
      </c>
      <c r="Y20" s="38" t="n">
        <v>305687.52</v>
      </c>
      <c r="Z20" s="38" t="n">
        <v>442646.208</v>
      </c>
      <c r="AA20" s="38" t="n">
        <v>533952</v>
      </c>
    </row>
    <row r="21">
      <c r="A21" t="inlineStr">
        <is>
          <t>Homewood Suites by Hilton Denver Downtown-Convention Center</t>
        </is>
      </c>
      <c r="B21" t="inlineStr">
        <is>
          <t>Hotel</t>
        </is>
      </c>
      <c r="C21" t="inlineStr">
        <is>
          <t>NO</t>
        </is>
      </c>
      <c r="D21" t="n">
        <v>182</v>
      </c>
      <c r="E21" t="inlineStr"/>
      <c r="F21" t="n">
        <v>60</v>
      </c>
      <c r="G21" s="38" t="n">
        <v>943488.0000000001</v>
      </c>
      <c r="H21" t="n">
        <v>3</v>
      </c>
      <c r="I21" t="n">
        <v>3</v>
      </c>
      <c r="J21" t="n">
        <v>3</v>
      </c>
      <c r="K21" t="n">
        <v>4</v>
      </c>
      <c r="L21" t="n">
        <v>2</v>
      </c>
      <c r="M21" s="48" t="n">
        <v>0.15</v>
      </c>
      <c r="N21" t="inlineStr">
        <is>
          <t>Brand familiarity (historical): Hilton_family</t>
        </is>
      </c>
      <c r="O21" s="48" t="n">
        <v>3</v>
      </c>
      <c r="P21" s="48" t="n">
        <v>3.15</v>
      </c>
      <c r="Q21" s="49" t="inlineStr">
        <is>
          <t>C — Opportunistic</t>
        </is>
      </c>
      <c r="R21" s="37" t="n">
        <v>0.02</v>
      </c>
      <c r="S21" s="37" t="n">
        <v>0.09724000000000002</v>
      </c>
      <c r="T21" s="37" t="n">
        <v>0.28625</v>
      </c>
      <c r="U21" s="37" t="n">
        <v>0.4145</v>
      </c>
      <c r="V21" s="37" t="n">
        <v>0.5</v>
      </c>
      <c r="W21" s="38" t="n">
        <v>18869.76</v>
      </c>
      <c r="X21" s="38" t="n">
        <v>91744.77312000003</v>
      </c>
      <c r="Y21" s="38" t="n">
        <v>270073.4400000001</v>
      </c>
      <c r="Z21" s="38" t="n">
        <v>391075.776</v>
      </c>
      <c r="AA21" s="38" t="n">
        <v>471744.0000000001</v>
      </c>
    </row>
    <row r="22">
      <c r="A22" t="inlineStr">
        <is>
          <t>Hotel Clio, a Luxury Collection Hotel, Denver Cherry Creek</t>
        </is>
      </c>
      <c r="B22" t="inlineStr">
        <is>
          <t>Hotel</t>
        </is>
      </c>
      <c r="C22" t="inlineStr">
        <is>
          <t>NO</t>
        </is>
      </c>
      <c r="D22" t="n">
        <v>199</v>
      </c>
      <c r="E22" t="inlineStr">
        <is>
          <t>Pro Park</t>
        </is>
      </c>
      <c r="F22" t="n">
        <v>59</v>
      </c>
      <c r="G22" s="38" t="n">
        <v>380408.4</v>
      </c>
      <c r="H22" t="n">
        <v>3</v>
      </c>
      <c r="I22" t="n">
        <v>2</v>
      </c>
      <c r="J22" t="n">
        <v>2</v>
      </c>
      <c r="K22" t="n">
        <v>3</v>
      </c>
      <c r="L22" t="n">
        <v>2</v>
      </c>
      <c r="M22" s="48" t="n">
        <v>0</v>
      </c>
      <c r="N22" t="inlineStr"/>
      <c r="O22" s="48" t="n">
        <v>2.4</v>
      </c>
      <c r="P22" s="48" t="n">
        <v>2.4</v>
      </c>
      <c r="Q22" s="40" t="inlineStr">
        <is>
          <t>D — Deprioritized</t>
        </is>
      </c>
      <c r="R22" s="37" t="n">
        <v>0</v>
      </c>
      <c r="S22" s="37" t="n">
        <v>0.018</v>
      </c>
      <c r="T22" s="37" t="n">
        <v>0.05500000000000001</v>
      </c>
      <c r="U22" s="37" t="n">
        <v>0.082</v>
      </c>
      <c r="V22" s="37" t="n">
        <v>0.1</v>
      </c>
      <c r="W22" s="38" t="n">
        <v>0</v>
      </c>
      <c r="X22" s="38" t="n">
        <v>6847.3512</v>
      </c>
      <c r="Y22" s="38" t="n">
        <v>20922.462</v>
      </c>
      <c r="Z22" s="38" t="n">
        <v>31193.4888</v>
      </c>
      <c r="AA22" s="38" t="n">
        <v>38040.84</v>
      </c>
    </row>
    <row r="23">
      <c r="A23" t="inlineStr">
        <is>
          <t>Clayton Hotel &amp; Members Club</t>
        </is>
      </c>
      <c r="B23" t="inlineStr">
        <is>
          <t>Hotel</t>
        </is>
      </c>
      <c r="C23" t="inlineStr">
        <is>
          <t>NO</t>
        </is>
      </c>
      <c r="D23" t="n">
        <v>63</v>
      </c>
      <c r="E23" t="inlineStr"/>
      <c r="F23" t="n">
        <v>59</v>
      </c>
      <c r="G23" s="38" t="n">
        <v>120430.8</v>
      </c>
      <c r="H23" t="n">
        <v>2</v>
      </c>
      <c r="I23" t="n">
        <v>1</v>
      </c>
      <c r="J23" t="n">
        <v>2</v>
      </c>
      <c r="K23" t="n">
        <v>4</v>
      </c>
      <c r="L23" t="n">
        <v>2</v>
      </c>
      <c r="M23" s="48" t="n">
        <v>0</v>
      </c>
      <c r="N23" t="inlineStr"/>
      <c r="O23" s="48" t="n">
        <v>2.05</v>
      </c>
      <c r="P23" s="48" t="n">
        <v>2.05</v>
      </c>
      <c r="Q23" s="40" t="inlineStr">
        <is>
          <t>D — Deprioritized</t>
        </is>
      </c>
      <c r="R23" s="37" t="n">
        <v>0</v>
      </c>
      <c r="S23" s="37" t="n">
        <v>0.018</v>
      </c>
      <c r="T23" s="37" t="n">
        <v>0.05500000000000001</v>
      </c>
      <c r="U23" s="37" t="n">
        <v>0.082</v>
      </c>
      <c r="V23" s="37" t="n">
        <v>0.1</v>
      </c>
      <c r="W23" s="38" t="n">
        <v>0</v>
      </c>
      <c r="X23" s="38" t="n">
        <v>2167.7544</v>
      </c>
      <c r="Y23" s="38" t="n">
        <v>6623.694000000001</v>
      </c>
      <c r="Z23" s="38" t="n">
        <v>9875.3256</v>
      </c>
      <c r="AA23" s="38" t="n">
        <v>12043.08</v>
      </c>
    </row>
    <row r="24">
      <c r="A24" t="inlineStr">
        <is>
          <t>The Slate Hotel Denver Downtown, Tapestry by Hilton</t>
        </is>
      </c>
      <c r="B24" t="inlineStr">
        <is>
          <t>Hotel</t>
        </is>
      </c>
      <c r="C24" t="inlineStr">
        <is>
          <t>YES</t>
        </is>
      </c>
      <c r="D24" t="n">
        <v>251</v>
      </c>
      <c r="E24" t="inlineStr"/>
      <c r="F24" t="n">
        <v>59</v>
      </c>
      <c r="G24" s="38" t="n">
        <v>799686</v>
      </c>
      <c r="H24" t="n">
        <v>4</v>
      </c>
      <c r="I24" t="n">
        <v>3</v>
      </c>
      <c r="J24" t="n">
        <v>3</v>
      </c>
      <c r="K24" t="n">
        <v>4</v>
      </c>
      <c r="L24" t="n">
        <v>4</v>
      </c>
      <c r="M24" s="48" t="n">
        <v>0.15</v>
      </c>
      <c r="N24" t="inlineStr">
        <is>
          <t>Brand familiarity (historical): Hilton_family</t>
        </is>
      </c>
      <c r="O24" s="48" t="n">
        <v>3.55</v>
      </c>
      <c r="P24" s="48" t="n">
        <v>3.7</v>
      </c>
      <c r="Q24" s="50" t="inlineStr">
        <is>
          <t>B — Core</t>
        </is>
      </c>
      <c r="R24" s="37" t="n">
        <v>0.08</v>
      </c>
      <c r="S24" s="37" t="n">
        <v>0.22066</v>
      </c>
      <c r="T24" s="37" t="n">
        <v>0.560625</v>
      </c>
      <c r="U24" s="37" t="n">
        <v>0.7867499999999999</v>
      </c>
      <c r="V24" s="37" t="n">
        <v>0.9375</v>
      </c>
      <c r="W24" s="38" t="n">
        <v>63974.88</v>
      </c>
      <c r="X24" s="38" t="n">
        <v>176458.71276</v>
      </c>
      <c r="Y24" s="38" t="n">
        <v>448323.9637500001</v>
      </c>
      <c r="Z24" s="38" t="n">
        <v>629152.9604999999</v>
      </c>
      <c r="AA24" s="38" t="n">
        <v>749705.625</v>
      </c>
    </row>
    <row r="25">
      <c r="A25" t="inlineStr">
        <is>
          <t>Kimpton Hotel Monaco Denver</t>
        </is>
      </c>
      <c r="B25" t="inlineStr">
        <is>
          <t>Hotel</t>
        </is>
      </c>
      <c r="C25" t="inlineStr">
        <is>
          <t>YES</t>
        </is>
      </c>
      <c r="D25" t="n">
        <v>189</v>
      </c>
      <c r="E25" t="inlineStr">
        <is>
          <t>Towne Park</t>
        </is>
      </c>
      <c r="F25" t="n">
        <v>59</v>
      </c>
      <c r="G25" s="38" t="n">
        <v>602154</v>
      </c>
      <c r="H25" t="n">
        <v>4</v>
      </c>
      <c r="I25" t="n">
        <v>2</v>
      </c>
      <c r="J25" t="n">
        <v>3</v>
      </c>
      <c r="K25" t="n">
        <v>2</v>
      </c>
      <c r="L25" t="n">
        <v>4</v>
      </c>
      <c r="M25" s="48" t="n">
        <v>0</v>
      </c>
      <c r="N25" t="inlineStr"/>
      <c r="O25" s="48" t="n">
        <v>3</v>
      </c>
      <c r="P25" s="48" t="n">
        <v>3</v>
      </c>
      <c r="Q25" s="49" t="inlineStr">
        <is>
          <t>C — Opportunistic</t>
        </is>
      </c>
      <c r="R25" s="37" t="n">
        <v>0.02</v>
      </c>
      <c r="S25" s="37" t="n">
        <v>0.09724000000000002</v>
      </c>
      <c r="T25" s="37" t="n">
        <v>0.28625</v>
      </c>
      <c r="U25" s="37" t="n">
        <v>0.4145</v>
      </c>
      <c r="V25" s="37" t="n">
        <v>0.5</v>
      </c>
      <c r="W25" s="38" t="n">
        <v>12043.08</v>
      </c>
      <c r="X25" s="38" t="n">
        <v>58553.45496000001</v>
      </c>
      <c r="Y25" s="38" t="n">
        <v>172366.5825</v>
      </c>
      <c r="Z25" s="38" t="n">
        <v>249592.833</v>
      </c>
      <c r="AA25" s="38" t="n">
        <v>301077</v>
      </c>
    </row>
    <row r="26">
      <c r="A26" t="inlineStr">
        <is>
          <t>Magnolia Hotel Denver, a Tribute Portfolio Hotel</t>
        </is>
      </c>
      <c r="B26" t="inlineStr">
        <is>
          <t>Hotel</t>
        </is>
      </c>
      <c r="C26" t="inlineStr">
        <is>
          <t>YES</t>
        </is>
      </c>
      <c r="D26" t="n">
        <v>297</v>
      </c>
      <c r="E26" t="inlineStr"/>
      <c r="F26" t="n">
        <v>59</v>
      </c>
      <c r="G26" s="38" t="n">
        <v>946241.9999999999</v>
      </c>
      <c r="H26" t="n">
        <v>4</v>
      </c>
      <c r="I26" t="n">
        <v>3</v>
      </c>
      <c r="J26" t="n">
        <v>2</v>
      </c>
      <c r="K26" t="n">
        <v>4</v>
      </c>
      <c r="L26" t="n">
        <v>4</v>
      </c>
      <c r="M26" s="48" t="n">
        <v>0.3</v>
      </c>
      <c r="N26" t="inlineStr">
        <is>
          <t>Brand familiarity (current): Marriott_family</t>
        </is>
      </c>
      <c r="O26" s="48" t="n">
        <v>3.35</v>
      </c>
      <c r="P26" s="48" t="n">
        <v>3.65</v>
      </c>
      <c r="Q26" s="50" t="inlineStr">
        <is>
          <t>B — Core</t>
        </is>
      </c>
      <c r="R26" s="37" t="n">
        <v>0.08</v>
      </c>
      <c r="S26" s="37" t="n">
        <v>0.22066</v>
      </c>
      <c r="T26" s="37" t="n">
        <v>0.560625</v>
      </c>
      <c r="U26" s="37" t="n">
        <v>0.7867499999999999</v>
      </c>
      <c r="V26" s="37" t="n">
        <v>0.9375</v>
      </c>
      <c r="W26" s="38" t="n">
        <v>75699.35999999999</v>
      </c>
      <c r="X26" s="38" t="n">
        <v>208797.75972</v>
      </c>
      <c r="Y26" s="38" t="n">
        <v>530486.92125</v>
      </c>
      <c r="Z26" s="38" t="n">
        <v>744455.8934999999</v>
      </c>
      <c r="AA26" s="38" t="n">
        <v>887101.8749999999</v>
      </c>
    </row>
    <row r="27">
      <c r="A27" t="inlineStr">
        <is>
          <t>Hyatt Centric Downtown Denver</t>
        </is>
      </c>
      <c r="B27" t="inlineStr">
        <is>
          <t>Hotel</t>
        </is>
      </c>
      <c r="C27" t="inlineStr">
        <is>
          <t>YES</t>
        </is>
      </c>
      <c r="D27" t="n">
        <v>264</v>
      </c>
      <c r="E27" t="inlineStr"/>
      <c r="F27" t="n">
        <v>59</v>
      </c>
      <c r="G27" s="38" t="n">
        <v>841104</v>
      </c>
      <c r="H27" t="n">
        <v>4</v>
      </c>
      <c r="I27" t="n">
        <v>3</v>
      </c>
      <c r="J27" t="n">
        <v>3</v>
      </c>
      <c r="K27" t="n">
        <v>4</v>
      </c>
      <c r="L27" t="n">
        <v>4</v>
      </c>
      <c r="M27" s="48" t="n">
        <v>0</v>
      </c>
      <c r="N27" t="inlineStr"/>
      <c r="O27" s="48" t="n">
        <v>3.55</v>
      </c>
      <c r="P27" s="48" t="n">
        <v>3.55</v>
      </c>
      <c r="Q27" s="50" t="inlineStr">
        <is>
          <t>B — Core</t>
        </is>
      </c>
      <c r="R27" s="37" t="n">
        <v>0.08</v>
      </c>
      <c r="S27" s="37" t="n">
        <v>0.22066</v>
      </c>
      <c r="T27" s="37" t="n">
        <v>0.560625</v>
      </c>
      <c r="U27" s="37" t="n">
        <v>0.7867499999999999</v>
      </c>
      <c r="V27" s="37" t="n">
        <v>0.9375</v>
      </c>
      <c r="W27" s="38" t="n">
        <v>67288.32000000001</v>
      </c>
      <c r="X27" s="38" t="n">
        <v>185598.00864</v>
      </c>
      <c r="Y27" s="38" t="n">
        <v>471543.9300000001</v>
      </c>
      <c r="Z27" s="38" t="n">
        <v>661738.5719999999</v>
      </c>
      <c r="AA27" s="38" t="n">
        <v>788535</v>
      </c>
    </row>
    <row r="28">
      <c r="A28" t="inlineStr">
        <is>
          <t>Hotel Indigo Denver Downtown-Union Station</t>
        </is>
      </c>
      <c r="B28" t="inlineStr">
        <is>
          <t>Hotel</t>
        </is>
      </c>
      <c r="C28" t="inlineStr">
        <is>
          <t>NO</t>
        </is>
      </c>
      <c r="D28" t="n">
        <v>180</v>
      </c>
      <c r="E28" t="inlineStr"/>
      <c r="F28" t="n">
        <v>55</v>
      </c>
      <c r="G28" s="38" t="n">
        <v>534600</v>
      </c>
      <c r="H28" t="n">
        <v>3</v>
      </c>
      <c r="I28" t="n">
        <v>2</v>
      </c>
      <c r="J28" t="n">
        <v>2</v>
      </c>
      <c r="K28" t="n">
        <v>4</v>
      </c>
      <c r="L28" t="n">
        <v>2</v>
      </c>
      <c r="M28" s="48" t="n">
        <v>0</v>
      </c>
      <c r="N28" t="inlineStr"/>
      <c r="O28" s="48" t="n">
        <v>2.55</v>
      </c>
      <c r="P28" s="48" t="n">
        <v>2.55</v>
      </c>
      <c r="Q28" s="49" t="inlineStr">
        <is>
          <t>C — Opportunistic</t>
        </is>
      </c>
      <c r="R28" s="37" t="n">
        <v>0.02</v>
      </c>
      <c r="S28" s="37" t="n">
        <v>0.09724000000000002</v>
      </c>
      <c r="T28" s="37" t="n">
        <v>0.28625</v>
      </c>
      <c r="U28" s="37" t="n">
        <v>0.4145</v>
      </c>
      <c r="V28" s="37" t="n">
        <v>0.5</v>
      </c>
      <c r="W28" s="38" t="n">
        <v>10692</v>
      </c>
      <c r="X28" s="38" t="n">
        <v>51984.50400000001</v>
      </c>
      <c r="Y28" s="38" t="n">
        <v>153029.25</v>
      </c>
      <c r="Z28" s="38" t="n">
        <v>221591.7</v>
      </c>
      <c r="AA28" s="38" t="n">
        <v>267300</v>
      </c>
    </row>
    <row r="29">
      <c r="A29" t="inlineStr">
        <is>
          <t>Hotel Teatro</t>
        </is>
      </c>
      <c r="B29" t="inlineStr">
        <is>
          <t>Hotel</t>
        </is>
      </c>
      <c r="C29" t="inlineStr">
        <is>
          <t>NO</t>
        </is>
      </c>
      <c r="D29" t="n">
        <v>111</v>
      </c>
      <c r="E29" t="inlineStr">
        <is>
          <t>LAZ</t>
        </is>
      </c>
      <c r="F29" t="n">
        <v>55</v>
      </c>
      <c r="G29" s="38" t="n">
        <v>329669.9999999999</v>
      </c>
      <c r="H29" t="n">
        <v>3</v>
      </c>
      <c r="I29" t="n">
        <v>2</v>
      </c>
      <c r="J29" t="n">
        <v>2</v>
      </c>
      <c r="K29" t="n">
        <v>2</v>
      </c>
      <c r="L29" t="n">
        <v>2</v>
      </c>
      <c r="M29" s="48" t="n">
        <v>0</v>
      </c>
      <c r="N29" t="inlineStr"/>
      <c r="O29" s="48" t="n">
        <v>2.25</v>
      </c>
      <c r="P29" s="48" t="n">
        <v>2.25</v>
      </c>
      <c r="Q29" s="40" t="inlineStr">
        <is>
          <t>D — Deprioritized</t>
        </is>
      </c>
      <c r="R29" s="37" t="n">
        <v>0</v>
      </c>
      <c r="S29" s="37" t="n">
        <v>0.018</v>
      </c>
      <c r="T29" s="37" t="n">
        <v>0.05500000000000001</v>
      </c>
      <c r="U29" s="37" t="n">
        <v>0.082</v>
      </c>
      <c r="V29" s="37" t="n">
        <v>0.1</v>
      </c>
      <c r="W29" s="38" t="n">
        <v>0</v>
      </c>
      <c r="X29" s="38" t="n">
        <v>5934.059999999998</v>
      </c>
      <c r="Y29" s="38" t="n">
        <v>18131.84999999999</v>
      </c>
      <c r="Z29" s="38" t="n">
        <v>27032.93999999999</v>
      </c>
      <c r="AA29" s="38" t="n">
        <v>32966.99999999999</v>
      </c>
    </row>
    <row r="30">
      <c r="A30" t="inlineStr">
        <is>
          <t>Kimpton Claret Hotel</t>
        </is>
      </c>
      <c r="B30" t="inlineStr">
        <is>
          <t>Hotel</t>
        </is>
      </c>
      <c r="C30" t="inlineStr">
        <is>
          <t>NO</t>
        </is>
      </c>
      <c r="D30" t="n">
        <v>190</v>
      </c>
      <c r="E30" t="inlineStr"/>
      <c r="F30" t="n">
        <v>55</v>
      </c>
      <c r="G30" s="38" t="n">
        <v>338579.9999999999</v>
      </c>
      <c r="H30" t="n">
        <v>3</v>
      </c>
      <c r="I30" t="n">
        <v>2</v>
      </c>
      <c r="J30" t="n">
        <v>3</v>
      </c>
      <c r="K30" t="n">
        <v>4</v>
      </c>
      <c r="L30" t="n">
        <v>2</v>
      </c>
      <c r="M30" s="48" t="n">
        <v>0</v>
      </c>
      <c r="N30" t="inlineStr"/>
      <c r="O30" s="48" t="n">
        <v>2.75</v>
      </c>
      <c r="P30" s="48" t="n">
        <v>2.75</v>
      </c>
      <c r="Q30" s="49" t="inlineStr">
        <is>
          <t>C — Opportunistic</t>
        </is>
      </c>
      <c r="R30" s="37" t="n">
        <v>0.02</v>
      </c>
      <c r="S30" s="37" t="n">
        <v>0.09724000000000002</v>
      </c>
      <c r="T30" s="37" t="n">
        <v>0.28625</v>
      </c>
      <c r="U30" s="37" t="n">
        <v>0.4145</v>
      </c>
      <c r="V30" s="37" t="n">
        <v>0.5</v>
      </c>
      <c r="W30" s="38" t="n">
        <v>6771.599999999998</v>
      </c>
      <c r="X30" s="38" t="n">
        <v>32923.5192</v>
      </c>
      <c r="Y30" s="38" t="n">
        <v>96918.52499999997</v>
      </c>
      <c r="Z30" s="38" t="n">
        <v>140341.4099999999</v>
      </c>
      <c r="AA30" s="38" t="n">
        <v>169289.9999999999</v>
      </c>
    </row>
    <row r="31">
      <c r="A31" t="inlineStr">
        <is>
          <t>Apiary Hotel Belleview Station</t>
        </is>
      </c>
      <c r="B31" t="inlineStr">
        <is>
          <t>Hotel</t>
        </is>
      </c>
      <c r="C31" t="inlineStr">
        <is>
          <t>NO</t>
        </is>
      </c>
      <c r="D31" t="n">
        <v>175</v>
      </c>
      <c r="E31" t="inlineStr"/>
      <c r="F31" t="n">
        <v>55</v>
      </c>
      <c r="G31" s="38" t="n">
        <v>311850</v>
      </c>
      <c r="H31" t="n">
        <v>3</v>
      </c>
      <c r="I31" t="n">
        <v>2</v>
      </c>
      <c r="J31" t="n">
        <v>2</v>
      </c>
      <c r="K31" t="n">
        <v>4</v>
      </c>
      <c r="L31" t="n">
        <v>2</v>
      </c>
      <c r="M31" s="48" t="n">
        <v>0</v>
      </c>
      <c r="N31" t="inlineStr"/>
      <c r="O31" s="48" t="n">
        <v>2.55</v>
      </c>
      <c r="P31" s="48" t="n">
        <v>2.55</v>
      </c>
      <c r="Q31" s="49" t="inlineStr">
        <is>
          <t>C — Opportunistic</t>
        </is>
      </c>
      <c r="R31" s="37" t="n">
        <v>0.02</v>
      </c>
      <c r="S31" s="37" t="n">
        <v>0.09724000000000002</v>
      </c>
      <c r="T31" s="37" t="n">
        <v>0.28625</v>
      </c>
      <c r="U31" s="37" t="n">
        <v>0.4145</v>
      </c>
      <c r="V31" s="37" t="n">
        <v>0.5</v>
      </c>
      <c r="W31" s="38" t="n">
        <v>6237</v>
      </c>
      <c r="X31" s="38" t="n">
        <v>30324.29400000001</v>
      </c>
      <c r="Y31" s="38" t="n">
        <v>89267.0625</v>
      </c>
      <c r="Z31" s="38" t="n">
        <v>129261.825</v>
      </c>
      <c r="AA31" s="38" t="n">
        <v>155925</v>
      </c>
    </row>
    <row r="32">
      <c r="A32" t="inlineStr">
        <is>
          <t>The Art Hotel Denver, Curio Collection by Hilton</t>
        </is>
      </c>
      <c r="B32" t="inlineStr">
        <is>
          <t>Hotel</t>
        </is>
      </c>
      <c r="C32" t="inlineStr">
        <is>
          <t>NO</t>
        </is>
      </c>
      <c r="D32" t="n">
        <v>165</v>
      </c>
      <c r="E32" t="inlineStr"/>
      <c r="F32" t="n">
        <v>54</v>
      </c>
      <c r="G32" s="38" t="n">
        <v>481140</v>
      </c>
      <c r="H32" t="n">
        <v>3</v>
      </c>
      <c r="I32" t="n">
        <v>2</v>
      </c>
      <c r="J32" t="n">
        <v>3</v>
      </c>
      <c r="K32" t="n">
        <v>4</v>
      </c>
      <c r="L32" t="n">
        <v>2</v>
      </c>
      <c r="M32" s="48" t="n">
        <v>0.15</v>
      </c>
      <c r="N32" t="inlineStr">
        <is>
          <t>Brand familiarity (historical): Hilton_family</t>
        </is>
      </c>
      <c r="O32" s="48" t="n">
        <v>2.75</v>
      </c>
      <c r="P32" s="48" t="n">
        <v>2.9</v>
      </c>
      <c r="Q32" s="49" t="inlineStr">
        <is>
          <t>C — Opportunistic</t>
        </is>
      </c>
      <c r="R32" s="37" t="n">
        <v>0.02</v>
      </c>
      <c r="S32" s="37" t="n">
        <v>0.09724000000000002</v>
      </c>
      <c r="T32" s="37" t="n">
        <v>0.28625</v>
      </c>
      <c r="U32" s="37" t="n">
        <v>0.4145</v>
      </c>
      <c r="V32" s="37" t="n">
        <v>0.5</v>
      </c>
      <c r="W32" s="38" t="n">
        <v>9622.800000000001</v>
      </c>
      <c r="X32" s="38" t="n">
        <v>46786.05360000001</v>
      </c>
      <c r="Y32" s="38" t="n">
        <v>137726.325</v>
      </c>
      <c r="Z32" s="38" t="n">
        <v>199432.53</v>
      </c>
      <c r="AA32" s="38" t="n">
        <v>240570</v>
      </c>
    </row>
    <row r="33">
      <c r="A33" t="inlineStr">
        <is>
          <t>The Westin Denver Downtown</t>
        </is>
      </c>
      <c r="B33" t="inlineStr">
        <is>
          <t>Hotel</t>
        </is>
      </c>
      <c r="C33" t="inlineStr">
        <is>
          <t>NO</t>
        </is>
      </c>
      <c r="D33" t="n">
        <v>432</v>
      </c>
      <c r="E33" t="inlineStr"/>
      <c r="F33" t="n">
        <v>54</v>
      </c>
      <c r="G33" s="38" t="n">
        <v>2015539.2</v>
      </c>
      <c r="H33" t="n">
        <v>4</v>
      </c>
      <c r="I33" t="n">
        <v>4</v>
      </c>
      <c r="J33" t="n">
        <v>3</v>
      </c>
      <c r="K33" t="n">
        <v>4</v>
      </c>
      <c r="L33" t="n">
        <v>2</v>
      </c>
      <c r="M33" s="48" t="n">
        <v>0.3</v>
      </c>
      <c r="N33" t="inlineStr">
        <is>
          <t>Brand familiarity (current): Marriott_family</t>
        </is>
      </c>
      <c r="O33" s="48" t="n">
        <v>3.5</v>
      </c>
      <c r="P33" s="48" t="n">
        <v>3.8</v>
      </c>
      <c r="Q33" s="50" t="inlineStr">
        <is>
          <t>B — Core</t>
        </is>
      </c>
      <c r="R33" s="37" t="n">
        <v>0.08</v>
      </c>
      <c r="S33" s="37" t="n">
        <v>0.22066</v>
      </c>
      <c r="T33" s="37" t="n">
        <v>0.560625</v>
      </c>
      <c r="U33" s="37" t="n">
        <v>0.7867499999999999</v>
      </c>
      <c r="V33" s="37" t="n">
        <v>0.9375</v>
      </c>
      <c r="W33" s="38" t="n">
        <v>161243.136</v>
      </c>
      <c r="X33" s="38" t="n">
        <v>444748.879872</v>
      </c>
      <c r="Y33" s="38" t="n">
        <v>1129961.664</v>
      </c>
      <c r="Z33" s="38" t="n">
        <v>1585725.4656</v>
      </c>
      <c r="AA33" s="38" t="n">
        <v>1889568</v>
      </c>
    </row>
    <row r="34">
      <c r="A34" t="inlineStr">
        <is>
          <t>The Westin Denver International Airport</t>
        </is>
      </c>
      <c r="B34" t="inlineStr">
        <is>
          <t>Hotel</t>
        </is>
      </c>
      <c r="C34" t="inlineStr">
        <is>
          <t>NO</t>
        </is>
      </c>
      <c r="D34" t="n">
        <v>519</v>
      </c>
      <c r="E34" t="inlineStr">
        <is>
          <t>Pro Park</t>
        </is>
      </c>
      <c r="F34" t="n">
        <v>54</v>
      </c>
      <c r="G34" s="38" t="n">
        <v>908042.3999999999</v>
      </c>
      <c r="H34" t="n">
        <v>5</v>
      </c>
      <c r="I34" t="n">
        <v>3</v>
      </c>
      <c r="J34" t="n">
        <v>3</v>
      </c>
      <c r="K34" t="n">
        <v>3</v>
      </c>
      <c r="L34" t="n">
        <v>2</v>
      </c>
      <c r="M34" s="48" t="n">
        <v>0.3</v>
      </c>
      <c r="N34" t="inlineStr">
        <is>
          <t>Brand familiarity (current): Marriott_family</t>
        </is>
      </c>
      <c r="O34" s="48" t="n">
        <v>3.35</v>
      </c>
      <c r="P34" s="48" t="n">
        <v>3.65</v>
      </c>
      <c r="Q34" s="50" t="inlineStr">
        <is>
          <t>B — Core</t>
        </is>
      </c>
      <c r="R34" s="37" t="n">
        <v>0.08</v>
      </c>
      <c r="S34" s="37" t="n">
        <v>0.22066</v>
      </c>
      <c r="T34" s="37" t="n">
        <v>0.560625</v>
      </c>
      <c r="U34" s="37" t="n">
        <v>0.7867499999999999</v>
      </c>
      <c r="V34" s="37" t="n">
        <v>0.9375</v>
      </c>
      <c r="W34" s="38" t="n">
        <v>72643.39199999999</v>
      </c>
      <c r="X34" s="38" t="n">
        <v>200368.635984</v>
      </c>
      <c r="Y34" s="38" t="n">
        <v>509071.2705</v>
      </c>
      <c r="Z34" s="38" t="n">
        <v>714402.3581999999</v>
      </c>
      <c r="AA34" s="38" t="n">
        <v>851289.7499999999</v>
      </c>
    </row>
    <row r="35">
      <c r="A35" t="inlineStr">
        <is>
          <t>The Maven Hotel at Dairy Block</t>
        </is>
      </c>
      <c r="B35" t="inlineStr">
        <is>
          <t>Hotel</t>
        </is>
      </c>
      <c r="C35" t="inlineStr">
        <is>
          <t>NO</t>
        </is>
      </c>
      <c r="D35" t="n">
        <v>172</v>
      </c>
      <c r="E35" t="inlineStr"/>
      <c r="F35" t="n">
        <v>53</v>
      </c>
      <c r="G35" s="38" t="n">
        <v>492264.0000000001</v>
      </c>
      <c r="H35" t="n">
        <v>3</v>
      </c>
      <c r="I35" t="n">
        <v>2</v>
      </c>
      <c r="J35" t="n">
        <v>2</v>
      </c>
      <c r="K35" t="n">
        <v>4</v>
      </c>
      <c r="L35" t="n">
        <v>2</v>
      </c>
      <c r="M35" s="48" t="n">
        <v>0</v>
      </c>
      <c r="N35" t="inlineStr"/>
      <c r="O35" s="48" t="n">
        <v>2.55</v>
      </c>
      <c r="P35" s="48" t="n">
        <v>2.55</v>
      </c>
      <c r="Q35" s="49" t="inlineStr">
        <is>
          <t>C — Opportunistic</t>
        </is>
      </c>
      <c r="R35" s="37" t="n">
        <v>0.02</v>
      </c>
      <c r="S35" s="37" t="n">
        <v>0.09724000000000002</v>
      </c>
      <c r="T35" s="37" t="n">
        <v>0.28625</v>
      </c>
      <c r="U35" s="37" t="n">
        <v>0.4145</v>
      </c>
      <c r="V35" s="37" t="n">
        <v>0.5</v>
      </c>
      <c r="W35" s="38" t="n">
        <v>9845.280000000002</v>
      </c>
      <c r="X35" s="38" t="n">
        <v>47867.75136000002</v>
      </c>
      <c r="Y35" s="38" t="n">
        <v>140910.57</v>
      </c>
      <c r="Z35" s="38" t="n">
        <v>204043.428</v>
      </c>
      <c r="AA35" s="38" t="n">
        <v>246132.0000000001</v>
      </c>
    </row>
    <row r="36">
      <c r="A36" t="inlineStr">
        <is>
          <t>Catbird Hotel</t>
        </is>
      </c>
      <c r="B36" t="inlineStr">
        <is>
          <t>Hotel</t>
        </is>
      </c>
      <c r="C36" t="inlineStr">
        <is>
          <t>NO</t>
        </is>
      </c>
      <c r="D36" t="n">
        <v>165</v>
      </c>
      <c r="E36" t="inlineStr"/>
      <c r="F36" t="n">
        <v>52</v>
      </c>
      <c r="G36" s="38" t="n">
        <v>463320</v>
      </c>
      <c r="H36" t="n">
        <v>3</v>
      </c>
      <c r="I36" t="n">
        <v>2</v>
      </c>
      <c r="J36" t="n">
        <v>2</v>
      </c>
      <c r="K36" t="n">
        <v>4</v>
      </c>
      <c r="L36" t="n">
        <v>2</v>
      </c>
      <c r="M36" s="48" t="n">
        <v>0</v>
      </c>
      <c r="N36" t="inlineStr"/>
      <c r="O36" s="48" t="n">
        <v>2.55</v>
      </c>
      <c r="P36" s="48" t="n">
        <v>2.55</v>
      </c>
      <c r="Q36" s="49" t="inlineStr">
        <is>
          <t>C — Opportunistic</t>
        </is>
      </c>
      <c r="R36" s="37" t="n">
        <v>0.02</v>
      </c>
      <c r="S36" s="37" t="n">
        <v>0.09724000000000002</v>
      </c>
      <c r="T36" s="37" t="n">
        <v>0.28625</v>
      </c>
      <c r="U36" s="37" t="n">
        <v>0.4145</v>
      </c>
      <c r="V36" s="37" t="n">
        <v>0.5</v>
      </c>
      <c r="W36" s="38" t="n">
        <v>9266.4</v>
      </c>
      <c r="X36" s="38" t="n">
        <v>45053.23680000001</v>
      </c>
      <c r="Y36" s="38" t="n">
        <v>132625.35</v>
      </c>
      <c r="Z36" s="38" t="n">
        <v>192046.14</v>
      </c>
      <c r="AA36" s="38" t="n">
        <v>231660</v>
      </c>
    </row>
    <row r="37">
      <c r="A37" t="inlineStr">
        <is>
          <t>Limelight Denver</t>
        </is>
      </c>
      <c r="B37" t="inlineStr">
        <is>
          <t>Hotel</t>
        </is>
      </c>
      <c r="C37" t="inlineStr">
        <is>
          <t>NO</t>
        </is>
      </c>
      <c r="D37" t="n">
        <v>200</v>
      </c>
      <c r="E37" t="inlineStr"/>
      <c r="F37" t="n">
        <v>50</v>
      </c>
      <c r="G37" s="38" t="n">
        <v>324000</v>
      </c>
      <c r="H37" t="n">
        <v>3</v>
      </c>
      <c r="I37" t="n">
        <v>2</v>
      </c>
      <c r="J37" t="n">
        <v>2</v>
      </c>
      <c r="K37" t="n">
        <v>4</v>
      </c>
      <c r="L37" t="n">
        <v>2</v>
      </c>
      <c r="M37" s="48" t="n">
        <v>0</v>
      </c>
      <c r="N37" t="inlineStr"/>
      <c r="O37" s="48" t="n">
        <v>2.55</v>
      </c>
      <c r="P37" s="48" t="n">
        <v>2.55</v>
      </c>
      <c r="Q37" s="49" t="inlineStr">
        <is>
          <t>C — Opportunistic</t>
        </is>
      </c>
      <c r="R37" s="37" t="n">
        <v>0.02</v>
      </c>
      <c r="S37" s="37" t="n">
        <v>0.09724000000000002</v>
      </c>
      <c r="T37" s="37" t="n">
        <v>0.28625</v>
      </c>
      <c r="U37" s="37" t="n">
        <v>0.4145</v>
      </c>
      <c r="V37" s="37" t="n">
        <v>0.5</v>
      </c>
      <c r="W37" s="38" t="n">
        <v>6480</v>
      </c>
      <c r="X37" s="38" t="n">
        <v>31505.76000000001</v>
      </c>
      <c r="Y37" s="38" t="n">
        <v>92745</v>
      </c>
      <c r="Z37" s="38" t="n">
        <v>134298</v>
      </c>
      <c r="AA37" s="38" t="n">
        <v>162000</v>
      </c>
    </row>
    <row r="38">
      <c r="A38" t="inlineStr">
        <is>
          <t>The Crawford Hotel</t>
        </is>
      </c>
      <c r="B38" t="inlineStr">
        <is>
          <t>Hotel</t>
        </is>
      </c>
      <c r="C38" t="inlineStr">
        <is>
          <t>NO</t>
        </is>
      </c>
      <c r="D38" t="n">
        <v>112</v>
      </c>
      <c r="E38" t="inlineStr"/>
      <c r="F38" t="n">
        <v>50</v>
      </c>
      <c r="G38" s="38" t="n">
        <v>302400</v>
      </c>
      <c r="H38" t="n">
        <v>3</v>
      </c>
      <c r="I38" t="n">
        <v>2</v>
      </c>
      <c r="J38" t="n">
        <v>2</v>
      </c>
      <c r="K38" t="n">
        <v>4</v>
      </c>
      <c r="L38" t="n">
        <v>2</v>
      </c>
      <c r="M38" s="48" t="n">
        <v>0</v>
      </c>
      <c r="N38" t="inlineStr"/>
      <c r="O38" s="48" t="n">
        <v>2.55</v>
      </c>
      <c r="P38" s="48" t="n">
        <v>2.55</v>
      </c>
      <c r="Q38" s="49" t="inlineStr">
        <is>
          <t>C — Opportunistic</t>
        </is>
      </c>
      <c r="R38" s="37" t="n">
        <v>0.02</v>
      </c>
      <c r="S38" s="37" t="n">
        <v>0.09724000000000002</v>
      </c>
      <c r="T38" s="37" t="n">
        <v>0.28625</v>
      </c>
      <c r="U38" s="37" t="n">
        <v>0.4145</v>
      </c>
      <c r="V38" s="37" t="n">
        <v>0.5</v>
      </c>
      <c r="W38" s="38" t="n">
        <v>6048</v>
      </c>
      <c r="X38" s="38" t="n">
        <v>29405.37600000001</v>
      </c>
      <c r="Y38" s="38" t="n">
        <v>86562</v>
      </c>
      <c r="Z38" s="38" t="n">
        <v>125344.8</v>
      </c>
      <c r="AA38" s="38" t="n">
        <v>151200</v>
      </c>
    </row>
    <row r="39">
      <c r="A39" t="inlineStr">
        <is>
          <t>Warwick Denver</t>
        </is>
      </c>
      <c r="B39" t="inlineStr">
        <is>
          <t>Hotel</t>
        </is>
      </c>
      <c r="C39" t="inlineStr">
        <is>
          <t>NO</t>
        </is>
      </c>
      <c r="D39" t="n">
        <v>216</v>
      </c>
      <c r="E39" t="inlineStr">
        <is>
          <t>SP+</t>
        </is>
      </c>
      <c r="F39" t="n">
        <v>50</v>
      </c>
      <c r="G39" s="38" t="n">
        <v>349919.9999999999</v>
      </c>
      <c r="H39" t="n">
        <v>3</v>
      </c>
      <c r="I39" t="n">
        <v>2</v>
      </c>
      <c r="J39" t="n">
        <v>2</v>
      </c>
      <c r="K39" t="n">
        <v>2</v>
      </c>
      <c r="L39" t="n">
        <v>2</v>
      </c>
      <c r="M39" s="48" t="n">
        <v>0</v>
      </c>
      <c r="N39" t="inlineStr"/>
      <c r="O39" s="48" t="n">
        <v>2.25</v>
      </c>
      <c r="P39" s="48" t="n">
        <v>2.25</v>
      </c>
      <c r="Q39" s="40" t="inlineStr">
        <is>
          <t>D — Deprioritized</t>
        </is>
      </c>
      <c r="R39" s="37" t="n">
        <v>0</v>
      </c>
      <c r="S39" s="37" t="n">
        <v>0.018</v>
      </c>
      <c r="T39" s="37" t="n">
        <v>0.05500000000000001</v>
      </c>
      <c r="U39" s="37" t="n">
        <v>0.082</v>
      </c>
      <c r="V39" s="37" t="n">
        <v>0.1</v>
      </c>
      <c r="W39" s="38" t="n">
        <v>0</v>
      </c>
      <c r="X39" s="38" t="n">
        <v>6298.559999999998</v>
      </c>
      <c r="Y39" s="38" t="n">
        <v>19245.59999999999</v>
      </c>
      <c r="Z39" s="38" t="n">
        <v>28693.43999999999</v>
      </c>
      <c r="AA39" s="38" t="n">
        <v>34991.99999999999</v>
      </c>
    </row>
    <row r="40">
      <c r="A40" t="inlineStr">
        <is>
          <t>Moxy Denver Cherry Creek</t>
        </is>
      </c>
      <c r="B40" t="inlineStr">
        <is>
          <t>Hotel</t>
        </is>
      </c>
      <c r="C40" t="inlineStr">
        <is>
          <t>NO</t>
        </is>
      </c>
      <c r="D40" t="n">
        <v>140</v>
      </c>
      <c r="E40" t="inlineStr"/>
      <c r="F40" t="n">
        <v>49</v>
      </c>
      <c r="G40" s="38" t="n">
        <v>222264</v>
      </c>
      <c r="H40" t="n">
        <v>3</v>
      </c>
      <c r="I40" t="n">
        <v>1</v>
      </c>
      <c r="J40" t="n">
        <v>2</v>
      </c>
      <c r="K40" t="n">
        <v>4</v>
      </c>
      <c r="L40" t="n">
        <v>2</v>
      </c>
      <c r="M40" s="48" t="n">
        <v>0</v>
      </c>
      <c r="N40" t="inlineStr"/>
      <c r="O40" s="48" t="n">
        <v>2.3</v>
      </c>
      <c r="P40" s="48" t="n">
        <v>2.3</v>
      </c>
      <c r="Q40" s="40" t="inlineStr">
        <is>
          <t>D — Deprioritized</t>
        </is>
      </c>
      <c r="R40" s="37" t="n">
        <v>0</v>
      </c>
      <c r="S40" s="37" t="n">
        <v>0.018</v>
      </c>
      <c r="T40" s="37" t="n">
        <v>0.05500000000000001</v>
      </c>
      <c r="U40" s="37" t="n">
        <v>0.082</v>
      </c>
      <c r="V40" s="37" t="n">
        <v>0.1</v>
      </c>
      <c r="W40" s="38" t="n">
        <v>0</v>
      </c>
      <c r="X40" s="38" t="n">
        <v>4000.751999999999</v>
      </c>
      <c r="Y40" s="38" t="n">
        <v>12224.52</v>
      </c>
      <c r="Z40" s="38" t="n">
        <v>18225.648</v>
      </c>
      <c r="AA40" s="38" t="n">
        <v>22226.4</v>
      </c>
    </row>
    <row r="41">
      <c r="A41" t="inlineStr">
        <is>
          <t>SpringHill Suites Denver Downtown</t>
        </is>
      </c>
      <c r="B41" t="inlineStr">
        <is>
          <t>Hotel</t>
        </is>
      </c>
      <c r="C41" t="inlineStr">
        <is>
          <t>NO</t>
        </is>
      </c>
      <c r="D41" t="n">
        <v>150</v>
      </c>
      <c r="E41" t="inlineStr"/>
      <c r="F41" t="n">
        <v>49</v>
      </c>
      <c r="G41" s="38" t="n">
        <v>396900</v>
      </c>
      <c r="H41" t="n">
        <v>3</v>
      </c>
      <c r="I41" t="n">
        <v>2</v>
      </c>
      <c r="J41" t="n">
        <v>2</v>
      </c>
      <c r="K41" t="n">
        <v>4</v>
      </c>
      <c r="L41" t="n">
        <v>2</v>
      </c>
      <c r="M41" s="48" t="n">
        <v>0.3</v>
      </c>
      <c r="N41" t="inlineStr">
        <is>
          <t>Brand familiarity (current): Marriott_family</t>
        </is>
      </c>
      <c r="O41" s="48" t="n">
        <v>2.55</v>
      </c>
      <c r="P41" s="48" t="n">
        <v>2.85</v>
      </c>
      <c r="Q41" s="49" t="inlineStr">
        <is>
          <t>C — Opportunistic</t>
        </is>
      </c>
      <c r="R41" s="37" t="n">
        <v>0.02</v>
      </c>
      <c r="S41" s="37" t="n">
        <v>0.09724000000000002</v>
      </c>
      <c r="T41" s="37" t="n">
        <v>0.28625</v>
      </c>
      <c r="U41" s="37" t="n">
        <v>0.4145</v>
      </c>
      <c r="V41" s="37" t="n">
        <v>0.5</v>
      </c>
      <c r="W41" s="38" t="n">
        <v>7938</v>
      </c>
      <c r="X41" s="38" t="n">
        <v>38594.55600000001</v>
      </c>
      <c r="Y41" s="38" t="n">
        <v>113612.625</v>
      </c>
      <c r="Z41" s="38" t="n">
        <v>164515.05</v>
      </c>
      <c r="AA41" s="38" t="n">
        <v>198450</v>
      </c>
    </row>
    <row r="42">
      <c r="A42" t="inlineStr">
        <is>
          <t>Hilton Garden Inn Denver Union Station</t>
        </is>
      </c>
      <c r="B42" t="inlineStr">
        <is>
          <t>Hotel</t>
        </is>
      </c>
      <c r="C42" t="inlineStr">
        <is>
          <t>YES</t>
        </is>
      </c>
      <c r="D42" t="n">
        <v>223</v>
      </c>
      <c r="E42" t="inlineStr"/>
      <c r="F42" t="n">
        <v>49</v>
      </c>
      <c r="G42" s="38" t="n">
        <v>590057.9999999999</v>
      </c>
      <c r="H42" t="n">
        <v>4</v>
      </c>
      <c r="I42" t="n">
        <v>2</v>
      </c>
      <c r="J42" t="n">
        <v>3</v>
      </c>
      <c r="K42" t="n">
        <v>4</v>
      </c>
      <c r="L42" t="n">
        <v>4</v>
      </c>
      <c r="M42" s="48" t="n">
        <v>0.15</v>
      </c>
      <c r="N42" t="inlineStr">
        <is>
          <t>Brand familiarity (historical): Hilton_family</t>
        </is>
      </c>
      <c r="O42" s="48" t="n">
        <v>3.3</v>
      </c>
      <c r="P42" s="48" t="n">
        <v>3.45</v>
      </c>
      <c r="Q42" s="49" t="inlineStr">
        <is>
          <t>C — Opportunistic</t>
        </is>
      </c>
      <c r="R42" s="37" t="n">
        <v>0.02</v>
      </c>
      <c r="S42" s="37" t="n">
        <v>0.09724000000000002</v>
      </c>
      <c r="T42" s="37" t="n">
        <v>0.28625</v>
      </c>
      <c r="U42" s="37" t="n">
        <v>0.4145</v>
      </c>
      <c r="V42" s="37" t="n">
        <v>0.5</v>
      </c>
      <c r="W42" s="38" t="n">
        <v>11801.16</v>
      </c>
      <c r="X42" s="38" t="n">
        <v>57377.23992</v>
      </c>
      <c r="Y42" s="38" t="n">
        <v>168904.1025</v>
      </c>
      <c r="Z42" s="38" t="n">
        <v>244579.0409999999</v>
      </c>
      <c r="AA42" s="38" t="n">
        <v>295028.9999999999</v>
      </c>
    </row>
    <row r="43">
      <c r="A43" t="inlineStr">
        <is>
          <t>Gaylord Rockies Resort &amp; Convention Center</t>
        </is>
      </c>
      <c r="B43" t="inlineStr">
        <is>
          <t>Hotel</t>
        </is>
      </c>
      <c r="C43" t="inlineStr">
        <is>
          <t>NO</t>
        </is>
      </c>
      <c r="D43" t="n">
        <v>1501</v>
      </c>
      <c r="E43" t="inlineStr"/>
      <c r="F43" t="n">
        <v>48</v>
      </c>
      <c r="G43" s="38" t="n">
        <v>7781184.000000001</v>
      </c>
      <c r="H43" t="n">
        <v>5</v>
      </c>
      <c r="I43" t="n">
        <v>5</v>
      </c>
      <c r="J43" t="n">
        <v>2</v>
      </c>
      <c r="K43" t="n">
        <v>4</v>
      </c>
      <c r="L43" t="n">
        <v>2</v>
      </c>
      <c r="M43" s="48" t="n">
        <v>0</v>
      </c>
      <c r="N43" t="inlineStr"/>
      <c r="O43" s="48" t="n">
        <v>3.8</v>
      </c>
      <c r="P43" s="48" t="n">
        <v>3.8</v>
      </c>
      <c r="Q43" s="50" t="inlineStr">
        <is>
          <t>B — Core</t>
        </is>
      </c>
      <c r="R43" s="37" t="n">
        <v>0.08</v>
      </c>
      <c r="S43" s="37" t="n">
        <v>0.22066</v>
      </c>
      <c r="T43" s="37" t="n">
        <v>0.560625</v>
      </c>
      <c r="U43" s="37" t="n">
        <v>0.7867499999999999</v>
      </c>
      <c r="V43" s="37" t="n">
        <v>0.9375</v>
      </c>
      <c r="W43" s="38" t="n">
        <v>622494.7200000001</v>
      </c>
      <c r="X43" s="38" t="n">
        <v>1716996.06144</v>
      </c>
      <c r="Y43" s="38" t="n">
        <v>4362326.280000001</v>
      </c>
      <c r="Z43" s="38" t="n">
        <v>6121846.512</v>
      </c>
      <c r="AA43" s="38" t="n">
        <v>7294860.000000001</v>
      </c>
    </row>
    <row r="44">
      <c r="A44" t="inlineStr">
        <is>
          <t>The Rally Hotel at McGregor Square</t>
        </is>
      </c>
      <c r="B44" t="inlineStr">
        <is>
          <t>Hotel</t>
        </is>
      </c>
      <c r="C44" t="inlineStr">
        <is>
          <t>NO</t>
        </is>
      </c>
      <c r="D44" t="n">
        <v>182</v>
      </c>
      <c r="E44" t="inlineStr"/>
      <c r="F44" t="n">
        <v>46</v>
      </c>
      <c r="G44" s="38" t="n">
        <v>452088</v>
      </c>
      <c r="H44" t="n">
        <v>3</v>
      </c>
      <c r="I44" t="n">
        <v>2</v>
      </c>
      <c r="J44" t="n">
        <v>2</v>
      </c>
      <c r="K44" t="n">
        <v>4</v>
      </c>
      <c r="L44" t="n">
        <v>2</v>
      </c>
      <c r="M44" s="48" t="n">
        <v>0</v>
      </c>
      <c r="N44" t="inlineStr"/>
      <c r="O44" s="48" t="n">
        <v>2.55</v>
      </c>
      <c r="P44" s="48" t="n">
        <v>2.55</v>
      </c>
      <c r="Q44" s="49" t="inlineStr">
        <is>
          <t>C — Opportunistic</t>
        </is>
      </c>
      <c r="R44" s="37" t="n">
        <v>0.02</v>
      </c>
      <c r="S44" s="37" t="n">
        <v>0.09724000000000002</v>
      </c>
      <c r="T44" s="37" t="n">
        <v>0.28625</v>
      </c>
      <c r="U44" s="37" t="n">
        <v>0.4145</v>
      </c>
      <c r="V44" s="37" t="n">
        <v>0.5</v>
      </c>
      <c r="W44" s="38" t="n">
        <v>9041.76</v>
      </c>
      <c r="X44" s="38" t="n">
        <v>43961.03712000001</v>
      </c>
      <c r="Y44" s="38" t="n">
        <v>129410.19</v>
      </c>
      <c r="Z44" s="38" t="n">
        <v>187390.476</v>
      </c>
      <c r="AA44" s="38" t="n">
        <v>226044</v>
      </c>
    </row>
    <row r="45">
      <c r="A45" t="inlineStr">
        <is>
          <t>Hampton Inn &amp; Suites Denver-Downtown</t>
        </is>
      </c>
      <c r="B45" t="inlineStr">
        <is>
          <t>Hotel</t>
        </is>
      </c>
      <c r="C45" t="inlineStr">
        <is>
          <t>NO</t>
        </is>
      </c>
      <c r="D45" t="n">
        <v>156</v>
      </c>
      <c r="E45" t="inlineStr"/>
      <c r="F45" t="n">
        <v>45</v>
      </c>
      <c r="G45" s="38" t="n">
        <v>379080</v>
      </c>
      <c r="H45" t="n">
        <v>3</v>
      </c>
      <c r="I45" t="n">
        <v>2</v>
      </c>
      <c r="J45" t="n">
        <v>3</v>
      </c>
      <c r="K45" t="n">
        <v>4</v>
      </c>
      <c r="L45" t="n">
        <v>2</v>
      </c>
      <c r="M45" s="48" t="n">
        <v>0.15</v>
      </c>
      <c r="N45" t="inlineStr">
        <is>
          <t>Brand familiarity (historical): Hilton_family</t>
        </is>
      </c>
      <c r="O45" s="48" t="n">
        <v>2.75</v>
      </c>
      <c r="P45" s="48" t="n">
        <v>2.9</v>
      </c>
      <c r="Q45" s="49" t="inlineStr">
        <is>
          <t>C — Opportunistic</t>
        </is>
      </c>
      <c r="R45" s="37" t="n">
        <v>0.02</v>
      </c>
      <c r="S45" s="37" t="n">
        <v>0.09724000000000002</v>
      </c>
      <c r="T45" s="37" t="n">
        <v>0.28625</v>
      </c>
      <c r="U45" s="37" t="n">
        <v>0.4145</v>
      </c>
      <c r="V45" s="37" t="n">
        <v>0.5</v>
      </c>
      <c r="W45" s="38" t="n">
        <v>7581.6</v>
      </c>
      <c r="X45" s="38" t="n">
        <v>36861.73920000001</v>
      </c>
      <c r="Y45" s="38" t="n">
        <v>108511.65</v>
      </c>
      <c r="Z45" s="38" t="n">
        <v>157128.66</v>
      </c>
      <c r="AA45" s="38" t="n">
        <v>189540</v>
      </c>
    </row>
    <row r="46">
      <c r="A46" t="inlineStr">
        <is>
          <t>Renaissance Denver Downtown City Center Hotel</t>
        </is>
      </c>
      <c r="B46" t="inlineStr">
        <is>
          <t>Hotel</t>
        </is>
      </c>
      <c r="C46" t="inlineStr">
        <is>
          <t>YES</t>
        </is>
      </c>
      <c r="D46" t="n">
        <v>230</v>
      </c>
      <c r="E46" t="inlineStr"/>
      <c r="F46" t="n">
        <v>43</v>
      </c>
      <c r="G46" s="38" t="n">
        <v>534060</v>
      </c>
      <c r="H46" t="n">
        <v>4</v>
      </c>
      <c r="I46" t="n">
        <v>2</v>
      </c>
      <c r="J46" t="n">
        <v>3</v>
      </c>
      <c r="K46" t="n">
        <v>4</v>
      </c>
      <c r="L46" t="n">
        <v>4</v>
      </c>
      <c r="M46" s="48" t="n">
        <v>0.3</v>
      </c>
      <c r="N46" t="inlineStr">
        <is>
          <t>Brand familiarity (current): Marriott_family</t>
        </is>
      </c>
      <c r="O46" s="48" t="n">
        <v>3.3</v>
      </c>
      <c r="P46" s="48" t="n">
        <v>3.6</v>
      </c>
      <c r="Q46" s="50" t="inlineStr">
        <is>
          <t>B — Core</t>
        </is>
      </c>
      <c r="R46" s="37" t="n">
        <v>0.08</v>
      </c>
      <c r="S46" s="37" t="n">
        <v>0.22066</v>
      </c>
      <c r="T46" s="37" t="n">
        <v>0.560625</v>
      </c>
      <c r="U46" s="37" t="n">
        <v>0.7867499999999999</v>
      </c>
      <c r="V46" s="37" t="n">
        <v>0.9375</v>
      </c>
      <c r="W46" s="38" t="n">
        <v>42724.8</v>
      </c>
      <c r="X46" s="38" t="n">
        <v>117845.6796</v>
      </c>
      <c r="Y46" s="38" t="n">
        <v>299407.3875</v>
      </c>
      <c r="Z46" s="38" t="n">
        <v>420171.705</v>
      </c>
      <c r="AA46" s="38" t="n">
        <v>500681.25</v>
      </c>
    </row>
    <row r="47">
      <c r="A47" t="inlineStr">
        <is>
          <t>Hyatt House Denver/Downtown</t>
        </is>
      </c>
      <c r="B47" t="inlineStr">
        <is>
          <t>Hotel</t>
        </is>
      </c>
      <c r="C47" t="inlineStr">
        <is>
          <t>NO</t>
        </is>
      </c>
      <c r="D47" t="n">
        <v>113</v>
      </c>
      <c r="E47" t="inlineStr"/>
      <c r="F47" t="n">
        <v>42</v>
      </c>
      <c r="G47" s="38" t="n">
        <v>256284</v>
      </c>
      <c r="H47" t="n">
        <v>3</v>
      </c>
      <c r="I47" t="n">
        <v>2</v>
      </c>
      <c r="J47" t="n">
        <v>3</v>
      </c>
      <c r="K47" t="n">
        <v>4</v>
      </c>
      <c r="L47" t="n">
        <v>2</v>
      </c>
      <c r="M47" s="48" t="n">
        <v>0</v>
      </c>
      <c r="N47" t="inlineStr"/>
      <c r="O47" s="48" t="n">
        <v>2.75</v>
      </c>
      <c r="P47" s="48" t="n">
        <v>2.75</v>
      </c>
      <c r="Q47" s="49" t="inlineStr">
        <is>
          <t>C — Opportunistic</t>
        </is>
      </c>
      <c r="R47" s="37" t="n">
        <v>0.02</v>
      </c>
      <c r="S47" s="37" t="n">
        <v>0.09724000000000002</v>
      </c>
      <c r="T47" s="37" t="n">
        <v>0.28625</v>
      </c>
      <c r="U47" s="37" t="n">
        <v>0.4145</v>
      </c>
      <c r="V47" s="37" t="n">
        <v>0.5</v>
      </c>
      <c r="W47" s="38" t="n">
        <v>5125.68</v>
      </c>
      <c r="X47" s="38" t="n">
        <v>24921.05616</v>
      </c>
      <c r="Y47" s="38" t="n">
        <v>73361.295</v>
      </c>
      <c r="Z47" s="38" t="n">
        <v>106229.718</v>
      </c>
      <c r="AA47" s="38" t="n">
        <v>128142</v>
      </c>
    </row>
    <row r="48">
      <c r="A48" t="inlineStr">
        <is>
          <t>The Oxford Hotel</t>
        </is>
      </c>
      <c r="B48" t="inlineStr">
        <is>
          <t>Hotel</t>
        </is>
      </c>
      <c r="C48" t="inlineStr">
        <is>
          <t>YES</t>
        </is>
      </c>
      <c r="D48" t="n">
        <v>80</v>
      </c>
      <c r="E48" t="inlineStr">
        <is>
          <t>In House</t>
        </is>
      </c>
      <c r="F48" t="n">
        <v>40</v>
      </c>
      <c r="G48" s="38" t="n">
        <v>172800</v>
      </c>
      <c r="H48" t="n">
        <v>3</v>
      </c>
      <c r="I48" t="n">
        <v>1</v>
      </c>
      <c r="J48" t="n">
        <v>2</v>
      </c>
      <c r="K48" t="n">
        <v>5</v>
      </c>
      <c r="L48" t="n">
        <v>4</v>
      </c>
      <c r="M48" s="48" t="n">
        <v>0</v>
      </c>
      <c r="N48" t="inlineStr"/>
      <c r="O48" s="48" t="n">
        <v>2.75</v>
      </c>
      <c r="P48" s="48" t="n">
        <v>2.75</v>
      </c>
      <c r="Q48" s="49" t="inlineStr">
        <is>
          <t>C — Opportunistic</t>
        </is>
      </c>
      <c r="R48" s="37" t="n">
        <v>0.02</v>
      </c>
      <c r="S48" s="37" t="n">
        <v>0.09724000000000002</v>
      </c>
      <c r="T48" s="37" t="n">
        <v>0.28625</v>
      </c>
      <c r="U48" s="37" t="n">
        <v>0.4145</v>
      </c>
      <c r="V48" s="37" t="n">
        <v>0.5</v>
      </c>
      <c r="W48" s="38" t="n">
        <v>3456</v>
      </c>
      <c r="X48" s="38" t="n">
        <v>16803.072</v>
      </c>
      <c r="Y48" s="38" t="n">
        <v>49464</v>
      </c>
      <c r="Z48" s="38" t="n">
        <v>71625.59999999999</v>
      </c>
      <c r="AA48" s="38" t="n">
        <v>86400</v>
      </c>
    </row>
    <row r="49">
      <c r="A49" t="inlineStr">
        <is>
          <t>Benson Hotel &amp; Faculty Club</t>
        </is>
      </c>
      <c r="B49" t="inlineStr">
        <is>
          <t>Hotel</t>
        </is>
      </c>
      <c r="C49" t="inlineStr">
        <is>
          <t>NO</t>
        </is>
      </c>
      <c r="D49" t="n">
        <v>106</v>
      </c>
      <c r="E49" t="inlineStr"/>
      <c r="F49" t="n">
        <v>39</v>
      </c>
      <c r="G49" s="38" t="n">
        <v>223236</v>
      </c>
      <c r="H49" t="n">
        <v>3</v>
      </c>
      <c r="I49" t="n">
        <v>1</v>
      </c>
      <c r="J49" t="n">
        <v>2</v>
      </c>
      <c r="K49" t="n">
        <v>4</v>
      </c>
      <c r="L49" t="n">
        <v>2</v>
      </c>
      <c r="M49" s="48" t="n">
        <v>0</v>
      </c>
      <c r="N49" t="inlineStr"/>
      <c r="O49" s="48" t="n">
        <v>2.3</v>
      </c>
      <c r="P49" s="48" t="n">
        <v>2.3</v>
      </c>
      <c r="Q49" s="40" t="inlineStr">
        <is>
          <t>D — Deprioritized</t>
        </is>
      </c>
      <c r="R49" s="37" t="n">
        <v>0</v>
      </c>
      <c r="S49" s="37" t="n">
        <v>0.018</v>
      </c>
      <c r="T49" s="37" t="n">
        <v>0.05500000000000001</v>
      </c>
      <c r="U49" s="37" t="n">
        <v>0.082</v>
      </c>
      <c r="V49" s="37" t="n">
        <v>0.1</v>
      </c>
      <c r="W49" s="38" t="n">
        <v>0</v>
      </c>
      <c r="X49" s="38" t="n">
        <v>4018.248</v>
      </c>
      <c r="Y49" s="38" t="n">
        <v>12277.98</v>
      </c>
      <c r="Z49" s="38" t="n">
        <v>18305.352</v>
      </c>
      <c r="AA49" s="38" t="n">
        <v>22323.6</v>
      </c>
    </row>
    <row r="50">
      <c r="A50" t="inlineStr">
        <is>
          <t>The Ramble Hotel</t>
        </is>
      </c>
      <c r="B50" t="inlineStr">
        <is>
          <t>Hotel</t>
        </is>
      </c>
      <c r="C50" t="inlineStr">
        <is>
          <t>NO</t>
        </is>
      </c>
      <c r="D50" t="n">
        <v>50</v>
      </c>
      <c r="E50" t="inlineStr"/>
      <c r="F50" t="n">
        <v>35</v>
      </c>
      <c r="G50" s="38" t="n">
        <v>56700</v>
      </c>
      <c r="H50" t="n">
        <v>2</v>
      </c>
      <c r="I50" t="n">
        <v>1</v>
      </c>
      <c r="J50" t="n">
        <v>2</v>
      </c>
      <c r="K50" t="n">
        <v>4</v>
      </c>
      <c r="L50" t="n">
        <v>2</v>
      </c>
      <c r="M50" s="48" t="n">
        <v>0</v>
      </c>
      <c r="N50" t="inlineStr"/>
      <c r="O50" s="48" t="n">
        <v>2.05</v>
      </c>
      <c r="P50" s="48" t="n">
        <v>2.05</v>
      </c>
      <c r="Q50" s="40" t="inlineStr">
        <is>
          <t>D — Deprioritized</t>
        </is>
      </c>
      <c r="R50" s="37" t="n">
        <v>0</v>
      </c>
      <c r="S50" s="37" t="n">
        <v>0.018</v>
      </c>
      <c r="T50" s="37" t="n">
        <v>0.05500000000000001</v>
      </c>
      <c r="U50" s="37" t="n">
        <v>0.082</v>
      </c>
      <c r="V50" s="37" t="n">
        <v>0.1</v>
      </c>
      <c r="W50" s="38" t="n">
        <v>0</v>
      </c>
      <c r="X50" s="38" t="n">
        <v>1020.6</v>
      </c>
      <c r="Y50" s="38" t="n">
        <v>3118.5</v>
      </c>
      <c r="Z50" s="38" t="n">
        <v>4649.400000000001</v>
      </c>
      <c r="AA50" s="38" t="n">
        <v>5670</v>
      </c>
    </row>
    <row r="51">
      <c r="A51" t="inlineStr">
        <is>
          <t>Denver Marriott Tech Center</t>
        </is>
      </c>
      <c r="B51" t="inlineStr">
        <is>
          <t>Hotel</t>
        </is>
      </c>
      <c r="C51" t="inlineStr">
        <is>
          <t>NO</t>
        </is>
      </c>
      <c r="D51" t="n">
        <v>605</v>
      </c>
      <c r="E51" t="inlineStr"/>
      <c r="F51" t="n">
        <v>25</v>
      </c>
      <c r="G51" s="38" t="n">
        <v>490050</v>
      </c>
      <c r="H51" t="n">
        <v>5</v>
      </c>
      <c r="I51" t="n">
        <v>2</v>
      </c>
      <c r="J51" t="n">
        <v>3</v>
      </c>
      <c r="K51" t="n">
        <v>4</v>
      </c>
      <c r="L51" t="n">
        <v>2</v>
      </c>
      <c r="M51" s="48" t="n">
        <v>0.3</v>
      </c>
      <c r="N51" t="inlineStr">
        <is>
          <t>Brand familiarity (current): Marriott_family</t>
        </is>
      </c>
      <c r="O51" s="48" t="n">
        <v>3.25</v>
      </c>
      <c r="P51" s="48" t="n">
        <v>3.55</v>
      </c>
      <c r="Q51" s="50" t="inlineStr">
        <is>
          <t>B — Core</t>
        </is>
      </c>
      <c r="R51" s="37" t="n">
        <v>0.08</v>
      </c>
      <c r="S51" s="37" t="n">
        <v>0.22066</v>
      </c>
      <c r="T51" s="37" t="n">
        <v>0.560625</v>
      </c>
      <c r="U51" s="37" t="n">
        <v>0.7867499999999999</v>
      </c>
      <c r="V51" s="37" t="n">
        <v>0.9375</v>
      </c>
      <c r="W51" s="38" t="n">
        <v>39204</v>
      </c>
      <c r="X51" s="38" t="n">
        <v>108134.433</v>
      </c>
      <c r="Y51" s="38" t="n">
        <v>274734.28125</v>
      </c>
      <c r="Z51" s="38" t="n">
        <v>385546.8375</v>
      </c>
      <c r="AA51" s="38" t="n">
        <v>459421.875</v>
      </c>
    </row>
    <row r="52">
      <c r="A52" t="inlineStr">
        <is>
          <t>Hyatt Regency Denver Tech Center</t>
        </is>
      </c>
      <c r="B52" t="inlineStr">
        <is>
          <t>Hotel</t>
        </is>
      </c>
      <c r="C52" t="inlineStr">
        <is>
          <t>NO</t>
        </is>
      </c>
      <c r="D52" t="n">
        <v>451</v>
      </c>
      <c r="E52" t="inlineStr"/>
      <c r="F52" t="n">
        <v>25</v>
      </c>
      <c r="G52" s="38" t="n">
        <v>365309.9999999999</v>
      </c>
      <c r="H52" t="n">
        <v>4</v>
      </c>
      <c r="I52" t="n">
        <v>2</v>
      </c>
      <c r="J52" t="n">
        <v>3</v>
      </c>
      <c r="K52" t="n">
        <v>4</v>
      </c>
      <c r="L52" t="n">
        <v>2</v>
      </c>
      <c r="M52" s="48" t="n">
        <v>0</v>
      </c>
      <c r="N52" t="inlineStr"/>
      <c r="O52" s="48" t="n">
        <v>3</v>
      </c>
      <c r="P52" s="48" t="n">
        <v>3</v>
      </c>
      <c r="Q52" s="49" t="inlineStr">
        <is>
          <t>C — Opportunistic</t>
        </is>
      </c>
      <c r="R52" s="37" t="n">
        <v>0.02</v>
      </c>
      <c r="S52" s="37" t="n">
        <v>0.09724000000000002</v>
      </c>
      <c r="T52" s="37" t="n">
        <v>0.28625</v>
      </c>
      <c r="U52" s="37" t="n">
        <v>0.4145</v>
      </c>
      <c r="V52" s="37" t="n">
        <v>0.5</v>
      </c>
      <c r="W52" s="38" t="n">
        <v>7306.199999999998</v>
      </c>
      <c r="X52" s="38" t="n">
        <v>35522.7444</v>
      </c>
      <c r="Y52" s="38" t="n">
        <v>104569.9875</v>
      </c>
      <c r="Z52" s="38" t="n">
        <v>151420.9949999999</v>
      </c>
      <c r="AA52" s="38" t="n">
        <v>182654.9999999999</v>
      </c>
    </row>
    <row r="53">
      <c r="A53" t="inlineStr">
        <is>
          <t>Renaissance Denver Hotel &amp; Conference Center</t>
        </is>
      </c>
      <c r="B53" t="inlineStr">
        <is>
          <t>Hotel</t>
        </is>
      </c>
      <c r="C53" t="inlineStr">
        <is>
          <t>NO</t>
        </is>
      </c>
      <c r="D53" t="n">
        <v>399</v>
      </c>
      <c r="E53" t="inlineStr"/>
      <c r="F53" t="n">
        <v>19</v>
      </c>
      <c r="G53" s="38" t="n">
        <v>245624.4</v>
      </c>
      <c r="H53" t="n">
        <v>4</v>
      </c>
      <c r="I53" t="n">
        <v>1</v>
      </c>
      <c r="J53" t="n">
        <v>3</v>
      </c>
      <c r="K53" t="n">
        <v>4</v>
      </c>
      <c r="L53" t="n">
        <v>2</v>
      </c>
      <c r="M53" s="48" t="n">
        <v>0.3</v>
      </c>
      <c r="N53" t="inlineStr">
        <is>
          <t>Brand familiarity (current): Marriott_family</t>
        </is>
      </c>
      <c r="O53" s="48" t="n">
        <v>2.75</v>
      </c>
      <c r="P53" s="48" t="n">
        <v>3.05</v>
      </c>
      <c r="Q53" s="49" t="inlineStr">
        <is>
          <t>C — Opportunistic</t>
        </is>
      </c>
      <c r="R53" s="37" t="n">
        <v>0.02</v>
      </c>
      <c r="S53" s="37" t="n">
        <v>0.09724000000000002</v>
      </c>
      <c r="T53" s="37" t="n">
        <v>0.28625</v>
      </c>
      <c r="U53" s="37" t="n">
        <v>0.4145</v>
      </c>
      <c r="V53" s="37" t="n">
        <v>0.5</v>
      </c>
      <c r="W53" s="38" t="n">
        <v>4912.488</v>
      </c>
      <c r="X53" s="38" t="n">
        <v>23884.516656</v>
      </c>
      <c r="Y53" s="38" t="n">
        <v>70309.98450000001</v>
      </c>
      <c r="Z53" s="38" t="n">
        <v>101811.3138</v>
      </c>
      <c r="AA53" s="38" t="n">
        <v>122812.2</v>
      </c>
    </row>
    <row r="54">
      <c r="A54" t="inlineStr">
        <is>
          <t>DoubleTree by Hilton Hotel Denver</t>
        </is>
      </c>
      <c r="B54" t="inlineStr">
        <is>
          <t>Hotel</t>
        </is>
      </c>
      <c r="C54" t="inlineStr">
        <is>
          <t>NO</t>
        </is>
      </c>
      <c r="D54" t="n">
        <v>561</v>
      </c>
      <c r="E54" t="inlineStr"/>
      <c r="F54" t="inlineStr">
        <is>
          <t>No Valet</t>
        </is>
      </c>
      <c r="G54" s="38" t="n">
        <v>0</v>
      </c>
      <c r="H54" t="n">
        <v>5</v>
      </c>
      <c r="I54" t="n">
        <v>1</v>
      </c>
      <c r="J54" t="n">
        <v>3</v>
      </c>
      <c r="K54" t="n">
        <v>4</v>
      </c>
      <c r="L54" t="n">
        <v>2</v>
      </c>
      <c r="M54" s="48" t="n">
        <v>0.15</v>
      </c>
      <c r="N54" t="inlineStr">
        <is>
          <t>Brand familiarity (historical): Hilton_family</t>
        </is>
      </c>
      <c r="O54" s="48" t="n">
        <v>3</v>
      </c>
      <c r="P54" s="48" t="n">
        <v>3.15</v>
      </c>
      <c r="Q54" s="49" t="inlineStr">
        <is>
          <t>C — Opportunistic</t>
        </is>
      </c>
      <c r="R54" s="37" t="n">
        <v>0.02</v>
      </c>
      <c r="S54" s="37" t="n">
        <v>0.09724000000000002</v>
      </c>
      <c r="T54" s="37" t="n">
        <v>0.28625</v>
      </c>
      <c r="U54" s="37" t="n">
        <v>0.4145</v>
      </c>
      <c r="V54" s="37" t="n">
        <v>0.5</v>
      </c>
      <c r="W54" s="38" t="n">
        <v>0</v>
      </c>
      <c r="X54" s="38" t="n">
        <v>0</v>
      </c>
      <c r="Y54" s="38" t="n">
        <v>0</v>
      </c>
      <c r="Z54" s="38" t="n">
        <v>0</v>
      </c>
      <c r="AA54" s="38" t="n">
        <v>0</v>
      </c>
    </row>
    <row r="55">
      <c r="A55" t="inlineStr">
        <is>
          <t>Courtyard Denver Central Park</t>
        </is>
      </c>
      <c r="B55" t="inlineStr">
        <is>
          <t>Hotel</t>
        </is>
      </c>
      <c r="C55" t="inlineStr">
        <is>
          <t>NO</t>
        </is>
      </c>
      <c r="D55" t="n">
        <v>146</v>
      </c>
      <c r="E55" t="inlineStr"/>
      <c r="F55" t="inlineStr">
        <is>
          <t>No Valet</t>
        </is>
      </c>
      <c r="G55" s="38" t="n">
        <v>0</v>
      </c>
      <c r="H55" t="n">
        <v>3</v>
      </c>
      <c r="I55" t="n">
        <v>1</v>
      </c>
      <c r="J55" t="n">
        <v>3</v>
      </c>
      <c r="K55" t="n">
        <v>4</v>
      </c>
      <c r="L55" t="n">
        <v>2</v>
      </c>
      <c r="M55" s="48" t="n">
        <v>0</v>
      </c>
      <c r="N55" t="inlineStr"/>
      <c r="O55" s="48" t="n">
        <v>2.5</v>
      </c>
      <c r="P55" s="48" t="n">
        <v>2.5</v>
      </c>
      <c r="Q55" s="49" t="inlineStr">
        <is>
          <t>C — Opportunistic</t>
        </is>
      </c>
      <c r="R55" s="37" t="n">
        <v>0.02</v>
      </c>
      <c r="S55" s="37" t="n">
        <v>0.09724000000000002</v>
      </c>
      <c r="T55" s="37" t="n">
        <v>0.28625</v>
      </c>
      <c r="U55" s="37" t="n">
        <v>0.4145</v>
      </c>
      <c r="V55" s="37" t="n">
        <v>0.5</v>
      </c>
      <c r="W55" s="38" t="n">
        <v>0</v>
      </c>
      <c r="X55" s="38" t="n">
        <v>0</v>
      </c>
      <c r="Y55" s="38" t="n">
        <v>0</v>
      </c>
      <c r="Z55" s="38" t="n">
        <v>0</v>
      </c>
      <c r="AA55" s="38" t="n">
        <v>0</v>
      </c>
    </row>
    <row r="56">
      <c r="A56" t="inlineStr">
        <is>
          <t>Hampton Inn &amp; Suites Denver-Speer Boulevard</t>
        </is>
      </c>
      <c r="B56" t="inlineStr">
        <is>
          <t>Hotel</t>
        </is>
      </c>
      <c r="C56" t="inlineStr">
        <is>
          <t>NO</t>
        </is>
      </c>
      <c r="D56" t="n">
        <v>153</v>
      </c>
      <c r="E56" t="inlineStr"/>
      <c r="F56" t="inlineStr">
        <is>
          <t>No Valet</t>
        </is>
      </c>
      <c r="G56" s="38" t="n">
        <v>0</v>
      </c>
      <c r="H56" t="n">
        <v>3</v>
      </c>
      <c r="I56" t="n">
        <v>1</v>
      </c>
      <c r="J56" t="n">
        <v>3</v>
      </c>
      <c r="K56" t="n">
        <v>4</v>
      </c>
      <c r="L56" t="n">
        <v>2</v>
      </c>
      <c r="M56" s="48" t="n">
        <v>0.15</v>
      </c>
      <c r="N56" t="inlineStr">
        <is>
          <t>Brand familiarity (historical): Hilton_family</t>
        </is>
      </c>
      <c r="O56" s="48" t="n">
        <v>2.5</v>
      </c>
      <c r="P56" s="48" t="n">
        <v>2.65</v>
      </c>
      <c r="Q56" s="49" t="inlineStr">
        <is>
          <t>C — Opportunistic</t>
        </is>
      </c>
      <c r="R56" s="37" t="n">
        <v>0.02</v>
      </c>
      <c r="S56" s="37" t="n">
        <v>0.09724000000000002</v>
      </c>
      <c r="T56" s="37" t="n">
        <v>0.28625</v>
      </c>
      <c r="U56" s="37" t="n">
        <v>0.4145</v>
      </c>
      <c r="V56" s="37" t="n">
        <v>0.5</v>
      </c>
      <c r="W56" s="38" t="n">
        <v>0</v>
      </c>
      <c r="X56" s="38" t="n">
        <v>0</v>
      </c>
      <c r="Y56" s="38" t="n">
        <v>0</v>
      </c>
      <c r="Z56" s="38" t="n">
        <v>0</v>
      </c>
      <c r="AA56" s="38" t="n">
        <v>0</v>
      </c>
    </row>
    <row r="57">
      <c r="A57" t="inlineStr">
        <is>
          <t>Drury Inn &amp; Suites Denver Central Park</t>
        </is>
      </c>
      <c r="B57" t="inlineStr">
        <is>
          <t>Hotel</t>
        </is>
      </c>
      <c r="C57" t="inlineStr">
        <is>
          <t>NO</t>
        </is>
      </c>
      <c r="D57" t="n">
        <v>209</v>
      </c>
      <c r="E57" t="inlineStr"/>
      <c r="F57" t="inlineStr">
        <is>
          <t>No Valet</t>
        </is>
      </c>
      <c r="G57" s="38" t="n">
        <v>0</v>
      </c>
      <c r="H57" t="n">
        <v>3</v>
      </c>
      <c r="I57" t="n">
        <v>1</v>
      </c>
      <c r="J57" t="n">
        <v>2</v>
      </c>
      <c r="K57" t="n">
        <v>4</v>
      </c>
      <c r="L57" t="n">
        <v>2</v>
      </c>
      <c r="M57" s="48" t="n">
        <v>0</v>
      </c>
      <c r="N57" t="inlineStr"/>
      <c r="O57" s="48" t="n">
        <v>2.3</v>
      </c>
      <c r="P57" s="48" t="n">
        <v>2.3</v>
      </c>
      <c r="Q57" s="40" t="inlineStr">
        <is>
          <t>D — Deprioritized</t>
        </is>
      </c>
      <c r="R57" s="37" t="n">
        <v>0</v>
      </c>
      <c r="S57" s="37" t="n">
        <v>0.018</v>
      </c>
      <c r="T57" s="37" t="n">
        <v>0.05500000000000001</v>
      </c>
      <c r="U57" s="37" t="n">
        <v>0.082</v>
      </c>
      <c r="V57" s="37" t="n">
        <v>0.1</v>
      </c>
      <c r="W57" s="38" t="n">
        <v>0</v>
      </c>
      <c r="X57" s="38" t="n">
        <v>0</v>
      </c>
      <c r="Y57" s="38" t="n">
        <v>0</v>
      </c>
      <c r="Z57" s="38" t="n">
        <v>0</v>
      </c>
      <c r="AA57" s="38" t="n">
        <v>0</v>
      </c>
    </row>
    <row r="58">
      <c r="A58" t="inlineStr">
        <is>
          <t>Cambria Hotel Denver Downtown RiNo</t>
        </is>
      </c>
      <c r="B58" t="inlineStr">
        <is>
          <t>Hotel</t>
        </is>
      </c>
      <c r="C58" t="inlineStr">
        <is>
          <t>NO</t>
        </is>
      </c>
      <c r="D58" t="n">
        <v>153</v>
      </c>
      <c r="E58" t="inlineStr"/>
      <c r="F58" t="inlineStr">
        <is>
          <t>No Valet</t>
        </is>
      </c>
      <c r="G58" s="38" t="n">
        <v>0</v>
      </c>
      <c r="H58" t="n">
        <v>3</v>
      </c>
      <c r="I58" t="n">
        <v>1</v>
      </c>
      <c r="J58" t="n">
        <v>2</v>
      </c>
      <c r="K58" t="n">
        <v>4</v>
      </c>
      <c r="L58" t="n">
        <v>2</v>
      </c>
      <c r="M58" s="48" t="n">
        <v>0</v>
      </c>
      <c r="N58" t="inlineStr"/>
      <c r="O58" s="48" t="n">
        <v>2.3</v>
      </c>
      <c r="P58" s="48" t="n">
        <v>2.3</v>
      </c>
      <c r="Q58" s="40" t="inlineStr">
        <is>
          <t>D — Deprioritized</t>
        </is>
      </c>
      <c r="R58" s="37" t="n">
        <v>0</v>
      </c>
      <c r="S58" s="37" t="n">
        <v>0.018</v>
      </c>
      <c r="T58" s="37" t="n">
        <v>0.05500000000000001</v>
      </c>
      <c r="U58" s="37" t="n">
        <v>0.082</v>
      </c>
      <c r="V58" s="37" t="n">
        <v>0.1</v>
      </c>
      <c r="W58" s="38" t="n">
        <v>0</v>
      </c>
      <c r="X58" s="38" t="n">
        <v>0</v>
      </c>
      <c r="Y58" s="38" t="n">
        <v>0</v>
      </c>
      <c r="Z58" s="38" t="n">
        <v>0</v>
      </c>
      <c r="AA58" s="38" t="n">
        <v>0</v>
      </c>
    </row>
    <row r="59">
      <c r="A59" t="inlineStr">
        <is>
          <t>The Source Hotel</t>
        </is>
      </c>
      <c r="B59" t="inlineStr">
        <is>
          <t>Hotel</t>
        </is>
      </c>
      <c r="C59" t="inlineStr">
        <is>
          <t>NO</t>
        </is>
      </c>
      <c r="D59" t="n">
        <v>100</v>
      </c>
      <c r="E59" t="inlineStr"/>
      <c r="F59" t="inlineStr">
        <is>
          <t>No Valet</t>
        </is>
      </c>
      <c r="G59" s="38" t="n">
        <v>0</v>
      </c>
      <c r="H59" t="n">
        <v>3</v>
      </c>
      <c r="I59" t="n">
        <v>1</v>
      </c>
      <c r="J59" t="n">
        <v>2</v>
      </c>
      <c r="K59" t="n">
        <v>4</v>
      </c>
      <c r="L59" t="n">
        <v>2</v>
      </c>
      <c r="M59" s="48" t="n">
        <v>0</v>
      </c>
      <c r="N59" t="inlineStr"/>
      <c r="O59" s="48" t="n">
        <v>2.3</v>
      </c>
      <c r="P59" s="48" t="n">
        <v>2.3</v>
      </c>
      <c r="Q59" s="40" t="inlineStr">
        <is>
          <t>D — Deprioritized</t>
        </is>
      </c>
      <c r="R59" s="37" t="n">
        <v>0</v>
      </c>
      <c r="S59" s="37" t="n">
        <v>0.018</v>
      </c>
      <c r="T59" s="37" t="n">
        <v>0.05500000000000001</v>
      </c>
      <c r="U59" s="37" t="n">
        <v>0.082</v>
      </c>
      <c r="V59" s="37" t="n">
        <v>0.1</v>
      </c>
      <c r="W59" s="38" t="n">
        <v>0</v>
      </c>
      <c r="X59" s="38" t="n">
        <v>0</v>
      </c>
      <c r="Y59" s="38" t="n">
        <v>0</v>
      </c>
      <c r="Z59" s="38" t="n">
        <v>0</v>
      </c>
      <c r="AA59" s="38" t="n">
        <v>0</v>
      </c>
    </row>
    <row r="60">
      <c r="A60" t="inlineStr">
        <is>
          <t>the Curtis Denver - a DoubleTree by Hilton Hotel</t>
        </is>
      </c>
      <c r="B60" t="inlineStr">
        <is>
          <t>Hotel</t>
        </is>
      </c>
      <c r="C60" t="inlineStr">
        <is>
          <t>YES</t>
        </is>
      </c>
      <c r="D60" t="n">
        <v>336</v>
      </c>
      <c r="E60" t="inlineStr"/>
      <c r="F60" t="inlineStr">
        <is>
          <t>No Valet</t>
        </is>
      </c>
      <c r="G60" s="38" t="n">
        <v>0</v>
      </c>
      <c r="H60" t="n">
        <v>5</v>
      </c>
      <c r="I60" t="n">
        <v>1</v>
      </c>
      <c r="J60" t="n">
        <v>3</v>
      </c>
      <c r="K60" t="n">
        <v>4</v>
      </c>
      <c r="L60" t="n">
        <v>4</v>
      </c>
      <c r="M60" s="48" t="n">
        <v>0.15</v>
      </c>
      <c r="N60" t="inlineStr">
        <is>
          <t>Brand familiarity (historical): Hilton_family</t>
        </is>
      </c>
      <c r="O60" s="48" t="n">
        <v>3.3</v>
      </c>
      <c r="P60" s="48" t="n">
        <v>3.45</v>
      </c>
      <c r="Q60" s="49" t="inlineStr">
        <is>
          <t>C — Opportunistic</t>
        </is>
      </c>
      <c r="R60" s="37" t="n">
        <v>0.02</v>
      </c>
      <c r="S60" s="37" t="n">
        <v>0.09724000000000002</v>
      </c>
      <c r="T60" s="37" t="n">
        <v>0.28625</v>
      </c>
      <c r="U60" s="37" t="n">
        <v>0.4145</v>
      </c>
      <c r="V60" s="37" t="n">
        <v>0.5</v>
      </c>
      <c r="W60" s="38" t="n">
        <v>0</v>
      </c>
      <c r="X60" s="38" t="n">
        <v>0</v>
      </c>
      <c r="Y60" s="38" t="n">
        <v>0</v>
      </c>
      <c r="Z60" s="38" t="n">
        <v>0</v>
      </c>
      <c r="AA60" s="38" t="n">
        <v>0</v>
      </c>
    </row>
    <row r="61">
      <c r="A61" t="inlineStr">
        <is>
          <t>Courtyard Denver Downtown</t>
        </is>
      </c>
      <c r="B61" t="inlineStr">
        <is>
          <t>Hotel</t>
        </is>
      </c>
      <c r="C61" t="inlineStr">
        <is>
          <t>NO</t>
        </is>
      </c>
      <c r="D61" t="n">
        <v>177</v>
      </c>
      <c r="E61" t="inlineStr"/>
      <c r="F61" t="inlineStr">
        <is>
          <t>No Valet</t>
        </is>
      </c>
      <c r="G61" s="38" t="n">
        <v>0</v>
      </c>
      <c r="H61" t="n">
        <v>3</v>
      </c>
      <c r="I61" t="n">
        <v>1</v>
      </c>
      <c r="J61" t="n">
        <v>3</v>
      </c>
      <c r="K61" t="n">
        <v>4</v>
      </c>
      <c r="L61" t="n">
        <v>2</v>
      </c>
      <c r="M61" s="48" t="n">
        <v>0</v>
      </c>
      <c r="N61" t="inlineStr"/>
      <c r="O61" s="48" t="n">
        <v>2.5</v>
      </c>
      <c r="P61" s="48" t="n">
        <v>2.5</v>
      </c>
      <c r="Q61" s="49" t="inlineStr">
        <is>
          <t>C — Opportunistic</t>
        </is>
      </c>
      <c r="R61" s="37" t="n">
        <v>0.02</v>
      </c>
      <c r="S61" s="37" t="n">
        <v>0.09724000000000002</v>
      </c>
      <c r="T61" s="37" t="n">
        <v>0.28625</v>
      </c>
      <c r="U61" s="37" t="n">
        <v>0.4145</v>
      </c>
      <c r="V61" s="37" t="n">
        <v>0.5</v>
      </c>
      <c r="W61" s="38" t="n">
        <v>0</v>
      </c>
      <c r="X61" s="38" t="n">
        <v>0</v>
      </c>
      <c r="Y61" s="38" t="n">
        <v>0</v>
      </c>
      <c r="Z61" s="38" t="n">
        <v>0</v>
      </c>
      <c r="AA61" s="38" t="n">
        <v>0</v>
      </c>
    </row>
    <row r="62">
      <c r="A62" t="inlineStr">
        <is>
          <t>Hyatt Regency Aurora-Denver Conference Center</t>
        </is>
      </c>
      <c r="B62" t="inlineStr">
        <is>
          <t>Hotel</t>
        </is>
      </c>
      <c r="C62" t="inlineStr">
        <is>
          <t>NO</t>
        </is>
      </c>
      <c r="D62" t="n">
        <v>249</v>
      </c>
      <c r="E62" t="inlineStr"/>
      <c r="F62" t="inlineStr"/>
      <c r="G62" s="38" t="n">
        <v>0</v>
      </c>
      <c r="H62" t="n">
        <v>3</v>
      </c>
      <c r="I62" t="n">
        <v>1</v>
      </c>
      <c r="J62" t="n">
        <v>3</v>
      </c>
      <c r="K62" t="n">
        <v>4</v>
      </c>
      <c r="L62" t="n">
        <v>2</v>
      </c>
      <c r="M62" s="48" t="n">
        <v>0</v>
      </c>
      <c r="N62" t="inlineStr"/>
      <c r="O62" s="48" t="n">
        <v>2.5</v>
      </c>
      <c r="P62" s="48" t="n">
        <v>2.5</v>
      </c>
      <c r="Q62" s="49" t="inlineStr">
        <is>
          <t>C — Opportunistic</t>
        </is>
      </c>
      <c r="R62" s="37" t="n">
        <v>0.02</v>
      </c>
      <c r="S62" s="37" t="n">
        <v>0.09724000000000002</v>
      </c>
      <c r="T62" s="37" t="n">
        <v>0.28625</v>
      </c>
      <c r="U62" s="37" t="n">
        <v>0.4145</v>
      </c>
      <c r="V62" s="37" t="n">
        <v>0.5</v>
      </c>
      <c r="W62" s="38" t="n">
        <v>0</v>
      </c>
      <c r="X62" s="38" t="n">
        <v>0</v>
      </c>
      <c r="Y62" s="38" t="n">
        <v>0</v>
      </c>
      <c r="Z62" s="38" t="n">
        <v>0</v>
      </c>
      <c r="AA62" s="38" t="n">
        <v>0</v>
      </c>
    </row>
    <row r="63">
      <c r="A63" t="inlineStr">
        <is>
          <t>Sonesta Denver Downtown</t>
        </is>
      </c>
      <c r="B63" t="inlineStr">
        <is>
          <t>Hotel</t>
        </is>
      </c>
      <c r="C63" t="inlineStr">
        <is>
          <t>YES</t>
        </is>
      </c>
      <c r="D63" t="n">
        <v>380</v>
      </c>
      <c r="E63" t="inlineStr"/>
      <c r="F63" t="inlineStr">
        <is>
          <t>No Valet</t>
        </is>
      </c>
      <c r="G63" s="38" t="n">
        <v>0</v>
      </c>
      <c r="H63" t="n">
        <v>5</v>
      </c>
      <c r="I63" t="n">
        <v>1</v>
      </c>
      <c r="J63" t="n">
        <v>2</v>
      </c>
      <c r="K63" t="n">
        <v>4</v>
      </c>
      <c r="L63" t="n">
        <v>4</v>
      </c>
      <c r="M63" s="48" t="n">
        <v>0</v>
      </c>
      <c r="N63" t="inlineStr"/>
      <c r="O63" s="48" t="n">
        <v>3.1</v>
      </c>
      <c r="P63" s="48" t="n">
        <v>3.1</v>
      </c>
      <c r="Q63" s="49" t="inlineStr">
        <is>
          <t>C — Opportunistic</t>
        </is>
      </c>
      <c r="R63" s="37" t="n">
        <v>0.02</v>
      </c>
      <c r="S63" s="37" t="n">
        <v>0.09724000000000002</v>
      </c>
      <c r="T63" s="37" t="n">
        <v>0.28625</v>
      </c>
      <c r="U63" s="37" t="n">
        <v>0.4145</v>
      </c>
      <c r="V63" s="37" t="n">
        <v>0.5</v>
      </c>
      <c r="W63" s="38" t="n">
        <v>0</v>
      </c>
      <c r="X63" s="38" t="n">
        <v>0</v>
      </c>
      <c r="Y63" s="38" t="n">
        <v>0</v>
      </c>
      <c r="Z63" s="38" t="n">
        <v>0</v>
      </c>
      <c r="AA63" s="38" t="n">
        <v>0</v>
      </c>
    </row>
    <row r="64">
      <c r="A64" t="inlineStr">
        <is>
          <t>Vīb Hotel by Best Western Denver RiNo</t>
        </is>
      </c>
      <c r="B64" t="inlineStr">
        <is>
          <t>Hotel</t>
        </is>
      </c>
      <c r="C64" t="inlineStr">
        <is>
          <t>NO</t>
        </is>
      </c>
      <c r="D64" t="n">
        <v>140</v>
      </c>
      <c r="E64" t="inlineStr"/>
      <c r="F64" t="inlineStr">
        <is>
          <t>No Valet</t>
        </is>
      </c>
      <c r="G64" s="38" t="n">
        <v>0</v>
      </c>
      <c r="H64" t="n">
        <v>3</v>
      </c>
      <c r="I64" t="n">
        <v>1</v>
      </c>
      <c r="J64" t="n">
        <v>2</v>
      </c>
      <c r="K64" t="n">
        <v>4</v>
      </c>
      <c r="L64" t="n">
        <v>2</v>
      </c>
      <c r="M64" s="48" t="n">
        <v>0</v>
      </c>
      <c r="N64" t="inlineStr"/>
      <c r="O64" s="48" t="n">
        <v>2.3</v>
      </c>
      <c r="P64" s="48" t="n">
        <v>2.3</v>
      </c>
      <c r="Q64" s="40" t="inlineStr">
        <is>
          <t>D — Deprioritized</t>
        </is>
      </c>
      <c r="R64" s="37" t="n">
        <v>0</v>
      </c>
      <c r="S64" s="37" t="n">
        <v>0.018</v>
      </c>
      <c r="T64" s="37" t="n">
        <v>0.05500000000000001</v>
      </c>
      <c r="U64" s="37" t="n">
        <v>0.082</v>
      </c>
      <c r="V64" s="37" t="n">
        <v>0.1</v>
      </c>
      <c r="W64" s="38" t="n">
        <v>0</v>
      </c>
      <c r="X64" s="38" t="n">
        <v>0</v>
      </c>
      <c r="Y64" s="38" t="n">
        <v>0</v>
      </c>
      <c r="Z64" s="38" t="n">
        <v>0</v>
      </c>
      <c r="AA64" s="38" t="n">
        <v>0</v>
      </c>
    </row>
    <row r="65">
      <c r="A65" t="inlineStr">
        <is>
          <t>Element Denver Downtown East</t>
        </is>
      </c>
      <c r="B65" t="inlineStr">
        <is>
          <t>Hotel</t>
        </is>
      </c>
      <c r="C65" t="inlineStr">
        <is>
          <t>NO</t>
        </is>
      </c>
      <c r="D65" t="n">
        <v>157</v>
      </c>
      <c r="E65" t="inlineStr"/>
      <c r="F65" t="inlineStr">
        <is>
          <t>No Valet</t>
        </is>
      </c>
      <c r="G65" s="38" t="n">
        <v>0</v>
      </c>
      <c r="H65" t="n">
        <v>3</v>
      </c>
      <c r="I65" t="n">
        <v>1</v>
      </c>
      <c r="J65" t="n">
        <v>2</v>
      </c>
      <c r="K65" t="n">
        <v>4</v>
      </c>
      <c r="L65" t="n">
        <v>2</v>
      </c>
      <c r="M65" s="48" t="n">
        <v>0</v>
      </c>
      <c r="N65" t="inlineStr"/>
      <c r="O65" s="48" t="n">
        <v>2.3</v>
      </c>
      <c r="P65" s="48" t="n">
        <v>2.3</v>
      </c>
      <c r="Q65" s="40" t="inlineStr">
        <is>
          <t>D — Deprioritized</t>
        </is>
      </c>
      <c r="R65" s="37" t="n">
        <v>0</v>
      </c>
      <c r="S65" s="37" t="n">
        <v>0.018</v>
      </c>
      <c r="T65" s="37" t="n">
        <v>0.05500000000000001</v>
      </c>
      <c r="U65" s="37" t="n">
        <v>0.082</v>
      </c>
      <c r="V65" s="37" t="n">
        <v>0.1</v>
      </c>
      <c r="W65" s="38" t="n">
        <v>0</v>
      </c>
      <c r="X65" s="38" t="n">
        <v>0</v>
      </c>
      <c r="Y65" s="38" t="n">
        <v>0</v>
      </c>
      <c r="Z65" s="38" t="n">
        <v>0</v>
      </c>
      <c r="AA65" s="38" t="n">
        <v>0</v>
      </c>
    </row>
    <row r="66">
      <c r="A66" t="inlineStr">
        <is>
          <t>DoubleTree by Hilton Hotel Denver Tech Center</t>
        </is>
      </c>
      <c r="B66" t="inlineStr">
        <is>
          <t>Hotel</t>
        </is>
      </c>
      <c r="C66" t="inlineStr">
        <is>
          <t>NO</t>
        </is>
      </c>
      <c r="D66" t="n">
        <v>305</v>
      </c>
      <c r="E66" t="inlineStr"/>
      <c r="F66" t="inlineStr">
        <is>
          <t>No Valet</t>
        </is>
      </c>
      <c r="G66" s="38" t="n">
        <v>0</v>
      </c>
      <c r="H66" t="n">
        <v>4</v>
      </c>
      <c r="I66" t="n">
        <v>1</v>
      </c>
      <c r="J66" t="n">
        <v>3</v>
      </c>
      <c r="K66" t="n">
        <v>4</v>
      </c>
      <c r="L66" t="n">
        <v>2</v>
      </c>
      <c r="M66" s="48" t="n">
        <v>0.15</v>
      </c>
      <c r="N66" t="inlineStr">
        <is>
          <t>Brand familiarity (historical): Hilton_family</t>
        </is>
      </c>
      <c r="O66" s="48" t="n">
        <v>2.75</v>
      </c>
      <c r="P66" s="48" t="n">
        <v>2.9</v>
      </c>
      <c r="Q66" s="49" t="inlineStr">
        <is>
          <t>C — Opportunistic</t>
        </is>
      </c>
      <c r="R66" s="37" t="n">
        <v>0.02</v>
      </c>
      <c r="S66" s="37" t="n">
        <v>0.09724000000000002</v>
      </c>
      <c r="T66" s="37" t="n">
        <v>0.28625</v>
      </c>
      <c r="U66" s="37" t="n">
        <v>0.4145</v>
      </c>
      <c r="V66" s="37" t="n">
        <v>0.5</v>
      </c>
      <c r="W66" s="38" t="n">
        <v>0</v>
      </c>
      <c r="X66" s="38" t="n">
        <v>0</v>
      </c>
      <c r="Y66" s="38" t="n">
        <v>0</v>
      </c>
      <c r="Z66" s="38" t="n">
        <v>0</v>
      </c>
      <c r="AA66" s="38" t="n">
        <v>0</v>
      </c>
    </row>
    <row r="67">
      <c r="A67" t="inlineStr">
        <is>
          <t>Embassy Suites by Hilton Denver Tech Center</t>
        </is>
      </c>
      <c r="B67" t="inlineStr">
        <is>
          <t>Hotel</t>
        </is>
      </c>
      <c r="C67" t="inlineStr">
        <is>
          <t>NO</t>
        </is>
      </c>
      <c r="D67" t="n">
        <v>236</v>
      </c>
      <c r="E67" t="inlineStr"/>
      <c r="F67" t="inlineStr">
        <is>
          <t>No Valet</t>
        </is>
      </c>
      <c r="G67" s="38" t="n">
        <v>0</v>
      </c>
      <c r="H67" t="n">
        <v>3</v>
      </c>
      <c r="I67" t="n">
        <v>1</v>
      </c>
      <c r="J67" t="n">
        <v>3</v>
      </c>
      <c r="K67" t="n">
        <v>4</v>
      </c>
      <c r="L67" t="n">
        <v>2</v>
      </c>
      <c r="M67" s="48" t="n">
        <v>0.15</v>
      </c>
      <c r="N67" t="inlineStr">
        <is>
          <t>Brand familiarity (historical): Hilton_family</t>
        </is>
      </c>
      <c r="O67" s="48" t="n">
        <v>2.5</v>
      </c>
      <c r="P67" s="48" t="n">
        <v>2.65</v>
      </c>
      <c r="Q67" s="49" t="inlineStr">
        <is>
          <t>C — Opportunistic</t>
        </is>
      </c>
      <c r="R67" s="37" t="n">
        <v>0.02</v>
      </c>
      <c r="S67" s="37" t="n">
        <v>0.09724000000000002</v>
      </c>
      <c r="T67" s="37" t="n">
        <v>0.28625</v>
      </c>
      <c r="U67" s="37" t="n">
        <v>0.4145</v>
      </c>
      <c r="V67" s="37" t="n">
        <v>0.5</v>
      </c>
      <c r="W67" s="38" t="n">
        <v>0</v>
      </c>
      <c r="X67" s="38" t="n">
        <v>0</v>
      </c>
      <c r="Y67" s="38" t="n">
        <v>0</v>
      </c>
      <c r="Z67" s="38" t="n">
        <v>0</v>
      </c>
      <c r="AA67" s="38" t="n">
        <v>0</v>
      </c>
    </row>
    <row r="68">
      <c r="A68" t="inlineStr">
        <is>
          <t>The Inverness Denver, a Hilton Golf &amp; Spa Resort</t>
        </is>
      </c>
      <c r="B68" t="inlineStr">
        <is>
          <t>Hotel</t>
        </is>
      </c>
      <c r="C68" t="inlineStr">
        <is>
          <t>NO</t>
        </is>
      </c>
      <c r="D68" t="n">
        <v>302</v>
      </c>
      <c r="E68" t="inlineStr">
        <is>
          <t>In House</t>
        </is>
      </c>
      <c r="F68" t="inlineStr">
        <is>
          <t>Free (included in resort fee)</t>
        </is>
      </c>
      <c r="G68" s="38" t="n">
        <v>0</v>
      </c>
      <c r="H68" t="n">
        <v>4</v>
      </c>
      <c r="I68" t="n">
        <v>1</v>
      </c>
      <c r="J68" t="n">
        <v>3</v>
      </c>
      <c r="K68" t="n">
        <v>5</v>
      </c>
      <c r="L68" t="n">
        <v>2</v>
      </c>
      <c r="M68" s="48" t="n">
        <v>0.15</v>
      </c>
      <c r="N68" t="inlineStr">
        <is>
          <t>Brand familiarity (historical): Hilton_family</t>
        </is>
      </c>
      <c r="O68" s="48" t="n">
        <v>2.9</v>
      </c>
      <c r="P68" s="48" t="n">
        <v>3.05</v>
      </c>
      <c r="Q68" s="49" t="inlineStr">
        <is>
          <t>C — Opportunistic</t>
        </is>
      </c>
      <c r="R68" s="37" t="n">
        <v>0.02</v>
      </c>
      <c r="S68" s="37" t="n">
        <v>0.09724000000000002</v>
      </c>
      <c r="T68" s="37" t="n">
        <v>0.28625</v>
      </c>
      <c r="U68" s="37" t="n">
        <v>0.4145</v>
      </c>
      <c r="V68" s="37" t="n">
        <v>0.5</v>
      </c>
      <c r="W68" s="38" t="n">
        <v>0</v>
      </c>
      <c r="X68" s="38" t="n">
        <v>0</v>
      </c>
      <c r="Y68" s="38" t="n">
        <v>0</v>
      </c>
      <c r="Z68" s="38" t="n">
        <v>0</v>
      </c>
      <c r="AA68" s="38" t="n">
        <v>0</v>
      </c>
    </row>
    <row r="69">
      <c r="A69" t="inlineStr">
        <is>
          <t>Embassy Suites by Hilton Denver Tech Center North</t>
        </is>
      </c>
      <c r="B69" t="inlineStr">
        <is>
          <t>Hotel</t>
        </is>
      </c>
      <c r="C69" t="inlineStr">
        <is>
          <t>NO</t>
        </is>
      </c>
      <c r="D69" t="n">
        <v>205</v>
      </c>
      <c r="E69" t="inlineStr"/>
      <c r="F69" t="inlineStr">
        <is>
          <t>No Valet</t>
        </is>
      </c>
      <c r="G69" s="38" t="n">
        <v>0</v>
      </c>
      <c r="H69" t="n">
        <v>3</v>
      </c>
      <c r="I69" t="n">
        <v>1</v>
      </c>
      <c r="J69" t="n">
        <v>3</v>
      </c>
      <c r="K69" t="n">
        <v>4</v>
      </c>
      <c r="L69" t="n">
        <v>2</v>
      </c>
      <c r="M69" s="48" t="n">
        <v>0.15</v>
      </c>
      <c r="N69" t="inlineStr">
        <is>
          <t>Brand familiarity (historical): Hilton_family</t>
        </is>
      </c>
      <c r="O69" s="48" t="n">
        <v>2.5</v>
      </c>
      <c r="P69" s="48" t="n">
        <v>2.65</v>
      </c>
      <c r="Q69" s="49" t="inlineStr">
        <is>
          <t>C — Opportunistic</t>
        </is>
      </c>
      <c r="R69" s="37" t="n">
        <v>0.02</v>
      </c>
      <c r="S69" s="37" t="n">
        <v>0.09724000000000002</v>
      </c>
      <c r="T69" s="37" t="n">
        <v>0.28625</v>
      </c>
      <c r="U69" s="37" t="n">
        <v>0.4145</v>
      </c>
      <c r="V69" s="37" t="n">
        <v>0.5</v>
      </c>
      <c r="W69" s="38" t="n">
        <v>0</v>
      </c>
      <c r="X69" s="38" t="n">
        <v>0</v>
      </c>
      <c r="Y69" s="38" t="n">
        <v>0</v>
      </c>
      <c r="Z69" s="38" t="n">
        <v>0</v>
      </c>
      <c r="AA69" s="38" t="n">
        <v>0</v>
      </c>
    </row>
    <row r="70">
      <c r="A70" t="inlineStr">
        <is>
          <t>Denver Marriott South at Park Meadows</t>
        </is>
      </c>
      <c r="B70" t="inlineStr">
        <is>
          <t>Hotel</t>
        </is>
      </c>
      <c r="C70" t="inlineStr">
        <is>
          <t>NO</t>
        </is>
      </c>
      <c r="D70" t="n">
        <v>279</v>
      </c>
      <c r="E70" t="inlineStr"/>
      <c r="F70" t="inlineStr">
        <is>
          <t>No Valet</t>
        </is>
      </c>
      <c r="G70" s="38" t="n">
        <v>0</v>
      </c>
      <c r="H70" t="n">
        <v>4</v>
      </c>
      <c r="I70" t="n">
        <v>1</v>
      </c>
      <c r="J70" t="n">
        <v>3</v>
      </c>
      <c r="K70" t="n">
        <v>4</v>
      </c>
      <c r="L70" t="n">
        <v>2</v>
      </c>
      <c r="M70" s="48" t="n">
        <v>0.3</v>
      </c>
      <c r="N70" t="inlineStr">
        <is>
          <t>Brand familiarity (current): Marriott_family</t>
        </is>
      </c>
      <c r="O70" s="48" t="n">
        <v>2.75</v>
      </c>
      <c r="P70" s="48" t="n">
        <v>3.05</v>
      </c>
      <c r="Q70" s="49" t="inlineStr">
        <is>
          <t>C — Opportunistic</t>
        </is>
      </c>
      <c r="R70" s="37" t="n">
        <v>0.02</v>
      </c>
      <c r="S70" s="37" t="n">
        <v>0.09724000000000002</v>
      </c>
      <c r="T70" s="37" t="n">
        <v>0.28625</v>
      </c>
      <c r="U70" s="37" t="n">
        <v>0.4145</v>
      </c>
      <c r="V70" s="37" t="n">
        <v>0.5</v>
      </c>
      <c r="W70" s="38" t="n">
        <v>0</v>
      </c>
      <c r="X70" s="38" t="n">
        <v>0</v>
      </c>
      <c r="Y70" s="38" t="n">
        <v>0</v>
      </c>
      <c r="Z70" s="38" t="n">
        <v>0</v>
      </c>
      <c r="AA70" s="38" t="n">
        <v>0</v>
      </c>
    </row>
    <row r="71">
      <c r="A71" t="inlineStr">
        <is>
          <t>Hilton Garden Inn Denver Tech Center</t>
        </is>
      </c>
      <c r="B71" t="inlineStr">
        <is>
          <t>Hotel</t>
        </is>
      </c>
      <c r="C71" t="inlineStr">
        <is>
          <t>NO</t>
        </is>
      </c>
      <c r="D71" t="n">
        <v>180</v>
      </c>
      <c r="E71" t="inlineStr"/>
      <c r="F71" t="inlineStr">
        <is>
          <t>No Valet</t>
        </is>
      </c>
      <c r="G71" s="38" t="n">
        <v>0</v>
      </c>
      <c r="H71" t="n">
        <v>3</v>
      </c>
      <c r="I71" t="n">
        <v>1</v>
      </c>
      <c r="J71" t="n">
        <v>3</v>
      </c>
      <c r="K71" t="n">
        <v>4</v>
      </c>
      <c r="L71" t="n">
        <v>2</v>
      </c>
      <c r="M71" s="48" t="n">
        <v>0.15</v>
      </c>
      <c r="N71" t="inlineStr">
        <is>
          <t>Brand familiarity (historical): Hilton_family</t>
        </is>
      </c>
      <c r="O71" s="48" t="n">
        <v>2.5</v>
      </c>
      <c r="P71" s="48" t="n">
        <v>2.65</v>
      </c>
      <c r="Q71" s="49" t="inlineStr">
        <is>
          <t>C — Opportunistic</t>
        </is>
      </c>
      <c r="R71" s="37" t="n">
        <v>0.02</v>
      </c>
      <c r="S71" s="37" t="n">
        <v>0.09724000000000002</v>
      </c>
      <c r="T71" s="37" t="n">
        <v>0.28625</v>
      </c>
      <c r="U71" s="37" t="n">
        <v>0.4145</v>
      </c>
      <c r="V71" s="37" t="n">
        <v>0.5</v>
      </c>
      <c r="W71" s="38" t="n">
        <v>0</v>
      </c>
      <c r="X71" s="38" t="n">
        <v>0</v>
      </c>
      <c r="Y71" s="38" t="n">
        <v>0</v>
      </c>
      <c r="Z71" s="38" t="n">
        <v>0</v>
      </c>
      <c r="AA71" s="38" t="n">
        <v>0</v>
      </c>
    </row>
    <row r="72">
      <c r="A72" t="inlineStr">
        <is>
          <t>DoubleTree by Hilton Hotel Denver - Aurora</t>
        </is>
      </c>
      <c r="B72" t="inlineStr">
        <is>
          <t>Hotel</t>
        </is>
      </c>
      <c r="C72" t="inlineStr">
        <is>
          <t>NO</t>
        </is>
      </c>
      <c r="D72" t="n">
        <v>248</v>
      </c>
      <c r="E72" t="inlineStr"/>
      <c r="F72" t="inlineStr">
        <is>
          <t>No Valet</t>
        </is>
      </c>
      <c r="G72" s="38" t="n">
        <v>0</v>
      </c>
      <c r="H72" t="n">
        <v>3</v>
      </c>
      <c r="I72" t="n">
        <v>1</v>
      </c>
      <c r="J72" t="n">
        <v>3</v>
      </c>
      <c r="K72" t="n">
        <v>4</v>
      </c>
      <c r="L72" t="n">
        <v>2</v>
      </c>
      <c r="M72" s="48" t="n">
        <v>0.15</v>
      </c>
      <c r="N72" t="inlineStr">
        <is>
          <t>Brand familiarity (historical): Hilton_family</t>
        </is>
      </c>
      <c r="O72" s="48" t="n">
        <v>2.5</v>
      </c>
      <c r="P72" s="48" t="n">
        <v>2.65</v>
      </c>
      <c r="Q72" s="49" t="inlineStr">
        <is>
          <t>C — Opportunistic</t>
        </is>
      </c>
      <c r="R72" s="37" t="n">
        <v>0.02</v>
      </c>
      <c r="S72" s="37" t="n">
        <v>0.09724000000000002</v>
      </c>
      <c r="T72" s="37" t="n">
        <v>0.28625</v>
      </c>
      <c r="U72" s="37" t="n">
        <v>0.4145</v>
      </c>
      <c r="V72" s="37" t="n">
        <v>0.5</v>
      </c>
      <c r="W72" s="38" t="n">
        <v>0</v>
      </c>
      <c r="X72" s="38" t="n">
        <v>0</v>
      </c>
      <c r="Y72" s="38" t="n">
        <v>0</v>
      </c>
      <c r="Z72" s="38" t="n">
        <v>0</v>
      </c>
      <c r="AA72" s="38" t="n">
        <v>0</v>
      </c>
    </row>
    <row r="73">
      <c r="A73" t="inlineStr">
        <is>
          <t>Crowne Plaza Denver Airport Convention Center</t>
        </is>
      </c>
      <c r="B73" t="inlineStr">
        <is>
          <t>Hotel</t>
        </is>
      </c>
      <c r="C73" t="inlineStr">
        <is>
          <t>NO</t>
        </is>
      </c>
      <c r="D73" t="n">
        <v>255</v>
      </c>
      <c r="E73" t="inlineStr"/>
      <c r="F73" t="inlineStr">
        <is>
          <t>No Valet</t>
        </is>
      </c>
      <c r="G73" s="38" t="n">
        <v>0</v>
      </c>
      <c r="H73" t="n">
        <v>4</v>
      </c>
      <c r="I73" t="n">
        <v>1</v>
      </c>
      <c r="J73" t="n">
        <v>3</v>
      </c>
      <c r="K73" t="n">
        <v>4</v>
      </c>
      <c r="L73" t="n">
        <v>2</v>
      </c>
      <c r="M73" s="48" t="n">
        <v>0</v>
      </c>
      <c r="N73" t="inlineStr"/>
      <c r="O73" s="48" t="n">
        <v>2.75</v>
      </c>
      <c r="P73" s="48" t="n">
        <v>2.75</v>
      </c>
      <c r="Q73" s="49" t="inlineStr">
        <is>
          <t>C — Opportunistic</t>
        </is>
      </c>
      <c r="R73" s="37" t="n">
        <v>0.02</v>
      </c>
      <c r="S73" s="37" t="n">
        <v>0.09724000000000002</v>
      </c>
      <c r="T73" s="37" t="n">
        <v>0.28625</v>
      </c>
      <c r="U73" s="37" t="n">
        <v>0.4145</v>
      </c>
      <c r="V73" s="37" t="n">
        <v>0.5</v>
      </c>
      <c r="W73" s="38" t="n">
        <v>0</v>
      </c>
      <c r="X73" s="38" t="n">
        <v>0</v>
      </c>
      <c r="Y73" s="38" t="n">
        <v>0</v>
      </c>
      <c r="Z73" s="38" t="n">
        <v>0</v>
      </c>
      <c r="AA73" s="38" t="n">
        <v>0</v>
      </c>
    </row>
    <row r="74">
      <c r="A74" t="inlineStr">
        <is>
          <t>Courtyard Denver Downtown West (Stadium Area)</t>
        </is>
      </c>
      <c r="B74" t="inlineStr">
        <is>
          <t>Hotel</t>
        </is>
      </c>
      <c r="C74" t="inlineStr">
        <is>
          <t>NO</t>
        </is>
      </c>
      <c r="D74" t="n">
        <v>118</v>
      </c>
      <c r="E74" t="inlineStr"/>
      <c r="F74" t="inlineStr">
        <is>
          <t>No Valet</t>
        </is>
      </c>
      <c r="G74" s="38" t="n">
        <v>0</v>
      </c>
      <c r="H74" t="n">
        <v>3</v>
      </c>
      <c r="I74" t="n">
        <v>1</v>
      </c>
      <c r="J74" t="n">
        <v>3</v>
      </c>
      <c r="K74" t="n">
        <v>4</v>
      </c>
      <c r="L74" t="n">
        <v>2</v>
      </c>
      <c r="M74" s="48" t="n">
        <v>0</v>
      </c>
      <c r="N74" t="inlineStr"/>
      <c r="O74" s="48" t="n">
        <v>2.5</v>
      </c>
      <c r="P74" s="48" t="n">
        <v>2.5</v>
      </c>
      <c r="Q74" s="49" t="inlineStr">
        <is>
          <t>C — Opportunistic</t>
        </is>
      </c>
      <c r="R74" s="37" t="n">
        <v>0.02</v>
      </c>
      <c r="S74" s="37" t="n">
        <v>0.09724000000000002</v>
      </c>
      <c r="T74" s="37" t="n">
        <v>0.28625</v>
      </c>
      <c r="U74" s="37" t="n">
        <v>0.4145</v>
      </c>
      <c r="V74" s="37" t="n">
        <v>0.5</v>
      </c>
      <c r="W74" s="38" t="n">
        <v>0</v>
      </c>
      <c r="X74" s="38" t="n">
        <v>0</v>
      </c>
      <c r="Y74" s="38" t="n">
        <v>0</v>
      </c>
      <c r="Z74" s="38" t="n">
        <v>0</v>
      </c>
      <c r="AA74" s="38" t="n">
        <v>0</v>
      </c>
    </row>
    <row r="75">
      <c r="A75" t="inlineStr">
        <is>
          <t>Urban Cowboy Denver</t>
        </is>
      </c>
      <c r="B75" t="inlineStr">
        <is>
          <t>Hotel</t>
        </is>
      </c>
      <c r="C75" t="inlineStr">
        <is>
          <t>NO</t>
        </is>
      </c>
      <c r="D75" t="n">
        <v>9</v>
      </c>
      <c r="E75" t="inlineStr"/>
      <c r="F75" t="inlineStr">
        <is>
          <t>No Valet</t>
        </is>
      </c>
      <c r="G75" s="38" t="n">
        <v>0</v>
      </c>
      <c r="H75" t="n">
        <v>2</v>
      </c>
      <c r="I75" t="n">
        <v>1</v>
      </c>
      <c r="J75" t="n">
        <v>2</v>
      </c>
      <c r="K75" t="n">
        <v>4</v>
      </c>
      <c r="L75" t="n">
        <v>2</v>
      </c>
      <c r="M75" s="48" t="n">
        <v>0</v>
      </c>
      <c r="N75" t="inlineStr"/>
      <c r="O75" s="48" t="n">
        <v>2.05</v>
      </c>
      <c r="P75" s="48" t="n">
        <v>2.05</v>
      </c>
      <c r="Q75" s="40" t="inlineStr">
        <is>
          <t>D — Deprioritized</t>
        </is>
      </c>
      <c r="R75" s="37" t="n">
        <v>0</v>
      </c>
      <c r="S75" s="37" t="n">
        <v>0.018</v>
      </c>
      <c r="T75" s="37" t="n">
        <v>0.05500000000000001</v>
      </c>
      <c r="U75" s="37" t="n">
        <v>0.082</v>
      </c>
      <c r="V75" s="37" t="n">
        <v>0.1</v>
      </c>
      <c r="W75" s="38" t="n">
        <v>0</v>
      </c>
      <c r="X75" s="38" t="n">
        <v>0</v>
      </c>
      <c r="Y75" s="38" t="n">
        <v>0</v>
      </c>
      <c r="Z75" s="38" t="n">
        <v>0</v>
      </c>
      <c r="AA75" s="38" t="n">
        <v>0</v>
      </c>
    </row>
    <row r="76">
      <c r="A76" t="inlineStr">
        <is>
          <t>Hyatt Place Denver/Cherry Creek</t>
        </is>
      </c>
      <c r="B76" t="inlineStr">
        <is>
          <t>Hotel</t>
        </is>
      </c>
      <c r="C76" t="inlineStr">
        <is>
          <t>NO</t>
        </is>
      </c>
      <c r="D76" t="n">
        <v>133</v>
      </c>
      <c r="E76" t="inlineStr"/>
      <c r="F76" t="inlineStr">
        <is>
          <t>No Valet</t>
        </is>
      </c>
      <c r="G76" s="38" t="n">
        <v>0</v>
      </c>
      <c r="H76" t="n">
        <v>3</v>
      </c>
      <c r="I76" t="n">
        <v>1</v>
      </c>
      <c r="J76" t="n">
        <v>3</v>
      </c>
      <c r="K76" t="n">
        <v>4</v>
      </c>
      <c r="L76" t="n">
        <v>2</v>
      </c>
      <c r="M76" s="48" t="n">
        <v>0</v>
      </c>
      <c r="N76" t="inlineStr"/>
      <c r="O76" s="48" t="n">
        <v>2.5</v>
      </c>
      <c r="P76" s="48" t="n">
        <v>2.5</v>
      </c>
      <c r="Q76" s="49" t="inlineStr">
        <is>
          <t>C — Opportunistic</t>
        </is>
      </c>
      <c r="R76" s="37" t="n">
        <v>0.02</v>
      </c>
      <c r="S76" s="37" t="n">
        <v>0.09724000000000002</v>
      </c>
      <c r="T76" s="37" t="n">
        <v>0.28625</v>
      </c>
      <c r="U76" s="37" t="n">
        <v>0.4145</v>
      </c>
      <c r="V76" s="37" t="n">
        <v>0.5</v>
      </c>
      <c r="W76" s="38" t="n">
        <v>0</v>
      </c>
      <c r="X76" s="38" t="n">
        <v>0</v>
      </c>
      <c r="Y76" s="38" t="n">
        <v>0</v>
      </c>
      <c r="Z76" s="38" t="n">
        <v>0</v>
      </c>
      <c r="AA76" s="38" t="n">
        <v>0</v>
      </c>
    </row>
    <row r="77">
      <c r="A77" t="inlineStr">
        <is>
          <t>Hyatt Place Denver Tech Center</t>
        </is>
      </c>
      <c r="B77" t="inlineStr">
        <is>
          <t>Hotel</t>
        </is>
      </c>
      <c r="C77" t="inlineStr">
        <is>
          <t>NO</t>
        </is>
      </c>
      <c r="D77" t="n">
        <v>126</v>
      </c>
      <c r="E77" t="inlineStr"/>
      <c r="F77" t="inlineStr">
        <is>
          <t>No Valet</t>
        </is>
      </c>
      <c r="G77" s="38" t="n">
        <v>0</v>
      </c>
      <c r="H77" t="n">
        <v>3</v>
      </c>
      <c r="I77" t="n">
        <v>1</v>
      </c>
      <c r="J77" t="n">
        <v>3</v>
      </c>
      <c r="K77" t="n">
        <v>4</v>
      </c>
      <c r="L77" t="n">
        <v>2</v>
      </c>
      <c r="M77" s="48" t="n">
        <v>0</v>
      </c>
      <c r="N77" t="inlineStr"/>
      <c r="O77" s="48" t="n">
        <v>2.5</v>
      </c>
      <c r="P77" s="48" t="n">
        <v>2.5</v>
      </c>
      <c r="Q77" s="49" t="inlineStr">
        <is>
          <t>C — Opportunistic</t>
        </is>
      </c>
      <c r="R77" s="37" t="n">
        <v>0.02</v>
      </c>
      <c r="S77" s="37" t="n">
        <v>0.09724000000000002</v>
      </c>
      <c r="T77" s="37" t="n">
        <v>0.28625</v>
      </c>
      <c r="U77" s="37" t="n">
        <v>0.4145</v>
      </c>
      <c r="V77" s="37" t="n">
        <v>0.5</v>
      </c>
      <c r="W77" s="38" t="n">
        <v>0</v>
      </c>
      <c r="X77" s="38" t="n">
        <v>0</v>
      </c>
      <c r="Y77" s="38" t="n">
        <v>0</v>
      </c>
      <c r="Z77" s="38" t="n">
        <v>0</v>
      </c>
      <c r="AA77" s="38" t="n">
        <v>0</v>
      </c>
    </row>
    <row r="78">
      <c r="A78" t="inlineStr">
        <is>
          <t>Hyatt Place Denver Airport</t>
        </is>
      </c>
      <c r="B78" t="inlineStr">
        <is>
          <t>Hotel</t>
        </is>
      </c>
      <c r="C78" t="inlineStr">
        <is>
          <t>NO</t>
        </is>
      </c>
      <c r="D78" t="n">
        <v>127</v>
      </c>
      <c r="E78" t="inlineStr"/>
      <c r="F78" t="inlineStr">
        <is>
          <t>No Valet</t>
        </is>
      </c>
      <c r="G78" s="38" t="n">
        <v>0</v>
      </c>
      <c r="H78" t="n">
        <v>3</v>
      </c>
      <c r="I78" t="n">
        <v>1</v>
      </c>
      <c r="J78" t="n">
        <v>3</v>
      </c>
      <c r="K78" t="n">
        <v>4</v>
      </c>
      <c r="L78" t="n">
        <v>2</v>
      </c>
      <c r="M78" s="48" t="n">
        <v>0</v>
      </c>
      <c r="N78" t="inlineStr"/>
      <c r="O78" s="48" t="n">
        <v>2.5</v>
      </c>
      <c r="P78" s="48" t="n">
        <v>2.5</v>
      </c>
      <c r="Q78" s="49" t="inlineStr">
        <is>
          <t>C — Opportunistic</t>
        </is>
      </c>
      <c r="R78" s="37" t="n">
        <v>0.02</v>
      </c>
      <c r="S78" s="37" t="n">
        <v>0.09724000000000002</v>
      </c>
      <c r="T78" s="37" t="n">
        <v>0.28625</v>
      </c>
      <c r="U78" s="37" t="n">
        <v>0.4145</v>
      </c>
      <c r="V78" s="37" t="n">
        <v>0.5</v>
      </c>
      <c r="W78" s="38" t="n">
        <v>0</v>
      </c>
      <c r="X78" s="38" t="n">
        <v>0</v>
      </c>
      <c r="Y78" s="38" t="n">
        <v>0</v>
      </c>
      <c r="Z78" s="38" t="n">
        <v>0</v>
      </c>
      <c r="AA78" s="38" t="n">
        <v>0</v>
      </c>
    </row>
    <row r="79">
      <c r="A79" t="inlineStr">
        <is>
          <t>Hyatt Place Peña Station / Denver Airport</t>
        </is>
      </c>
      <c r="B79" t="inlineStr">
        <is>
          <t>Hotel</t>
        </is>
      </c>
      <c r="C79" t="inlineStr">
        <is>
          <t>NO</t>
        </is>
      </c>
      <c r="D79" t="n">
        <v>150</v>
      </c>
      <c r="E79" t="inlineStr"/>
      <c r="F79" t="inlineStr">
        <is>
          <t>No Valet</t>
        </is>
      </c>
      <c r="G79" s="38" t="n">
        <v>0</v>
      </c>
      <c r="H79" t="n">
        <v>3</v>
      </c>
      <c r="I79" t="n">
        <v>1</v>
      </c>
      <c r="J79" t="n">
        <v>3</v>
      </c>
      <c r="K79" t="n">
        <v>4</v>
      </c>
      <c r="L79" t="n">
        <v>2</v>
      </c>
      <c r="M79" s="48" t="n">
        <v>0</v>
      </c>
      <c r="N79" t="inlineStr"/>
      <c r="O79" s="48" t="n">
        <v>2.5</v>
      </c>
      <c r="P79" s="48" t="n">
        <v>2.5</v>
      </c>
      <c r="Q79" s="49" t="inlineStr">
        <is>
          <t>C — Opportunistic</t>
        </is>
      </c>
      <c r="R79" s="37" t="n">
        <v>0.02</v>
      </c>
      <c r="S79" s="37" t="n">
        <v>0.09724000000000002</v>
      </c>
      <c r="T79" s="37" t="n">
        <v>0.28625</v>
      </c>
      <c r="U79" s="37" t="n">
        <v>0.4145</v>
      </c>
      <c r="V79" s="37" t="n">
        <v>0.5</v>
      </c>
      <c r="W79" s="38" t="n">
        <v>0</v>
      </c>
      <c r="X79" s="38" t="n">
        <v>0</v>
      </c>
      <c r="Y79" s="38" t="n">
        <v>0</v>
      </c>
      <c r="Z79" s="38" t="n">
        <v>0</v>
      </c>
      <c r="AA79" s="38" t="n">
        <v>0</v>
      </c>
    </row>
    <row r="80">
      <c r="A80" t="inlineStr">
        <is>
          <t>Aloft Denver Airport at Gateway Park</t>
        </is>
      </c>
      <c r="B80" t="inlineStr">
        <is>
          <t>Hotel</t>
        </is>
      </c>
      <c r="C80" t="inlineStr">
        <is>
          <t>NO</t>
        </is>
      </c>
      <c r="D80" t="n">
        <v>136</v>
      </c>
      <c r="E80" t="inlineStr"/>
      <c r="F80" t="inlineStr">
        <is>
          <t>No Valet</t>
        </is>
      </c>
      <c r="G80" s="38" t="n">
        <v>0</v>
      </c>
      <c r="H80" t="n">
        <v>3</v>
      </c>
      <c r="I80" t="n">
        <v>1</v>
      </c>
      <c r="J80" t="n">
        <v>2</v>
      </c>
      <c r="K80" t="n">
        <v>4</v>
      </c>
      <c r="L80" t="n">
        <v>2</v>
      </c>
      <c r="M80" s="48" t="n">
        <v>0.3</v>
      </c>
      <c r="N80" t="inlineStr">
        <is>
          <t>Brand familiarity (current): Marriott_family</t>
        </is>
      </c>
      <c r="O80" s="48" t="n">
        <v>2.3</v>
      </c>
      <c r="P80" s="48" t="n">
        <v>2.6</v>
      </c>
      <c r="Q80" s="49" t="inlineStr">
        <is>
          <t>C — Opportunistic</t>
        </is>
      </c>
      <c r="R80" s="37" t="n">
        <v>0.02</v>
      </c>
      <c r="S80" s="37" t="n">
        <v>0.09724000000000002</v>
      </c>
      <c r="T80" s="37" t="n">
        <v>0.28625</v>
      </c>
      <c r="U80" s="37" t="n">
        <v>0.4145</v>
      </c>
      <c r="V80" s="37" t="n">
        <v>0.5</v>
      </c>
      <c r="W80" s="38" t="n">
        <v>0</v>
      </c>
      <c r="X80" s="38" t="n">
        <v>0</v>
      </c>
      <c r="Y80" s="38" t="n">
        <v>0</v>
      </c>
      <c r="Z80" s="38" t="n">
        <v>0</v>
      </c>
      <c r="AA80" s="38" t="n">
        <v>0</v>
      </c>
    </row>
    <row r="81">
      <c r="A81" t="inlineStr">
        <is>
          <t>Four Points by Sheraton Englewood Centennial Airport</t>
        </is>
      </c>
      <c r="B81" t="inlineStr">
        <is>
          <t>Hotel</t>
        </is>
      </c>
      <c r="C81" t="inlineStr">
        <is>
          <t>NO</t>
        </is>
      </c>
      <c r="D81" t="n">
        <v>132</v>
      </c>
      <c r="E81" t="inlineStr"/>
      <c r="F81" t="inlineStr">
        <is>
          <t>No Valet</t>
        </is>
      </c>
      <c r="G81" s="38" t="n">
        <v>0</v>
      </c>
      <c r="H81" t="n">
        <v>3</v>
      </c>
      <c r="I81" t="n">
        <v>1</v>
      </c>
      <c r="J81" t="n">
        <v>3</v>
      </c>
      <c r="K81" t="n">
        <v>4</v>
      </c>
      <c r="L81" t="n">
        <v>2</v>
      </c>
      <c r="M81" s="48" t="n">
        <v>0.3</v>
      </c>
      <c r="N81" t="inlineStr">
        <is>
          <t>Brand familiarity (current): Marriott_family</t>
        </is>
      </c>
      <c r="O81" s="48" t="n">
        <v>2.5</v>
      </c>
      <c r="P81" s="48" t="n">
        <v>2.8</v>
      </c>
      <c r="Q81" s="49" t="inlineStr">
        <is>
          <t>C — Opportunistic</t>
        </is>
      </c>
      <c r="R81" s="37" t="n">
        <v>0.02</v>
      </c>
      <c r="S81" s="37" t="n">
        <v>0.09724000000000002</v>
      </c>
      <c r="T81" s="37" t="n">
        <v>0.28625</v>
      </c>
      <c r="U81" s="37" t="n">
        <v>0.4145</v>
      </c>
      <c r="V81" s="37" t="n">
        <v>0.5</v>
      </c>
      <c r="W81" s="38" t="n">
        <v>0</v>
      </c>
      <c r="X81" s="38" t="n">
        <v>0</v>
      </c>
      <c r="Y81" s="38" t="n">
        <v>0</v>
      </c>
      <c r="Z81" s="38" t="n">
        <v>0</v>
      </c>
      <c r="AA81" s="38" t="n">
        <v>0</v>
      </c>
    </row>
    <row r="82">
      <c r="A82" t="inlineStr">
        <is>
          <t>Mint House Denver - Downtown Union Station</t>
        </is>
      </c>
      <c r="B82" t="inlineStr">
        <is>
          <t>Hotel</t>
        </is>
      </c>
      <c r="C82" t="inlineStr">
        <is>
          <t>YES</t>
        </is>
      </c>
      <c r="D82" t="n">
        <v>40</v>
      </c>
      <c r="E82" t="inlineStr"/>
      <c r="F82" t="inlineStr">
        <is>
          <t>No Valet</t>
        </is>
      </c>
      <c r="G82" s="38" t="n">
        <v>0</v>
      </c>
      <c r="H82" t="n">
        <v>2</v>
      </c>
      <c r="I82" t="n">
        <v>1</v>
      </c>
      <c r="J82" t="n">
        <v>2</v>
      </c>
      <c r="K82" t="n">
        <v>4</v>
      </c>
      <c r="L82" t="n">
        <v>4</v>
      </c>
      <c r="M82" s="48" t="n">
        <v>0</v>
      </c>
      <c r="N82" t="inlineStr"/>
      <c r="O82" s="48" t="n">
        <v>2.35</v>
      </c>
      <c r="P82" s="48" t="n">
        <v>2.35</v>
      </c>
      <c r="Q82" s="40" t="inlineStr">
        <is>
          <t>D — Deprioritized</t>
        </is>
      </c>
      <c r="R82" s="37" t="n">
        <v>0</v>
      </c>
      <c r="S82" s="37" t="n">
        <v>0.018</v>
      </c>
      <c r="T82" s="37" t="n">
        <v>0.05500000000000001</v>
      </c>
      <c r="U82" s="37" t="n">
        <v>0.082</v>
      </c>
      <c r="V82" s="37" t="n">
        <v>0.1</v>
      </c>
      <c r="W82" s="38" t="n">
        <v>0</v>
      </c>
      <c r="X82" s="38" t="n">
        <v>0</v>
      </c>
      <c r="Y82" s="38" t="n">
        <v>0</v>
      </c>
      <c r="Z82" s="38" t="n">
        <v>0</v>
      </c>
      <c r="AA82" s="38" t="n">
        <v>0</v>
      </c>
    </row>
    <row r="83">
      <c r="A83" t="inlineStr">
        <is>
          <t>Sonder at Skyline</t>
        </is>
      </c>
      <c r="B83" t="inlineStr">
        <is>
          <t>Hotel</t>
        </is>
      </c>
      <c r="C83" t="inlineStr">
        <is>
          <t>NO</t>
        </is>
      </c>
      <c r="D83" t="n">
        <v>93</v>
      </c>
      <c r="E83" t="inlineStr"/>
      <c r="F83" t="inlineStr">
        <is>
          <t>No Valet</t>
        </is>
      </c>
      <c r="G83" s="38" t="n">
        <v>0</v>
      </c>
      <c r="H83" t="n">
        <v>2</v>
      </c>
      <c r="I83" t="n">
        <v>1</v>
      </c>
      <c r="J83" t="n">
        <v>2</v>
      </c>
      <c r="K83" t="n">
        <v>4</v>
      </c>
      <c r="L83" t="n">
        <v>2</v>
      </c>
      <c r="M83" s="48" t="n">
        <v>0</v>
      </c>
      <c r="N83" t="inlineStr"/>
      <c r="O83" s="48" t="n">
        <v>2.05</v>
      </c>
      <c r="P83" s="48" t="n">
        <v>2.05</v>
      </c>
      <c r="Q83" s="40" t="inlineStr">
        <is>
          <t>D — Deprioritized</t>
        </is>
      </c>
      <c r="R83" s="37" t="n">
        <v>0</v>
      </c>
      <c r="S83" s="37" t="n">
        <v>0.018</v>
      </c>
      <c r="T83" s="37" t="n">
        <v>0.05500000000000001</v>
      </c>
      <c r="U83" s="37" t="n">
        <v>0.082</v>
      </c>
      <c r="V83" s="37" t="n">
        <v>0.1</v>
      </c>
      <c r="W83" s="38" t="n">
        <v>0</v>
      </c>
      <c r="X83" s="38" t="n">
        <v>0</v>
      </c>
      <c r="Y83" s="38" t="n">
        <v>0</v>
      </c>
      <c r="Z83" s="38" t="n">
        <v>0</v>
      </c>
      <c r="AA83" s="38" t="n">
        <v>0</v>
      </c>
    </row>
    <row r="84">
      <c r="A84" t="inlineStr">
        <is>
          <t>Hyatt House Denver Tech Center</t>
        </is>
      </c>
      <c r="B84" t="inlineStr">
        <is>
          <t>Hotel</t>
        </is>
      </c>
      <c r="C84" t="inlineStr">
        <is>
          <t>NO</t>
        </is>
      </c>
      <c r="D84" t="n">
        <v>128</v>
      </c>
      <c r="E84" t="inlineStr"/>
      <c r="F84" t="inlineStr">
        <is>
          <t>No Valet</t>
        </is>
      </c>
      <c r="G84" s="38" t="n">
        <v>0</v>
      </c>
      <c r="H84" t="n">
        <v>3</v>
      </c>
      <c r="I84" t="n">
        <v>1</v>
      </c>
      <c r="J84" t="n">
        <v>3</v>
      </c>
      <c r="K84" t="n">
        <v>4</v>
      </c>
      <c r="L84" t="n">
        <v>2</v>
      </c>
      <c r="M84" s="48" t="n">
        <v>0</v>
      </c>
      <c r="N84" t="inlineStr"/>
      <c r="O84" s="48" t="n">
        <v>2.5</v>
      </c>
      <c r="P84" s="48" t="n">
        <v>2.5</v>
      </c>
      <c r="Q84" s="49" t="inlineStr">
        <is>
          <t>C — Opportunistic</t>
        </is>
      </c>
      <c r="R84" s="37" t="n">
        <v>0.02</v>
      </c>
      <c r="S84" s="37" t="n">
        <v>0.09724000000000002</v>
      </c>
      <c r="T84" s="37" t="n">
        <v>0.28625</v>
      </c>
      <c r="U84" s="37" t="n">
        <v>0.4145</v>
      </c>
      <c r="V84" s="37" t="n">
        <v>0.5</v>
      </c>
      <c r="W84" s="38" t="n">
        <v>0</v>
      </c>
      <c r="X84" s="38" t="n">
        <v>0</v>
      </c>
      <c r="Y84" s="38" t="n">
        <v>0</v>
      </c>
      <c r="Z84" s="38" t="n">
        <v>0</v>
      </c>
      <c r="AA84" s="38" t="n">
        <v>0</v>
      </c>
    </row>
    <row r="85">
      <c r="A85" t="inlineStr">
        <is>
          <t>Springhill Suites by Marriott Denver Airport at Gateway Park</t>
        </is>
      </c>
      <c r="B85" t="inlineStr">
        <is>
          <t>Hotel</t>
        </is>
      </c>
      <c r="C85" t="inlineStr">
        <is>
          <t>NO</t>
        </is>
      </c>
      <c r="D85" t="n">
        <v>124</v>
      </c>
      <c r="E85" t="inlineStr"/>
      <c r="F85" t="inlineStr">
        <is>
          <t>No Valet</t>
        </is>
      </c>
      <c r="G85" s="38" t="n">
        <v>0</v>
      </c>
      <c r="H85" t="n">
        <v>3</v>
      </c>
      <c r="I85" t="n">
        <v>1</v>
      </c>
      <c r="J85" t="n">
        <v>3</v>
      </c>
      <c r="K85" t="n">
        <v>4</v>
      </c>
      <c r="L85" t="n">
        <v>2</v>
      </c>
      <c r="M85" s="48" t="n">
        <v>0.3</v>
      </c>
      <c r="N85" t="inlineStr">
        <is>
          <t>Brand familiarity (current): Marriott_family</t>
        </is>
      </c>
      <c r="O85" s="48" t="n">
        <v>2.5</v>
      </c>
      <c r="P85" s="48" t="n">
        <v>2.8</v>
      </c>
      <c r="Q85" s="49" t="inlineStr">
        <is>
          <t>C — Opportunistic</t>
        </is>
      </c>
      <c r="R85" s="37" t="n">
        <v>0.02</v>
      </c>
      <c r="S85" s="37" t="n">
        <v>0.09724000000000002</v>
      </c>
      <c r="T85" s="37" t="n">
        <v>0.28625</v>
      </c>
      <c r="U85" s="37" t="n">
        <v>0.4145</v>
      </c>
      <c r="V85" s="37" t="n">
        <v>0.5</v>
      </c>
      <c r="W85" s="38" t="n">
        <v>0</v>
      </c>
      <c r="X85" s="38" t="n">
        <v>0</v>
      </c>
      <c r="Y85" s="38" t="n">
        <v>0</v>
      </c>
      <c r="Z85" s="38" t="n">
        <v>0</v>
      </c>
      <c r="AA85" s="38" t="n">
        <v>0</v>
      </c>
    </row>
    <row r="86">
      <c r="A86" t="inlineStr">
        <is>
          <t>Hyatt House Denver Aurora Anschutz Medical Campus</t>
        </is>
      </c>
      <c r="B86" t="inlineStr">
        <is>
          <t>Hotel</t>
        </is>
      </c>
      <c r="C86" t="inlineStr">
        <is>
          <t>NO</t>
        </is>
      </c>
      <c r="D86" t="n">
        <v>124</v>
      </c>
      <c r="E86" t="inlineStr"/>
      <c r="F86" t="inlineStr">
        <is>
          <t>No Valet</t>
        </is>
      </c>
      <c r="G86" s="38" t="n">
        <v>0</v>
      </c>
      <c r="H86" t="n">
        <v>3</v>
      </c>
      <c r="I86" t="n">
        <v>1</v>
      </c>
      <c r="J86" t="n">
        <v>3</v>
      </c>
      <c r="K86" t="n">
        <v>4</v>
      </c>
      <c r="L86" t="n">
        <v>2</v>
      </c>
      <c r="M86" s="48" t="n">
        <v>0</v>
      </c>
      <c r="N86" t="inlineStr"/>
      <c r="O86" s="48" t="n">
        <v>2.5</v>
      </c>
      <c r="P86" s="48" t="n">
        <v>2.5</v>
      </c>
      <c r="Q86" s="49" t="inlineStr">
        <is>
          <t>C — Opportunistic</t>
        </is>
      </c>
      <c r="R86" s="37" t="n">
        <v>0.02</v>
      </c>
      <c r="S86" s="37" t="n">
        <v>0.09724000000000002</v>
      </c>
      <c r="T86" s="37" t="n">
        <v>0.28625</v>
      </c>
      <c r="U86" s="37" t="n">
        <v>0.4145</v>
      </c>
      <c r="V86" s="37" t="n">
        <v>0.5</v>
      </c>
      <c r="W86" s="38" t="n">
        <v>0</v>
      </c>
      <c r="X86" s="38" t="n">
        <v>0</v>
      </c>
      <c r="Y86" s="38" t="n">
        <v>0</v>
      </c>
      <c r="Z86" s="38" t="n">
        <v>0</v>
      </c>
      <c r="AA86" s="38" t="n">
        <v>0</v>
      </c>
    </row>
    <row r="87">
      <c r="A87" t="inlineStr">
        <is>
          <t>Home2 Suites by Hilton Denver Central Park</t>
        </is>
      </c>
      <c r="B87" t="inlineStr">
        <is>
          <t>Hotel</t>
        </is>
      </c>
      <c r="C87" t="inlineStr">
        <is>
          <t>NO</t>
        </is>
      </c>
      <c r="D87" t="n">
        <v>117</v>
      </c>
      <c r="E87" t="inlineStr"/>
      <c r="F87" t="inlineStr">
        <is>
          <t>No Valet</t>
        </is>
      </c>
      <c r="G87" s="38" t="n">
        <v>0</v>
      </c>
      <c r="H87" t="n">
        <v>3</v>
      </c>
      <c r="I87" t="n">
        <v>1</v>
      </c>
      <c r="J87" t="n">
        <v>3</v>
      </c>
      <c r="K87" t="n">
        <v>4</v>
      </c>
      <c r="L87" t="n">
        <v>2</v>
      </c>
      <c r="M87" s="48" t="n">
        <v>0.15</v>
      </c>
      <c r="N87" t="inlineStr">
        <is>
          <t>Brand familiarity (historical): Hilton_family</t>
        </is>
      </c>
      <c r="O87" s="48" t="n">
        <v>2.5</v>
      </c>
      <c r="P87" s="48" t="n">
        <v>2.65</v>
      </c>
      <c r="Q87" s="49" t="inlineStr">
        <is>
          <t>C — Opportunistic</t>
        </is>
      </c>
      <c r="R87" s="37" t="n">
        <v>0.02</v>
      </c>
      <c r="S87" s="37" t="n">
        <v>0.09724000000000002</v>
      </c>
      <c r="T87" s="37" t="n">
        <v>0.28625</v>
      </c>
      <c r="U87" s="37" t="n">
        <v>0.4145</v>
      </c>
      <c r="V87" s="37" t="n">
        <v>0.5</v>
      </c>
      <c r="W87" s="38" t="n">
        <v>0</v>
      </c>
      <c r="X87" s="38" t="n">
        <v>0</v>
      </c>
      <c r="Y87" s="38" t="n">
        <v>0</v>
      </c>
      <c r="Z87" s="38" t="n">
        <v>0</v>
      </c>
      <c r="AA87" s="38" t="n">
        <v>0</v>
      </c>
    </row>
    <row r="88">
      <c r="A88" t="inlineStr">
        <is>
          <t>The Capital Grille - Denver</t>
        </is>
      </c>
      <c r="B88" t="inlineStr">
        <is>
          <t>Restaurant</t>
        </is>
      </c>
      <c r="C88" t="inlineStr"/>
      <c r="D88" t="n">
        <v>0</v>
      </c>
      <c r="E88" t="inlineStr">
        <is>
          <t>Unknown (Darden Restaurants brand)</t>
        </is>
      </c>
      <c r="F88" t="inlineStr">
        <is>
          <t>Complimentary valet (free) for private dining; standard valet available at front</t>
        </is>
      </c>
      <c r="G88" s="38" t="n">
        <v>0</v>
      </c>
      <c r="H88" t="n">
        <v>3</v>
      </c>
      <c r="I88" t="n">
        <v>1</v>
      </c>
      <c r="J88" t="n">
        <v>2</v>
      </c>
      <c r="K88" t="n">
        <v>3</v>
      </c>
      <c r="L88" t="n">
        <v>2</v>
      </c>
      <c r="M88" s="48" t="n">
        <v>1</v>
      </c>
      <c r="N88" t="inlineStr">
        <is>
          <t>Current operator: Darden</t>
        </is>
      </c>
      <c r="O88" s="48" t="n">
        <v>2.15</v>
      </c>
      <c r="P88" s="48" t="n">
        <v>3.15</v>
      </c>
      <c r="Q88" s="49" t="inlineStr">
        <is>
          <t>C — Opportunistic</t>
        </is>
      </c>
      <c r="R88" s="37" t="n">
        <v>0.02</v>
      </c>
      <c r="S88" s="37" t="n">
        <v>0.09724000000000002</v>
      </c>
      <c r="T88" s="37" t="n">
        <v>0.28625</v>
      </c>
      <c r="U88" s="37" t="n">
        <v>0.4145</v>
      </c>
      <c r="V88" s="37" t="n">
        <v>0.5</v>
      </c>
      <c r="W88" s="38" t="n">
        <v>0</v>
      </c>
      <c r="X88" s="38" t="n">
        <v>0</v>
      </c>
      <c r="Y88" s="38" t="n">
        <v>0</v>
      </c>
      <c r="Z88" s="38" t="n">
        <v>0</v>
      </c>
      <c r="AA88" s="38" t="n">
        <v>0</v>
      </c>
    </row>
    <row r="89">
      <c r="A89" t="inlineStr">
        <is>
          <t>Ocean Prime - Denver (Larimer Square)</t>
        </is>
      </c>
      <c r="B89" t="inlineStr">
        <is>
          <t>Restaurant</t>
        </is>
      </c>
      <c r="C89" t="inlineStr"/>
      <c r="D89" t="n">
        <v>0</v>
      </c>
      <c r="E89" t="inlineStr">
        <is>
          <t>Cameron Mitchell Restaurants</t>
        </is>
      </c>
      <c r="F89" t="inlineStr">
        <is>
          <t>$25 valet or $15 validated at host desk</t>
        </is>
      </c>
      <c r="G89" s="38" t="n">
        <v>227812.5</v>
      </c>
      <c r="H89" t="n">
        <v>3</v>
      </c>
      <c r="I89" t="n">
        <v>1</v>
      </c>
      <c r="J89" t="n">
        <v>2</v>
      </c>
      <c r="K89" t="n">
        <v>3</v>
      </c>
      <c r="L89" t="n">
        <v>2</v>
      </c>
      <c r="M89" s="48" t="n">
        <v>0</v>
      </c>
      <c r="N89" t="inlineStr"/>
      <c r="O89" s="48" t="n">
        <v>2.15</v>
      </c>
      <c r="P89" s="48" t="n">
        <v>2.15</v>
      </c>
      <c r="Q89" s="40" t="inlineStr">
        <is>
          <t>D — Deprioritized</t>
        </is>
      </c>
      <c r="R89" s="37" t="n">
        <v>0</v>
      </c>
      <c r="S89" s="37" t="n">
        <v>0.018</v>
      </c>
      <c r="T89" s="37" t="n">
        <v>0.05500000000000001</v>
      </c>
      <c r="U89" s="37" t="n">
        <v>0.082</v>
      </c>
      <c r="V89" s="37" t="n">
        <v>0.1</v>
      </c>
      <c r="W89" s="38" t="n">
        <v>0</v>
      </c>
      <c r="X89" s="38" t="n">
        <v>4100.625</v>
      </c>
      <c r="Y89" s="38" t="n">
        <v>12529.6875</v>
      </c>
      <c r="Z89" s="38" t="n">
        <v>18680.625</v>
      </c>
      <c r="AA89" s="38" t="n">
        <v>22781.25</v>
      </c>
    </row>
    <row r="90">
      <c r="A90" t="inlineStr">
        <is>
          <t>Ruth's Chris Steak House - Denver</t>
        </is>
      </c>
      <c r="B90" t="inlineStr">
        <is>
          <t>Restaurant</t>
        </is>
      </c>
      <c r="C90" t="inlineStr"/>
      <c r="D90" t="n">
        <v>0</v>
      </c>
      <c r="E90" t="inlineStr">
        <is>
          <t>Ruth's Hospitality Group</t>
        </is>
      </c>
      <c r="F90" t="inlineStr">
        <is>
          <t>Available (rate not published)</t>
        </is>
      </c>
      <c r="G90" s="38" t="n">
        <v>278437.5</v>
      </c>
      <c r="H90" t="n">
        <v>3</v>
      </c>
      <c r="I90" t="n">
        <v>2</v>
      </c>
      <c r="J90" t="n">
        <v>2</v>
      </c>
      <c r="K90" t="n">
        <v>3</v>
      </c>
      <c r="L90" t="n">
        <v>2</v>
      </c>
      <c r="M90" s="48" t="n">
        <v>1</v>
      </c>
      <c r="N90" t="inlineStr">
        <is>
          <t>Current operator: Darden</t>
        </is>
      </c>
      <c r="O90" s="48" t="n">
        <v>2.4</v>
      </c>
      <c r="P90" s="48" t="n">
        <v>3.4</v>
      </c>
      <c r="Q90" s="49" t="inlineStr">
        <is>
          <t>C — Opportunistic</t>
        </is>
      </c>
      <c r="R90" s="37" t="n">
        <v>0.02</v>
      </c>
      <c r="S90" s="37" t="n">
        <v>0.09724000000000002</v>
      </c>
      <c r="T90" s="37" t="n">
        <v>0.28625</v>
      </c>
      <c r="U90" s="37" t="n">
        <v>0.4145</v>
      </c>
      <c r="V90" s="37" t="n">
        <v>0.5</v>
      </c>
      <c r="W90" s="38" t="n">
        <v>5568.75</v>
      </c>
      <c r="X90" s="38" t="n">
        <v>27075.2625</v>
      </c>
      <c r="Y90" s="38" t="n">
        <v>79702.734375</v>
      </c>
      <c r="Z90" s="38" t="n">
        <v>115412.34375</v>
      </c>
      <c r="AA90" s="38" t="n">
        <v>139218.75</v>
      </c>
    </row>
    <row r="91">
      <c r="A91" t="inlineStr">
        <is>
          <t>STK Steakhouse Denver</t>
        </is>
      </c>
      <c r="B91" t="inlineStr">
        <is>
          <t>Restaurant</t>
        </is>
      </c>
      <c r="C91" t="inlineStr"/>
      <c r="D91" t="n">
        <v>0</v>
      </c>
      <c r="E91" t="inlineStr">
        <is>
          <t>ONE Group Hospitality</t>
        </is>
      </c>
      <c r="F91" t="inlineStr">
        <is>
          <t>No Valet</t>
        </is>
      </c>
      <c r="G91" s="38" t="n">
        <v>0</v>
      </c>
      <c r="H91" t="n">
        <v>3</v>
      </c>
      <c r="I91" t="n">
        <v>1</v>
      </c>
      <c r="J91" t="n">
        <v>2</v>
      </c>
      <c r="K91" t="n">
        <v>3</v>
      </c>
      <c r="L91" t="n">
        <v>2</v>
      </c>
      <c r="M91" s="48" t="n">
        <v>1</v>
      </c>
      <c r="N91" t="inlineStr">
        <is>
          <t>Current operator: The ONE Group</t>
        </is>
      </c>
      <c r="O91" s="48" t="n">
        <v>2.15</v>
      </c>
      <c r="P91" s="48" t="n">
        <v>3.15</v>
      </c>
      <c r="Q91" s="49" t="inlineStr">
        <is>
          <t>C — Opportunistic</t>
        </is>
      </c>
      <c r="R91" s="37" t="n">
        <v>0.02</v>
      </c>
      <c r="S91" s="37" t="n">
        <v>0.09724000000000002</v>
      </c>
      <c r="T91" s="37" t="n">
        <v>0.28625</v>
      </c>
      <c r="U91" s="37" t="n">
        <v>0.4145</v>
      </c>
      <c r="V91" s="37" t="n">
        <v>0.5</v>
      </c>
      <c r="W91" s="38" t="n">
        <v>0</v>
      </c>
      <c r="X91" s="38" t="n">
        <v>0</v>
      </c>
      <c r="Y91" s="38" t="n">
        <v>0</v>
      </c>
      <c r="Z91" s="38" t="n">
        <v>0</v>
      </c>
      <c r="AA91" s="38" t="n">
        <v>0</v>
      </c>
    </row>
    <row r="92">
      <c r="A92" t="inlineStr">
        <is>
          <t>Guard &amp; Grace</t>
        </is>
      </c>
      <c r="B92" t="inlineStr">
        <is>
          <t>Restaurant</t>
        </is>
      </c>
      <c r="C92" t="inlineStr"/>
      <c r="D92" t="n">
        <v>0</v>
      </c>
      <c r="E92" t="inlineStr">
        <is>
          <t>Chef/Owner Troy Guard (TAG Restaurant Group)</t>
        </is>
      </c>
      <c r="F92" t="inlineStr"/>
      <c r="G92" s="38" t="n">
        <v>0</v>
      </c>
      <c r="H92" t="n">
        <v>3</v>
      </c>
      <c r="I92" t="n">
        <v>1</v>
      </c>
      <c r="J92" t="n">
        <v>2</v>
      </c>
      <c r="K92" t="n">
        <v>3</v>
      </c>
      <c r="L92" t="n">
        <v>2</v>
      </c>
      <c r="M92" s="48" t="n">
        <v>0</v>
      </c>
      <c r="N92" t="inlineStr"/>
      <c r="O92" s="48" t="n">
        <v>2.15</v>
      </c>
      <c r="P92" s="48" t="n">
        <v>2.15</v>
      </c>
      <c r="Q92" s="40" t="inlineStr">
        <is>
          <t>D — Deprioritized</t>
        </is>
      </c>
      <c r="R92" s="37" t="n">
        <v>0</v>
      </c>
      <c r="S92" s="37" t="n">
        <v>0.018</v>
      </c>
      <c r="T92" s="37" t="n">
        <v>0.05500000000000001</v>
      </c>
      <c r="U92" s="37" t="n">
        <v>0.082</v>
      </c>
      <c r="V92" s="37" t="n">
        <v>0.1</v>
      </c>
      <c r="W92" s="38" t="n">
        <v>0</v>
      </c>
      <c r="X92" s="38" t="n">
        <v>0</v>
      </c>
      <c r="Y92" s="38" t="n">
        <v>0</v>
      </c>
      <c r="Z92" s="38" t="n">
        <v>0</v>
      </c>
      <c r="AA92" s="38" t="n">
        <v>0</v>
      </c>
    </row>
    <row r="93">
      <c r="A93" t="inlineStr">
        <is>
          <t>Elway's Downtown</t>
        </is>
      </c>
      <c r="B93" t="inlineStr">
        <is>
          <t>Restaurant</t>
        </is>
      </c>
      <c r="C93" t="inlineStr"/>
      <c r="D93" t="n">
        <v>0</v>
      </c>
      <c r="E93" t="inlineStr">
        <is>
          <t>John Elway Enterprises / Ritz-Carlton hotel valet</t>
        </is>
      </c>
      <c r="F93" t="inlineStr">
        <is>
          <t>Via Ritz-Carlton Denver hotel valet (adjacent)</t>
        </is>
      </c>
      <c r="G93" s="38" t="n">
        <v>0</v>
      </c>
      <c r="H93" t="n">
        <v>3</v>
      </c>
      <c r="I93" t="n">
        <v>1</v>
      </c>
      <c r="J93" t="n">
        <v>3</v>
      </c>
      <c r="K93" t="n">
        <v>3</v>
      </c>
      <c r="L93" t="n">
        <v>2</v>
      </c>
      <c r="M93" s="48" t="n">
        <v>0</v>
      </c>
      <c r="N93" t="inlineStr"/>
      <c r="O93" s="48" t="n">
        <v>2.35</v>
      </c>
      <c r="P93" s="48" t="n">
        <v>2.35</v>
      </c>
      <c r="Q93" s="40" t="inlineStr">
        <is>
          <t>D — Deprioritized</t>
        </is>
      </c>
      <c r="R93" s="37" t="n">
        <v>0</v>
      </c>
      <c r="S93" s="37" t="n">
        <v>0.018</v>
      </c>
      <c r="T93" s="37" t="n">
        <v>0.05500000000000001</v>
      </c>
      <c r="U93" s="37" t="n">
        <v>0.082</v>
      </c>
      <c r="V93" s="37" t="n">
        <v>0.1</v>
      </c>
      <c r="W93" s="38" t="n">
        <v>0</v>
      </c>
      <c r="X93" s="38" t="n">
        <v>0</v>
      </c>
      <c r="Y93" s="38" t="n">
        <v>0</v>
      </c>
      <c r="Z93" s="38" t="n">
        <v>0</v>
      </c>
      <c r="AA93" s="38" t="n">
        <v>0</v>
      </c>
    </row>
    <row r="94">
      <c r="A94" t="inlineStr">
        <is>
          <t>Elway's Cherry Creek</t>
        </is>
      </c>
      <c r="B94" t="inlineStr">
        <is>
          <t>Restaurant</t>
        </is>
      </c>
      <c r="C94" t="inlineStr"/>
      <c r="D94" t="n">
        <v>0</v>
      </c>
      <c r="E94" t="inlineStr">
        <is>
          <t>John Elway Enterprises</t>
        </is>
      </c>
      <c r="F94" t="inlineStr">
        <is>
          <t>Not confirmed, parking available and validated</t>
        </is>
      </c>
      <c r="G94" s="38" t="n">
        <v>0</v>
      </c>
      <c r="H94" t="n">
        <v>3</v>
      </c>
      <c r="I94" t="n">
        <v>1</v>
      </c>
      <c r="J94" t="n">
        <v>2</v>
      </c>
      <c r="K94" t="n">
        <v>3</v>
      </c>
      <c r="L94" t="n">
        <v>2</v>
      </c>
      <c r="M94" s="48" t="n">
        <v>0</v>
      </c>
      <c r="N94" t="inlineStr"/>
      <c r="O94" s="48" t="n">
        <v>2.15</v>
      </c>
      <c r="P94" s="48" t="n">
        <v>2.15</v>
      </c>
      <c r="Q94" s="40" t="inlineStr">
        <is>
          <t>D — Deprioritized</t>
        </is>
      </c>
      <c r="R94" s="37" t="n">
        <v>0</v>
      </c>
      <c r="S94" s="37" t="n">
        <v>0.018</v>
      </c>
      <c r="T94" s="37" t="n">
        <v>0.05500000000000001</v>
      </c>
      <c r="U94" s="37" t="n">
        <v>0.082</v>
      </c>
      <c r="V94" s="37" t="n">
        <v>0.1</v>
      </c>
      <c r="W94" s="38" t="n">
        <v>0</v>
      </c>
      <c r="X94" s="38" t="n">
        <v>0</v>
      </c>
      <c r="Y94" s="38" t="n">
        <v>0</v>
      </c>
      <c r="Z94" s="38" t="n">
        <v>0</v>
      </c>
      <c r="AA94" s="38" t="n">
        <v>0</v>
      </c>
    </row>
    <row r="95">
      <c r="A95" t="inlineStr">
        <is>
          <t>Shanahan's Steakhouse</t>
        </is>
      </c>
      <c r="B95" t="inlineStr">
        <is>
          <t>Restaurant</t>
        </is>
      </c>
      <c r="C95" t="inlineStr"/>
      <c r="D95" t="n">
        <v>0</v>
      </c>
      <c r="E95" t="inlineStr">
        <is>
          <t>Shanahan's Restaurant Group</t>
        </is>
      </c>
      <c r="F95" t="inlineStr">
        <is>
          <t>Available (rate not published)</t>
        </is>
      </c>
      <c r="G95" s="38" t="n">
        <v>202500</v>
      </c>
      <c r="H95" t="n">
        <v>3</v>
      </c>
      <c r="I95" t="n">
        <v>1</v>
      </c>
      <c r="J95" t="n">
        <v>2</v>
      </c>
      <c r="K95" t="n">
        <v>3</v>
      </c>
      <c r="L95" t="n">
        <v>2</v>
      </c>
      <c r="M95" s="48" t="n">
        <v>0</v>
      </c>
      <c r="N95" t="inlineStr"/>
      <c r="O95" s="48" t="n">
        <v>2.15</v>
      </c>
      <c r="P95" s="48" t="n">
        <v>2.15</v>
      </c>
      <c r="Q95" s="40" t="inlineStr">
        <is>
          <t>D — Deprioritized</t>
        </is>
      </c>
      <c r="R95" s="37" t="n">
        <v>0</v>
      </c>
      <c r="S95" s="37" t="n">
        <v>0.018</v>
      </c>
      <c r="T95" s="37" t="n">
        <v>0.05500000000000001</v>
      </c>
      <c r="U95" s="37" t="n">
        <v>0.082</v>
      </c>
      <c r="V95" s="37" t="n">
        <v>0.1</v>
      </c>
      <c r="W95" s="38" t="n">
        <v>0</v>
      </c>
      <c r="X95" s="38" t="n">
        <v>3645</v>
      </c>
      <c r="Y95" s="38" t="n">
        <v>11137.5</v>
      </c>
      <c r="Z95" s="38" t="n">
        <v>16605</v>
      </c>
      <c r="AA95" s="38" t="n">
        <v>20250</v>
      </c>
    </row>
    <row r="96">
      <c r="A96" t="inlineStr">
        <is>
          <t>Del Frisco's Double Eagle Steakhouse</t>
        </is>
      </c>
      <c r="B96" t="inlineStr">
        <is>
          <t>Restaurant</t>
        </is>
      </c>
      <c r="C96" t="inlineStr"/>
      <c r="D96" t="n">
        <v>0</v>
      </c>
      <c r="E96" t="inlineStr">
        <is>
          <t>Del Frisco's Restaurant Group / Lone Star Funds</t>
        </is>
      </c>
      <c r="F96" t="inlineStr">
        <is>
          <t>Available (own parking lot and valet service)</t>
        </is>
      </c>
      <c r="G96" s="38" t="n">
        <v>455625.0000000001</v>
      </c>
      <c r="H96" t="n">
        <v>3</v>
      </c>
      <c r="I96" t="n">
        <v>2</v>
      </c>
      <c r="J96" t="n">
        <v>2</v>
      </c>
      <c r="K96" t="n">
        <v>3</v>
      </c>
      <c r="L96" t="n">
        <v>2</v>
      </c>
      <c r="M96" s="48" t="n">
        <v>0</v>
      </c>
      <c r="N96" t="inlineStr"/>
      <c r="O96" s="48" t="n">
        <v>2.4</v>
      </c>
      <c r="P96" s="48" t="n">
        <v>2.4</v>
      </c>
      <c r="Q96" s="40" t="inlineStr">
        <is>
          <t>D — Deprioritized</t>
        </is>
      </c>
      <c r="R96" s="37" t="n">
        <v>0</v>
      </c>
      <c r="S96" s="37" t="n">
        <v>0.018</v>
      </c>
      <c r="T96" s="37" t="n">
        <v>0.05500000000000001</v>
      </c>
      <c r="U96" s="37" t="n">
        <v>0.082</v>
      </c>
      <c r="V96" s="37" t="n">
        <v>0.1</v>
      </c>
      <c r="W96" s="38" t="n">
        <v>0</v>
      </c>
      <c r="X96" s="38" t="n">
        <v>8201.250000000002</v>
      </c>
      <c r="Y96" s="38" t="n">
        <v>25059.37500000001</v>
      </c>
      <c r="Z96" s="38" t="n">
        <v>37361.25000000001</v>
      </c>
      <c r="AA96" s="38" t="n">
        <v>45562.50000000001</v>
      </c>
    </row>
    <row r="97">
      <c r="A97" t="inlineStr">
        <is>
          <t>Del Frisco's Grille - Cherry Creek</t>
        </is>
      </c>
      <c r="B97" t="inlineStr">
        <is>
          <t>Restaurant</t>
        </is>
      </c>
      <c r="C97" t="inlineStr"/>
      <c r="D97" t="n">
        <v>0</v>
      </c>
      <c r="E97" t="inlineStr">
        <is>
          <t>Del Frisco's Restaurant Group</t>
        </is>
      </c>
      <c r="F97" t="inlineStr">
        <is>
          <t>No Valet</t>
        </is>
      </c>
      <c r="G97" s="38" t="n">
        <v>0</v>
      </c>
      <c r="H97" t="n">
        <v>3</v>
      </c>
      <c r="I97" t="n">
        <v>1</v>
      </c>
      <c r="J97" t="n">
        <v>2</v>
      </c>
      <c r="K97" t="n">
        <v>3</v>
      </c>
      <c r="L97" t="n">
        <v>2</v>
      </c>
      <c r="M97" s="48" t="n">
        <v>0</v>
      </c>
      <c r="N97" t="inlineStr"/>
      <c r="O97" s="48" t="n">
        <v>2.15</v>
      </c>
      <c r="P97" s="48" t="n">
        <v>2.15</v>
      </c>
      <c r="Q97" s="40" t="inlineStr">
        <is>
          <t>D — Deprioritized</t>
        </is>
      </c>
      <c r="R97" s="37" t="n">
        <v>0</v>
      </c>
      <c r="S97" s="37" t="n">
        <v>0.018</v>
      </c>
      <c r="T97" s="37" t="n">
        <v>0.05500000000000001</v>
      </c>
      <c r="U97" s="37" t="n">
        <v>0.082</v>
      </c>
      <c r="V97" s="37" t="n">
        <v>0.1</v>
      </c>
      <c r="W97" s="38" t="n">
        <v>0</v>
      </c>
      <c r="X97" s="38" t="n">
        <v>0</v>
      </c>
      <c r="Y97" s="38" t="n">
        <v>0</v>
      </c>
      <c r="Z97" s="38" t="n">
        <v>0</v>
      </c>
      <c r="AA97" s="38" t="n">
        <v>0</v>
      </c>
    </row>
    <row r="98">
      <c r="A98" t="inlineStr">
        <is>
          <t>Tavernetta</t>
        </is>
      </c>
      <c r="B98" t="inlineStr">
        <is>
          <t>Restaurant</t>
        </is>
      </c>
      <c r="C98" t="inlineStr"/>
      <c r="D98" t="n">
        <v>0</v>
      </c>
      <c r="E98" t="inlineStr">
        <is>
          <t>Frasca Hospitality Group / Limelight Hotel valet</t>
        </is>
      </c>
      <c r="F98" t="inlineStr">
        <is>
          <t>$15 with restaurant validation at Limelight Hotel (1600 Wewatta St)</t>
        </is>
      </c>
      <c r="G98" s="38" t="n">
        <v>0</v>
      </c>
      <c r="H98" t="n">
        <v>3</v>
      </c>
      <c r="I98" t="n">
        <v>1</v>
      </c>
      <c r="J98" t="n">
        <v>2</v>
      </c>
      <c r="K98" t="n">
        <v>3</v>
      </c>
      <c r="L98" t="n">
        <v>2</v>
      </c>
      <c r="M98" s="48" t="n">
        <v>0</v>
      </c>
      <c r="N98" t="inlineStr"/>
      <c r="O98" s="48" t="n">
        <v>2.15</v>
      </c>
      <c r="P98" s="48" t="n">
        <v>2.15</v>
      </c>
      <c r="Q98" s="40" t="inlineStr">
        <is>
          <t>D — Deprioritized</t>
        </is>
      </c>
      <c r="R98" s="37" t="n">
        <v>0</v>
      </c>
      <c r="S98" s="37" t="n">
        <v>0.018</v>
      </c>
      <c r="T98" s="37" t="n">
        <v>0.05500000000000001</v>
      </c>
      <c r="U98" s="37" t="n">
        <v>0.082</v>
      </c>
      <c r="V98" s="37" t="n">
        <v>0.1</v>
      </c>
      <c r="W98" s="38" t="n">
        <v>0</v>
      </c>
      <c r="X98" s="38" t="n">
        <v>0</v>
      </c>
      <c r="Y98" s="38" t="n">
        <v>0</v>
      </c>
      <c r="Z98" s="38" t="n">
        <v>0</v>
      </c>
      <c r="AA98" s="38" t="n">
        <v>0</v>
      </c>
    </row>
    <row r="99">
      <c r="A99" t="inlineStr">
        <is>
          <t>Sunday Vinyl</t>
        </is>
      </c>
      <c r="B99" t="inlineStr">
        <is>
          <t>Restaurant</t>
        </is>
      </c>
      <c r="C99" t="inlineStr"/>
      <c r="D99" t="n">
        <v>0</v>
      </c>
      <c r="E99" t="inlineStr">
        <is>
          <t>Frasca Hospitality Group</t>
        </is>
      </c>
      <c r="F99" t="inlineStr"/>
      <c r="G99" s="38" t="n">
        <v>0</v>
      </c>
      <c r="H99" t="n">
        <v>3</v>
      </c>
      <c r="I99" t="n">
        <v>1</v>
      </c>
      <c r="J99" t="n">
        <v>2</v>
      </c>
      <c r="K99" t="n">
        <v>3</v>
      </c>
      <c r="L99" t="n">
        <v>2</v>
      </c>
      <c r="M99" s="48" t="n">
        <v>0</v>
      </c>
      <c r="N99" t="inlineStr"/>
      <c r="O99" s="48" t="n">
        <v>2.15</v>
      </c>
      <c r="P99" s="48" t="n">
        <v>2.15</v>
      </c>
      <c r="Q99" s="40" t="inlineStr">
        <is>
          <t>D — Deprioritized</t>
        </is>
      </c>
      <c r="R99" s="37" t="n">
        <v>0</v>
      </c>
      <c r="S99" s="37" t="n">
        <v>0.018</v>
      </c>
      <c r="T99" s="37" t="n">
        <v>0.05500000000000001</v>
      </c>
      <c r="U99" s="37" t="n">
        <v>0.082</v>
      </c>
      <c r="V99" s="37" t="n">
        <v>0.1</v>
      </c>
      <c r="W99" s="38" t="n">
        <v>0</v>
      </c>
      <c r="X99" s="38" t="n">
        <v>0</v>
      </c>
      <c r="Y99" s="38" t="n">
        <v>0</v>
      </c>
      <c r="Z99" s="38" t="n">
        <v>0</v>
      </c>
      <c r="AA99" s="38" t="n">
        <v>0</v>
      </c>
    </row>
    <row r="100">
      <c r="A100" t="inlineStr">
        <is>
          <t>Frasca Food and Wine</t>
        </is>
      </c>
      <c r="B100" t="inlineStr">
        <is>
          <t>Restaurant</t>
        </is>
      </c>
      <c r="C100" t="inlineStr"/>
      <c r="D100" t="n">
        <v>0</v>
      </c>
      <c r="E100" t="inlineStr">
        <is>
          <t>Frasca Hospitality Group</t>
        </is>
      </c>
      <c r="F100" t="inlineStr">
        <is>
          <t>No Valet</t>
        </is>
      </c>
      <c r="G100" s="38" t="n">
        <v>0</v>
      </c>
      <c r="H100" t="n">
        <v>3</v>
      </c>
      <c r="I100" t="n">
        <v>1</v>
      </c>
      <c r="J100" t="n">
        <v>2</v>
      </c>
      <c r="K100" t="n">
        <v>3</v>
      </c>
      <c r="L100" t="n">
        <v>2</v>
      </c>
      <c r="M100" s="48" t="n">
        <v>0</v>
      </c>
      <c r="N100" t="inlineStr"/>
      <c r="O100" s="48" t="n">
        <v>2.15</v>
      </c>
      <c r="P100" s="48" t="n">
        <v>2.15</v>
      </c>
      <c r="Q100" s="40" t="inlineStr">
        <is>
          <t>D — Deprioritized</t>
        </is>
      </c>
      <c r="R100" s="37" t="n">
        <v>0</v>
      </c>
      <c r="S100" s="37" t="n">
        <v>0.018</v>
      </c>
      <c r="T100" s="37" t="n">
        <v>0.05500000000000001</v>
      </c>
      <c r="U100" s="37" t="n">
        <v>0.082</v>
      </c>
      <c r="V100" s="37" t="n">
        <v>0.1</v>
      </c>
      <c r="W100" s="38" t="n">
        <v>0</v>
      </c>
      <c r="X100" s="38" t="n">
        <v>0</v>
      </c>
      <c r="Y100" s="38" t="n">
        <v>0</v>
      </c>
      <c r="Z100" s="38" t="n">
        <v>0</v>
      </c>
      <c r="AA100" s="38" t="n">
        <v>0</v>
      </c>
    </row>
    <row r="101">
      <c r="A101" t="inlineStr">
        <is>
          <t>Rioja</t>
        </is>
      </c>
      <c r="B101" t="inlineStr">
        <is>
          <t>Restaurant</t>
        </is>
      </c>
      <c r="C101" t="inlineStr"/>
      <c r="D101" t="n">
        <v>0</v>
      </c>
      <c r="E101" t="inlineStr">
        <is>
          <t>Crafted Concepts restaurant group / Larimer Square valet operator</t>
        </is>
      </c>
      <c r="F101" t="inlineStr">
        <is>
          <t>$10 off with Rioja validation (Larimer Square shared valet)</t>
        </is>
      </c>
      <c r="G101" s="38" t="n">
        <v>0</v>
      </c>
      <c r="H101" t="n">
        <v>3</v>
      </c>
      <c r="I101" t="n">
        <v>1</v>
      </c>
      <c r="J101" t="n">
        <v>2</v>
      </c>
      <c r="K101" t="n">
        <v>3</v>
      </c>
      <c r="L101" t="n">
        <v>2</v>
      </c>
      <c r="M101" s="48" t="n">
        <v>0</v>
      </c>
      <c r="N101" t="inlineStr"/>
      <c r="O101" s="48" t="n">
        <v>2.15</v>
      </c>
      <c r="P101" s="48" t="n">
        <v>2.15</v>
      </c>
      <c r="Q101" s="40" t="inlineStr">
        <is>
          <t>D — Deprioritized</t>
        </is>
      </c>
      <c r="R101" s="37" t="n">
        <v>0</v>
      </c>
      <c r="S101" s="37" t="n">
        <v>0.018</v>
      </c>
      <c r="T101" s="37" t="n">
        <v>0.05500000000000001</v>
      </c>
      <c r="U101" s="37" t="n">
        <v>0.082</v>
      </c>
      <c r="V101" s="37" t="n">
        <v>0.1</v>
      </c>
      <c r="W101" s="38" t="n">
        <v>0</v>
      </c>
      <c r="X101" s="38" t="n">
        <v>0</v>
      </c>
      <c r="Y101" s="38" t="n">
        <v>0</v>
      </c>
      <c r="Z101" s="38" t="n">
        <v>0</v>
      </c>
      <c r="AA101" s="38" t="n">
        <v>0</v>
      </c>
    </row>
    <row r="102">
      <c r="A102" t="inlineStr">
        <is>
          <t>Barolo Grill</t>
        </is>
      </c>
      <c r="B102" t="inlineStr">
        <is>
          <t>Restaurant</t>
        </is>
      </c>
      <c r="C102" t="inlineStr"/>
      <c r="D102" t="n">
        <v>0</v>
      </c>
      <c r="E102" t="inlineStr">
        <is>
          <t>Barolo Grill</t>
        </is>
      </c>
      <c r="F102" t="inlineStr">
        <is>
          <t>No Valet</t>
        </is>
      </c>
      <c r="G102" s="38" t="n">
        <v>0</v>
      </c>
      <c r="H102" t="n">
        <v>3</v>
      </c>
      <c r="I102" t="n">
        <v>1</v>
      </c>
      <c r="J102" t="n">
        <v>2</v>
      </c>
      <c r="K102" t="n">
        <v>3</v>
      </c>
      <c r="L102" t="n">
        <v>2</v>
      </c>
      <c r="M102" s="48" t="n">
        <v>0</v>
      </c>
      <c r="N102" t="inlineStr"/>
      <c r="O102" s="48" t="n">
        <v>2.15</v>
      </c>
      <c r="P102" s="48" t="n">
        <v>2.15</v>
      </c>
      <c r="Q102" s="40" t="inlineStr">
        <is>
          <t>D — Deprioritized</t>
        </is>
      </c>
      <c r="R102" s="37" t="n">
        <v>0</v>
      </c>
      <c r="S102" s="37" t="n">
        <v>0.018</v>
      </c>
      <c r="T102" s="37" t="n">
        <v>0.05500000000000001</v>
      </c>
      <c r="U102" s="37" t="n">
        <v>0.082</v>
      </c>
      <c r="V102" s="37" t="n">
        <v>0.1</v>
      </c>
      <c r="W102" s="38" t="n">
        <v>0</v>
      </c>
      <c r="X102" s="38" t="n">
        <v>0</v>
      </c>
      <c r="Y102" s="38" t="n">
        <v>0</v>
      </c>
      <c r="Z102" s="38" t="n">
        <v>0</v>
      </c>
      <c r="AA102" s="38" t="n">
        <v>0</v>
      </c>
    </row>
    <row r="103">
      <c r="A103" t="inlineStr">
        <is>
          <t>Mizuna</t>
        </is>
      </c>
      <c r="B103" t="inlineStr">
        <is>
          <t>Restaurant</t>
        </is>
      </c>
      <c r="C103" t="inlineStr"/>
      <c r="D103" t="n">
        <v>0</v>
      </c>
      <c r="E103" t="inlineStr">
        <is>
          <t>Frank Bonanno / Bonanno Concepts</t>
        </is>
      </c>
      <c r="F103" t="inlineStr">
        <is>
          <t>Available (rate not published)</t>
        </is>
      </c>
      <c r="G103" s="38" t="n">
        <v>79987.5</v>
      </c>
      <c r="H103" t="n">
        <v>3</v>
      </c>
      <c r="I103" t="n">
        <v>1</v>
      </c>
      <c r="J103" t="n">
        <v>2</v>
      </c>
      <c r="K103" t="n">
        <v>3</v>
      </c>
      <c r="L103" t="n">
        <v>2</v>
      </c>
      <c r="M103" s="48" t="n">
        <v>0</v>
      </c>
      <c r="N103" t="inlineStr"/>
      <c r="O103" s="48" t="n">
        <v>2.15</v>
      </c>
      <c r="P103" s="48" t="n">
        <v>2.15</v>
      </c>
      <c r="Q103" s="40" t="inlineStr">
        <is>
          <t>D — Deprioritized</t>
        </is>
      </c>
      <c r="R103" s="37" t="n">
        <v>0</v>
      </c>
      <c r="S103" s="37" t="n">
        <v>0.018</v>
      </c>
      <c r="T103" s="37" t="n">
        <v>0.05500000000000001</v>
      </c>
      <c r="U103" s="37" t="n">
        <v>0.082</v>
      </c>
      <c r="V103" s="37" t="n">
        <v>0.1</v>
      </c>
      <c r="W103" s="38" t="n">
        <v>0</v>
      </c>
      <c r="X103" s="38" t="n">
        <v>1439.775</v>
      </c>
      <c r="Y103" s="38" t="n">
        <v>4399.312500000001</v>
      </c>
      <c r="Z103" s="38" t="n">
        <v>6558.975</v>
      </c>
      <c r="AA103" s="38" t="n">
        <v>7998.75</v>
      </c>
    </row>
    <row r="104">
      <c r="A104" t="inlineStr">
        <is>
          <t>Wildflower</t>
        </is>
      </c>
      <c r="B104" t="inlineStr">
        <is>
          <t>Restaurant</t>
        </is>
      </c>
      <c r="C104" t="inlineStr"/>
      <c r="D104" t="n">
        <v>0</v>
      </c>
      <c r="E104" t="inlineStr">
        <is>
          <t>Gravity Haus (hotel operator); restaurant independent management</t>
        </is>
      </c>
      <c r="F104" t="inlineStr">
        <is>
          <t>No Valet</t>
        </is>
      </c>
      <c r="G104" s="38" t="n">
        <v>0</v>
      </c>
      <c r="H104" t="n">
        <v>3</v>
      </c>
      <c r="I104" t="n">
        <v>1</v>
      </c>
      <c r="J104" t="n">
        <v>2</v>
      </c>
      <c r="K104" t="n">
        <v>3</v>
      </c>
      <c r="L104" t="n">
        <v>2</v>
      </c>
      <c r="M104" s="48" t="n">
        <v>0</v>
      </c>
      <c r="N104" t="inlineStr"/>
      <c r="O104" s="48" t="n">
        <v>2.15</v>
      </c>
      <c r="P104" s="48" t="n">
        <v>2.15</v>
      </c>
      <c r="Q104" s="40" t="inlineStr">
        <is>
          <t>D — Deprioritized</t>
        </is>
      </c>
      <c r="R104" s="37" t="n">
        <v>0</v>
      </c>
      <c r="S104" s="37" t="n">
        <v>0.018</v>
      </c>
      <c r="T104" s="37" t="n">
        <v>0.05500000000000001</v>
      </c>
      <c r="U104" s="37" t="n">
        <v>0.082</v>
      </c>
      <c r="V104" s="37" t="n">
        <v>0.1</v>
      </c>
      <c r="W104" s="38" t="n">
        <v>0</v>
      </c>
      <c r="X104" s="38" t="n">
        <v>0</v>
      </c>
      <c r="Y104" s="38" t="n">
        <v>0</v>
      </c>
      <c r="Z104" s="38" t="n">
        <v>0</v>
      </c>
      <c r="AA104" s="38" t="n">
        <v>0</v>
      </c>
    </row>
    <row r="105">
      <c r="A105" t="inlineStr">
        <is>
          <t>Le Colonial Denver</t>
        </is>
      </c>
      <c r="B105" t="inlineStr">
        <is>
          <t>Restaurant</t>
        </is>
      </c>
      <c r="C105" t="inlineStr"/>
      <c r="D105" t="n">
        <v>0</v>
      </c>
      <c r="E105" t="inlineStr">
        <is>
          <t>Le Colonial Restaurant Group</t>
        </is>
      </c>
      <c r="F105" t="inlineStr">
        <is>
          <t>Available (rate not published; Yelp confirms valet during weeknights and weekends)</t>
        </is>
      </c>
      <c r="G105" s="38" t="n">
        <v>222750</v>
      </c>
      <c r="H105" t="n">
        <v>3</v>
      </c>
      <c r="I105" t="n">
        <v>1</v>
      </c>
      <c r="J105" t="n">
        <v>2</v>
      </c>
      <c r="K105" t="n">
        <v>3</v>
      </c>
      <c r="L105" t="n">
        <v>2</v>
      </c>
      <c r="M105" s="48" t="n">
        <v>0</v>
      </c>
      <c r="N105" t="inlineStr"/>
      <c r="O105" s="48" t="n">
        <v>2.15</v>
      </c>
      <c r="P105" s="48" t="n">
        <v>2.15</v>
      </c>
      <c r="Q105" s="40" t="inlineStr">
        <is>
          <t>D — Deprioritized</t>
        </is>
      </c>
      <c r="R105" s="37" t="n">
        <v>0</v>
      </c>
      <c r="S105" s="37" t="n">
        <v>0.018</v>
      </c>
      <c r="T105" s="37" t="n">
        <v>0.05500000000000001</v>
      </c>
      <c r="U105" s="37" t="n">
        <v>0.082</v>
      </c>
      <c r="V105" s="37" t="n">
        <v>0.1</v>
      </c>
      <c r="W105" s="38" t="n">
        <v>0</v>
      </c>
      <c r="X105" s="38" t="n">
        <v>4009.5</v>
      </c>
      <c r="Y105" s="38" t="n">
        <v>12251.25</v>
      </c>
      <c r="Z105" s="38" t="n">
        <v>18265.5</v>
      </c>
      <c r="AA105" s="38" t="n">
        <v>22275</v>
      </c>
    </row>
    <row r="106">
      <c r="A106" t="inlineStr">
        <is>
          <t>Water Grill Denver</t>
        </is>
      </c>
      <c r="B106" t="inlineStr">
        <is>
          <t>Restaurant</t>
        </is>
      </c>
      <c r="C106" t="inlineStr"/>
      <c r="D106" t="n">
        <v>0</v>
      </c>
      <c r="E106" t="inlineStr">
        <is>
          <t>King's Seafood Company</t>
        </is>
      </c>
      <c r="F106" t="inlineStr">
        <is>
          <t>Covered parking with valet service at Market Station Garage</t>
        </is>
      </c>
      <c r="G106" s="38" t="n">
        <v>350325</v>
      </c>
      <c r="H106" t="n">
        <v>3</v>
      </c>
      <c r="I106" t="n">
        <v>2</v>
      </c>
      <c r="J106" t="n">
        <v>2</v>
      </c>
      <c r="K106" t="n">
        <v>3</v>
      </c>
      <c r="L106" t="n">
        <v>2</v>
      </c>
      <c r="M106" s="48" t="n">
        <v>0</v>
      </c>
      <c r="N106" t="inlineStr"/>
      <c r="O106" s="48" t="n">
        <v>2.4</v>
      </c>
      <c r="P106" s="48" t="n">
        <v>2.4</v>
      </c>
      <c r="Q106" s="40" t="inlineStr">
        <is>
          <t>D — Deprioritized</t>
        </is>
      </c>
      <c r="R106" s="37" t="n">
        <v>0</v>
      </c>
      <c r="S106" s="37" t="n">
        <v>0.018</v>
      </c>
      <c r="T106" s="37" t="n">
        <v>0.05500000000000001</v>
      </c>
      <c r="U106" s="37" t="n">
        <v>0.082</v>
      </c>
      <c r="V106" s="37" t="n">
        <v>0.1</v>
      </c>
      <c r="W106" s="38" t="n">
        <v>0</v>
      </c>
      <c r="X106" s="38" t="n">
        <v>6305.849999999999</v>
      </c>
      <c r="Y106" s="38" t="n">
        <v>19267.875</v>
      </c>
      <c r="Z106" s="38" t="n">
        <v>28726.65</v>
      </c>
      <c r="AA106" s="38" t="n">
        <v>35032.5</v>
      </c>
    </row>
    <row r="107">
      <c r="A107" t="inlineStr">
        <is>
          <t>Corinne Denver</t>
        </is>
      </c>
      <c r="B107" t="inlineStr">
        <is>
          <t>Restaurant</t>
        </is>
      </c>
      <c r="C107" t="inlineStr"/>
      <c r="D107" t="n">
        <v>0</v>
      </c>
      <c r="E107" t="inlineStr">
        <is>
          <t>Le Meridien Denver Downtown hotel valet</t>
        </is>
      </c>
      <c r="F107" t="inlineStr">
        <is>
          <t>Complimentary / hotel valet through Le Meridien Denver Downtown</t>
        </is>
      </c>
      <c r="G107" s="38" t="n">
        <v>0</v>
      </c>
      <c r="H107" t="n">
        <v>3</v>
      </c>
      <c r="I107" t="n">
        <v>1</v>
      </c>
      <c r="J107" t="n">
        <v>2</v>
      </c>
      <c r="K107" t="n">
        <v>3</v>
      </c>
      <c r="L107" t="n">
        <v>2</v>
      </c>
      <c r="M107" s="48" t="n">
        <v>0</v>
      </c>
      <c r="N107" t="inlineStr"/>
      <c r="O107" s="48" t="n">
        <v>2.15</v>
      </c>
      <c r="P107" s="48" t="n">
        <v>2.15</v>
      </c>
      <c r="Q107" s="40" t="inlineStr">
        <is>
          <t>D — Deprioritized</t>
        </is>
      </c>
      <c r="R107" s="37" t="n">
        <v>0</v>
      </c>
      <c r="S107" s="37" t="n">
        <v>0.018</v>
      </c>
      <c r="T107" s="37" t="n">
        <v>0.05500000000000001</v>
      </c>
      <c r="U107" s="37" t="n">
        <v>0.082</v>
      </c>
      <c r="V107" s="37" t="n">
        <v>0.1</v>
      </c>
      <c r="W107" s="38" t="n">
        <v>0</v>
      </c>
      <c r="X107" s="38" t="n">
        <v>0</v>
      </c>
      <c r="Y107" s="38" t="n">
        <v>0</v>
      </c>
      <c r="Z107" s="38" t="n">
        <v>0</v>
      </c>
      <c r="AA107" s="38" t="n">
        <v>0</v>
      </c>
    </row>
    <row r="108">
      <c r="A108" t="inlineStr">
        <is>
          <t>Salt Water Social</t>
        </is>
      </c>
      <c r="B108" t="inlineStr">
        <is>
          <t>Restaurant</t>
        </is>
      </c>
      <c r="C108" t="inlineStr"/>
      <c r="D108" t="n">
        <v>0</v>
      </c>
      <c r="E108" t="inlineStr">
        <is>
          <t>Salt Water Social (independent)</t>
        </is>
      </c>
      <c r="F108" t="inlineStr">
        <is>
          <t>Available (website confirms valet outside restaurant)</t>
        </is>
      </c>
      <c r="G108" s="38" t="n">
        <v>0</v>
      </c>
      <c r="H108" t="n">
        <v>3</v>
      </c>
      <c r="I108" t="n">
        <v>1</v>
      </c>
      <c r="J108" t="n">
        <v>2</v>
      </c>
      <c r="K108" t="n">
        <v>3</v>
      </c>
      <c r="L108" t="n">
        <v>2</v>
      </c>
      <c r="M108" s="48" t="n">
        <v>0</v>
      </c>
      <c r="N108" t="inlineStr"/>
      <c r="O108" s="48" t="n">
        <v>2.15</v>
      </c>
      <c r="P108" s="48" t="n">
        <v>2.15</v>
      </c>
      <c r="Q108" s="40" t="inlineStr">
        <is>
          <t>D — Deprioritized</t>
        </is>
      </c>
      <c r="R108" s="37" t="n">
        <v>0</v>
      </c>
      <c r="S108" s="37" t="n">
        <v>0.018</v>
      </c>
      <c r="T108" s="37" t="n">
        <v>0.05500000000000001</v>
      </c>
      <c r="U108" s="37" t="n">
        <v>0.082</v>
      </c>
      <c r="V108" s="37" t="n">
        <v>0.1</v>
      </c>
      <c r="W108" s="38" t="n">
        <v>0</v>
      </c>
      <c r="X108" s="38" t="n">
        <v>0</v>
      </c>
      <c r="Y108" s="38" t="n">
        <v>0</v>
      </c>
      <c r="Z108" s="38" t="n">
        <v>0</v>
      </c>
      <c r="AA108" s="38" t="n">
        <v>0</v>
      </c>
    </row>
    <row r="109">
      <c r="A109" t="inlineStr">
        <is>
          <t>Alma Fonda Fina</t>
        </is>
      </c>
      <c r="B109" t="inlineStr">
        <is>
          <t>Restaurant</t>
        </is>
      </c>
      <c r="C109" t="inlineStr"/>
      <c r="D109" t="n">
        <v>0</v>
      </c>
      <c r="E109" t="inlineStr">
        <is>
          <t>Chef Johnny Curiel (independent)</t>
        </is>
      </c>
      <c r="F109" t="inlineStr"/>
      <c r="G109" s="38" t="n">
        <v>0</v>
      </c>
      <c r="H109" t="n">
        <v>3</v>
      </c>
      <c r="I109" t="n">
        <v>1</v>
      </c>
      <c r="J109" t="n">
        <v>2</v>
      </c>
      <c r="K109" t="n">
        <v>3</v>
      </c>
      <c r="L109" t="n">
        <v>2</v>
      </c>
      <c r="M109" s="48" t="n">
        <v>0</v>
      </c>
      <c r="N109" t="inlineStr"/>
      <c r="O109" s="48" t="n">
        <v>2.15</v>
      </c>
      <c r="P109" s="48" t="n">
        <v>2.15</v>
      </c>
      <c r="Q109" s="40" t="inlineStr">
        <is>
          <t>D — Deprioritized</t>
        </is>
      </c>
      <c r="R109" s="37" t="n">
        <v>0</v>
      </c>
      <c r="S109" s="37" t="n">
        <v>0.018</v>
      </c>
      <c r="T109" s="37" t="n">
        <v>0.05500000000000001</v>
      </c>
      <c r="U109" s="37" t="n">
        <v>0.082</v>
      </c>
      <c r="V109" s="37" t="n">
        <v>0.1</v>
      </c>
      <c r="W109" s="38" t="n">
        <v>0</v>
      </c>
      <c r="X109" s="38" t="n">
        <v>0</v>
      </c>
      <c r="Y109" s="38" t="n">
        <v>0</v>
      </c>
      <c r="Z109" s="38" t="n">
        <v>0</v>
      </c>
      <c r="AA109" s="38" t="n">
        <v>0</v>
      </c>
    </row>
    <row r="110">
      <c r="A110" t="inlineStr">
        <is>
          <t>UCHealth University of Colorado Hospital</t>
        </is>
      </c>
      <c r="B110" t="inlineStr">
        <is>
          <t>Hospital</t>
        </is>
      </c>
      <c r="C110" t="inlineStr"/>
      <c r="D110" t="n">
        <v>0</v>
      </c>
      <c r="E110" t="inlineStr">
        <is>
          <t>UCHealth (self-operated)</t>
        </is>
      </c>
      <c r="F110" t="inlineStr">
        <is>
          <t>Free (no tipping required)</t>
        </is>
      </c>
      <c r="G110" s="38" t="n">
        <v>0</v>
      </c>
      <c r="H110" t="n">
        <v>3</v>
      </c>
      <c r="I110" t="n">
        <v>1</v>
      </c>
      <c r="J110" t="n">
        <v>2</v>
      </c>
      <c r="K110" t="n">
        <v>3</v>
      </c>
      <c r="L110" t="n">
        <v>2</v>
      </c>
      <c r="M110" s="48" t="n">
        <v>0</v>
      </c>
      <c r="N110" t="inlineStr"/>
      <c r="O110" s="48" t="n">
        <v>2.15</v>
      </c>
      <c r="P110" s="48" t="n">
        <v>2.15</v>
      </c>
      <c r="Q110" s="40" t="inlineStr">
        <is>
          <t>D — Deprioritized</t>
        </is>
      </c>
      <c r="R110" s="37" t="n">
        <v>0</v>
      </c>
      <c r="S110" s="37" t="n">
        <v>0.018</v>
      </c>
      <c r="T110" s="37" t="n">
        <v>0.05500000000000001</v>
      </c>
      <c r="U110" s="37" t="n">
        <v>0.082</v>
      </c>
      <c r="V110" s="37" t="n">
        <v>0.1</v>
      </c>
      <c r="W110" s="38" t="n">
        <v>0</v>
      </c>
      <c r="X110" s="38" t="n">
        <v>0</v>
      </c>
      <c r="Y110" s="38" t="n">
        <v>0</v>
      </c>
      <c r="Z110" s="38" t="n">
        <v>0</v>
      </c>
      <c r="AA110" s="38" t="n">
        <v>0</v>
      </c>
    </row>
    <row r="111">
      <c r="A111" t="inlineStr">
        <is>
          <t>Denver Health Medical Center</t>
        </is>
      </c>
      <c r="B111" t="inlineStr">
        <is>
          <t>Hospital</t>
        </is>
      </c>
      <c r="C111" t="inlineStr"/>
      <c r="D111" t="n">
        <v>0</v>
      </c>
      <c r="E111" t="inlineStr">
        <is>
          <t>Denver Health (self-operated)</t>
        </is>
      </c>
      <c r="F111" t="inlineStr">
        <is>
          <t>$5 per car</t>
        </is>
      </c>
      <c r="G111" s="38" t="n">
        <v>0</v>
      </c>
      <c r="H111" t="n">
        <v>3</v>
      </c>
      <c r="I111" t="n">
        <v>1</v>
      </c>
      <c r="J111" t="n">
        <v>2</v>
      </c>
      <c r="K111" t="n">
        <v>3</v>
      </c>
      <c r="L111" t="n">
        <v>2</v>
      </c>
      <c r="M111" s="48" t="n">
        <v>0</v>
      </c>
      <c r="N111" t="inlineStr"/>
      <c r="O111" s="48" t="n">
        <v>2.15</v>
      </c>
      <c r="P111" s="48" t="n">
        <v>2.15</v>
      </c>
      <c r="Q111" s="40" t="inlineStr">
        <is>
          <t>D — Deprioritized</t>
        </is>
      </c>
      <c r="R111" s="37" t="n">
        <v>0</v>
      </c>
      <c r="S111" s="37" t="n">
        <v>0.018</v>
      </c>
      <c r="T111" s="37" t="n">
        <v>0.05500000000000001</v>
      </c>
      <c r="U111" s="37" t="n">
        <v>0.082</v>
      </c>
      <c r="V111" s="37" t="n">
        <v>0.1</v>
      </c>
      <c r="W111" s="38" t="n">
        <v>0</v>
      </c>
      <c r="X111" s="38" t="n">
        <v>0</v>
      </c>
      <c r="Y111" s="38" t="n">
        <v>0</v>
      </c>
      <c r="Z111" s="38" t="n">
        <v>0</v>
      </c>
      <c r="AA111" s="38" t="n">
        <v>0</v>
      </c>
    </row>
    <row r="112">
      <c r="A112" t="inlineStr">
        <is>
          <t>National Jewish Health</t>
        </is>
      </c>
      <c r="B112" t="inlineStr">
        <is>
          <t>Hospital</t>
        </is>
      </c>
      <c r="C112" t="inlineStr"/>
      <c r="D112" t="n">
        <v>0</v>
      </c>
      <c r="E112" t="inlineStr">
        <is>
          <t>National Jewish Health (self-operated)</t>
        </is>
      </c>
      <c r="F112" t="inlineStr">
        <is>
          <t>Free</t>
        </is>
      </c>
      <c r="G112" s="38" t="n">
        <v>0</v>
      </c>
      <c r="H112" t="n">
        <v>3</v>
      </c>
      <c r="I112" t="n">
        <v>1</v>
      </c>
      <c r="J112" t="n">
        <v>2</v>
      </c>
      <c r="K112" t="n">
        <v>3</v>
      </c>
      <c r="L112" t="n">
        <v>2</v>
      </c>
      <c r="M112" s="48" t="n">
        <v>0</v>
      </c>
      <c r="N112" t="inlineStr"/>
      <c r="O112" s="48" t="n">
        <v>2.15</v>
      </c>
      <c r="P112" s="48" t="n">
        <v>2.15</v>
      </c>
      <c r="Q112" s="40" t="inlineStr">
        <is>
          <t>D — Deprioritized</t>
        </is>
      </c>
      <c r="R112" s="37" t="n">
        <v>0</v>
      </c>
      <c r="S112" s="37" t="n">
        <v>0.018</v>
      </c>
      <c r="T112" s="37" t="n">
        <v>0.05500000000000001</v>
      </c>
      <c r="U112" s="37" t="n">
        <v>0.082</v>
      </c>
      <c r="V112" s="37" t="n">
        <v>0.1</v>
      </c>
      <c r="W112" s="38" t="n">
        <v>0</v>
      </c>
      <c r="X112" s="38" t="n">
        <v>0</v>
      </c>
      <c r="Y112" s="38" t="n">
        <v>0</v>
      </c>
      <c r="Z112" s="38" t="n">
        <v>0</v>
      </c>
      <c r="AA112" s="38" t="n">
        <v>0</v>
      </c>
    </row>
    <row r="113">
      <c r="A113" t="inlineStr">
        <is>
          <t>Rose Medical Center (HCA HealthONE Rose)</t>
        </is>
      </c>
      <c r="B113" t="inlineStr">
        <is>
          <t>Hospital</t>
        </is>
      </c>
      <c r="C113" t="inlineStr"/>
      <c r="D113" t="n">
        <v>0</v>
      </c>
      <c r="E113" t="inlineStr">
        <is>
          <t>HCA HealthONE</t>
        </is>
      </c>
      <c r="F113" t="inlineStr">
        <is>
          <t>Rate not confirmed publicly</t>
        </is>
      </c>
      <c r="G113" s="38" t="n">
        <v>0</v>
      </c>
      <c r="H113" t="n">
        <v>3</v>
      </c>
      <c r="I113" t="n">
        <v>1</v>
      </c>
      <c r="J113" t="n">
        <v>2</v>
      </c>
      <c r="K113" t="n">
        <v>3</v>
      </c>
      <c r="L113" t="n">
        <v>2</v>
      </c>
      <c r="M113" s="48" t="n">
        <v>0</v>
      </c>
      <c r="N113" t="inlineStr"/>
      <c r="O113" s="48" t="n">
        <v>2.15</v>
      </c>
      <c r="P113" s="48" t="n">
        <v>2.15</v>
      </c>
      <c r="Q113" s="40" t="inlineStr">
        <is>
          <t>D — Deprioritized</t>
        </is>
      </c>
      <c r="R113" s="37" t="n">
        <v>0</v>
      </c>
      <c r="S113" s="37" t="n">
        <v>0.018</v>
      </c>
      <c r="T113" s="37" t="n">
        <v>0.05500000000000001</v>
      </c>
      <c r="U113" s="37" t="n">
        <v>0.082</v>
      </c>
      <c r="V113" s="37" t="n">
        <v>0.1</v>
      </c>
      <c r="W113" s="38" t="n">
        <v>0</v>
      </c>
      <c r="X113" s="38" t="n">
        <v>0</v>
      </c>
      <c r="Y113" s="38" t="n">
        <v>0</v>
      </c>
      <c r="Z113" s="38" t="n">
        <v>0</v>
      </c>
      <c r="AA113" s="38" t="n">
        <v>0</v>
      </c>
    </row>
    <row r="114">
      <c r="A114" t="inlineStr">
        <is>
          <t>Presbyterian/St. Luke's Medical Center (HCA HealthONE PSL)</t>
        </is>
      </c>
      <c r="B114" t="inlineStr">
        <is>
          <t>Hospital</t>
        </is>
      </c>
      <c r="C114" t="inlineStr"/>
      <c r="D114" t="n">
        <v>0</v>
      </c>
      <c r="E114" t="inlineStr">
        <is>
          <t>HCA HealthONE</t>
        </is>
      </c>
      <c r="F114" t="inlineStr">
        <is>
          <t>Free</t>
        </is>
      </c>
      <c r="G114" s="38" t="n">
        <v>0</v>
      </c>
      <c r="H114" t="n">
        <v>3</v>
      </c>
      <c r="I114" t="n">
        <v>1</v>
      </c>
      <c r="J114" t="n">
        <v>2</v>
      </c>
      <c r="K114" t="n">
        <v>3</v>
      </c>
      <c r="L114" t="n">
        <v>2</v>
      </c>
      <c r="M114" s="48" t="n">
        <v>0</v>
      </c>
      <c r="N114" t="inlineStr"/>
      <c r="O114" s="48" t="n">
        <v>2.15</v>
      </c>
      <c r="P114" s="48" t="n">
        <v>2.15</v>
      </c>
      <c r="Q114" s="40" t="inlineStr">
        <is>
          <t>D — Deprioritized</t>
        </is>
      </c>
      <c r="R114" s="37" t="n">
        <v>0</v>
      </c>
      <c r="S114" s="37" t="n">
        <v>0.018</v>
      </c>
      <c r="T114" s="37" t="n">
        <v>0.05500000000000001</v>
      </c>
      <c r="U114" s="37" t="n">
        <v>0.082</v>
      </c>
      <c r="V114" s="37" t="n">
        <v>0.1</v>
      </c>
      <c r="W114" s="38" t="n">
        <v>0</v>
      </c>
      <c r="X114" s="38" t="n">
        <v>0</v>
      </c>
      <c r="Y114" s="38" t="n">
        <v>0</v>
      </c>
      <c r="Z114" s="38" t="n">
        <v>0</v>
      </c>
      <c r="AA114" s="38" t="n">
        <v>0</v>
      </c>
    </row>
    <row r="115">
      <c r="A115" t="inlineStr">
        <is>
          <t>Swedish Medical Center (HCA HealthONE Swedish)</t>
        </is>
      </c>
      <c r="B115" t="inlineStr">
        <is>
          <t>Hospital</t>
        </is>
      </c>
      <c r="C115" t="inlineStr"/>
      <c r="D115" t="n">
        <v>0</v>
      </c>
      <c r="E115" t="inlineStr">
        <is>
          <t>HCA HealthONE</t>
        </is>
      </c>
      <c r="F115" t="inlineStr">
        <is>
          <t>Rate not confirmed publicly (complimentary per Waze/review evidence)</t>
        </is>
      </c>
      <c r="G115" s="38" t="n">
        <v>0</v>
      </c>
      <c r="H115" t="n">
        <v>3</v>
      </c>
      <c r="I115" t="n">
        <v>1</v>
      </c>
      <c r="J115" t="n">
        <v>2</v>
      </c>
      <c r="K115" t="n">
        <v>3</v>
      </c>
      <c r="L115" t="n">
        <v>2</v>
      </c>
      <c r="M115" s="48" t="n">
        <v>0</v>
      </c>
      <c r="N115" t="inlineStr"/>
      <c r="O115" s="48" t="n">
        <v>2.15</v>
      </c>
      <c r="P115" s="48" t="n">
        <v>2.15</v>
      </c>
      <c r="Q115" s="40" t="inlineStr">
        <is>
          <t>D — Deprioritized</t>
        </is>
      </c>
      <c r="R115" s="37" t="n">
        <v>0</v>
      </c>
      <c r="S115" s="37" t="n">
        <v>0.018</v>
      </c>
      <c r="T115" s="37" t="n">
        <v>0.05500000000000001</v>
      </c>
      <c r="U115" s="37" t="n">
        <v>0.082</v>
      </c>
      <c r="V115" s="37" t="n">
        <v>0.1</v>
      </c>
      <c r="W115" s="38" t="n">
        <v>0</v>
      </c>
      <c r="X115" s="38" t="n">
        <v>0</v>
      </c>
      <c r="Y115" s="38" t="n">
        <v>0</v>
      </c>
      <c r="Z115" s="38" t="n">
        <v>0</v>
      </c>
      <c r="AA115" s="38" t="n">
        <v>0</v>
      </c>
    </row>
    <row r="116">
      <c r="A116" t="inlineStr">
        <is>
          <t>Sky Ridge Medical Center (HCA HealthONE Sky Ridge)</t>
        </is>
      </c>
      <c r="B116" t="inlineStr">
        <is>
          <t>Hospital</t>
        </is>
      </c>
      <c r="C116" t="inlineStr"/>
      <c r="D116" t="n">
        <v>0</v>
      </c>
      <c r="E116" t="inlineStr">
        <is>
          <t>HCA HealthONE</t>
        </is>
      </c>
      <c r="F116" t="inlineStr">
        <is>
          <t>Free (complimentary)</t>
        </is>
      </c>
      <c r="G116" s="38" t="n">
        <v>0</v>
      </c>
      <c r="H116" t="n">
        <v>3</v>
      </c>
      <c r="I116" t="n">
        <v>1</v>
      </c>
      <c r="J116" t="n">
        <v>2</v>
      </c>
      <c r="K116" t="n">
        <v>3</v>
      </c>
      <c r="L116" t="n">
        <v>2</v>
      </c>
      <c r="M116" s="48" t="n">
        <v>0</v>
      </c>
      <c r="N116" t="inlineStr"/>
      <c r="O116" s="48" t="n">
        <v>2.15</v>
      </c>
      <c r="P116" s="48" t="n">
        <v>2.15</v>
      </c>
      <c r="Q116" s="40" t="inlineStr">
        <is>
          <t>D — Deprioritized</t>
        </is>
      </c>
      <c r="R116" s="37" t="n">
        <v>0</v>
      </c>
      <c r="S116" s="37" t="n">
        <v>0.018</v>
      </c>
      <c r="T116" s="37" t="n">
        <v>0.05500000000000001</v>
      </c>
      <c r="U116" s="37" t="n">
        <v>0.082</v>
      </c>
      <c r="V116" s="37" t="n">
        <v>0.1</v>
      </c>
      <c r="W116" s="38" t="n">
        <v>0</v>
      </c>
      <c r="X116" s="38" t="n">
        <v>0</v>
      </c>
      <c r="Y116" s="38" t="n">
        <v>0</v>
      </c>
      <c r="Z116" s="38" t="n">
        <v>0</v>
      </c>
      <c r="AA116" s="38" t="n">
        <v>0</v>
      </c>
    </row>
    <row r="117">
      <c r="A117" t="inlineStr">
        <is>
          <t>AdventHealth Porter (formerly Porter Adventist Hospital)</t>
        </is>
      </c>
      <c r="B117" t="inlineStr">
        <is>
          <t>Hospital</t>
        </is>
      </c>
      <c r="C117" t="inlineStr"/>
      <c r="D117" t="n">
        <v>0</v>
      </c>
      <c r="E117" t="inlineStr">
        <is>
          <t>AdventHealth (CommonSpirit affiliate / Adventist Health System)</t>
        </is>
      </c>
      <c r="F117" t="inlineStr">
        <is>
          <t>Free Valet</t>
        </is>
      </c>
      <c r="G117" s="38" t="n">
        <v>0</v>
      </c>
      <c r="H117" t="n">
        <v>3</v>
      </c>
      <c r="I117" t="n">
        <v>1</v>
      </c>
      <c r="J117" t="n">
        <v>2</v>
      </c>
      <c r="K117" t="n">
        <v>3</v>
      </c>
      <c r="L117" t="n">
        <v>2</v>
      </c>
      <c r="M117" s="48" t="n">
        <v>0</v>
      </c>
      <c r="N117" t="inlineStr"/>
      <c r="O117" s="48" t="n">
        <v>2.15</v>
      </c>
      <c r="P117" s="48" t="n">
        <v>2.15</v>
      </c>
      <c r="Q117" s="40" t="inlineStr">
        <is>
          <t>D — Deprioritized</t>
        </is>
      </c>
      <c r="R117" s="37" t="n">
        <v>0</v>
      </c>
      <c r="S117" s="37" t="n">
        <v>0.018</v>
      </c>
      <c r="T117" s="37" t="n">
        <v>0.05500000000000001</v>
      </c>
      <c r="U117" s="37" t="n">
        <v>0.082</v>
      </c>
      <c r="V117" s="37" t="n">
        <v>0.1</v>
      </c>
      <c r="W117" s="38" t="n">
        <v>0</v>
      </c>
      <c r="X117" s="38" t="n">
        <v>0</v>
      </c>
      <c r="Y117" s="38" t="n">
        <v>0</v>
      </c>
      <c r="Z117" s="38" t="n">
        <v>0</v>
      </c>
      <c r="AA117" s="38" t="n">
        <v>0</v>
      </c>
    </row>
    <row r="118">
      <c r="A118" t="inlineStr">
        <is>
          <t>Children's Hospital Colorado (Anschutz Campus)</t>
        </is>
      </c>
      <c r="B118" t="inlineStr">
        <is>
          <t>Hospital</t>
        </is>
      </c>
      <c r="C118" t="inlineStr"/>
      <c r="D118" t="n">
        <v>0</v>
      </c>
      <c r="E118" t="inlineStr">
        <is>
          <t>Children's Hospital Colorado (self-operated)</t>
        </is>
      </c>
      <c r="F118" t="inlineStr">
        <is>
          <t>Free</t>
        </is>
      </c>
      <c r="G118" s="38" t="n">
        <v>0</v>
      </c>
      <c r="H118" t="n">
        <v>3</v>
      </c>
      <c r="I118" t="n">
        <v>1</v>
      </c>
      <c r="J118" t="n">
        <v>2</v>
      </c>
      <c r="K118" t="n">
        <v>3</v>
      </c>
      <c r="L118" t="n">
        <v>2</v>
      </c>
      <c r="M118" s="48" t="n">
        <v>0</v>
      </c>
      <c r="N118" t="inlineStr"/>
      <c r="O118" s="48" t="n">
        <v>2.15</v>
      </c>
      <c r="P118" s="48" t="n">
        <v>2.15</v>
      </c>
      <c r="Q118" s="40" t="inlineStr">
        <is>
          <t>D — Deprioritized</t>
        </is>
      </c>
      <c r="R118" s="37" t="n">
        <v>0</v>
      </c>
      <c r="S118" s="37" t="n">
        <v>0.018</v>
      </c>
      <c r="T118" s="37" t="n">
        <v>0.05500000000000001</v>
      </c>
      <c r="U118" s="37" t="n">
        <v>0.082</v>
      </c>
      <c r="V118" s="37" t="n">
        <v>0.1</v>
      </c>
      <c r="W118" s="38" t="n">
        <v>0</v>
      </c>
      <c r="X118" s="38" t="n">
        <v>0</v>
      </c>
      <c r="Y118" s="38" t="n">
        <v>0</v>
      </c>
      <c r="Z118" s="38" t="n">
        <v>0</v>
      </c>
      <c r="AA118" s="38" t="n">
        <v>0</v>
      </c>
    </row>
    <row r="119">
      <c r="A119" t="inlineStr">
        <is>
          <t>Rocky Mountain Regional VA Medical Center</t>
        </is>
      </c>
      <c r="B119" t="inlineStr">
        <is>
          <t>Hospital</t>
        </is>
      </c>
      <c r="C119" t="inlineStr"/>
      <c r="D119" t="n">
        <v>0</v>
      </c>
      <c r="E119" t="inlineStr">
        <is>
          <t>U.S. Department of Veterans Affairs</t>
        </is>
      </c>
      <c r="F119" t="inlineStr">
        <is>
          <t>Free Valet</t>
        </is>
      </c>
      <c r="G119" s="38" t="n">
        <v>0</v>
      </c>
      <c r="H119" t="n">
        <v>3</v>
      </c>
      <c r="I119" t="n">
        <v>1</v>
      </c>
      <c r="J119" t="n">
        <v>2</v>
      </c>
      <c r="K119" t="n">
        <v>3</v>
      </c>
      <c r="L119" t="n">
        <v>2</v>
      </c>
      <c r="M119" s="48" t="n">
        <v>0</v>
      </c>
      <c r="N119" t="inlineStr"/>
      <c r="O119" s="48" t="n">
        <v>2.15</v>
      </c>
      <c r="P119" s="48" t="n">
        <v>2.15</v>
      </c>
      <c r="Q119" s="40" t="inlineStr">
        <is>
          <t>D — Deprioritized</t>
        </is>
      </c>
      <c r="R119" s="37" t="n">
        <v>0</v>
      </c>
      <c r="S119" s="37" t="n">
        <v>0.018</v>
      </c>
      <c r="T119" s="37" t="n">
        <v>0.05500000000000001</v>
      </c>
      <c r="U119" s="37" t="n">
        <v>0.082</v>
      </c>
      <c r="V119" s="37" t="n">
        <v>0.1</v>
      </c>
      <c r="W119" s="38" t="n">
        <v>0</v>
      </c>
      <c r="X119" s="38" t="n">
        <v>0</v>
      </c>
      <c r="Y119" s="38" t="n">
        <v>0</v>
      </c>
      <c r="Z119" s="38" t="n">
        <v>0</v>
      </c>
      <c r="AA119" s="38" t="n">
        <v>0</v>
      </c>
    </row>
    <row r="120">
      <c r="A120" t="inlineStr">
        <is>
          <t>Saint Joseph Hospital (Intermountain Health)</t>
        </is>
      </c>
      <c r="B120" t="inlineStr">
        <is>
          <t>Hospital</t>
        </is>
      </c>
      <c r="C120" t="inlineStr"/>
      <c r="D120" t="n">
        <v>0</v>
      </c>
      <c r="E120" t="inlineStr">
        <is>
          <t>Intermountain Health (formerly SCL Health)</t>
        </is>
      </c>
      <c r="F120" t="inlineStr">
        <is>
          <t>Free</t>
        </is>
      </c>
      <c r="G120" s="38" t="n">
        <v>0</v>
      </c>
      <c r="H120" t="n">
        <v>3</v>
      </c>
      <c r="I120" t="n">
        <v>1</v>
      </c>
      <c r="J120" t="n">
        <v>2</v>
      </c>
      <c r="K120" t="n">
        <v>3</v>
      </c>
      <c r="L120" t="n">
        <v>2</v>
      </c>
      <c r="M120" s="48" t="n">
        <v>0</v>
      </c>
      <c r="N120" t="inlineStr"/>
      <c r="O120" s="48" t="n">
        <v>2.15</v>
      </c>
      <c r="P120" s="48" t="n">
        <v>2.15</v>
      </c>
      <c r="Q120" s="40" t="inlineStr">
        <is>
          <t>D — Deprioritized</t>
        </is>
      </c>
      <c r="R120" s="37" t="n">
        <v>0</v>
      </c>
      <c r="S120" s="37" t="n">
        <v>0.018</v>
      </c>
      <c r="T120" s="37" t="n">
        <v>0.05500000000000001</v>
      </c>
      <c r="U120" s="37" t="n">
        <v>0.082</v>
      </c>
      <c r="V120" s="37" t="n">
        <v>0.1</v>
      </c>
      <c r="W120" s="38" t="n">
        <v>0</v>
      </c>
      <c r="X120" s="38" t="n">
        <v>0</v>
      </c>
      <c r="Y120" s="38" t="n">
        <v>0</v>
      </c>
      <c r="Z120" s="38" t="n">
        <v>0</v>
      </c>
      <c r="AA120" s="38" t="n">
        <v>0</v>
      </c>
    </row>
    <row r="121">
      <c r="A121" t="inlineStr">
        <is>
          <t>St. Anthony Hospital (CommonSpirit/Centura)</t>
        </is>
      </c>
      <c r="B121" t="inlineStr">
        <is>
          <t>Hospital</t>
        </is>
      </c>
      <c r="C121" t="inlineStr"/>
      <c r="D121" t="n">
        <v>0</v>
      </c>
      <c r="E121" t="inlineStr">
        <is>
          <t>CommonSpirit Health (Centura Health)</t>
        </is>
      </c>
      <c r="F121" t="inlineStr">
        <is>
          <t>Unconfirmed</t>
        </is>
      </c>
      <c r="G121" s="38" t="n">
        <v>0</v>
      </c>
      <c r="H121" t="n">
        <v>3</v>
      </c>
      <c r="I121" t="n">
        <v>1</v>
      </c>
      <c r="J121" t="n">
        <v>2</v>
      </c>
      <c r="K121" t="n">
        <v>3</v>
      </c>
      <c r="L121" t="n">
        <v>2</v>
      </c>
      <c r="M121" s="48" t="n">
        <v>0</v>
      </c>
      <c r="N121" t="inlineStr"/>
      <c r="O121" s="48" t="n">
        <v>2.15</v>
      </c>
      <c r="P121" s="48" t="n">
        <v>2.15</v>
      </c>
      <c r="Q121" s="40" t="inlineStr">
        <is>
          <t>D — Deprioritized</t>
        </is>
      </c>
      <c r="R121" s="37" t="n">
        <v>0</v>
      </c>
      <c r="S121" s="37" t="n">
        <v>0.018</v>
      </c>
      <c r="T121" s="37" t="n">
        <v>0.05500000000000001</v>
      </c>
      <c r="U121" s="37" t="n">
        <v>0.082</v>
      </c>
      <c r="V121" s="37" t="n">
        <v>0.1</v>
      </c>
      <c r="W121" s="38" t="n">
        <v>0</v>
      </c>
      <c r="X121" s="38" t="n">
        <v>0</v>
      </c>
      <c r="Y121" s="38" t="n">
        <v>0</v>
      </c>
      <c r="Z121" s="38" t="n">
        <v>0</v>
      </c>
      <c r="AA121" s="38" t="n">
        <v>0</v>
      </c>
    </row>
    <row r="122">
      <c r="A122" t="inlineStr">
        <is>
          <t>Colorado Convention Center</t>
        </is>
      </c>
      <c r="B122" t="inlineStr">
        <is>
          <t>Event Venue</t>
        </is>
      </c>
      <c r="C122" t="inlineStr"/>
      <c r="D122" t="n">
        <v>0</v>
      </c>
      <c r="E122" t="inlineStr"/>
      <c r="F122" t="inlineStr">
        <is>
          <t>No (self-park only in on-site garage)</t>
        </is>
      </c>
      <c r="G122" s="38" t="n">
        <v>0</v>
      </c>
      <c r="H122" t="n">
        <v>4</v>
      </c>
      <c r="I122" t="n">
        <v>1</v>
      </c>
      <c r="J122" t="n">
        <v>2</v>
      </c>
      <c r="K122" t="n">
        <v>4</v>
      </c>
      <c r="L122" t="n">
        <v>2</v>
      </c>
      <c r="M122" s="48" t="n">
        <v>0</v>
      </c>
      <c r="N122" t="inlineStr"/>
      <c r="O122" s="48" t="n">
        <v>2.55</v>
      </c>
      <c r="P122" s="48" t="n">
        <v>2.55</v>
      </c>
      <c r="Q122" s="49" t="inlineStr">
        <is>
          <t>C — Opportunistic</t>
        </is>
      </c>
      <c r="R122" s="37" t="n">
        <v>0.02</v>
      </c>
      <c r="S122" s="37" t="n">
        <v>0.09724000000000002</v>
      </c>
      <c r="T122" s="37" t="n">
        <v>0.28625</v>
      </c>
      <c r="U122" s="37" t="n">
        <v>0.4145</v>
      </c>
      <c r="V122" s="37" t="n">
        <v>0.5</v>
      </c>
      <c r="W122" s="38" t="n">
        <v>0</v>
      </c>
      <c r="X122" s="38" t="n">
        <v>0</v>
      </c>
      <c r="Y122" s="38" t="n">
        <v>0</v>
      </c>
      <c r="Z122" s="38" t="n">
        <v>0</v>
      </c>
      <c r="AA122" s="38" t="n">
        <v>0</v>
      </c>
    </row>
    <row r="123">
      <c r="A123" t="inlineStr">
        <is>
          <t>Denver Performing Arts Complex (DPAC) / Bellco Theatre</t>
        </is>
      </c>
      <c r="B123" t="inlineStr">
        <is>
          <t>Event Venue</t>
        </is>
      </c>
      <c r="C123" t="inlineStr"/>
      <c r="D123" t="n">
        <v>0</v>
      </c>
      <c r="E123" t="inlineStr"/>
      <c r="F123" t="inlineStr">
        <is>
          <t>Jay's Valet: 303-777-JAYS (5297) for private arrangements</t>
        </is>
      </c>
      <c r="G123" s="38" t="n">
        <v>0</v>
      </c>
      <c r="H123" t="n">
        <v>4</v>
      </c>
      <c r="I123" t="n">
        <v>1</v>
      </c>
      <c r="J123" t="n">
        <v>2</v>
      </c>
      <c r="K123" t="n">
        <v>4</v>
      </c>
      <c r="L123" t="n">
        <v>2</v>
      </c>
      <c r="M123" s="48" t="n">
        <v>0</v>
      </c>
      <c r="N123" t="inlineStr"/>
      <c r="O123" s="48" t="n">
        <v>2.55</v>
      </c>
      <c r="P123" s="48" t="n">
        <v>2.55</v>
      </c>
      <c r="Q123" s="49" t="inlineStr">
        <is>
          <t>C — Opportunistic</t>
        </is>
      </c>
      <c r="R123" s="37" t="n">
        <v>0.02</v>
      </c>
      <c r="S123" s="37" t="n">
        <v>0.09724000000000002</v>
      </c>
      <c r="T123" s="37" t="n">
        <v>0.28625</v>
      </c>
      <c r="U123" s="37" t="n">
        <v>0.4145</v>
      </c>
      <c r="V123" s="37" t="n">
        <v>0.5</v>
      </c>
      <c r="W123" s="38" t="n">
        <v>0</v>
      </c>
      <c r="X123" s="38" t="n">
        <v>0</v>
      </c>
      <c r="Y123" s="38" t="n">
        <v>0</v>
      </c>
      <c r="Z123" s="38" t="n">
        <v>0</v>
      </c>
      <c r="AA123" s="38" t="n">
        <v>0</v>
      </c>
    </row>
    <row r="124">
      <c r="A124" t="inlineStr">
        <is>
          <t>Ellie Caulkins Opera House</t>
        </is>
      </c>
      <c r="B124" t="inlineStr">
        <is>
          <t>Event Venue</t>
        </is>
      </c>
      <c r="C124" t="inlineStr"/>
      <c r="D124" t="n">
        <v>0</v>
      </c>
      <c r="E124" t="inlineStr"/>
      <c r="F124" t="inlineStr">
        <is>
          <t>Opera Colorado offers complimentary valet at rehearsal studio events (4121 S Navajo St, Englewood)</t>
        </is>
      </c>
      <c r="G124" s="38" t="n">
        <v>0</v>
      </c>
      <c r="H124" t="n">
        <v>4</v>
      </c>
      <c r="I124" t="n">
        <v>1</v>
      </c>
      <c r="J124" t="n">
        <v>2</v>
      </c>
      <c r="K124" t="n">
        <v>4</v>
      </c>
      <c r="L124" t="n">
        <v>2</v>
      </c>
      <c r="M124" s="48" t="n">
        <v>0</v>
      </c>
      <c r="N124" t="inlineStr"/>
      <c r="O124" s="48" t="n">
        <v>2.55</v>
      </c>
      <c r="P124" s="48" t="n">
        <v>2.55</v>
      </c>
      <c r="Q124" s="49" t="inlineStr">
        <is>
          <t>C — Opportunistic</t>
        </is>
      </c>
      <c r="R124" s="37" t="n">
        <v>0.02</v>
      </c>
      <c r="S124" s="37" t="n">
        <v>0.09724000000000002</v>
      </c>
      <c r="T124" s="37" t="n">
        <v>0.28625</v>
      </c>
      <c r="U124" s="37" t="n">
        <v>0.4145</v>
      </c>
      <c r="V124" s="37" t="n">
        <v>0.5</v>
      </c>
      <c r="W124" s="38" t="n">
        <v>0</v>
      </c>
      <c r="X124" s="38" t="n">
        <v>0</v>
      </c>
      <c r="Y124" s="38" t="n">
        <v>0</v>
      </c>
      <c r="Z124" s="38" t="n">
        <v>0</v>
      </c>
      <c r="AA124" s="38" t="n">
        <v>0</v>
      </c>
    </row>
    <row r="125">
      <c r="A125" t="inlineStr">
        <is>
          <t>Boettcher Concert Hall</t>
        </is>
      </c>
      <c r="B125" t="inlineStr">
        <is>
          <t>Event Venue</t>
        </is>
      </c>
      <c r="C125" t="inlineStr"/>
      <c r="D125" t="n">
        <v>0</v>
      </c>
      <c r="E125" t="inlineStr"/>
      <c r="F125" t="inlineStr">
        <is>
          <t>Jay's Valet: 303-777-JAYS (5297)</t>
        </is>
      </c>
      <c r="G125" s="38" t="n">
        <v>0</v>
      </c>
      <c r="H125" t="n">
        <v>4</v>
      </c>
      <c r="I125" t="n">
        <v>1</v>
      </c>
      <c r="J125" t="n">
        <v>2</v>
      </c>
      <c r="K125" t="n">
        <v>4</v>
      </c>
      <c r="L125" t="n">
        <v>2</v>
      </c>
      <c r="M125" s="48" t="n">
        <v>0</v>
      </c>
      <c r="N125" t="inlineStr"/>
      <c r="O125" s="48" t="n">
        <v>2.55</v>
      </c>
      <c r="P125" s="48" t="n">
        <v>2.55</v>
      </c>
      <c r="Q125" s="49" t="inlineStr">
        <is>
          <t>C — Opportunistic</t>
        </is>
      </c>
      <c r="R125" s="37" t="n">
        <v>0.02</v>
      </c>
      <c r="S125" s="37" t="n">
        <v>0.09724000000000002</v>
      </c>
      <c r="T125" s="37" t="n">
        <v>0.28625</v>
      </c>
      <c r="U125" s="37" t="n">
        <v>0.4145</v>
      </c>
      <c r="V125" s="37" t="n">
        <v>0.5</v>
      </c>
      <c r="W125" s="38" t="n">
        <v>0</v>
      </c>
      <c r="X125" s="38" t="n">
        <v>0</v>
      </c>
      <c r="Y125" s="38" t="n">
        <v>0</v>
      </c>
      <c r="Z125" s="38" t="n">
        <v>0</v>
      </c>
      <c r="AA125" s="38" t="n">
        <v>0</v>
      </c>
    </row>
    <row r="126">
      <c r="A126" t="inlineStr">
        <is>
          <t>Ball Arena</t>
        </is>
      </c>
      <c r="B126" t="inlineStr">
        <is>
          <t>Event Venue</t>
        </is>
      </c>
      <c r="C126" t="inlineStr"/>
      <c r="D126" t="n">
        <v>0</v>
      </c>
      <c r="E126" t="inlineStr"/>
      <c r="F126" t="inlineStr">
        <is>
          <t>Mammoth Games: $85 | Concerts &amp; Other Events: $90-$95 (permit/Club Lexus for Nuggets/Avalanche games)</t>
        </is>
      </c>
      <c r="G126" s="38" t="n">
        <v>0</v>
      </c>
      <c r="H126" t="n">
        <v>4</v>
      </c>
      <c r="I126" t="n">
        <v>1</v>
      </c>
      <c r="J126" t="n">
        <v>2</v>
      </c>
      <c r="K126" t="n">
        <v>4</v>
      </c>
      <c r="L126" t="n">
        <v>2</v>
      </c>
      <c r="M126" s="48" t="n">
        <v>0</v>
      </c>
      <c r="N126" t="inlineStr"/>
      <c r="O126" s="48" t="n">
        <v>2.55</v>
      </c>
      <c r="P126" s="48" t="n">
        <v>2.55</v>
      </c>
      <c r="Q126" s="49" t="inlineStr">
        <is>
          <t>C — Opportunistic</t>
        </is>
      </c>
      <c r="R126" s="37" t="n">
        <v>0.02</v>
      </c>
      <c r="S126" s="37" t="n">
        <v>0.09724000000000002</v>
      </c>
      <c r="T126" s="37" t="n">
        <v>0.28625</v>
      </c>
      <c r="U126" s="37" t="n">
        <v>0.4145</v>
      </c>
      <c r="V126" s="37" t="n">
        <v>0.5</v>
      </c>
      <c r="W126" s="38" t="n">
        <v>0</v>
      </c>
      <c r="X126" s="38" t="n">
        <v>0</v>
      </c>
      <c r="Y126" s="38" t="n">
        <v>0</v>
      </c>
      <c r="Z126" s="38" t="n">
        <v>0</v>
      </c>
      <c r="AA126" s="38" t="n">
        <v>0</v>
      </c>
    </row>
    <row r="127">
      <c r="A127" t="inlineStr">
        <is>
          <t>Empower Field at Mile High</t>
        </is>
      </c>
      <c r="B127" t="inlineStr">
        <is>
          <t>Event Venue</t>
        </is>
      </c>
      <c r="C127" t="inlineStr"/>
      <c r="D127" t="n">
        <v>0</v>
      </c>
      <c r="E127" t="inlineStr"/>
      <c r="F127" t="inlineStr">
        <is>
          <t>No (on-site lots only; no traditional valet)</t>
        </is>
      </c>
      <c r="G127" s="38" t="n">
        <v>0</v>
      </c>
      <c r="H127" t="n">
        <v>4</v>
      </c>
      <c r="I127" t="n">
        <v>1</v>
      </c>
      <c r="J127" t="n">
        <v>2</v>
      </c>
      <c r="K127" t="n">
        <v>4</v>
      </c>
      <c r="L127" t="n">
        <v>2</v>
      </c>
      <c r="M127" s="48" t="n">
        <v>0</v>
      </c>
      <c r="N127" t="inlineStr"/>
      <c r="O127" s="48" t="n">
        <v>2.55</v>
      </c>
      <c r="P127" s="48" t="n">
        <v>2.55</v>
      </c>
      <c r="Q127" s="49" t="inlineStr">
        <is>
          <t>C — Opportunistic</t>
        </is>
      </c>
      <c r="R127" s="37" t="n">
        <v>0.02</v>
      </c>
      <c r="S127" s="37" t="n">
        <v>0.09724000000000002</v>
      </c>
      <c r="T127" s="37" t="n">
        <v>0.28625</v>
      </c>
      <c r="U127" s="37" t="n">
        <v>0.4145</v>
      </c>
      <c r="V127" s="37" t="n">
        <v>0.5</v>
      </c>
      <c r="W127" s="38" t="n">
        <v>0</v>
      </c>
      <c r="X127" s="38" t="n">
        <v>0</v>
      </c>
      <c r="Y127" s="38" t="n">
        <v>0</v>
      </c>
      <c r="Z127" s="38" t="n">
        <v>0</v>
      </c>
      <c r="AA127" s="38" t="n">
        <v>0</v>
      </c>
    </row>
    <row r="128">
      <c r="A128" t="inlineStr">
        <is>
          <t>Coors Field</t>
        </is>
      </c>
      <c r="B128" t="inlineStr">
        <is>
          <t>Event Venue</t>
        </is>
      </c>
      <c r="C128" t="inlineStr"/>
      <c r="D128" t="n">
        <v>0</v>
      </c>
      <c r="E128" t="inlineStr"/>
      <c r="F128" t="inlineStr">
        <is>
          <t>Starting at $35 per vehicle (VIP Lot)</t>
        </is>
      </c>
      <c r="G128" s="38" t="n">
        <v>0</v>
      </c>
      <c r="H128" t="n">
        <v>4</v>
      </c>
      <c r="I128" t="n">
        <v>1</v>
      </c>
      <c r="J128" t="n">
        <v>2</v>
      </c>
      <c r="K128" t="n">
        <v>4</v>
      </c>
      <c r="L128" t="n">
        <v>2</v>
      </c>
      <c r="M128" s="48" t="n">
        <v>0</v>
      </c>
      <c r="N128" t="inlineStr"/>
      <c r="O128" s="48" t="n">
        <v>2.55</v>
      </c>
      <c r="P128" s="48" t="n">
        <v>2.55</v>
      </c>
      <c r="Q128" s="49" t="inlineStr">
        <is>
          <t>C — Opportunistic</t>
        </is>
      </c>
      <c r="R128" s="37" t="n">
        <v>0.02</v>
      </c>
      <c r="S128" s="37" t="n">
        <v>0.09724000000000002</v>
      </c>
      <c r="T128" s="37" t="n">
        <v>0.28625</v>
      </c>
      <c r="U128" s="37" t="n">
        <v>0.4145</v>
      </c>
      <c r="V128" s="37" t="n">
        <v>0.5</v>
      </c>
      <c r="W128" s="38" t="n">
        <v>0</v>
      </c>
      <c r="X128" s="38" t="n">
        <v>0</v>
      </c>
      <c r="Y128" s="38" t="n">
        <v>0</v>
      </c>
      <c r="Z128" s="38" t="n">
        <v>0</v>
      </c>
      <c r="AA128" s="38" t="n">
        <v>0</v>
      </c>
    </row>
    <row r="129">
      <c r="A129" t="inlineStr">
        <is>
          <t>Red Rocks Amphitheatre</t>
        </is>
      </c>
      <c r="B129" t="inlineStr">
        <is>
          <t>Event Venue</t>
        </is>
      </c>
      <c r="C129" t="inlineStr"/>
      <c r="D129" t="n">
        <v>0</v>
      </c>
      <c r="E129" t="inlineStr"/>
      <c r="F129" t="inlineStr">
        <is>
          <t>No</t>
        </is>
      </c>
      <c r="G129" s="38" t="n">
        <v>0</v>
      </c>
      <c r="H129" t="n">
        <v>4</v>
      </c>
      <c r="I129" t="n">
        <v>1</v>
      </c>
      <c r="J129" t="n">
        <v>2</v>
      </c>
      <c r="K129" t="n">
        <v>4</v>
      </c>
      <c r="L129" t="n">
        <v>2</v>
      </c>
      <c r="M129" s="48" t="n">
        <v>0</v>
      </c>
      <c r="N129" t="inlineStr"/>
      <c r="O129" s="48" t="n">
        <v>2.55</v>
      </c>
      <c r="P129" s="48" t="n">
        <v>2.55</v>
      </c>
      <c r="Q129" s="49" t="inlineStr">
        <is>
          <t>C — Opportunistic</t>
        </is>
      </c>
      <c r="R129" s="37" t="n">
        <v>0.02</v>
      </c>
      <c r="S129" s="37" t="n">
        <v>0.09724000000000002</v>
      </c>
      <c r="T129" s="37" t="n">
        <v>0.28625</v>
      </c>
      <c r="U129" s="37" t="n">
        <v>0.4145</v>
      </c>
      <c r="V129" s="37" t="n">
        <v>0.5</v>
      </c>
      <c r="W129" s="38" t="n">
        <v>0</v>
      </c>
      <c r="X129" s="38" t="n">
        <v>0</v>
      </c>
      <c r="Y129" s="38" t="n">
        <v>0</v>
      </c>
      <c r="Z129" s="38" t="n">
        <v>0</v>
      </c>
      <c r="AA129" s="38" t="n">
        <v>0</v>
      </c>
    </row>
    <row r="130">
      <c r="A130" t="inlineStr">
        <is>
          <t>Mission Ballroom</t>
        </is>
      </c>
      <c r="B130" t="inlineStr">
        <is>
          <t>Event Venue</t>
        </is>
      </c>
      <c r="C130" t="inlineStr"/>
      <c r="D130" t="n">
        <v>0</v>
      </c>
      <c r="E130" t="inlineStr"/>
      <c r="F130" t="inlineStr">
        <is>
          <t>No (self-park paid lots only)</t>
        </is>
      </c>
      <c r="G130" s="38" t="n">
        <v>0</v>
      </c>
      <c r="H130" t="n">
        <v>4</v>
      </c>
      <c r="I130" t="n">
        <v>1</v>
      </c>
      <c r="J130" t="n">
        <v>2</v>
      </c>
      <c r="K130" t="n">
        <v>4</v>
      </c>
      <c r="L130" t="n">
        <v>2</v>
      </c>
      <c r="M130" s="48" t="n">
        <v>0</v>
      </c>
      <c r="N130" t="inlineStr"/>
      <c r="O130" s="48" t="n">
        <v>2.55</v>
      </c>
      <c r="P130" s="48" t="n">
        <v>2.55</v>
      </c>
      <c r="Q130" s="49" t="inlineStr">
        <is>
          <t>C — Opportunistic</t>
        </is>
      </c>
      <c r="R130" s="37" t="n">
        <v>0.02</v>
      </c>
      <c r="S130" s="37" t="n">
        <v>0.09724000000000002</v>
      </c>
      <c r="T130" s="37" t="n">
        <v>0.28625</v>
      </c>
      <c r="U130" s="37" t="n">
        <v>0.4145</v>
      </c>
      <c r="V130" s="37" t="n">
        <v>0.5</v>
      </c>
      <c r="W130" s="38" t="n">
        <v>0</v>
      </c>
      <c r="X130" s="38" t="n">
        <v>0</v>
      </c>
      <c r="Y130" s="38" t="n">
        <v>0</v>
      </c>
      <c r="Z130" s="38" t="n">
        <v>0</v>
      </c>
      <c r="AA130" s="38" t="n">
        <v>0</v>
      </c>
    </row>
    <row r="131">
      <c r="A131" t="inlineStr">
        <is>
          <t>Denver Botanic Gardens (York Street)</t>
        </is>
      </c>
      <c r="B131" t="inlineStr">
        <is>
          <t>Event Venue</t>
        </is>
      </c>
      <c r="C131" t="inlineStr"/>
      <c r="D131" t="n">
        <v>0</v>
      </c>
      <c r="E131" t="inlineStr"/>
      <c r="F131" t="inlineStr">
        <is>
          <t>Not confirmed for standard events</t>
        </is>
      </c>
      <c r="G131" s="38" t="n">
        <v>0</v>
      </c>
      <c r="H131" t="n">
        <v>4</v>
      </c>
      <c r="I131" t="n">
        <v>1</v>
      </c>
      <c r="J131" t="n">
        <v>2</v>
      </c>
      <c r="K131" t="n">
        <v>4</v>
      </c>
      <c r="L131" t="n">
        <v>2</v>
      </c>
      <c r="M131" s="48" t="n">
        <v>0</v>
      </c>
      <c r="N131" t="inlineStr"/>
      <c r="O131" s="48" t="n">
        <v>2.55</v>
      </c>
      <c r="P131" s="48" t="n">
        <v>2.55</v>
      </c>
      <c r="Q131" s="49" t="inlineStr">
        <is>
          <t>C — Opportunistic</t>
        </is>
      </c>
      <c r="R131" s="37" t="n">
        <v>0.02</v>
      </c>
      <c r="S131" s="37" t="n">
        <v>0.09724000000000002</v>
      </c>
      <c r="T131" s="37" t="n">
        <v>0.28625</v>
      </c>
      <c r="U131" s="37" t="n">
        <v>0.4145</v>
      </c>
      <c r="V131" s="37" t="n">
        <v>0.5</v>
      </c>
      <c r="W131" s="38" t="n">
        <v>0</v>
      </c>
      <c r="X131" s="38" t="n">
        <v>0</v>
      </c>
      <c r="Y131" s="38" t="n">
        <v>0</v>
      </c>
      <c r="Z131" s="38" t="n">
        <v>0</v>
      </c>
      <c r="AA131" s="38" t="n">
        <v>0</v>
      </c>
    </row>
    <row r="132">
      <c r="A132" t="inlineStr">
        <is>
          <t>Denver Art Museum</t>
        </is>
      </c>
      <c r="B132" t="inlineStr">
        <is>
          <t>Event Venue</t>
        </is>
      </c>
      <c r="C132" t="inlineStr"/>
      <c r="D132" t="n">
        <v>0</v>
      </c>
      <c r="E132" t="inlineStr"/>
      <c r="F132" t="inlineStr">
        <is>
          <t>No (Cultural Center Complex Garage for self-park)</t>
        </is>
      </c>
      <c r="G132" s="38" t="n">
        <v>0</v>
      </c>
      <c r="H132" t="n">
        <v>4</v>
      </c>
      <c r="I132" t="n">
        <v>1</v>
      </c>
      <c r="J132" t="n">
        <v>2</v>
      </c>
      <c r="K132" t="n">
        <v>4</v>
      </c>
      <c r="L132" t="n">
        <v>2</v>
      </c>
      <c r="M132" s="48" t="n">
        <v>0</v>
      </c>
      <c r="N132" t="inlineStr"/>
      <c r="O132" s="48" t="n">
        <v>2.55</v>
      </c>
      <c r="P132" s="48" t="n">
        <v>2.55</v>
      </c>
      <c r="Q132" s="49" t="inlineStr">
        <is>
          <t>C — Opportunistic</t>
        </is>
      </c>
      <c r="R132" s="37" t="n">
        <v>0.02</v>
      </c>
      <c r="S132" s="37" t="n">
        <v>0.09724000000000002</v>
      </c>
      <c r="T132" s="37" t="n">
        <v>0.28625</v>
      </c>
      <c r="U132" s="37" t="n">
        <v>0.4145</v>
      </c>
      <c r="V132" s="37" t="n">
        <v>0.5</v>
      </c>
      <c r="W132" s="38" t="n">
        <v>0</v>
      </c>
      <c r="X132" s="38" t="n">
        <v>0</v>
      </c>
      <c r="Y132" s="38" t="n">
        <v>0</v>
      </c>
      <c r="Z132" s="38" t="n">
        <v>0</v>
      </c>
      <c r="AA132" s="38" t="n">
        <v>0</v>
      </c>
    </row>
    <row r="133">
      <c r="A133" t="inlineStr">
        <is>
          <t>History Colorado Center</t>
        </is>
      </c>
      <c r="B133" t="inlineStr">
        <is>
          <t>Event Venue</t>
        </is>
      </c>
      <c r="C133" t="inlineStr"/>
      <c r="D133" t="n">
        <v>0</v>
      </c>
      <c r="E133" t="inlineStr"/>
      <c r="F133" t="inlineStr">
        <is>
          <t>Possible for private events (unconfirmed)</t>
        </is>
      </c>
      <c r="G133" s="38" t="n">
        <v>0</v>
      </c>
      <c r="H133" t="n">
        <v>4</v>
      </c>
      <c r="I133" t="n">
        <v>1</v>
      </c>
      <c r="J133" t="n">
        <v>2</v>
      </c>
      <c r="K133" t="n">
        <v>4</v>
      </c>
      <c r="L133" t="n">
        <v>2</v>
      </c>
      <c r="M133" s="48" t="n">
        <v>0</v>
      </c>
      <c r="N133" t="inlineStr"/>
      <c r="O133" s="48" t="n">
        <v>2.55</v>
      </c>
      <c r="P133" s="48" t="n">
        <v>2.55</v>
      </c>
      <c r="Q133" s="49" t="inlineStr">
        <is>
          <t>C — Opportunistic</t>
        </is>
      </c>
      <c r="R133" s="37" t="n">
        <v>0.02</v>
      </c>
      <c r="S133" s="37" t="n">
        <v>0.09724000000000002</v>
      </c>
      <c r="T133" s="37" t="n">
        <v>0.28625</v>
      </c>
      <c r="U133" s="37" t="n">
        <v>0.4145</v>
      </c>
      <c r="V133" s="37" t="n">
        <v>0.5</v>
      </c>
      <c r="W133" s="38" t="n">
        <v>0</v>
      </c>
      <c r="X133" s="38" t="n">
        <v>0</v>
      </c>
      <c r="Y133" s="38" t="n">
        <v>0</v>
      </c>
      <c r="Z133" s="38" t="n">
        <v>0</v>
      </c>
      <c r="AA133" s="38" t="n">
        <v>0</v>
      </c>
    </row>
    <row r="134">
      <c r="A134" t="inlineStr">
        <is>
          <t>Wings Over the Rockies Air &amp; Space Museum</t>
        </is>
      </c>
      <c r="B134" t="inlineStr">
        <is>
          <t>Event Venue</t>
        </is>
      </c>
      <c r="C134" t="inlineStr"/>
      <c r="D134" t="n">
        <v>0</v>
      </c>
      <c r="E134" t="inlineStr"/>
      <c r="F134" t="inlineStr">
        <is>
          <t>No (free self-parking available)</t>
        </is>
      </c>
      <c r="G134" s="38" t="n">
        <v>0</v>
      </c>
      <c r="H134" t="n">
        <v>4</v>
      </c>
      <c r="I134" t="n">
        <v>1</v>
      </c>
      <c r="J134" t="n">
        <v>2</v>
      </c>
      <c r="K134" t="n">
        <v>4</v>
      </c>
      <c r="L134" t="n">
        <v>2</v>
      </c>
      <c r="M134" s="48" t="n">
        <v>0</v>
      </c>
      <c r="N134" t="inlineStr"/>
      <c r="O134" s="48" t="n">
        <v>2.55</v>
      </c>
      <c r="P134" s="48" t="n">
        <v>2.55</v>
      </c>
      <c r="Q134" s="49" t="inlineStr">
        <is>
          <t>C — Opportunistic</t>
        </is>
      </c>
      <c r="R134" s="37" t="n">
        <v>0.02</v>
      </c>
      <c r="S134" s="37" t="n">
        <v>0.09724000000000002</v>
      </c>
      <c r="T134" s="37" t="n">
        <v>0.28625</v>
      </c>
      <c r="U134" s="37" t="n">
        <v>0.4145</v>
      </c>
      <c r="V134" s="37" t="n">
        <v>0.5</v>
      </c>
      <c r="W134" s="38" t="n">
        <v>0</v>
      </c>
      <c r="X134" s="38" t="n">
        <v>0</v>
      </c>
      <c r="Y134" s="38" t="n">
        <v>0</v>
      </c>
      <c r="Z134" s="38" t="n">
        <v>0</v>
      </c>
      <c r="AA134" s="38" t="n">
        <v>0</v>
      </c>
    </row>
    <row r="135">
      <c r="A135" t="inlineStr">
        <is>
          <t>McGregor Square</t>
        </is>
      </c>
      <c r="B135" t="inlineStr">
        <is>
          <t>Event Venue</t>
        </is>
      </c>
      <c r="C135" t="inlineStr"/>
      <c r="D135" t="n">
        <v>0</v>
      </c>
      <c r="E135" t="inlineStr"/>
      <c r="F135" t="inlineStr">
        <is>
          <t>$49.00 per car per day (Rally Hotel valet at 1950 Wazee Street)</t>
        </is>
      </c>
      <c r="G135" s="38" t="n">
        <v>0</v>
      </c>
      <c r="H135" t="n">
        <v>4</v>
      </c>
      <c r="I135" t="n">
        <v>1</v>
      </c>
      <c r="J135" t="n">
        <v>2</v>
      </c>
      <c r="K135" t="n">
        <v>4</v>
      </c>
      <c r="L135" t="n">
        <v>2</v>
      </c>
      <c r="M135" s="48" t="n">
        <v>0</v>
      </c>
      <c r="N135" t="inlineStr"/>
      <c r="O135" s="48" t="n">
        <v>2.55</v>
      </c>
      <c r="P135" s="48" t="n">
        <v>2.55</v>
      </c>
      <c r="Q135" s="49" t="inlineStr">
        <is>
          <t>C — Opportunistic</t>
        </is>
      </c>
      <c r="R135" s="37" t="n">
        <v>0.02</v>
      </c>
      <c r="S135" s="37" t="n">
        <v>0.09724000000000002</v>
      </c>
      <c r="T135" s="37" t="n">
        <v>0.28625</v>
      </c>
      <c r="U135" s="37" t="n">
        <v>0.4145</v>
      </c>
      <c r="V135" s="37" t="n">
        <v>0.5</v>
      </c>
      <c r="W135" s="38" t="n">
        <v>0</v>
      </c>
      <c r="X135" s="38" t="n">
        <v>0</v>
      </c>
      <c r="Y135" s="38" t="n">
        <v>0</v>
      </c>
      <c r="Z135" s="38" t="n">
        <v>0</v>
      </c>
      <c r="AA135" s="38" t="n">
        <v>0</v>
      </c>
    </row>
    <row r="136">
      <c r="A136" t="inlineStr">
        <is>
          <t>Denver International Airport (DEN)</t>
        </is>
      </c>
      <c r="B136" t="inlineStr">
        <is>
          <t>Airport</t>
        </is>
      </c>
      <c r="C136" t="inlineStr">
        <is>
          <t>NO</t>
        </is>
      </c>
      <c r="D136" t="n">
        <v>0</v>
      </c>
      <c r="E136" t="inlineStr">
        <is>
          <t>LAZ Parking</t>
        </is>
      </c>
      <c r="F136" t="inlineStr">
        <is>
          <t>$54-$59/day</t>
        </is>
      </c>
      <c r="G136" s="38" t="n">
        <v>0</v>
      </c>
      <c r="H136" t="n">
        <v>2</v>
      </c>
      <c r="I136" t="n">
        <v>1</v>
      </c>
      <c r="J136" t="n">
        <v>2</v>
      </c>
      <c r="K136" t="n">
        <v>3</v>
      </c>
      <c r="L136" t="n">
        <v>2</v>
      </c>
      <c r="M136" s="48" t="n">
        <v>0</v>
      </c>
      <c r="N136" t="inlineStr"/>
      <c r="O136" s="48" t="n">
        <v>1.9</v>
      </c>
      <c r="P136" s="48" t="n">
        <v>1.9</v>
      </c>
      <c r="Q136" s="40" t="inlineStr">
        <is>
          <t>D — Deprioritized</t>
        </is>
      </c>
      <c r="R136" s="37" t="n">
        <v>0</v>
      </c>
      <c r="S136" s="37" t="n">
        <v>0.018</v>
      </c>
      <c r="T136" s="37" t="n">
        <v>0.05500000000000001</v>
      </c>
      <c r="U136" s="37" t="n">
        <v>0.082</v>
      </c>
      <c r="V136" s="37" t="n">
        <v>0.1</v>
      </c>
      <c r="W136" s="38" t="n">
        <v>0</v>
      </c>
      <c r="X136" s="38" t="n">
        <v>0</v>
      </c>
      <c r="Y136" s="38" t="n">
        <v>0</v>
      </c>
      <c r="Z136" s="38" t="n">
        <v>0</v>
      </c>
      <c r="AA136" s="3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style="34" min="1" max="1"/>
    <col width="14" customWidth="1" style="34" min="2" max="2"/>
    <col width="16" customWidth="1" style="34" min="3" max="3"/>
    <col width="14" customWidth="1" style="34" min="4" max="4"/>
    <col width="14" customWidth="1" style="34" min="5" max="5"/>
    <col width="14" customWidth="1" style="34" min="6" max="6"/>
    <col width="14" customWidth="1" style="34" min="7" max="7"/>
    <col width="14" customWidth="1" style="34" min="8" max="8"/>
  </cols>
  <sheetData>
    <row r="1">
      <c r="A1" s="41" t="inlineStr">
        <is>
          <t>SOPHI Denver — WAS v2 SOM Projection (state = COLD)</t>
        </is>
      </c>
    </row>
    <row r="2">
      <c r="A2" s="52" t="inlineStr">
        <is>
          <t>Cold/Warm curves · S-curve ramp · Diversification multiplier · Relationship ledger</t>
        </is>
      </c>
    </row>
    <row r="4">
      <c r="A4" s="42" t="inlineStr">
        <is>
          <t>Tier</t>
        </is>
      </c>
      <c r="B4" s="42" t="inlineStr">
        <is>
          <t># Accts</t>
        </is>
      </c>
      <c r="C4" s="42" t="inlineStr">
        <is>
          <t>Total TAM</t>
        </is>
      </c>
      <c r="D4" s="42" t="inlineStr">
        <is>
          <t>Y1</t>
        </is>
      </c>
      <c r="E4" s="42" t="inlineStr">
        <is>
          <t>Y2</t>
        </is>
      </c>
      <c r="F4" s="42" t="inlineStr">
        <is>
          <t>Y3</t>
        </is>
      </c>
      <c r="G4" s="42" t="inlineStr">
        <is>
          <t>Y4</t>
        </is>
      </c>
      <c r="H4" s="42" t="inlineStr">
        <is>
          <t>Y5</t>
        </is>
      </c>
    </row>
    <row r="5">
      <c r="A5" s="51" t="inlineStr">
        <is>
          <t>A — Beachhead</t>
        </is>
      </c>
      <c r="B5" t="n">
        <v>1</v>
      </c>
      <c r="C5" s="38" t="n">
        <v>7166534.4</v>
      </c>
      <c r="D5" s="38" t="n">
        <v>2866613.76</v>
      </c>
      <c r="E5" s="38" t="n">
        <v>3576100.6656</v>
      </c>
      <c r="F5" s="38" t="n">
        <v>5034490.416</v>
      </c>
      <c r="G5" s="38" t="n">
        <v>6098720.7744</v>
      </c>
      <c r="H5" s="38" t="n">
        <v>6808207.68</v>
      </c>
    </row>
    <row r="6">
      <c r="A6" s="50" t="inlineStr">
        <is>
          <t>B — Core</t>
        </is>
      </c>
      <c r="B6" t="n">
        <v>14</v>
      </c>
      <c r="C6" s="38" t="n">
        <v>30254256</v>
      </c>
      <c r="D6" s="38" t="n">
        <v>2420340.48</v>
      </c>
      <c r="E6" s="38" t="n">
        <v>6675904.12896</v>
      </c>
      <c r="F6" s="38" t="n">
        <v>16961292.27</v>
      </c>
      <c r="G6" s="38" t="n">
        <v>23802535.908</v>
      </c>
      <c r="H6" s="38" t="n">
        <v>28363365</v>
      </c>
    </row>
    <row r="7">
      <c r="A7" s="49" t="inlineStr">
        <is>
          <t>C — Opportunistic</t>
        </is>
      </c>
      <c r="B7" t="n">
        <v>73</v>
      </c>
      <c r="C7" s="38" t="n">
        <v>18644517.9</v>
      </c>
      <c r="D7" s="38" t="n">
        <v>372890.358</v>
      </c>
      <c r="E7" s="38" t="n">
        <v>1812992.920596</v>
      </c>
      <c r="F7" s="38" t="n">
        <v>5336993.248875</v>
      </c>
      <c r="G7" s="38" t="n">
        <v>7728152.66955</v>
      </c>
      <c r="H7" s="38" t="n">
        <v>9322258.949999999</v>
      </c>
    </row>
    <row r="8">
      <c r="A8" s="40" t="inlineStr">
        <is>
          <t>D — Deprioritized</t>
        </is>
      </c>
      <c r="B8" t="n">
        <v>47</v>
      </c>
      <c r="C8" s="38" t="n">
        <v>3221629.2</v>
      </c>
      <c r="D8" s="38" t="n">
        <v>0</v>
      </c>
      <c r="E8" s="38" t="n">
        <v>57989.3256</v>
      </c>
      <c r="F8" s="38" t="n">
        <v>177189.606</v>
      </c>
      <c r="G8" s="38" t="n">
        <v>264173.5944</v>
      </c>
      <c r="H8" s="38" t="n">
        <v>322162.92</v>
      </c>
    </row>
    <row r="9">
      <c r="A9" s="43" t="inlineStr">
        <is>
          <t>TOTAL (uncapped)</t>
        </is>
      </c>
      <c r="B9" s="43" t="n">
        <v>135</v>
      </c>
      <c r="C9" s="44" t="n">
        <v>59286937.5</v>
      </c>
      <c r="D9" s="44" t="n">
        <v>5659844.598</v>
      </c>
      <c r="E9" s="44" t="n">
        <v>12122987.040756</v>
      </c>
      <c r="F9" s="44" t="n">
        <v>27509965.540875</v>
      </c>
      <c r="G9" s="44" t="n">
        <v>37893582.94635</v>
      </c>
      <c r="H9" s="44" t="n">
        <v>44815994.55</v>
      </c>
    </row>
    <row r="11">
      <c r="A11" s="45" t="inlineStr">
        <is>
          <t>CAPACITY-CAPPED SOM (single CM, 10 new accts/yr)</t>
        </is>
      </c>
    </row>
    <row r="12">
      <c r="A12" t="inlineStr">
        <is>
          <t>Tier A+B, ranked by Y1 rev, cumulative 10/yr signing pace</t>
        </is>
      </c>
    </row>
    <row r="13">
      <c r="A13" s="43" t="inlineStr"/>
      <c r="B13" s="43" t="inlineStr">
        <is>
          <t>Accts Signed</t>
        </is>
      </c>
      <c r="C13" s="43" t="inlineStr"/>
      <c r="D13" s="43" t="inlineStr">
        <is>
          <t>Y1 SOM</t>
        </is>
      </c>
      <c r="E13" s="43" t="inlineStr">
        <is>
          <t>Y2 SOM</t>
        </is>
      </c>
      <c r="F13" s="43" t="inlineStr">
        <is>
          <t>Y3 SOM</t>
        </is>
      </c>
      <c r="G13" s="43" t="inlineStr">
        <is>
          <t>Y4 SOM</t>
        </is>
      </c>
      <c r="H13" s="43" t="inlineStr">
        <is>
          <t>Y5 SOM</t>
        </is>
      </c>
    </row>
    <row r="14">
      <c r="B14" t="inlineStr">
        <is>
          <t>End Y1: 10</t>
        </is>
      </c>
      <c r="D14" s="38" t="n">
        <v>5010176.16</v>
      </c>
    </row>
    <row r="15">
      <c r="B15" t="inlineStr">
        <is>
          <t>End Y2: 20</t>
        </is>
      </c>
      <c r="E15" s="38" t="n">
        <v>10876490.96544</v>
      </c>
    </row>
    <row r="16">
      <c r="B16" t="inlineStr">
        <is>
          <t>End Y3: 30</t>
        </is>
      </c>
      <c r="F16" s="38" t="n">
        <v>25762930.011</v>
      </c>
    </row>
    <row r="17">
      <c r="B17" t="inlineStr">
        <is>
          <t>End Y4: 40</t>
        </is>
      </c>
      <c r="G17" s="38" t="n">
        <v>36984894.2244</v>
      </c>
    </row>
    <row r="18">
      <c r="B18" t="inlineStr">
        <is>
          <t>End Y5: 50</t>
        </is>
      </c>
      <c r="H18" s="38" t="n">
        <v>44493831.63</v>
      </c>
    </row>
    <row r="20">
      <c r="A20" s="45" t="inlineStr">
        <is>
          <t>BY ACCOUNT TYPE (uncapped)</t>
        </is>
      </c>
    </row>
    <row r="21">
      <c r="A21" s="43" t="inlineStr">
        <is>
          <t>Type</t>
        </is>
      </c>
      <c r="B21" s="43" t="inlineStr">
        <is>
          <t>Count</t>
        </is>
      </c>
      <c r="C21" s="43" t="inlineStr">
        <is>
          <t>TAM</t>
        </is>
      </c>
      <c r="D21" s="43" t="inlineStr">
        <is>
          <t>Y1</t>
        </is>
      </c>
      <c r="E21" s="43" t="inlineStr">
        <is>
          <t>Y3</t>
        </is>
      </c>
      <c r="F21" s="43" t="inlineStr">
        <is>
          <t>Y5</t>
        </is>
      </c>
    </row>
    <row r="22">
      <c r="A22" t="inlineStr">
        <is>
          <t>Hotel</t>
        </is>
      </c>
      <c r="B22" t="n">
        <v>86</v>
      </c>
      <c r="C22" s="38" t="n">
        <v>57469499.99999999</v>
      </c>
      <c r="D22" s="38" t="n">
        <v>5654275.847999997</v>
      </c>
      <c r="E22" s="38" t="n">
        <v>27345617.80650001</v>
      </c>
      <c r="F22" s="38" t="n">
        <v>44522875.8</v>
      </c>
    </row>
    <row r="23">
      <c r="A23" t="inlineStr">
        <is>
          <t>Restaurant</t>
        </is>
      </c>
      <c r="B23" t="n">
        <v>22</v>
      </c>
      <c r="C23" s="38" t="n">
        <v>1817437.5</v>
      </c>
      <c r="D23" s="38" t="n">
        <v>5568.75</v>
      </c>
      <c r="E23" s="38" t="n">
        <v>164347.734375</v>
      </c>
      <c r="F23" s="38" t="n">
        <v>293118.75</v>
      </c>
    </row>
    <row r="24">
      <c r="A24" t="inlineStr">
        <is>
          <t>Hospital</t>
        </is>
      </c>
      <c r="B24" t="n">
        <v>12</v>
      </c>
      <c r="C24" s="38" t="n">
        <v>0</v>
      </c>
      <c r="D24" s="38" t="n">
        <v>0</v>
      </c>
      <c r="E24" s="38" t="n">
        <v>0</v>
      </c>
      <c r="F24" s="38" t="n">
        <v>0</v>
      </c>
    </row>
    <row r="25">
      <c r="A25" t="inlineStr">
        <is>
          <t>Event Venue</t>
        </is>
      </c>
      <c r="B25" t="n">
        <v>14</v>
      </c>
      <c r="C25" s="38" t="n">
        <v>0</v>
      </c>
      <c r="D25" s="38" t="n">
        <v>0</v>
      </c>
      <c r="E25" s="38" t="n">
        <v>0</v>
      </c>
      <c r="F25" s="38" t="n">
        <v>0</v>
      </c>
    </row>
    <row r="26">
      <c r="A26" t="inlineStr">
        <is>
          <t>Airport</t>
        </is>
      </c>
      <c r="B26" t="n">
        <v>1</v>
      </c>
      <c r="C26" s="38" t="n">
        <v>0</v>
      </c>
      <c r="D26" s="38" t="n">
        <v>0</v>
      </c>
      <c r="E26" s="38" t="n">
        <v>0</v>
      </c>
      <c r="F26" s="38" t="n">
        <v>0</v>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0" customWidth="1" style="34" min="1" max="1"/>
  </cols>
  <sheetData>
    <row r="1">
      <c r="A1" s="41" t="inlineStr">
        <is>
          <t>WAS v2 METHODOLOGY — SOPHI MOBILITY</t>
        </is>
      </c>
    </row>
    <row r="2">
      <c r="A2" s="47" t="inlineStr"/>
    </row>
    <row r="3">
      <c r="A3" s="47" t="inlineStr">
        <is>
          <t>Market state: COLD  (Warm = ≥3 current SOPHI anchor accounts in-market)</t>
        </is>
      </c>
    </row>
    <row r="4">
      <c r="A4" s="47" t="inlineStr"/>
    </row>
    <row r="5">
      <c r="A5" s="45" t="inlineStr">
        <is>
          <t>CONVERSION CURVES (Y1 rate → Y5 rate per tier)</t>
        </is>
      </c>
    </row>
    <row r="6">
      <c r="A6" s="47" t="inlineStr">
        <is>
          <t xml:space="preserve">  Cold  —  A: 40% → 95%</t>
        </is>
      </c>
    </row>
    <row r="7">
      <c r="A7" s="47" t="inlineStr">
        <is>
          <t xml:space="preserve">           B: 8% → 75%</t>
        </is>
      </c>
    </row>
    <row r="8">
      <c r="A8" s="47" t="inlineStr">
        <is>
          <t xml:space="preserve">           C: 2% → 40%</t>
        </is>
      </c>
    </row>
    <row r="9">
      <c r="A9" s="47" t="inlineStr">
        <is>
          <t xml:space="preserve">           D: 0% → 10%</t>
        </is>
      </c>
    </row>
    <row r="10">
      <c r="A10" s="47" t="inlineStr">
        <is>
          <t xml:space="preserve">  Warm  —  A: 60% → 95%</t>
        </is>
      </c>
    </row>
    <row r="11">
      <c r="A11" s="47" t="inlineStr">
        <is>
          <t xml:space="preserve">           B: 25% → 80%</t>
        </is>
      </c>
    </row>
    <row r="12">
      <c r="A12" s="47" t="inlineStr">
        <is>
          <t xml:space="preserve">           C: 10% → 45%</t>
        </is>
      </c>
    </row>
    <row r="13">
      <c r="A13" s="47" t="inlineStr">
        <is>
          <t xml:space="preserve">           D: 0% → 15%</t>
        </is>
      </c>
    </row>
    <row r="14">
      <c r="A14" s="47" t="inlineStr"/>
    </row>
    <row r="15">
      <c r="A15" s="45" t="inlineStr">
        <is>
          <t>S-CURVE ANNUAL RAMP (fraction of Y5-Y1 captured per year)</t>
        </is>
      </c>
    </row>
    <row r="16">
      <c r="A16" s="47" t="inlineStr">
        <is>
          <t xml:space="preserve">  Y1: 0%, Y2: 18%, Y3: 55%, Y4: 82%, Y5: 100%</t>
        </is>
      </c>
    </row>
    <row r="17">
      <c r="A17" s="47" t="inlineStr"/>
    </row>
    <row r="18">
      <c r="A18" s="45" t="inlineStr">
        <is>
          <t>DIVERSIFICATION MULTIPLIER (on B/C rates only)</t>
        </is>
      </c>
    </row>
    <row r="19">
      <c r="A19" s="47" t="inlineStr">
        <is>
          <t xml:space="preserve">  1 account type in market:  1.00×</t>
        </is>
      </c>
    </row>
    <row r="20">
      <c r="A20" s="47" t="inlineStr">
        <is>
          <t xml:space="preserve">  2 account types:           1.10×</t>
        </is>
      </c>
    </row>
    <row r="21">
      <c r="A21" s="47" t="inlineStr">
        <is>
          <t xml:space="preserve">  3+ account types:          1.25×</t>
        </is>
      </c>
    </row>
    <row r="22">
      <c r="A22" s="47" t="inlineStr">
        <is>
          <t xml:space="preserve">  Ramp for COLD market: Y1=1, Y2=2, Y3+=3</t>
        </is>
      </c>
    </row>
    <row r="23">
      <c r="A23" s="47" t="inlineStr"/>
    </row>
    <row r="24">
      <c r="A24" s="45" t="inlineStr">
        <is>
          <t>WAS WEIGHTS</t>
        </is>
      </c>
    </row>
    <row r="25">
      <c r="A25" s="47" t="inlineStr">
        <is>
          <t xml:space="preserve">  Fit 25%  |  Size 25%  |  Ownership 20%  |  Addressability 15%  |  Adjacency 15%</t>
        </is>
      </c>
    </row>
    <row r="26">
      <c r="A26" s="47" t="inlineStr"/>
    </row>
    <row r="27">
      <c r="A27" s="45" t="inlineStr">
        <is>
          <t>RELATIONSHIP LIFTS (additive to WAS, cap 5.0)</t>
        </is>
      </c>
    </row>
    <row r="28">
      <c r="A28" s="47" t="inlineStr">
        <is>
          <t xml:space="preserve">  Current operator group:         +1.00</t>
        </is>
      </c>
    </row>
    <row r="29">
      <c r="A29" s="47" t="inlineStr">
        <is>
          <t xml:space="preserve">  Historical operator group:      +0.50</t>
        </is>
      </c>
    </row>
    <row r="30">
      <c r="A30" s="47" t="inlineStr">
        <is>
          <t xml:space="preserve">  Brand familiarity (current):    +0.30</t>
        </is>
      </c>
    </row>
    <row r="31">
      <c r="A31" s="47" t="inlineStr">
        <is>
          <t xml:space="preserve">  Brand familiarity (historical): +0.15</t>
        </is>
      </c>
    </row>
    <row r="32">
      <c r="A32" s="47" t="inlineStr"/>
    </row>
    <row r="33">
      <c r="A33" s="47" t="inlineStr">
        <is>
          <t xml:space="preserve">  Source: config/relationships.yaml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2026-03-19T03:07:59Z</dcterms:created>
  <dcterms:modified xmlns:dcterms="http://purl.org/dc/terms/" xmlns:xsi="http://www.w3.org/2001/XMLSchema-instance" xsi:type="dcterms:W3CDTF">2026-04-18T17:40:49Z</dcterms:modified>
</cp:coreProperties>
</file>